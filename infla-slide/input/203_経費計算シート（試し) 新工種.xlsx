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6242\Desktop\"/>
    </mc:Choice>
  </mc:AlternateContent>
  <bookViews>
    <workbookView xWindow="0" yWindow="0" windowWidth="9516" windowHeight="2748" activeTab="1"/>
  </bookViews>
  <sheets>
    <sheet name="スライド調書（様式4-2号）" sheetId="2" r:id="rId1"/>
    <sheet name="経費計算シート" sheetId="1" r:id="rId2"/>
  </sheets>
  <definedNames>
    <definedName name="_xlnm.Print_Area" localSheetId="1">経費計算シート!$A$2:$T$40</definedName>
    <definedName name="ta共通仮設費率">#REF!</definedName>
    <definedName name="ta契約保証費用">#REF!</definedName>
    <definedName name="ta現場管理費率">#REF!</definedName>
    <definedName name="ta工種区分">#REF!</definedName>
    <definedName name="ta施工地域区分">#REF!</definedName>
    <definedName name="ta前払区分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2" l="1"/>
  <c r="E20" i="2"/>
  <c r="D20" i="2"/>
  <c r="C20" i="2"/>
  <c r="C16" i="2"/>
  <c r="E16" i="2"/>
  <c r="E10" i="2"/>
  <c r="C14" i="2"/>
  <c r="D16" i="2"/>
  <c r="C18" i="2"/>
  <c r="D10" i="2"/>
  <c r="M13" i="1" l="1"/>
  <c r="I11" i="1"/>
  <c r="I12" i="1"/>
  <c r="J7" i="1"/>
  <c r="J6" i="1"/>
  <c r="J5" i="1"/>
  <c r="S24" i="1" l="1"/>
  <c r="S19" i="1"/>
  <c r="S14" i="1"/>
  <c r="S13" i="1"/>
  <c r="Q13" i="1"/>
  <c r="R14" i="1" s="1"/>
  <c r="Q15" i="1" s="1"/>
  <c r="Q16" i="1" s="1"/>
  <c r="Q18" i="1" s="1"/>
  <c r="R19" i="1" s="1"/>
  <c r="Q20" i="1" s="1"/>
  <c r="Q21" i="1" s="1"/>
  <c r="Q23" i="1" s="1"/>
  <c r="R24" i="1" s="1"/>
  <c r="Q26" i="1" s="1"/>
  <c r="O14" i="1"/>
  <c r="T14" i="1" l="1"/>
  <c r="S15" i="1" s="1"/>
  <c r="S16" i="1" s="1"/>
  <c r="S18" i="1" s="1"/>
  <c r="T19" i="1" s="1"/>
  <c r="S20" i="1" s="1"/>
  <c r="S21" i="1" s="1"/>
  <c r="Q27" i="1"/>
  <c r="Q28" i="1" s="1"/>
  <c r="Q29" i="1" s="1"/>
  <c r="Q30" i="1" s="1"/>
  <c r="Q34" i="1" l="1"/>
  <c r="Q35" i="1" s="1"/>
  <c r="Q33" i="1"/>
  <c r="S23" i="1"/>
  <c r="T24" i="1" s="1"/>
  <c r="S26" i="1" s="1"/>
  <c r="S27" i="1" s="1"/>
  <c r="S28" i="1" s="1"/>
  <c r="V11" i="1"/>
  <c r="U11" i="1"/>
  <c r="U5" i="1"/>
  <c r="V5" i="1" s="1"/>
  <c r="S29" i="1" l="1"/>
  <c r="S30" i="1" s="1"/>
  <c r="M24" i="1"/>
  <c r="M19" i="1"/>
  <c r="M14" i="1"/>
  <c r="O25" i="1"/>
  <c r="M25" i="1"/>
  <c r="K25" i="1"/>
  <c r="O13" i="1"/>
  <c r="O24" i="1"/>
  <c r="O19" i="1"/>
  <c r="U12" i="1"/>
  <c r="V12" i="1" s="1"/>
  <c r="U7" i="1"/>
  <c r="V7" i="1" s="1"/>
  <c r="K13" i="1"/>
  <c r="C13" i="1"/>
  <c r="S34" i="1" l="1"/>
  <c r="S35" i="1" s="1"/>
  <c r="S33" i="1"/>
  <c r="P14" i="1"/>
  <c r="O15" i="1" s="1"/>
  <c r="O16" i="1" s="1"/>
  <c r="O18" i="1" s="1"/>
  <c r="P19" i="1" l="1"/>
  <c r="O20" i="1" s="1"/>
  <c r="O21" i="1" s="1"/>
  <c r="O23" i="1" l="1"/>
  <c r="N14" i="1"/>
  <c r="M15" i="1" l="1"/>
  <c r="M16" i="1" s="1"/>
  <c r="M18" i="1" s="1"/>
  <c r="N19" i="1" s="1"/>
  <c r="M20" i="1" s="1"/>
  <c r="M21" i="1" s="1"/>
  <c r="M23" i="1" s="1"/>
  <c r="L14" i="1"/>
  <c r="K15" i="1" s="1"/>
  <c r="K16" i="1" s="1"/>
  <c r="K18" i="1" s="1"/>
  <c r="D14" i="1"/>
  <c r="C15" i="1" l="1"/>
  <c r="C16" i="1" s="1"/>
  <c r="C18" i="1" s="1"/>
  <c r="D19" i="1" s="1"/>
  <c r="C20" i="1" s="1"/>
  <c r="C21" i="1" s="1"/>
  <c r="C23" i="1" s="1"/>
  <c r="L19" i="1"/>
  <c r="P24" i="1"/>
  <c r="O26" i="1" s="1"/>
  <c r="K20" i="1" l="1"/>
  <c r="K21" i="1" s="1"/>
  <c r="K23" i="1" s="1"/>
  <c r="L24" i="1" s="1"/>
  <c r="K26" i="1" s="1"/>
  <c r="O27" i="1"/>
  <c r="O28" i="1" s="1"/>
  <c r="O29" i="1" s="1"/>
  <c r="O30" i="1" s="1"/>
  <c r="O33" i="1" s="1"/>
  <c r="N24" i="1"/>
  <c r="M26" i="1" s="1"/>
  <c r="O34" i="1" l="1"/>
  <c r="O35" i="1" s="1"/>
  <c r="M27" i="1"/>
  <c r="M28" i="1" s="1"/>
  <c r="K27" i="1"/>
  <c r="K28" i="1" s="1"/>
  <c r="K29" i="1" s="1"/>
  <c r="K30" i="1" s="1"/>
  <c r="K33" i="1" s="1"/>
  <c r="D24" i="1"/>
  <c r="M29" i="1" l="1"/>
  <c r="K34" i="1"/>
  <c r="K35" i="1" s="1"/>
  <c r="C26" i="1"/>
  <c r="M30" i="1" l="1"/>
  <c r="M33" i="1" s="1"/>
  <c r="F10" i="2" s="1"/>
  <c r="F16" i="2" s="1"/>
  <c r="C27" i="1"/>
  <c r="C28" i="1" s="1"/>
  <c r="C29" i="1" s="1"/>
  <c r="C30" i="1" s="1"/>
  <c r="C10" i="2" s="1"/>
  <c r="G15" i="2" l="1"/>
  <c r="C33" i="1"/>
  <c r="M34" i="1"/>
  <c r="M35" i="1" s="1"/>
  <c r="C34" i="1"/>
  <c r="C12" i="2" l="1"/>
  <c r="C35" i="1"/>
  <c r="C8" i="2" l="1"/>
  <c r="E3" i="2" l="1"/>
</calcChain>
</file>

<file path=xl/sharedStrings.xml><?xml version="1.0" encoding="utf-8"?>
<sst xmlns="http://schemas.openxmlformats.org/spreadsheetml/2006/main" count="119" uniqueCount="95">
  <si>
    <t>:契約保証費は当初積算時から変更しない</t>
    <rPh sb="1" eb="6">
      <t>ケイヤクホショウヒ</t>
    </rPh>
    <rPh sb="7" eb="9">
      <t>トウショ</t>
    </rPh>
    <rPh sb="9" eb="11">
      <t>セキサン</t>
    </rPh>
    <rPh sb="11" eb="12">
      <t>トキ</t>
    </rPh>
    <rPh sb="14" eb="16">
      <t>ヘンコウ</t>
    </rPh>
    <phoneticPr fontId="3"/>
  </si>
  <si>
    <t>変更設計書</t>
    <rPh sb="0" eb="2">
      <t>ヘンコウ</t>
    </rPh>
    <rPh sb="2" eb="5">
      <t>セッケイショ</t>
    </rPh>
    <phoneticPr fontId="3"/>
  </si>
  <si>
    <t>直接工事費
共通仮設費（積上分）
のみ使用</t>
    <rPh sb="0" eb="2">
      <t>チョクセツ</t>
    </rPh>
    <rPh sb="2" eb="5">
      <t>コウジヒ</t>
    </rPh>
    <rPh sb="6" eb="8">
      <t>キョウツウ</t>
    </rPh>
    <rPh sb="8" eb="11">
      <t>カセツヒ</t>
    </rPh>
    <rPh sb="12" eb="13">
      <t>ツ</t>
    </rPh>
    <rPh sb="13" eb="14">
      <t>ア</t>
    </rPh>
    <rPh sb="14" eb="15">
      <t>ブン</t>
    </rPh>
    <rPh sb="19" eb="21">
      <t>シヨウ</t>
    </rPh>
    <phoneticPr fontId="3"/>
  </si>
  <si>
    <t>:スライド調書（様式4-2号）に転記</t>
    <rPh sb="5" eb="7">
      <t>チョウショ</t>
    </rPh>
    <rPh sb="8" eb="10">
      <t>ヨウシキ</t>
    </rPh>
    <rPh sb="13" eb="14">
      <t>ゴウ</t>
    </rPh>
    <rPh sb="16" eb="18">
      <t>テンキ</t>
    </rPh>
    <phoneticPr fontId="3"/>
  </si>
  <si>
    <t>:【旧経費率】積算システム計算結果から引用</t>
    <rPh sb="2" eb="3">
      <t>キュウ</t>
    </rPh>
    <rPh sb="3" eb="6">
      <t>ケイヒリツ</t>
    </rPh>
    <rPh sb="7" eb="9">
      <t>セキサン</t>
    </rPh>
    <rPh sb="13" eb="15">
      <t>ケイサン</t>
    </rPh>
    <rPh sb="15" eb="17">
      <t>ケッカ</t>
    </rPh>
    <rPh sb="19" eb="21">
      <t>インヨウ</t>
    </rPh>
    <phoneticPr fontId="3"/>
  </si>
  <si>
    <t>直接工事費</t>
    <rPh sb="0" eb="2">
      <t>チョクセツ</t>
    </rPh>
    <rPh sb="2" eb="5">
      <t>コウジヒ</t>
    </rPh>
    <phoneticPr fontId="3"/>
  </si>
  <si>
    <t>共通仮設費</t>
    <rPh sb="0" eb="2">
      <t>キョウツウ</t>
    </rPh>
    <rPh sb="2" eb="5">
      <t>カセツヒ</t>
    </rPh>
    <phoneticPr fontId="3"/>
  </si>
  <si>
    <t>現場管理費</t>
    <rPh sb="0" eb="2">
      <t>ゲンバ</t>
    </rPh>
    <rPh sb="2" eb="5">
      <t>カンリヒ</t>
    </rPh>
    <phoneticPr fontId="3"/>
  </si>
  <si>
    <t>一般管理費</t>
    <rPh sb="0" eb="2">
      <t>イッパン</t>
    </rPh>
    <rPh sb="2" eb="5">
      <t>カンリヒ</t>
    </rPh>
    <phoneticPr fontId="3"/>
  </si>
  <si>
    <t>①直接工事費</t>
    <rPh sb="1" eb="3">
      <t>チョクセツ</t>
    </rPh>
    <rPh sb="3" eb="6">
      <t>コウジヒ</t>
    </rPh>
    <phoneticPr fontId="3"/>
  </si>
  <si>
    <t>②直接工事費内の処分費等</t>
    <rPh sb="1" eb="3">
      <t>チョクセツ</t>
    </rPh>
    <rPh sb="3" eb="6">
      <t>コウジヒ</t>
    </rPh>
    <rPh sb="6" eb="7">
      <t>ナイ</t>
    </rPh>
    <rPh sb="8" eb="11">
      <t>ショブンヒ</t>
    </rPh>
    <rPh sb="11" eb="12">
      <t>ナド</t>
    </rPh>
    <phoneticPr fontId="3"/>
  </si>
  <si>
    <t>④共通仮設費積上分-運搬費</t>
    <rPh sb="1" eb="3">
      <t>キョウツウ</t>
    </rPh>
    <rPh sb="3" eb="6">
      <t>カセツヒ</t>
    </rPh>
    <rPh sb="6" eb="7">
      <t>ツ</t>
    </rPh>
    <rPh sb="7" eb="8">
      <t>ア</t>
    </rPh>
    <rPh sb="8" eb="9">
      <t>ブン</t>
    </rPh>
    <rPh sb="10" eb="13">
      <t>ウンパンヒ</t>
    </rPh>
    <phoneticPr fontId="3"/>
  </si>
  <si>
    <t>⑤共通仮設費積上分-技術管理費</t>
    <rPh sb="1" eb="3">
      <t>キョウツウ</t>
    </rPh>
    <rPh sb="3" eb="6">
      <t>カセツヒ</t>
    </rPh>
    <rPh sb="6" eb="7">
      <t>ツ</t>
    </rPh>
    <rPh sb="7" eb="8">
      <t>ア</t>
    </rPh>
    <rPh sb="8" eb="9">
      <t>ブン</t>
    </rPh>
    <rPh sb="10" eb="12">
      <t>ギジュツ</t>
    </rPh>
    <rPh sb="12" eb="15">
      <t>カンリヒ</t>
    </rPh>
    <phoneticPr fontId="3"/>
  </si>
  <si>
    <t>⑦共通仮設費率分</t>
    <rPh sb="1" eb="3">
      <t>キョウツウ</t>
    </rPh>
    <rPh sb="3" eb="5">
      <t>カセツ</t>
    </rPh>
    <rPh sb="5" eb="6">
      <t>ヒ</t>
    </rPh>
    <rPh sb="6" eb="7">
      <t>リツ</t>
    </rPh>
    <rPh sb="7" eb="8">
      <t>ブン</t>
    </rPh>
    <phoneticPr fontId="3"/>
  </si>
  <si>
    <t>⑪現場管理費率分</t>
    <rPh sb="1" eb="3">
      <t>ゲンバ</t>
    </rPh>
    <rPh sb="3" eb="6">
      <t>カンリヒ</t>
    </rPh>
    <rPh sb="6" eb="8">
      <t>リツブン</t>
    </rPh>
    <phoneticPr fontId="3"/>
  </si>
  <si>
    <t>⑮一般管理費率分</t>
    <rPh sb="1" eb="3">
      <t>イッパン</t>
    </rPh>
    <rPh sb="3" eb="6">
      <t>カンリヒ</t>
    </rPh>
    <rPh sb="6" eb="8">
      <t>リツブン</t>
    </rPh>
    <phoneticPr fontId="3"/>
  </si>
  <si>
    <t>⑲端数整理</t>
    <rPh sb="1" eb="5">
      <t>ハスウセイリ</t>
    </rPh>
    <phoneticPr fontId="3"/>
  </si>
  <si>
    <t>⑳一般管理費【合計】（端数整理後）</t>
    <rPh sb="1" eb="3">
      <t>イッパン</t>
    </rPh>
    <rPh sb="3" eb="6">
      <t>カンリヒ</t>
    </rPh>
    <rPh sb="7" eb="9">
      <t>ゴウケイ</t>
    </rPh>
    <rPh sb="11" eb="13">
      <t>ハスウ</t>
    </rPh>
    <rPh sb="13" eb="15">
      <t>セイリ</t>
    </rPh>
    <rPh sb="15" eb="16">
      <t>アト</t>
    </rPh>
    <phoneticPr fontId="3"/>
  </si>
  <si>
    <t>㉒スクラップ</t>
    <phoneticPr fontId="3"/>
  </si>
  <si>
    <t>㉓消費税相当額</t>
    <rPh sb="1" eb="4">
      <t>ショウヒゼイ</t>
    </rPh>
    <rPh sb="4" eb="7">
      <t>ソウトウガク</t>
    </rPh>
    <phoneticPr fontId="3"/>
  </si>
  <si>
    <t>工事費</t>
    <rPh sb="0" eb="3">
      <t>コウジヒ</t>
    </rPh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</si>
  <si>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</si>
  <si>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</si>
  <si>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</si>
  <si>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</si>
  <si>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</si>
  <si>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</si>
  <si>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</si>
  <si>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③直接工事費内の処分費等の内、共通仮設費率分算出の対象外費
（共通仮設費対象額の３％を超える金額は率計算の対象としない）</t>
    <rPh sb="1" eb="3">
      <t>チョクセツ</t>
    </rPh>
    <rPh sb="3" eb="6">
      <t>コウジヒ</t>
    </rPh>
    <rPh sb="6" eb="7">
      <t>ナイ</t>
    </rPh>
    <rPh sb="8" eb="11">
      <t>ショブンヒ</t>
    </rPh>
    <rPh sb="11" eb="12">
      <t>ナド</t>
    </rPh>
    <rPh sb="13" eb="14">
      <t>ウチ</t>
    </rPh>
    <rPh sb="15" eb="17">
      <t>キョウツウ</t>
    </rPh>
    <rPh sb="17" eb="20">
      <t>カセツヒ</t>
    </rPh>
    <rPh sb="20" eb="22">
      <t>リツブン</t>
    </rPh>
    <rPh sb="22" eb="24">
      <t>サンシュツ</t>
    </rPh>
    <rPh sb="25" eb="28">
      <t>タイショウガイ</t>
    </rPh>
    <rPh sb="28" eb="29">
      <t>ヒ</t>
    </rPh>
    <phoneticPr fontId="3"/>
  </si>
  <si>
    <t>様式4-2号</t>
    <rPh sb="0" eb="2">
      <t>ヨウシキ</t>
    </rPh>
    <rPh sb="5" eb="6">
      <t>ゴウ</t>
    </rPh>
    <phoneticPr fontId="8"/>
  </si>
  <si>
    <t>スライド調書</t>
    <rPh sb="4" eb="6">
      <t>チョウショ</t>
    </rPh>
    <phoneticPr fontId="8"/>
  </si>
  <si>
    <t>元設計</t>
    <rPh sb="0" eb="1">
      <t>モト</t>
    </rPh>
    <rPh sb="1" eb="3">
      <t>セッケイ</t>
    </rPh>
    <phoneticPr fontId="8"/>
  </si>
  <si>
    <t>出来高</t>
    <rPh sb="0" eb="3">
      <t>デキダカ</t>
    </rPh>
    <phoneticPr fontId="8"/>
  </si>
  <si>
    <t>残工事</t>
    <rPh sb="0" eb="1">
      <t>ザン</t>
    </rPh>
    <rPh sb="1" eb="3">
      <t>コウジ</t>
    </rPh>
    <phoneticPr fontId="8"/>
  </si>
  <si>
    <t>スライド額</t>
    <rPh sb="4" eb="5">
      <t>ガク</t>
    </rPh>
    <phoneticPr fontId="8"/>
  </si>
  <si>
    <t>変動前</t>
    <rPh sb="0" eb="2">
      <t>ヘンドウ</t>
    </rPh>
    <rPh sb="2" eb="3">
      <t>マエ</t>
    </rPh>
    <phoneticPr fontId="8"/>
  </si>
  <si>
    <t>変動後</t>
    <rPh sb="0" eb="2">
      <t>ヘンドウ</t>
    </rPh>
    <rPh sb="2" eb="3">
      <t>ゴ</t>
    </rPh>
    <phoneticPr fontId="8"/>
  </si>
  <si>
    <t>①</t>
    <phoneticPr fontId="8"/>
  </si>
  <si>
    <t>設計額（税込）</t>
    <rPh sb="0" eb="2">
      <t>セッケイ</t>
    </rPh>
    <rPh sb="2" eb="3">
      <t>ガク</t>
    </rPh>
    <rPh sb="4" eb="6">
      <t>ゼイコ</t>
    </rPh>
    <phoneticPr fontId="8"/>
  </si>
  <si>
    <t>-</t>
    <phoneticPr fontId="8"/>
  </si>
  <si>
    <t>②</t>
    <phoneticPr fontId="8"/>
  </si>
  <si>
    <t>⑤</t>
    <phoneticPr fontId="8"/>
  </si>
  <si>
    <t>⑦=②-⑤</t>
    <phoneticPr fontId="8"/>
  </si>
  <si>
    <t>　工事価格（税抜）</t>
    <rPh sb="1" eb="3">
      <t>コウジ</t>
    </rPh>
    <rPh sb="3" eb="5">
      <t>カカク</t>
    </rPh>
    <rPh sb="6" eb="7">
      <t>ゼイ</t>
    </rPh>
    <rPh sb="7" eb="8">
      <t>ヌ</t>
    </rPh>
    <phoneticPr fontId="8"/>
  </si>
  <si>
    <t>　消費税相当額</t>
    <rPh sb="1" eb="4">
      <t>ショウヒゼイ</t>
    </rPh>
    <rPh sb="4" eb="6">
      <t>ソウトウ</t>
    </rPh>
    <rPh sb="6" eb="7">
      <t>ガク</t>
    </rPh>
    <phoneticPr fontId="8"/>
  </si>
  <si>
    <t>③</t>
    <phoneticPr fontId="8"/>
  </si>
  <si>
    <t>請負代金額（税込）</t>
    <rPh sb="0" eb="2">
      <t>ウケオイ</t>
    </rPh>
    <rPh sb="2" eb="4">
      <t>ダイキン</t>
    </rPh>
    <rPh sb="4" eb="5">
      <t>ガク</t>
    </rPh>
    <rPh sb="6" eb="8">
      <t>ゼイコ</t>
    </rPh>
    <phoneticPr fontId="8"/>
  </si>
  <si>
    <t>　請負工事価格</t>
    <rPh sb="5" eb="7">
      <t>カカク</t>
    </rPh>
    <phoneticPr fontId="8"/>
  </si>
  <si>
    <t>④</t>
    <phoneticPr fontId="8"/>
  </si>
  <si>
    <t>⑥=⑤×（③/①）</t>
    <phoneticPr fontId="8"/>
  </si>
  <si>
    <t>P1'=④-⑥</t>
    <phoneticPr fontId="8"/>
  </si>
  <si>
    <t>P2'=⑧×（③/①）</t>
    <phoneticPr fontId="8"/>
  </si>
  <si>
    <t>　（請負代金額（税抜））</t>
    <rPh sb="2" eb="4">
      <t>ウケオイ</t>
    </rPh>
    <rPh sb="4" eb="6">
      <t>ダイキン</t>
    </rPh>
    <rPh sb="6" eb="7">
      <t>ガク</t>
    </rPh>
    <rPh sb="8" eb="9">
      <t>ゼイ</t>
    </rPh>
    <rPh sb="9" eb="10">
      <t>ヌ</t>
    </rPh>
    <phoneticPr fontId="8"/>
  </si>
  <si>
    <t>⑧</t>
    <phoneticPr fontId="3"/>
  </si>
  <si>
    <t>①’水道工事における管材費</t>
    <rPh sb="2" eb="4">
      <t>スイドウ</t>
    </rPh>
    <rPh sb="4" eb="6">
      <t>コウジ</t>
    </rPh>
    <rPh sb="10" eb="11">
      <t>カン</t>
    </rPh>
    <rPh sb="11" eb="12">
      <t>ザイ</t>
    </rPh>
    <rPh sb="12" eb="13">
      <t>ヒ</t>
    </rPh>
    <phoneticPr fontId="3"/>
  </si>
  <si>
    <t>変更設計書-残工事【設計書(1)】</t>
    <rPh sb="0" eb="2">
      <t>ヘンコウ</t>
    </rPh>
    <rPh sb="2" eb="5">
      <t>セッケイショ</t>
    </rPh>
    <rPh sb="6" eb="9">
      <t>ザンコウジ</t>
    </rPh>
    <rPh sb="10" eb="13">
      <t>セッケイショ</t>
    </rPh>
    <phoneticPr fontId="3"/>
  </si>
  <si>
    <t>出来高【設計書(5)】チェック</t>
    <rPh sb="0" eb="3">
      <t>デキダカ</t>
    </rPh>
    <rPh sb="4" eb="7">
      <t>セッケイショ</t>
    </rPh>
    <phoneticPr fontId="3"/>
  </si>
  <si>
    <t>単価更新設計書　残工事
【設計書(2)】</t>
    <rPh sb="0" eb="2">
      <t>タンカ</t>
    </rPh>
    <rPh sb="2" eb="4">
      <t>コウシン</t>
    </rPh>
    <rPh sb="4" eb="7">
      <t>セッケイショ</t>
    </rPh>
    <rPh sb="8" eb="11">
      <t>ザンコウジ</t>
    </rPh>
    <rPh sb="13" eb="16">
      <t>セッケイショ</t>
    </rPh>
    <phoneticPr fontId="3"/>
  </si>
  <si>
    <t>変更設計書　残工事
【設計書(1)】</t>
    <rPh sb="0" eb="2">
      <t>ヘンコウ</t>
    </rPh>
    <rPh sb="2" eb="5">
      <t>セッケイショ</t>
    </rPh>
    <rPh sb="6" eb="9">
      <t>ザンコウジ</t>
    </rPh>
    <rPh sb="11" eb="14">
      <t>セッケイショ</t>
    </rPh>
    <phoneticPr fontId="3"/>
  </si>
  <si>
    <t>変更設計書　出来高
【Excelシート】
※A-B（設計書無し）</t>
    <rPh sb="0" eb="2">
      <t>ヘンコウ</t>
    </rPh>
    <rPh sb="2" eb="5">
      <t>セッケイショ</t>
    </rPh>
    <rPh sb="6" eb="9">
      <t>デキダカ</t>
    </rPh>
    <rPh sb="26" eb="29">
      <t>セッケイショ</t>
    </rPh>
    <rPh sb="29" eb="30">
      <t>ナ</t>
    </rPh>
    <phoneticPr fontId="3"/>
  </si>
  <si>
    <t>特殊集計区分（水道）
＝水道工事における管財費
特殊集計区分（処分）
＝直工内の処分費等</t>
    <rPh sb="2" eb="4">
      <t>シュウケイ</t>
    </rPh>
    <rPh sb="4" eb="6">
      <t>クブン</t>
    </rPh>
    <rPh sb="7" eb="9">
      <t>スイドウ</t>
    </rPh>
    <rPh sb="12" eb="14">
      <t>スイドウ</t>
    </rPh>
    <rPh sb="14" eb="16">
      <t>コウジ</t>
    </rPh>
    <rPh sb="20" eb="23">
      <t>カンザイヒ</t>
    </rPh>
    <rPh sb="25" eb="31">
      <t>トクシュシュウケイクブン</t>
    </rPh>
    <rPh sb="32" eb="34">
      <t>ショブン</t>
    </rPh>
    <rPh sb="37" eb="39">
      <t>チョッコウ</t>
    </rPh>
    <rPh sb="39" eb="40">
      <t>ナイ</t>
    </rPh>
    <rPh sb="41" eb="44">
      <t>ショブンヒ</t>
    </rPh>
    <rPh sb="44" eb="45">
      <t>トウ</t>
    </rPh>
    <phoneticPr fontId="3"/>
  </si>
  <si>
    <t>スライド設計書
【設計書(3)】</t>
    <rPh sb="4" eb="7">
      <t>セッケイショ</t>
    </rPh>
    <rPh sb="9" eb="12">
      <t>セッケイショ</t>
    </rPh>
    <phoneticPr fontId="3"/>
  </si>
  <si>
    <t>:【新経費率】
積算システム計算結果から引用</t>
    <rPh sb="2" eb="3">
      <t>シン</t>
    </rPh>
    <rPh sb="3" eb="6">
      <t>ケイヒリツ</t>
    </rPh>
    <rPh sb="8" eb="10">
      <t>セキサン</t>
    </rPh>
    <rPh sb="14" eb="16">
      <t>ケイサン</t>
    </rPh>
    <rPh sb="16" eb="18">
      <t>ケッカ</t>
    </rPh>
    <rPh sb="20" eb="22">
      <t>インヨウ</t>
    </rPh>
    <phoneticPr fontId="3"/>
  </si>
  <si>
    <t>:契約保証費は当初積算時から
変更しない</t>
    <rPh sb="1" eb="6">
      <t>ケイヤクホショウヒ</t>
    </rPh>
    <rPh sb="7" eb="9">
      <t>トウショ</t>
    </rPh>
    <rPh sb="9" eb="11">
      <t>セキサン</t>
    </rPh>
    <rPh sb="11" eb="12">
      <t>トキ</t>
    </rPh>
    <rPh sb="15" eb="17">
      <t>ヘンコウ</t>
    </rPh>
    <phoneticPr fontId="3"/>
  </si>
  <si>
    <t>:【設計書(3)】の【新経費率】を
　用いて経費を計算</t>
    <rPh sb="2" eb="5">
      <t>セッケイショ</t>
    </rPh>
    <rPh sb="11" eb="12">
      <t>シン</t>
    </rPh>
    <rPh sb="12" eb="15">
      <t>ケイヒリツ</t>
    </rPh>
    <rPh sb="19" eb="20">
      <t>モチ</t>
    </rPh>
    <rPh sb="22" eb="24">
      <t>ケイヒ</t>
    </rPh>
    <rPh sb="25" eb="27">
      <t>ケイサン</t>
    </rPh>
    <phoneticPr fontId="3"/>
  </si>
  <si>
    <t>:変更設計書の【旧経費率】を
　用いて経費を計算</t>
    <rPh sb="1" eb="3">
      <t>ヘンコウ</t>
    </rPh>
    <rPh sb="3" eb="6">
      <t>セッケイショ</t>
    </rPh>
    <rPh sb="8" eb="9">
      <t>キュウ</t>
    </rPh>
    <rPh sb="9" eb="12">
      <t>ケイヒリツ</t>
    </rPh>
    <rPh sb="16" eb="17">
      <t>モチ</t>
    </rPh>
    <rPh sb="19" eb="21">
      <t>ケイヒ</t>
    </rPh>
    <rPh sb="22" eb="24">
      <t>ケイサン</t>
    </rPh>
    <phoneticPr fontId="3"/>
  </si>
  <si>
    <t>特殊集計
区分外</t>
    <rPh sb="0" eb="2">
      <t>トクシュ</t>
    </rPh>
    <rPh sb="2" eb="4">
      <t>シュウケイ</t>
    </rPh>
    <rPh sb="5" eb="7">
      <t>クブン</t>
    </rPh>
    <rPh sb="7" eb="8">
      <t>ガイ</t>
    </rPh>
    <phoneticPr fontId="3"/>
  </si>
  <si>
    <t>特殊集計
区分(水道)</t>
    <rPh sb="8" eb="10">
      <t>スイドウ</t>
    </rPh>
    <phoneticPr fontId="3"/>
  </si>
  <si>
    <t>特殊集計
区分(処分)</t>
    <rPh sb="8" eb="10">
      <t>ショブン</t>
    </rPh>
    <phoneticPr fontId="3"/>
  </si>
  <si>
    <r>
      <t>⑥共通仮設費対象額</t>
    </r>
    <r>
      <rPr>
        <sz val="8"/>
        <color rgb="FFFF0000"/>
        <rFont val="Meiryo UI"/>
        <family val="3"/>
        <charset val="128"/>
      </rPr>
      <t>※①-③-①’/2</t>
    </r>
    <rPh sb="1" eb="3">
      <t>キョウツウ</t>
    </rPh>
    <rPh sb="3" eb="6">
      <t>カセツヒ</t>
    </rPh>
    <rPh sb="6" eb="9">
      <t>タイショウガク</t>
    </rPh>
    <phoneticPr fontId="3"/>
  </si>
  <si>
    <r>
      <t>⑧共通仮設費【合計】</t>
    </r>
    <r>
      <rPr>
        <sz val="8"/>
        <color rgb="FFFF0000"/>
        <rFont val="Meiryo UI"/>
        <family val="3"/>
        <charset val="128"/>
      </rPr>
      <t>※④+⑤+⑦</t>
    </r>
    <rPh sb="1" eb="3">
      <t>キョウツウ</t>
    </rPh>
    <rPh sb="3" eb="6">
      <t>カセツヒ</t>
    </rPh>
    <rPh sb="7" eb="9">
      <t>ゴウケイ</t>
    </rPh>
    <phoneticPr fontId="3"/>
  </si>
  <si>
    <r>
      <t>⑨純工事費</t>
    </r>
    <r>
      <rPr>
        <sz val="8"/>
        <color rgb="FFFF0000"/>
        <rFont val="Meiryo UI"/>
        <family val="3"/>
        <charset val="128"/>
      </rPr>
      <t>※①+⑧</t>
    </r>
    <rPh sb="1" eb="5">
      <t>ジュンコウジヒ</t>
    </rPh>
    <phoneticPr fontId="3"/>
  </si>
  <si>
    <r>
      <t>⑩現場管理費対象額</t>
    </r>
    <r>
      <rPr>
        <sz val="8"/>
        <color rgb="FFFF0000"/>
        <rFont val="Meiryo UI"/>
        <family val="3"/>
        <charset val="128"/>
      </rPr>
      <t>※⑨-③-①’/2</t>
    </r>
    <rPh sb="1" eb="3">
      <t>ゲンバ</t>
    </rPh>
    <rPh sb="3" eb="6">
      <t>カンリヒ</t>
    </rPh>
    <rPh sb="6" eb="9">
      <t>タイショウガク</t>
    </rPh>
    <phoneticPr fontId="3"/>
  </si>
  <si>
    <r>
      <t>⑫現場管理費【合計】</t>
    </r>
    <r>
      <rPr>
        <sz val="8"/>
        <color rgb="FFFF0000"/>
        <rFont val="Meiryo UI"/>
        <family val="3"/>
        <charset val="128"/>
      </rPr>
      <t>※⑪</t>
    </r>
    <rPh sb="1" eb="3">
      <t>ゲンバ</t>
    </rPh>
    <rPh sb="3" eb="6">
      <t>カンリヒ</t>
    </rPh>
    <rPh sb="7" eb="9">
      <t>ゴウケイ</t>
    </rPh>
    <phoneticPr fontId="3"/>
  </si>
  <si>
    <r>
      <t>⑬工事原価</t>
    </r>
    <r>
      <rPr>
        <sz val="8"/>
        <color rgb="FFFF0000"/>
        <rFont val="Meiryo UI"/>
        <family val="3"/>
        <charset val="128"/>
      </rPr>
      <t>※⑨+⑫</t>
    </r>
    <rPh sb="1" eb="3">
      <t>コウジ</t>
    </rPh>
    <rPh sb="3" eb="5">
      <t>ゲンカ</t>
    </rPh>
    <phoneticPr fontId="3"/>
  </si>
  <si>
    <r>
      <t>⑭一般管理費対象額</t>
    </r>
    <r>
      <rPr>
        <sz val="8"/>
        <color rgb="FFFF0000"/>
        <rFont val="Meiryo UI"/>
        <family val="3"/>
        <charset val="128"/>
      </rPr>
      <t>※⑬-③</t>
    </r>
    <rPh sb="1" eb="3">
      <t>イッパン</t>
    </rPh>
    <rPh sb="3" eb="6">
      <t>カンリヒ</t>
    </rPh>
    <rPh sb="6" eb="8">
      <t>タイショウ</t>
    </rPh>
    <rPh sb="8" eb="9">
      <t>ガク</t>
    </rPh>
    <phoneticPr fontId="3"/>
  </si>
  <si>
    <r>
      <t>⑯契約保証費</t>
    </r>
    <r>
      <rPr>
        <sz val="10"/>
        <color rgb="FFFF0000"/>
        <rFont val="Meiryo UI"/>
        <family val="3"/>
        <charset val="128"/>
      </rPr>
      <t>※当初設計時額で固定</t>
    </r>
    <rPh sb="1" eb="3">
      <t>ケイヤク</t>
    </rPh>
    <rPh sb="3" eb="5">
      <t>ホショウ</t>
    </rPh>
    <rPh sb="5" eb="6">
      <t>ヒ</t>
    </rPh>
    <rPh sb="7" eb="9">
      <t>トウショ</t>
    </rPh>
    <rPh sb="9" eb="11">
      <t>セッケイ</t>
    </rPh>
    <rPh sb="11" eb="12">
      <t>トキ</t>
    </rPh>
    <rPh sb="12" eb="13">
      <t>ガク</t>
    </rPh>
    <rPh sb="14" eb="16">
      <t>コテイ</t>
    </rPh>
    <phoneticPr fontId="3"/>
  </si>
  <si>
    <r>
      <t>⑰一般管理費【合計】（端数整理前）</t>
    </r>
    <r>
      <rPr>
        <sz val="8"/>
        <color rgb="FFFF0000"/>
        <rFont val="Meiryo UI"/>
        <family val="3"/>
        <charset val="128"/>
      </rPr>
      <t>※⑮+⑯</t>
    </r>
    <rPh sb="1" eb="3">
      <t>イッパン</t>
    </rPh>
    <rPh sb="3" eb="6">
      <t>カンリヒ</t>
    </rPh>
    <rPh sb="7" eb="9">
      <t>ゴウケイ</t>
    </rPh>
    <rPh sb="11" eb="13">
      <t>ハスウ</t>
    </rPh>
    <rPh sb="13" eb="16">
      <t>セイリマエ</t>
    </rPh>
    <phoneticPr fontId="3"/>
  </si>
  <si>
    <r>
      <t>⑱工事価格（端数整理前）</t>
    </r>
    <r>
      <rPr>
        <sz val="8"/>
        <color rgb="FFFF0000"/>
        <rFont val="Meiryo UI"/>
        <family val="3"/>
        <charset val="128"/>
      </rPr>
      <t>※⑬+⑰</t>
    </r>
    <rPh sb="1" eb="3">
      <t>コウジ</t>
    </rPh>
    <rPh sb="3" eb="5">
      <t>カカク</t>
    </rPh>
    <rPh sb="6" eb="8">
      <t>ハスウ</t>
    </rPh>
    <rPh sb="8" eb="11">
      <t>セイリマエ</t>
    </rPh>
    <phoneticPr fontId="3"/>
  </si>
  <si>
    <r>
      <t>㉑工事価格</t>
    </r>
    <r>
      <rPr>
        <sz val="8"/>
        <color rgb="FFFF0000"/>
        <rFont val="Meiryo UI"/>
        <family val="3"/>
        <charset val="128"/>
      </rPr>
      <t>※⑬+⑳</t>
    </r>
    <rPh sb="1" eb="3">
      <t>コウジ</t>
    </rPh>
    <rPh sb="3" eb="5">
      <t>カカク</t>
    </rPh>
    <phoneticPr fontId="3"/>
  </si>
  <si>
    <r>
      <t xml:space="preserve">㉑’工事価格（スクラップ込み） </t>
    </r>
    <r>
      <rPr>
        <sz val="8"/>
        <color rgb="FFFF0000"/>
        <rFont val="Meiryo UI"/>
        <family val="3"/>
        <charset val="128"/>
      </rPr>
      <t>※㉑+㉒</t>
    </r>
    <rPh sb="2" eb="4">
      <t>コウジ</t>
    </rPh>
    <rPh sb="4" eb="6">
      <t>カカク</t>
    </rPh>
    <rPh sb="12" eb="13">
      <t>コ</t>
    </rPh>
    <phoneticPr fontId="3"/>
  </si>
  <si>
    <r>
      <t>㉔工事費</t>
    </r>
    <r>
      <rPr>
        <sz val="8"/>
        <color rgb="FFFF0000"/>
        <rFont val="Meiryo UI"/>
        <family val="3"/>
        <charset val="128"/>
      </rPr>
      <t>※㉑+㉒+㉓</t>
    </r>
    <rPh sb="1" eb="4">
      <t>コウジヒ</t>
    </rPh>
    <phoneticPr fontId="3"/>
  </si>
  <si>
    <t>H</t>
    <phoneticPr fontId="3"/>
  </si>
  <si>
    <t>I</t>
    <phoneticPr fontId="3"/>
  </si>
  <si>
    <t>変更設計書　新工種抜き
【設計書(7)】</t>
    <rPh sb="0" eb="2">
      <t>ヘンコウ</t>
    </rPh>
    <rPh sb="2" eb="5">
      <t>セッケイショ</t>
    </rPh>
    <rPh sb="6" eb="9">
      <t>シンコウシュ</t>
    </rPh>
    <rPh sb="9" eb="10">
      <t>ヌ</t>
    </rPh>
    <rPh sb="13" eb="16">
      <t>セッケイショ</t>
    </rPh>
    <phoneticPr fontId="3"/>
  </si>
  <si>
    <t>単価更新設計書　残工事　
【設計書(4)】
【Excel計算】</t>
    <rPh sb="0" eb="2">
      <t>タンカ</t>
    </rPh>
    <rPh sb="2" eb="4">
      <t>コウシン</t>
    </rPh>
    <rPh sb="4" eb="7">
      <t>セッケイショ</t>
    </rPh>
    <rPh sb="8" eb="11">
      <t>ザンコウジ</t>
    </rPh>
    <rPh sb="14" eb="17">
      <t>セッケイショ</t>
    </rPh>
    <rPh sb="28" eb="30">
      <t>ケイサン</t>
    </rPh>
    <phoneticPr fontId="3"/>
  </si>
  <si>
    <t>変更設計書　出来高
【設計書(6)】
【Excel計算】</t>
    <rPh sb="0" eb="2">
      <t>ヘンコウ</t>
    </rPh>
    <rPh sb="2" eb="5">
      <t>セッケイショ</t>
    </rPh>
    <rPh sb="6" eb="9">
      <t>デキダカ</t>
    </rPh>
    <rPh sb="11" eb="14">
      <t>セッケイショ</t>
    </rPh>
    <rPh sb="25" eb="27">
      <t>ケイサン</t>
    </rPh>
    <phoneticPr fontId="3"/>
  </si>
  <si>
    <t>スライド基準日より後の単価適用日の新工種がある場合</t>
    <rPh sb="4" eb="7">
      <t>キジュンビ</t>
    </rPh>
    <rPh sb="9" eb="10">
      <t>アト</t>
    </rPh>
    <rPh sb="11" eb="16">
      <t>タンカテキヨウビ</t>
    </rPh>
    <rPh sb="17" eb="20">
      <t>シンコウシュ</t>
    </rPh>
    <rPh sb="23" eb="25">
      <t>バアイ</t>
    </rPh>
    <phoneticPr fontId="3"/>
  </si>
  <si>
    <t>　請負工事価格
（新工種抜き）</t>
    <rPh sb="5" eb="7">
      <t>カカク</t>
    </rPh>
    <rPh sb="9" eb="12">
      <t>シンコウシュ</t>
    </rPh>
    <rPh sb="12" eb="13">
      <t>ヌ</t>
    </rPh>
    <phoneticPr fontId="8"/>
  </si>
  <si>
    <t>⑨
（請負率考慮）</t>
    <rPh sb="3" eb="6">
      <t>ウケオイリツ</t>
    </rPh>
    <rPh sb="6" eb="8">
      <t>コウリョ</t>
    </rPh>
    <phoneticPr fontId="8"/>
  </si>
  <si>
    <t>⑩
（請負率考慮）</t>
    <phoneticPr fontId="8"/>
  </si>
  <si>
    <t>P1''=⑨-⑩</t>
    <phoneticPr fontId="3"/>
  </si>
  <si>
    <t>:変更設計書　新工種抜きの
【経費率】を積算システム計算結果から引用</t>
    <rPh sb="1" eb="3">
      <t>ヘンコウ</t>
    </rPh>
    <rPh sb="3" eb="6">
      <t>セッケイショ</t>
    </rPh>
    <rPh sb="7" eb="10">
      <t>シンコウシュ</t>
    </rPh>
    <rPh sb="10" eb="11">
      <t>ヌ</t>
    </rPh>
    <rPh sb="15" eb="18">
      <t>ケイヒリツ</t>
    </rPh>
    <rPh sb="20" eb="22">
      <t>セキサン</t>
    </rPh>
    <rPh sb="26" eb="30">
      <t>ケイサンケッカ</t>
    </rPh>
    <rPh sb="32" eb="34">
      <t>インヨウ</t>
    </rPh>
    <phoneticPr fontId="3"/>
  </si>
  <si>
    <t>:変更設計書　新工種抜きの
【経費率】を用いて経費を計算</t>
    <rPh sb="1" eb="3">
      <t>ヘンコウ</t>
    </rPh>
    <rPh sb="3" eb="6">
      <t>セッケイショ</t>
    </rPh>
    <rPh sb="7" eb="10">
      <t>シンコウシュ</t>
    </rPh>
    <rPh sb="10" eb="11">
      <t>ヌ</t>
    </rPh>
    <rPh sb="15" eb="18">
      <t>ケイヒリツ</t>
    </rPh>
    <rPh sb="20" eb="21">
      <t>モチ</t>
    </rPh>
    <rPh sb="23" eb="25">
      <t>ケイヒ</t>
    </rPh>
    <rPh sb="26" eb="28">
      <t>ケイサン</t>
    </rPh>
    <phoneticPr fontId="3"/>
  </si>
  <si>
    <t>変更設計書　新工種抜き　出来高
【設計書(9)】【Excel計算】</t>
    <rPh sb="0" eb="2">
      <t>ヘンコウ</t>
    </rPh>
    <rPh sb="2" eb="5">
      <t>セッケイショ</t>
    </rPh>
    <rPh sb="6" eb="9">
      <t>シンコウシュ</t>
    </rPh>
    <rPh sb="9" eb="10">
      <t>ヌ</t>
    </rPh>
    <rPh sb="12" eb="15">
      <t>デキダカ</t>
    </rPh>
    <rPh sb="17" eb="20">
      <t>セッケイショ</t>
    </rPh>
    <rPh sb="30" eb="32">
      <t>ケイサン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</si>
</sst>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00;[Red]\-#,##0.0000"/>
    <numFmt numFmtId="177" formatCode="#,##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HGS明朝B"/>
      <family val="1"/>
      <charset val="128"/>
    </font>
    <font>
      <sz val="6"/>
      <name val="游ゴシック"/>
      <family val="2"/>
      <charset val="128"/>
      <scheme val="minor"/>
    </font>
    <font>
      <sz val="10"/>
      <color rgb="FFFF0000"/>
      <name val="HGS明朝B"/>
      <family val="1"/>
      <charset val="128"/>
    </font>
    <font>
      <sz val="8"/>
      <color theme="1"/>
      <name val="HGS明朝B"/>
      <family val="1"/>
      <charset val="128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12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8"/>
      <color theme="1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theme="1"/>
      </top>
      <bottom style="dotted">
        <color theme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theme="1"/>
      </top>
      <bottom style="dotted">
        <color theme="1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dotted">
        <color indexed="64"/>
      </top>
      <bottom style="dott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dotted">
        <color indexed="64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theme="1"/>
      </top>
      <bottom style="dotted">
        <color indexed="64"/>
      </bottom>
      <diagonal/>
    </border>
    <border>
      <left style="thin">
        <color indexed="64"/>
      </left>
      <right/>
      <top style="dotted">
        <color theme="1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/>
  </cellStyleXfs>
  <cellXfs count="190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38" fontId="4" fillId="0" borderId="0" xfId="1" applyFont="1">
      <alignment vertical="center"/>
    </xf>
    <xf numFmtId="0" fontId="5" fillId="0" borderId="0" xfId="0" applyFont="1">
      <alignment vertical="center"/>
    </xf>
    <xf numFmtId="38" fontId="5" fillId="0" borderId="0" xfId="1" applyFont="1">
      <alignment vertical="center"/>
    </xf>
    <xf numFmtId="0" fontId="6" fillId="0" borderId="0" xfId="2"/>
    <xf numFmtId="0" fontId="7" fillId="0" borderId="0" xfId="2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10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11" fillId="0" borderId="4" xfId="2" applyFont="1" applyBorder="1"/>
    <xf numFmtId="0" fontId="11" fillId="0" borderId="1" xfId="2" applyFont="1" applyBorder="1"/>
    <xf numFmtId="0" fontId="11" fillId="0" borderId="37" xfId="2" applyFont="1" applyBorder="1" applyAlignment="1">
      <alignment horizontal="center" vertical="center"/>
    </xf>
    <xf numFmtId="0" fontId="12" fillId="0" borderId="4" xfId="2" applyFont="1" applyBorder="1" applyAlignment="1">
      <alignment horizontal="right"/>
    </xf>
    <xf numFmtId="0" fontId="11" fillId="0" borderId="3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38" xfId="2" applyFont="1" applyBorder="1" applyAlignment="1">
      <alignment vertical="center" shrinkToFit="1"/>
    </xf>
    <xf numFmtId="177" fontId="11" fillId="0" borderId="39" xfId="2" applyNumberFormat="1" applyFont="1" applyBorder="1" applyAlignment="1">
      <alignment horizontal="right" vertical="center"/>
    </xf>
    <xf numFmtId="0" fontId="11" fillId="0" borderId="39" xfId="2" applyFont="1" applyBorder="1" applyAlignment="1">
      <alignment horizontal="right" vertical="center"/>
    </xf>
    <xf numFmtId="0" fontId="11" fillId="0" borderId="40" xfId="2" applyFont="1" applyBorder="1" applyAlignment="1">
      <alignment horizontal="right" vertical="center"/>
    </xf>
    <xf numFmtId="0" fontId="12" fillId="0" borderId="41" xfId="2" applyFont="1" applyBorder="1" applyAlignment="1">
      <alignment horizontal="right"/>
    </xf>
    <xf numFmtId="177" fontId="11" fillId="0" borderId="42" xfId="2" applyNumberFormat="1" applyFont="1" applyBorder="1" applyAlignment="1">
      <alignment horizontal="center" vertical="center" wrapText="1"/>
    </xf>
    <xf numFmtId="177" fontId="11" fillId="0" borderId="43" xfId="2" applyNumberFormat="1" applyFont="1" applyBorder="1" applyAlignment="1">
      <alignment horizontal="center" vertical="center" wrapText="1"/>
    </xf>
    <xf numFmtId="177" fontId="11" fillId="0" borderId="40" xfId="2" applyNumberFormat="1" applyFont="1" applyBorder="1" applyAlignment="1">
      <alignment horizontal="right" vertical="center"/>
    </xf>
    <xf numFmtId="0" fontId="11" fillId="0" borderId="41" xfId="2" applyFont="1" applyBorder="1" applyAlignment="1">
      <alignment vertical="center"/>
    </xf>
    <xf numFmtId="0" fontId="11" fillId="0" borderId="1" xfId="2" applyFont="1" applyBorder="1" applyAlignment="1">
      <alignment vertical="center" shrinkToFit="1"/>
    </xf>
    <xf numFmtId="177" fontId="11" fillId="0" borderId="36" xfId="2" applyNumberFormat="1" applyFont="1" applyBorder="1" applyAlignment="1">
      <alignment horizontal="right" vertical="center"/>
    </xf>
    <xf numFmtId="177" fontId="11" fillId="0" borderId="2" xfId="2" applyNumberFormat="1" applyFont="1" applyBorder="1" applyAlignment="1">
      <alignment horizontal="right" vertical="center"/>
    </xf>
    <xf numFmtId="177" fontId="11" fillId="0" borderId="34" xfId="2" applyNumberFormat="1" applyFont="1" applyBorder="1" applyAlignment="1">
      <alignment horizontal="center" vertical="center" wrapText="1"/>
    </xf>
    <xf numFmtId="177" fontId="11" fillId="0" borderId="5" xfId="2" applyNumberFormat="1" applyFont="1" applyBorder="1" applyAlignment="1">
      <alignment horizontal="center" vertical="center" wrapText="1"/>
    </xf>
    <xf numFmtId="0" fontId="11" fillId="0" borderId="41" xfId="2" applyFont="1" applyBorder="1" applyAlignment="1">
      <alignment horizontal="left"/>
    </xf>
    <xf numFmtId="177" fontId="12" fillId="0" borderId="43" xfId="2" applyNumberFormat="1" applyFont="1" applyBorder="1" applyAlignment="1">
      <alignment horizontal="center" vertical="center" wrapText="1"/>
    </xf>
    <xf numFmtId="0" fontId="13" fillId="0" borderId="0" xfId="2" applyFont="1"/>
    <xf numFmtId="38" fontId="2" fillId="0" borderId="0" xfId="1" applyFont="1" applyAlignment="1">
      <alignment horizontal="right" vertical="center"/>
    </xf>
    <xf numFmtId="0" fontId="14" fillId="0" borderId="0" xfId="0" applyFont="1">
      <alignment vertical="center"/>
    </xf>
    <xf numFmtId="0" fontId="14" fillId="6" borderId="11" xfId="0" applyFont="1" applyFill="1" applyBorder="1">
      <alignment vertical="center"/>
    </xf>
    <xf numFmtId="38" fontId="14" fillId="0" borderId="33" xfId="1" applyFont="1" applyFill="1" applyBorder="1" applyAlignment="1">
      <alignment vertical="center" wrapText="1"/>
    </xf>
    <xf numFmtId="38" fontId="14" fillId="0" borderId="22" xfId="1" applyFont="1" applyFill="1" applyBorder="1" applyAlignment="1">
      <alignment vertical="center"/>
    </xf>
    <xf numFmtId="38" fontId="14" fillId="0" borderId="29" xfId="1" applyFont="1" applyFill="1" applyBorder="1" applyAlignment="1">
      <alignment vertical="center" wrapText="1"/>
    </xf>
    <xf numFmtId="38" fontId="14" fillId="0" borderId="13" xfId="1" applyFont="1" applyFill="1" applyBorder="1" applyAlignment="1">
      <alignment vertical="center"/>
    </xf>
    <xf numFmtId="0" fontId="14" fillId="0" borderId="17" xfId="0" applyFont="1" applyFill="1" applyBorder="1" applyAlignment="1">
      <alignment horizontal="left" vertical="center"/>
    </xf>
    <xf numFmtId="0" fontId="14" fillId="6" borderId="3" xfId="0" applyFont="1" applyFill="1" applyBorder="1">
      <alignment vertical="center"/>
    </xf>
    <xf numFmtId="0" fontId="14" fillId="0" borderId="21" xfId="0" applyFont="1" applyFill="1" applyBorder="1" applyAlignment="1">
      <alignment horizontal="left" vertical="center" wrapText="1"/>
    </xf>
    <xf numFmtId="0" fontId="14" fillId="3" borderId="11" xfId="0" applyFont="1" applyFill="1" applyBorder="1">
      <alignment vertical="center"/>
    </xf>
    <xf numFmtId="0" fontId="14" fillId="0" borderId="26" xfId="0" applyFont="1" applyFill="1" applyBorder="1">
      <alignment vertical="center"/>
    </xf>
    <xf numFmtId="0" fontId="14" fillId="0" borderId="17" xfId="0" applyFont="1" applyFill="1" applyBorder="1">
      <alignment vertical="center"/>
    </xf>
    <xf numFmtId="176" fontId="14" fillId="2" borderId="29" xfId="1" applyNumberFormat="1" applyFont="1" applyFill="1" applyBorder="1">
      <alignment vertical="center"/>
    </xf>
    <xf numFmtId="38" fontId="14" fillId="0" borderId="13" xfId="1" applyFont="1" applyFill="1" applyBorder="1">
      <alignment vertical="center"/>
    </xf>
    <xf numFmtId="0" fontId="14" fillId="3" borderId="3" xfId="0" applyFont="1" applyFill="1" applyBorder="1">
      <alignment vertical="center"/>
    </xf>
    <xf numFmtId="0" fontId="14" fillId="0" borderId="2" xfId="0" applyFont="1" applyFill="1" applyBorder="1">
      <alignment vertical="center"/>
    </xf>
    <xf numFmtId="0" fontId="14" fillId="7" borderId="11" xfId="0" applyFont="1" applyFill="1" applyBorder="1">
      <alignment vertical="center"/>
    </xf>
    <xf numFmtId="0" fontId="14" fillId="7" borderId="3" xfId="0" applyFont="1" applyFill="1" applyBorder="1">
      <alignment vertical="center"/>
    </xf>
    <xf numFmtId="0" fontId="14" fillId="0" borderId="21" xfId="0" applyFont="1" applyFill="1" applyBorder="1">
      <alignment vertical="center"/>
    </xf>
    <xf numFmtId="0" fontId="14" fillId="5" borderId="11" xfId="0" applyFont="1" applyFill="1" applyBorder="1">
      <alignment vertical="center"/>
    </xf>
    <xf numFmtId="176" fontId="14" fillId="4" borderId="29" xfId="1" applyNumberFormat="1" applyFont="1" applyFill="1" applyBorder="1">
      <alignment vertical="center"/>
    </xf>
    <xf numFmtId="176" fontId="14" fillId="2" borderId="32" xfId="1" applyNumberFormat="1" applyFont="1" applyFill="1" applyBorder="1">
      <alignment vertical="center"/>
    </xf>
    <xf numFmtId="38" fontId="14" fillId="0" borderId="30" xfId="1" applyFont="1" applyFill="1" applyBorder="1">
      <alignment vertical="center"/>
    </xf>
    <xf numFmtId="0" fontId="14" fillId="5" borderId="3" xfId="0" applyFont="1" applyFill="1" applyBorder="1">
      <alignment vertical="center"/>
    </xf>
    <xf numFmtId="0" fontId="14" fillId="8" borderId="11" xfId="0" applyFont="1" applyFill="1" applyBorder="1">
      <alignment vertical="center"/>
    </xf>
    <xf numFmtId="0" fontId="14" fillId="8" borderId="3" xfId="0" applyFont="1" applyFill="1" applyBorder="1">
      <alignment vertical="center"/>
    </xf>
    <xf numFmtId="38" fontId="14" fillId="0" borderId="0" xfId="1" applyFont="1">
      <alignment vertical="center"/>
    </xf>
    <xf numFmtId="0" fontId="19" fillId="0" borderId="0" xfId="0" applyFont="1">
      <alignment vertical="center"/>
    </xf>
    <xf numFmtId="38" fontId="19" fillId="2" borderId="0" xfId="1" applyFont="1" applyFill="1">
      <alignment vertical="center"/>
    </xf>
    <xf numFmtId="38" fontId="19" fillId="0" borderId="0" xfId="1" applyFont="1">
      <alignment vertical="center"/>
    </xf>
    <xf numFmtId="38" fontId="19" fillId="4" borderId="0" xfId="1" applyFont="1" applyFill="1">
      <alignment vertical="center"/>
    </xf>
    <xf numFmtId="38" fontId="19" fillId="0" borderId="0" xfId="1" applyFont="1" applyAlignment="1">
      <alignment vertical="center" wrapText="1"/>
    </xf>
    <xf numFmtId="38" fontId="19" fillId="3" borderId="0" xfId="1" applyFont="1" applyFill="1">
      <alignment vertical="center"/>
    </xf>
    <xf numFmtId="38" fontId="14" fillId="0" borderId="12" xfId="1" applyFont="1" applyBorder="1">
      <alignment vertical="center"/>
    </xf>
    <xf numFmtId="38" fontId="2" fillId="0" borderId="56" xfId="1" applyFont="1" applyBorder="1">
      <alignment vertical="center"/>
    </xf>
    <xf numFmtId="0" fontId="14" fillId="0" borderId="47" xfId="0" applyFont="1" applyFill="1" applyBorder="1">
      <alignment vertical="center"/>
    </xf>
    <xf numFmtId="0" fontId="14" fillId="0" borderId="27" xfId="0" applyFont="1" applyFill="1" applyBorder="1">
      <alignment vertical="center"/>
    </xf>
    <xf numFmtId="0" fontId="14" fillId="0" borderId="46" xfId="0" applyFont="1" applyFill="1" applyBorder="1">
      <alignment vertical="center"/>
    </xf>
    <xf numFmtId="38" fontId="14" fillId="8" borderId="0" xfId="1" applyFont="1" applyFill="1" applyBorder="1" applyAlignment="1">
      <alignment horizontal="center" vertical="center"/>
    </xf>
    <xf numFmtId="38" fontId="14" fillId="8" borderId="59" xfId="1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left" vertical="center"/>
    </xf>
    <xf numFmtId="38" fontId="14" fillId="7" borderId="0" xfId="1" applyFont="1" applyFill="1" applyBorder="1" applyAlignment="1">
      <alignment horizontal="center" vertical="center"/>
    </xf>
    <xf numFmtId="38" fontId="14" fillId="5" borderId="0" xfId="1" applyFont="1" applyFill="1" applyBorder="1" applyAlignment="1">
      <alignment horizontal="center" vertical="center"/>
    </xf>
    <xf numFmtId="176" fontId="14" fillId="10" borderId="29" xfId="1" applyNumberFormat="1" applyFont="1" applyFill="1" applyBorder="1">
      <alignment vertical="center"/>
    </xf>
    <xf numFmtId="0" fontId="15" fillId="6" borderId="59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left" vertical="center"/>
    </xf>
    <xf numFmtId="38" fontId="19" fillId="10" borderId="0" xfId="1" applyFont="1" applyFill="1">
      <alignment vertical="center"/>
    </xf>
    <xf numFmtId="176" fontId="14" fillId="4" borderId="14" xfId="1" applyNumberFormat="1" applyFont="1" applyFill="1" applyBorder="1">
      <alignment vertical="center"/>
    </xf>
    <xf numFmtId="38" fontId="14" fillId="0" borderId="73" xfId="1" applyFont="1" applyFill="1" applyBorder="1">
      <alignment vertical="center"/>
    </xf>
    <xf numFmtId="38" fontId="14" fillId="0" borderId="15" xfId="1" applyFont="1" applyFill="1" applyBorder="1">
      <alignment vertical="center"/>
    </xf>
    <xf numFmtId="176" fontId="14" fillId="2" borderId="15" xfId="1" applyNumberFormat="1" applyFont="1" applyFill="1" applyBorder="1">
      <alignment vertical="center"/>
    </xf>
    <xf numFmtId="0" fontId="18" fillId="0" borderId="0" xfId="0" applyFont="1">
      <alignment vertical="center"/>
    </xf>
    <xf numFmtId="0" fontId="6" fillId="0" borderId="41" xfId="2" applyFont="1" applyBorder="1" applyAlignment="1">
      <alignment horizontal="left" wrapText="1"/>
    </xf>
    <xf numFmtId="0" fontId="11" fillId="0" borderId="34" xfId="2" applyFont="1" applyBorder="1" applyAlignment="1">
      <alignment horizontal="center" vertical="center"/>
    </xf>
    <xf numFmtId="0" fontId="11" fillId="0" borderId="36" xfId="2" applyFont="1" applyBorder="1" applyAlignment="1">
      <alignment horizontal="center" vertical="center"/>
    </xf>
    <xf numFmtId="0" fontId="11" fillId="0" borderId="35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38" fontId="14" fillId="0" borderId="16" xfId="1" applyFont="1" applyFill="1" applyBorder="1" applyAlignment="1">
      <alignment horizontal="right" vertical="center"/>
    </xf>
    <xf numFmtId="38" fontId="14" fillId="0" borderId="17" xfId="1" applyFont="1" applyFill="1" applyBorder="1" applyAlignment="1">
      <alignment horizontal="right" vertical="center"/>
    </xf>
    <xf numFmtId="38" fontId="14" fillId="0" borderId="20" xfId="1" applyFont="1" applyFill="1" applyBorder="1" applyAlignment="1">
      <alignment horizontal="right" vertical="center"/>
    </xf>
    <xf numFmtId="38" fontId="14" fillId="0" borderId="21" xfId="1" applyFont="1" applyFill="1" applyBorder="1" applyAlignment="1">
      <alignment horizontal="right" vertical="center"/>
    </xf>
    <xf numFmtId="38" fontId="14" fillId="0" borderId="41" xfId="1" applyFont="1" applyFill="1" applyBorder="1" applyAlignment="1">
      <alignment horizontal="right" vertical="center"/>
    </xf>
    <xf numFmtId="38" fontId="14" fillId="0" borderId="43" xfId="1" applyFont="1" applyFill="1" applyBorder="1" applyAlignment="1">
      <alignment horizontal="right" vertical="center"/>
    </xf>
    <xf numFmtId="38" fontId="14" fillId="0" borderId="74" xfId="1" applyFont="1" applyFill="1" applyBorder="1" applyAlignment="1">
      <alignment horizontal="right" vertical="center"/>
    </xf>
    <xf numFmtId="38" fontId="14" fillId="0" borderId="75" xfId="1" applyFont="1" applyFill="1" applyBorder="1" applyAlignment="1">
      <alignment horizontal="right" vertical="center"/>
    </xf>
    <xf numFmtId="38" fontId="14" fillId="0" borderId="45" xfId="1" applyFont="1" applyFill="1" applyBorder="1" applyAlignment="1">
      <alignment horizontal="right" vertical="center"/>
    </xf>
    <xf numFmtId="38" fontId="14" fillId="0" borderId="44" xfId="1" applyFont="1" applyFill="1" applyBorder="1" applyAlignment="1">
      <alignment horizontal="right" vertical="center"/>
    </xf>
    <xf numFmtId="38" fontId="14" fillId="0" borderId="62" xfId="1" applyFont="1" applyFill="1" applyBorder="1" applyAlignment="1">
      <alignment horizontal="right" vertical="center"/>
    </xf>
    <xf numFmtId="38" fontId="14" fillId="0" borderId="6" xfId="1" applyFont="1" applyFill="1" applyBorder="1" applyAlignment="1">
      <alignment horizontal="center" vertical="center"/>
    </xf>
    <xf numFmtId="38" fontId="14" fillId="0" borderId="69" xfId="1" applyFont="1" applyBorder="1" applyAlignment="1">
      <alignment horizontal="center" vertical="center" wrapText="1"/>
    </xf>
    <xf numFmtId="38" fontId="14" fillId="0" borderId="70" xfId="1" applyFont="1" applyBorder="1" applyAlignment="1">
      <alignment horizontal="center" vertical="center"/>
    </xf>
    <xf numFmtId="38" fontId="14" fillId="0" borderId="23" xfId="1" applyFont="1" applyFill="1" applyBorder="1" applyAlignment="1">
      <alignment horizontal="right" vertical="center"/>
    </xf>
    <xf numFmtId="38" fontId="14" fillId="0" borderId="24" xfId="1" applyFont="1" applyFill="1" applyBorder="1" applyAlignment="1">
      <alignment horizontal="right" vertical="center"/>
    </xf>
    <xf numFmtId="38" fontId="14" fillId="0" borderId="14" xfId="1" applyFont="1" applyFill="1" applyBorder="1" applyAlignment="1">
      <alignment horizontal="right" vertical="center"/>
    </xf>
    <xf numFmtId="38" fontId="14" fillId="0" borderId="15" xfId="1" applyFont="1" applyFill="1" applyBorder="1" applyAlignment="1">
      <alignment horizontal="right" vertical="center"/>
    </xf>
    <xf numFmtId="38" fontId="14" fillId="0" borderId="13" xfId="1" applyFont="1" applyFill="1" applyBorder="1" applyAlignment="1">
      <alignment horizontal="right" vertical="center"/>
    </xf>
    <xf numFmtId="38" fontId="14" fillId="0" borderId="18" xfId="1" applyFont="1" applyFill="1" applyBorder="1" applyAlignment="1">
      <alignment horizontal="right" vertical="center"/>
    </xf>
    <xf numFmtId="38" fontId="14" fillId="0" borderId="19" xfId="1" applyFont="1" applyFill="1" applyBorder="1" applyAlignment="1">
      <alignment horizontal="right" vertical="center"/>
    </xf>
    <xf numFmtId="38" fontId="14" fillId="0" borderId="25" xfId="1" applyFont="1" applyFill="1" applyBorder="1" applyAlignment="1">
      <alignment horizontal="right" vertical="center"/>
    </xf>
    <xf numFmtId="38" fontId="14" fillId="0" borderId="28" xfId="1" applyFont="1" applyFill="1" applyBorder="1" applyAlignment="1">
      <alignment horizontal="right" vertical="center"/>
    </xf>
    <xf numFmtId="38" fontId="14" fillId="0" borderId="16" xfId="1" applyFont="1" applyFill="1" applyBorder="1" applyAlignment="1">
      <alignment vertical="center"/>
    </xf>
    <xf numFmtId="38" fontId="14" fillId="0" borderId="27" xfId="1" applyFont="1" applyFill="1" applyBorder="1" applyAlignment="1">
      <alignment vertical="center"/>
    </xf>
    <xf numFmtId="38" fontId="14" fillId="0" borderId="16" xfId="1" applyNumberFormat="1" applyFont="1" applyFill="1" applyBorder="1" applyAlignment="1">
      <alignment horizontal="right" vertical="center"/>
    </xf>
    <xf numFmtId="38" fontId="14" fillId="0" borderId="17" xfId="1" applyNumberFormat="1" applyFont="1" applyFill="1" applyBorder="1" applyAlignment="1">
      <alignment horizontal="right" vertical="center"/>
    </xf>
    <xf numFmtId="38" fontId="14" fillId="0" borderId="1" xfId="1" applyFont="1" applyFill="1" applyBorder="1" applyAlignment="1">
      <alignment horizontal="right" vertical="center"/>
    </xf>
    <xf numFmtId="38" fontId="14" fillId="0" borderId="2" xfId="1" applyFont="1" applyFill="1" applyBorder="1" applyAlignment="1">
      <alignment horizontal="right" vertical="center"/>
    </xf>
    <xf numFmtId="38" fontId="14" fillId="0" borderId="26" xfId="1" applyFont="1" applyFill="1" applyBorder="1" applyAlignment="1">
      <alignment horizontal="right" vertical="center"/>
    </xf>
    <xf numFmtId="38" fontId="14" fillId="3" borderId="16" xfId="1" applyFont="1" applyFill="1" applyBorder="1" applyAlignment="1">
      <alignment horizontal="right" vertical="center"/>
    </xf>
    <xf numFmtId="38" fontId="14" fillId="3" borderId="17" xfId="1" applyFont="1" applyFill="1" applyBorder="1" applyAlignment="1">
      <alignment horizontal="right" vertical="center"/>
    </xf>
    <xf numFmtId="38" fontId="14" fillId="0" borderId="22" xfId="1" applyFont="1" applyFill="1" applyBorder="1" applyAlignment="1">
      <alignment horizontal="right" vertical="center"/>
    </xf>
    <xf numFmtId="38" fontId="14" fillId="0" borderId="17" xfId="1" applyFont="1" applyFill="1" applyBorder="1" applyAlignment="1">
      <alignment vertical="center"/>
    </xf>
    <xf numFmtId="38" fontId="17" fillId="9" borderId="8" xfId="1" applyFont="1" applyFill="1" applyBorder="1" applyAlignment="1">
      <alignment horizontal="center" vertical="center" wrapText="1"/>
    </xf>
    <xf numFmtId="38" fontId="17" fillId="9" borderId="10" xfId="1" applyFont="1" applyFill="1" applyBorder="1" applyAlignment="1">
      <alignment horizontal="center" vertical="center"/>
    </xf>
    <xf numFmtId="38" fontId="17" fillId="9" borderId="11" xfId="1" applyFont="1" applyFill="1" applyBorder="1" applyAlignment="1">
      <alignment horizontal="center" vertical="center"/>
    </xf>
    <xf numFmtId="38" fontId="17" fillId="9" borderId="0" xfId="1" applyFont="1" applyFill="1" applyBorder="1" applyAlignment="1">
      <alignment horizontal="center" vertical="center"/>
    </xf>
    <xf numFmtId="38" fontId="17" fillId="9" borderId="6" xfId="1" applyFont="1" applyFill="1" applyBorder="1" applyAlignment="1">
      <alignment horizontal="center" vertical="center"/>
    </xf>
    <xf numFmtId="38" fontId="17" fillId="9" borderId="3" xfId="1" applyFont="1" applyFill="1" applyBorder="1" applyAlignment="1">
      <alignment horizontal="center" vertical="center"/>
    </xf>
    <xf numFmtId="38" fontId="14" fillId="0" borderId="55" xfId="1" applyFont="1" applyFill="1" applyBorder="1" applyAlignment="1">
      <alignment horizontal="right" vertical="center"/>
    </xf>
    <xf numFmtId="38" fontId="14" fillId="0" borderId="54" xfId="1" applyFont="1" applyFill="1" applyBorder="1" applyAlignment="1">
      <alignment horizontal="right" vertical="center"/>
    </xf>
    <xf numFmtId="0" fontId="15" fillId="8" borderId="8" xfId="0" applyFont="1" applyFill="1" applyBorder="1" applyAlignment="1">
      <alignment horizontal="left" vertical="center"/>
    </xf>
    <xf numFmtId="0" fontId="15" fillId="8" borderId="10" xfId="0" applyFont="1" applyFill="1" applyBorder="1" applyAlignment="1">
      <alignment horizontal="left" vertical="center"/>
    </xf>
    <xf numFmtId="0" fontId="15" fillId="8" borderId="9" xfId="0" applyFont="1" applyFill="1" applyBorder="1" applyAlignment="1">
      <alignment horizontal="left" vertical="center"/>
    </xf>
    <xf numFmtId="38" fontId="14" fillId="0" borderId="64" xfId="1" applyFont="1" applyFill="1" applyBorder="1" applyAlignment="1">
      <alignment horizontal="right" vertical="center"/>
    </xf>
    <xf numFmtId="38" fontId="14" fillId="0" borderId="68" xfId="1" applyFont="1" applyFill="1" applyBorder="1" applyAlignment="1">
      <alignment horizontal="right" vertical="center"/>
    </xf>
    <xf numFmtId="38" fontId="14" fillId="0" borderId="4" xfId="1" applyFont="1" applyBorder="1" applyAlignment="1">
      <alignment horizontal="center" vertical="center" wrapText="1"/>
    </xf>
    <xf numFmtId="38" fontId="14" fillId="0" borderId="5" xfId="1" applyFont="1" applyBorder="1" applyAlignment="1">
      <alignment horizontal="center" vertical="center"/>
    </xf>
    <xf numFmtId="38" fontId="14" fillId="0" borderId="10" xfId="1" applyFont="1" applyBorder="1" applyAlignment="1">
      <alignment horizontal="center" vertical="center" wrapText="1"/>
    </xf>
    <xf numFmtId="38" fontId="14" fillId="0" borderId="10" xfId="1" applyFont="1" applyBorder="1" applyAlignment="1">
      <alignment horizontal="center" vertical="center"/>
    </xf>
    <xf numFmtId="38" fontId="14" fillId="0" borderId="4" xfId="1" applyFont="1" applyBorder="1" applyAlignment="1">
      <alignment horizontal="center" vertical="center"/>
    </xf>
    <xf numFmtId="38" fontId="14" fillId="0" borderId="6" xfId="1" applyFont="1" applyBorder="1" applyAlignment="1">
      <alignment horizontal="center" vertical="center"/>
    </xf>
    <xf numFmtId="38" fontId="14" fillId="0" borderId="57" xfId="1" applyFont="1" applyFill="1" applyBorder="1" applyAlignment="1">
      <alignment horizontal="right" vertical="center"/>
    </xf>
    <xf numFmtId="38" fontId="14" fillId="0" borderId="58" xfId="1" applyFont="1" applyFill="1" applyBorder="1" applyAlignment="1">
      <alignment horizontal="right" vertical="center"/>
    </xf>
    <xf numFmtId="38" fontId="14" fillId="0" borderId="31" xfId="1" applyFont="1" applyFill="1" applyBorder="1" applyAlignment="1">
      <alignment horizontal="right" vertical="center"/>
    </xf>
    <xf numFmtId="38" fontId="14" fillId="0" borderId="60" xfId="1" applyFont="1" applyFill="1" applyBorder="1" applyAlignment="1">
      <alignment horizontal="right" vertical="center"/>
    </xf>
    <xf numFmtId="38" fontId="14" fillId="0" borderId="61" xfId="1" applyFont="1" applyFill="1" applyBorder="1" applyAlignment="1">
      <alignment horizontal="right" vertical="center"/>
    </xf>
    <xf numFmtId="38" fontId="14" fillId="0" borderId="65" xfId="1" applyFont="1" applyFill="1" applyBorder="1" applyAlignment="1">
      <alignment horizontal="right" vertical="center"/>
    </xf>
    <xf numFmtId="38" fontId="14" fillId="0" borderId="66" xfId="1" applyFont="1" applyFill="1" applyBorder="1" applyAlignment="1">
      <alignment horizontal="right" vertical="center"/>
    </xf>
    <xf numFmtId="38" fontId="14" fillId="8" borderId="11" xfId="1" applyFont="1" applyFill="1" applyBorder="1" applyAlignment="1">
      <alignment horizontal="center" vertical="center"/>
    </xf>
    <xf numFmtId="38" fontId="14" fillId="8" borderId="0" xfId="1" applyFont="1" applyFill="1" applyBorder="1" applyAlignment="1">
      <alignment horizontal="center" vertical="center"/>
    </xf>
    <xf numFmtId="38" fontId="14" fillId="0" borderId="46" xfId="1" applyFont="1" applyFill="1" applyBorder="1" applyAlignment="1">
      <alignment horizontal="right" vertical="center"/>
    </xf>
    <xf numFmtId="38" fontId="14" fillId="0" borderId="63" xfId="1" applyFont="1" applyFill="1" applyBorder="1" applyAlignment="1">
      <alignment horizontal="right" vertical="center"/>
    </xf>
    <xf numFmtId="38" fontId="14" fillId="0" borderId="50" xfId="1" applyFont="1" applyFill="1" applyBorder="1" applyAlignment="1">
      <alignment horizontal="right" vertical="center"/>
    </xf>
    <xf numFmtId="38" fontId="14" fillId="0" borderId="49" xfId="1" applyFont="1" applyFill="1" applyBorder="1" applyAlignment="1">
      <alignment horizontal="right" vertical="center"/>
    </xf>
    <xf numFmtId="38" fontId="14" fillId="3" borderId="71" xfId="1" applyFont="1" applyFill="1" applyBorder="1" applyAlignment="1">
      <alignment horizontal="right" vertical="center"/>
    </xf>
    <xf numFmtId="38" fontId="14" fillId="3" borderId="72" xfId="1" applyFont="1" applyFill="1" applyBorder="1" applyAlignment="1">
      <alignment horizontal="right" vertical="center"/>
    </xf>
    <xf numFmtId="38" fontId="14" fillId="0" borderId="51" xfId="1" applyFont="1" applyFill="1" applyBorder="1" applyAlignment="1">
      <alignment horizontal="right" vertical="center"/>
    </xf>
    <xf numFmtId="38" fontId="14" fillId="8" borderId="59" xfId="1" applyFont="1" applyFill="1" applyBorder="1" applyAlignment="1">
      <alignment horizontal="center" vertical="center"/>
    </xf>
    <xf numFmtId="38" fontId="14" fillId="0" borderId="67" xfId="1" applyFont="1" applyFill="1" applyBorder="1" applyAlignment="1">
      <alignment horizontal="right" vertical="center"/>
    </xf>
    <xf numFmtId="0" fontId="15" fillId="5" borderId="8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left" vertical="center"/>
    </xf>
    <xf numFmtId="38" fontId="14" fillId="5" borderId="8" xfId="1" applyFont="1" applyFill="1" applyBorder="1" applyAlignment="1">
      <alignment horizontal="center" vertical="center"/>
    </xf>
    <xf numFmtId="38" fontId="14" fillId="5" borderId="10" xfId="1" applyFont="1" applyFill="1" applyBorder="1" applyAlignment="1">
      <alignment horizontal="center" vertical="center"/>
    </xf>
    <xf numFmtId="38" fontId="14" fillId="5" borderId="9" xfId="1" applyFont="1" applyFill="1" applyBorder="1" applyAlignment="1">
      <alignment horizontal="center" vertical="center"/>
    </xf>
    <xf numFmtId="38" fontId="14" fillId="0" borderId="31" xfId="1" applyNumberFormat="1" applyFont="1" applyFill="1" applyBorder="1" applyAlignment="1">
      <alignment horizontal="right" vertical="center"/>
    </xf>
    <xf numFmtId="38" fontId="14" fillId="0" borderId="48" xfId="1" applyFont="1" applyFill="1" applyBorder="1" applyAlignment="1">
      <alignment horizontal="right" vertical="center"/>
    </xf>
    <xf numFmtId="38" fontId="14" fillId="9" borderId="52" xfId="1" applyFont="1" applyFill="1" applyBorder="1" applyAlignment="1">
      <alignment horizontal="center" vertical="center" wrapText="1"/>
    </xf>
    <xf numFmtId="38" fontId="14" fillId="9" borderId="53" xfId="1" applyFont="1" applyFill="1" applyBorder="1" applyAlignment="1">
      <alignment horizontal="center" vertical="center" wrapText="1"/>
    </xf>
    <xf numFmtId="38" fontId="14" fillId="9" borderId="3" xfId="1" applyFont="1" applyFill="1" applyBorder="1" applyAlignment="1">
      <alignment horizontal="center" vertical="center" wrapText="1"/>
    </xf>
    <xf numFmtId="38" fontId="14" fillId="9" borderId="7" xfId="1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5" fillId="7" borderId="8" xfId="0" applyFont="1" applyFill="1" applyBorder="1" applyAlignment="1">
      <alignment horizontal="left" vertical="center"/>
    </xf>
    <xf numFmtId="0" fontId="15" fillId="7" borderId="10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horizontal="left" vertical="center"/>
    </xf>
    <xf numFmtId="38" fontId="14" fillId="7" borderId="8" xfId="1" applyFont="1" applyFill="1" applyBorder="1" applyAlignment="1">
      <alignment horizontal="center" vertical="center"/>
    </xf>
    <xf numFmtId="38" fontId="14" fillId="7" borderId="10" xfId="1" applyFont="1" applyFill="1" applyBorder="1" applyAlignment="1">
      <alignment horizontal="center" vertical="center"/>
    </xf>
    <xf numFmtId="38" fontId="14" fillId="7" borderId="59" xfId="1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left" vertical="center"/>
    </xf>
    <xf numFmtId="0" fontId="14" fillId="0" borderId="17" xfId="0" applyFont="1" applyFill="1" applyBorder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/>
  </cellStyles>
  <dxfs count="0"/>
  <tableStyles count="0" defaultTableStyle="TableStyleMedium2" defaultPivotStyle="PivotStyleLight16"/>
  <colors>
    <mruColors>
      <color rgb="FFCC99FF"/>
      <color rgb="FFFF9900"/>
      <color rgb="FFCCCC00"/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2:I22"/>
  <sheetViews>
    <sheetView zoomScaleNormal="100" zoomScaleSheetLayoutView="100" workbookViewId="0">
      <selection activeCell="F19" sqref="F19"/>
    </sheetView>
  </sheetViews>
  <sheetFormatPr defaultRowHeight="13.2" x14ac:dyDescent="0.2"/>
  <cols>
    <col min="1" max="1" width="0.796875" style="6" customWidth="1"/>
    <col min="2" max="2" width="13.59765625" style="6" customWidth="1"/>
    <col min="3" max="6" width="12.69921875" style="6" customWidth="1"/>
    <col min="7" max="7" width="12.3984375" style="6" customWidth="1"/>
    <col min="8" max="256" width="8.796875" style="6"/>
    <col min="257" max="257" width="0.796875" style="6" customWidth="1"/>
    <col min="258" max="258" width="13.59765625" style="6" customWidth="1"/>
    <col min="259" max="262" width="12.69921875" style="6" customWidth="1"/>
    <col min="263" max="263" width="12.3984375" style="6" customWidth="1"/>
    <col min="264" max="512" width="8.796875" style="6"/>
    <col min="513" max="513" width="0.796875" style="6" customWidth="1"/>
    <col min="514" max="514" width="13.59765625" style="6" customWidth="1"/>
    <col min="515" max="518" width="12.69921875" style="6" customWidth="1"/>
    <col min="519" max="519" width="12.3984375" style="6" customWidth="1"/>
    <col min="520" max="768" width="8.796875" style="6"/>
    <col min="769" max="769" width="0.796875" style="6" customWidth="1"/>
    <col min="770" max="770" width="13.59765625" style="6" customWidth="1"/>
    <col min="771" max="774" width="12.69921875" style="6" customWidth="1"/>
    <col min="775" max="775" width="12.3984375" style="6" customWidth="1"/>
    <col min="776" max="1024" width="8.796875" style="6"/>
    <col min="1025" max="1025" width="0.796875" style="6" customWidth="1"/>
    <col min="1026" max="1026" width="13.59765625" style="6" customWidth="1"/>
    <col min="1027" max="1030" width="12.69921875" style="6" customWidth="1"/>
    <col min="1031" max="1031" width="12.3984375" style="6" customWidth="1"/>
    <col min="1032" max="1280" width="8.796875" style="6"/>
    <col min="1281" max="1281" width="0.796875" style="6" customWidth="1"/>
    <col min="1282" max="1282" width="13.59765625" style="6" customWidth="1"/>
    <col min="1283" max="1286" width="12.69921875" style="6" customWidth="1"/>
    <col min="1287" max="1287" width="12.3984375" style="6" customWidth="1"/>
    <col min="1288" max="1536" width="8.796875" style="6"/>
    <col min="1537" max="1537" width="0.796875" style="6" customWidth="1"/>
    <col min="1538" max="1538" width="13.59765625" style="6" customWidth="1"/>
    <col min="1539" max="1542" width="12.69921875" style="6" customWidth="1"/>
    <col min="1543" max="1543" width="12.3984375" style="6" customWidth="1"/>
    <col min="1544" max="1792" width="8.796875" style="6"/>
    <col min="1793" max="1793" width="0.796875" style="6" customWidth="1"/>
    <col min="1794" max="1794" width="13.59765625" style="6" customWidth="1"/>
    <col min="1795" max="1798" width="12.69921875" style="6" customWidth="1"/>
    <col min="1799" max="1799" width="12.3984375" style="6" customWidth="1"/>
    <col min="1800" max="2048" width="8.796875" style="6"/>
    <col min="2049" max="2049" width="0.796875" style="6" customWidth="1"/>
    <col min="2050" max="2050" width="13.59765625" style="6" customWidth="1"/>
    <col min="2051" max="2054" width="12.69921875" style="6" customWidth="1"/>
    <col min="2055" max="2055" width="12.3984375" style="6" customWidth="1"/>
    <col min="2056" max="2304" width="8.796875" style="6"/>
    <col min="2305" max="2305" width="0.796875" style="6" customWidth="1"/>
    <col min="2306" max="2306" width="13.59765625" style="6" customWidth="1"/>
    <col min="2307" max="2310" width="12.69921875" style="6" customWidth="1"/>
    <col min="2311" max="2311" width="12.3984375" style="6" customWidth="1"/>
    <col min="2312" max="2560" width="8.796875" style="6"/>
    <col min="2561" max="2561" width="0.796875" style="6" customWidth="1"/>
    <col min="2562" max="2562" width="13.59765625" style="6" customWidth="1"/>
    <col min="2563" max="2566" width="12.69921875" style="6" customWidth="1"/>
    <col min="2567" max="2567" width="12.3984375" style="6" customWidth="1"/>
    <col min="2568" max="2816" width="8.796875" style="6"/>
    <col min="2817" max="2817" width="0.796875" style="6" customWidth="1"/>
    <col min="2818" max="2818" width="13.59765625" style="6" customWidth="1"/>
    <col min="2819" max="2822" width="12.69921875" style="6" customWidth="1"/>
    <col min="2823" max="2823" width="12.3984375" style="6" customWidth="1"/>
    <col min="2824" max="3072" width="8.796875" style="6"/>
    <col min="3073" max="3073" width="0.796875" style="6" customWidth="1"/>
    <col min="3074" max="3074" width="13.59765625" style="6" customWidth="1"/>
    <col min="3075" max="3078" width="12.69921875" style="6" customWidth="1"/>
    <col min="3079" max="3079" width="12.3984375" style="6" customWidth="1"/>
    <col min="3080" max="3328" width="8.796875" style="6"/>
    <col min="3329" max="3329" width="0.796875" style="6" customWidth="1"/>
    <col min="3330" max="3330" width="13.59765625" style="6" customWidth="1"/>
    <col min="3331" max="3334" width="12.69921875" style="6" customWidth="1"/>
    <col min="3335" max="3335" width="12.3984375" style="6" customWidth="1"/>
    <col min="3336" max="3584" width="8.796875" style="6"/>
    <col min="3585" max="3585" width="0.796875" style="6" customWidth="1"/>
    <col min="3586" max="3586" width="13.59765625" style="6" customWidth="1"/>
    <col min="3587" max="3590" width="12.69921875" style="6" customWidth="1"/>
    <col min="3591" max="3591" width="12.3984375" style="6" customWidth="1"/>
    <col min="3592" max="3840" width="8.796875" style="6"/>
    <col min="3841" max="3841" width="0.796875" style="6" customWidth="1"/>
    <col min="3842" max="3842" width="13.59765625" style="6" customWidth="1"/>
    <col min="3843" max="3846" width="12.69921875" style="6" customWidth="1"/>
    <col min="3847" max="3847" width="12.3984375" style="6" customWidth="1"/>
    <col min="3848" max="4096" width="8.796875" style="6"/>
    <col min="4097" max="4097" width="0.796875" style="6" customWidth="1"/>
    <col min="4098" max="4098" width="13.59765625" style="6" customWidth="1"/>
    <col min="4099" max="4102" width="12.69921875" style="6" customWidth="1"/>
    <col min="4103" max="4103" width="12.3984375" style="6" customWidth="1"/>
    <col min="4104" max="4352" width="8.796875" style="6"/>
    <col min="4353" max="4353" width="0.796875" style="6" customWidth="1"/>
    <col min="4354" max="4354" width="13.59765625" style="6" customWidth="1"/>
    <col min="4355" max="4358" width="12.69921875" style="6" customWidth="1"/>
    <col min="4359" max="4359" width="12.3984375" style="6" customWidth="1"/>
    <col min="4360" max="4608" width="8.796875" style="6"/>
    <col min="4609" max="4609" width="0.796875" style="6" customWidth="1"/>
    <col min="4610" max="4610" width="13.59765625" style="6" customWidth="1"/>
    <col min="4611" max="4614" width="12.69921875" style="6" customWidth="1"/>
    <col min="4615" max="4615" width="12.3984375" style="6" customWidth="1"/>
    <col min="4616" max="4864" width="8.796875" style="6"/>
    <col min="4865" max="4865" width="0.796875" style="6" customWidth="1"/>
    <col min="4866" max="4866" width="13.59765625" style="6" customWidth="1"/>
    <col min="4867" max="4870" width="12.69921875" style="6" customWidth="1"/>
    <col min="4871" max="4871" width="12.3984375" style="6" customWidth="1"/>
    <col min="4872" max="5120" width="8.796875" style="6"/>
    <col min="5121" max="5121" width="0.796875" style="6" customWidth="1"/>
    <col min="5122" max="5122" width="13.59765625" style="6" customWidth="1"/>
    <col min="5123" max="5126" width="12.69921875" style="6" customWidth="1"/>
    <col min="5127" max="5127" width="12.3984375" style="6" customWidth="1"/>
    <col min="5128" max="5376" width="8.796875" style="6"/>
    <col min="5377" max="5377" width="0.796875" style="6" customWidth="1"/>
    <col min="5378" max="5378" width="13.59765625" style="6" customWidth="1"/>
    <col min="5379" max="5382" width="12.69921875" style="6" customWidth="1"/>
    <col min="5383" max="5383" width="12.3984375" style="6" customWidth="1"/>
    <col min="5384" max="5632" width="8.796875" style="6"/>
    <col min="5633" max="5633" width="0.796875" style="6" customWidth="1"/>
    <col min="5634" max="5634" width="13.59765625" style="6" customWidth="1"/>
    <col min="5635" max="5638" width="12.69921875" style="6" customWidth="1"/>
    <col min="5639" max="5639" width="12.3984375" style="6" customWidth="1"/>
    <col min="5640" max="5888" width="8.796875" style="6"/>
    <col min="5889" max="5889" width="0.796875" style="6" customWidth="1"/>
    <col min="5890" max="5890" width="13.59765625" style="6" customWidth="1"/>
    <col min="5891" max="5894" width="12.69921875" style="6" customWidth="1"/>
    <col min="5895" max="5895" width="12.3984375" style="6" customWidth="1"/>
    <col min="5896" max="6144" width="8.796875" style="6"/>
    <col min="6145" max="6145" width="0.796875" style="6" customWidth="1"/>
    <col min="6146" max="6146" width="13.59765625" style="6" customWidth="1"/>
    <col min="6147" max="6150" width="12.69921875" style="6" customWidth="1"/>
    <col min="6151" max="6151" width="12.3984375" style="6" customWidth="1"/>
    <col min="6152" max="6400" width="8.796875" style="6"/>
    <col min="6401" max="6401" width="0.796875" style="6" customWidth="1"/>
    <col min="6402" max="6402" width="13.59765625" style="6" customWidth="1"/>
    <col min="6403" max="6406" width="12.69921875" style="6" customWidth="1"/>
    <col min="6407" max="6407" width="12.3984375" style="6" customWidth="1"/>
    <col min="6408" max="6656" width="8.796875" style="6"/>
    <col min="6657" max="6657" width="0.796875" style="6" customWidth="1"/>
    <col min="6658" max="6658" width="13.59765625" style="6" customWidth="1"/>
    <col min="6659" max="6662" width="12.69921875" style="6" customWidth="1"/>
    <col min="6663" max="6663" width="12.3984375" style="6" customWidth="1"/>
    <col min="6664" max="6912" width="8.796875" style="6"/>
    <col min="6913" max="6913" width="0.796875" style="6" customWidth="1"/>
    <col min="6914" max="6914" width="13.59765625" style="6" customWidth="1"/>
    <col min="6915" max="6918" width="12.69921875" style="6" customWidth="1"/>
    <col min="6919" max="6919" width="12.3984375" style="6" customWidth="1"/>
    <col min="6920" max="7168" width="8.796875" style="6"/>
    <col min="7169" max="7169" width="0.796875" style="6" customWidth="1"/>
    <col min="7170" max="7170" width="13.59765625" style="6" customWidth="1"/>
    <col min="7171" max="7174" width="12.69921875" style="6" customWidth="1"/>
    <col min="7175" max="7175" width="12.3984375" style="6" customWidth="1"/>
    <col min="7176" max="7424" width="8.796875" style="6"/>
    <col min="7425" max="7425" width="0.796875" style="6" customWidth="1"/>
    <col min="7426" max="7426" width="13.59765625" style="6" customWidth="1"/>
    <col min="7427" max="7430" width="12.69921875" style="6" customWidth="1"/>
    <col min="7431" max="7431" width="12.3984375" style="6" customWidth="1"/>
    <col min="7432" max="7680" width="8.796875" style="6"/>
    <col min="7681" max="7681" width="0.796875" style="6" customWidth="1"/>
    <col min="7682" max="7682" width="13.59765625" style="6" customWidth="1"/>
    <col min="7683" max="7686" width="12.69921875" style="6" customWidth="1"/>
    <col min="7687" max="7687" width="12.3984375" style="6" customWidth="1"/>
    <col min="7688" max="7936" width="8.796875" style="6"/>
    <col min="7937" max="7937" width="0.796875" style="6" customWidth="1"/>
    <col min="7938" max="7938" width="13.59765625" style="6" customWidth="1"/>
    <col min="7939" max="7942" width="12.69921875" style="6" customWidth="1"/>
    <col min="7943" max="7943" width="12.3984375" style="6" customWidth="1"/>
    <col min="7944" max="8192" width="8.796875" style="6"/>
    <col min="8193" max="8193" width="0.796875" style="6" customWidth="1"/>
    <col min="8194" max="8194" width="13.59765625" style="6" customWidth="1"/>
    <col min="8195" max="8198" width="12.69921875" style="6" customWidth="1"/>
    <col min="8199" max="8199" width="12.3984375" style="6" customWidth="1"/>
    <col min="8200" max="8448" width="8.796875" style="6"/>
    <col min="8449" max="8449" width="0.796875" style="6" customWidth="1"/>
    <col min="8450" max="8450" width="13.59765625" style="6" customWidth="1"/>
    <col min="8451" max="8454" width="12.69921875" style="6" customWidth="1"/>
    <col min="8455" max="8455" width="12.3984375" style="6" customWidth="1"/>
    <col min="8456" max="8704" width="8.796875" style="6"/>
    <col min="8705" max="8705" width="0.796875" style="6" customWidth="1"/>
    <col min="8706" max="8706" width="13.59765625" style="6" customWidth="1"/>
    <col min="8707" max="8710" width="12.69921875" style="6" customWidth="1"/>
    <col min="8711" max="8711" width="12.3984375" style="6" customWidth="1"/>
    <col min="8712" max="8960" width="8.796875" style="6"/>
    <col min="8961" max="8961" width="0.796875" style="6" customWidth="1"/>
    <col min="8962" max="8962" width="13.59765625" style="6" customWidth="1"/>
    <col min="8963" max="8966" width="12.69921875" style="6" customWidth="1"/>
    <col min="8967" max="8967" width="12.3984375" style="6" customWidth="1"/>
    <col min="8968" max="9216" width="8.796875" style="6"/>
    <col min="9217" max="9217" width="0.796875" style="6" customWidth="1"/>
    <col min="9218" max="9218" width="13.59765625" style="6" customWidth="1"/>
    <col min="9219" max="9222" width="12.69921875" style="6" customWidth="1"/>
    <col min="9223" max="9223" width="12.3984375" style="6" customWidth="1"/>
    <col min="9224" max="9472" width="8.796875" style="6"/>
    <col min="9473" max="9473" width="0.796875" style="6" customWidth="1"/>
    <col min="9474" max="9474" width="13.59765625" style="6" customWidth="1"/>
    <col min="9475" max="9478" width="12.69921875" style="6" customWidth="1"/>
    <col min="9479" max="9479" width="12.3984375" style="6" customWidth="1"/>
    <col min="9480" max="9728" width="8.796875" style="6"/>
    <col min="9729" max="9729" width="0.796875" style="6" customWidth="1"/>
    <col min="9730" max="9730" width="13.59765625" style="6" customWidth="1"/>
    <col min="9731" max="9734" width="12.69921875" style="6" customWidth="1"/>
    <col min="9735" max="9735" width="12.3984375" style="6" customWidth="1"/>
    <col min="9736" max="9984" width="8.796875" style="6"/>
    <col min="9985" max="9985" width="0.796875" style="6" customWidth="1"/>
    <col min="9986" max="9986" width="13.59765625" style="6" customWidth="1"/>
    <col min="9987" max="9990" width="12.69921875" style="6" customWidth="1"/>
    <col min="9991" max="9991" width="12.3984375" style="6" customWidth="1"/>
    <col min="9992" max="10240" width="8.796875" style="6"/>
    <col min="10241" max="10241" width="0.796875" style="6" customWidth="1"/>
    <col min="10242" max="10242" width="13.59765625" style="6" customWidth="1"/>
    <col min="10243" max="10246" width="12.69921875" style="6" customWidth="1"/>
    <col min="10247" max="10247" width="12.3984375" style="6" customWidth="1"/>
    <col min="10248" max="10496" width="8.796875" style="6"/>
    <col min="10497" max="10497" width="0.796875" style="6" customWidth="1"/>
    <col min="10498" max="10498" width="13.59765625" style="6" customWidth="1"/>
    <col min="10499" max="10502" width="12.69921875" style="6" customWidth="1"/>
    <col min="10503" max="10503" width="12.3984375" style="6" customWidth="1"/>
    <col min="10504" max="10752" width="8.796875" style="6"/>
    <col min="10753" max="10753" width="0.796875" style="6" customWidth="1"/>
    <col min="10754" max="10754" width="13.59765625" style="6" customWidth="1"/>
    <col min="10755" max="10758" width="12.69921875" style="6" customWidth="1"/>
    <col min="10759" max="10759" width="12.3984375" style="6" customWidth="1"/>
    <col min="10760" max="11008" width="8.796875" style="6"/>
    <col min="11009" max="11009" width="0.796875" style="6" customWidth="1"/>
    <col min="11010" max="11010" width="13.59765625" style="6" customWidth="1"/>
    <col min="11011" max="11014" width="12.69921875" style="6" customWidth="1"/>
    <col min="11015" max="11015" width="12.3984375" style="6" customWidth="1"/>
    <col min="11016" max="11264" width="8.796875" style="6"/>
    <col min="11265" max="11265" width="0.796875" style="6" customWidth="1"/>
    <col min="11266" max="11266" width="13.59765625" style="6" customWidth="1"/>
    <col min="11267" max="11270" width="12.69921875" style="6" customWidth="1"/>
    <col min="11271" max="11271" width="12.3984375" style="6" customWidth="1"/>
    <col min="11272" max="11520" width="8.796875" style="6"/>
    <col min="11521" max="11521" width="0.796875" style="6" customWidth="1"/>
    <col min="11522" max="11522" width="13.59765625" style="6" customWidth="1"/>
    <col min="11523" max="11526" width="12.69921875" style="6" customWidth="1"/>
    <col min="11527" max="11527" width="12.3984375" style="6" customWidth="1"/>
    <col min="11528" max="11776" width="8.796875" style="6"/>
    <col min="11777" max="11777" width="0.796875" style="6" customWidth="1"/>
    <col min="11778" max="11778" width="13.59765625" style="6" customWidth="1"/>
    <col min="11779" max="11782" width="12.69921875" style="6" customWidth="1"/>
    <col min="11783" max="11783" width="12.3984375" style="6" customWidth="1"/>
    <col min="11784" max="12032" width="8.796875" style="6"/>
    <col min="12033" max="12033" width="0.796875" style="6" customWidth="1"/>
    <col min="12034" max="12034" width="13.59765625" style="6" customWidth="1"/>
    <col min="12035" max="12038" width="12.69921875" style="6" customWidth="1"/>
    <col min="12039" max="12039" width="12.3984375" style="6" customWidth="1"/>
    <col min="12040" max="12288" width="8.796875" style="6"/>
    <col min="12289" max="12289" width="0.796875" style="6" customWidth="1"/>
    <col min="12290" max="12290" width="13.59765625" style="6" customWidth="1"/>
    <col min="12291" max="12294" width="12.69921875" style="6" customWidth="1"/>
    <col min="12295" max="12295" width="12.3984375" style="6" customWidth="1"/>
    <col min="12296" max="12544" width="8.796875" style="6"/>
    <col min="12545" max="12545" width="0.796875" style="6" customWidth="1"/>
    <col min="12546" max="12546" width="13.59765625" style="6" customWidth="1"/>
    <col min="12547" max="12550" width="12.69921875" style="6" customWidth="1"/>
    <col min="12551" max="12551" width="12.3984375" style="6" customWidth="1"/>
    <col min="12552" max="12800" width="8.796875" style="6"/>
    <col min="12801" max="12801" width="0.796875" style="6" customWidth="1"/>
    <col min="12802" max="12802" width="13.59765625" style="6" customWidth="1"/>
    <col min="12803" max="12806" width="12.69921875" style="6" customWidth="1"/>
    <col min="12807" max="12807" width="12.3984375" style="6" customWidth="1"/>
    <col min="12808" max="13056" width="8.796875" style="6"/>
    <col min="13057" max="13057" width="0.796875" style="6" customWidth="1"/>
    <col min="13058" max="13058" width="13.59765625" style="6" customWidth="1"/>
    <col min="13059" max="13062" width="12.69921875" style="6" customWidth="1"/>
    <col min="13063" max="13063" width="12.3984375" style="6" customWidth="1"/>
    <col min="13064" max="13312" width="8.796875" style="6"/>
    <col min="13313" max="13313" width="0.796875" style="6" customWidth="1"/>
    <col min="13314" max="13314" width="13.59765625" style="6" customWidth="1"/>
    <col min="13315" max="13318" width="12.69921875" style="6" customWidth="1"/>
    <col min="13319" max="13319" width="12.3984375" style="6" customWidth="1"/>
    <col min="13320" max="13568" width="8.796875" style="6"/>
    <col min="13569" max="13569" width="0.796875" style="6" customWidth="1"/>
    <col min="13570" max="13570" width="13.59765625" style="6" customWidth="1"/>
    <col min="13571" max="13574" width="12.69921875" style="6" customWidth="1"/>
    <col min="13575" max="13575" width="12.3984375" style="6" customWidth="1"/>
    <col min="13576" max="13824" width="8.796875" style="6"/>
    <col min="13825" max="13825" width="0.796875" style="6" customWidth="1"/>
    <col min="13826" max="13826" width="13.59765625" style="6" customWidth="1"/>
    <col min="13827" max="13830" width="12.69921875" style="6" customWidth="1"/>
    <col min="13831" max="13831" width="12.3984375" style="6" customWidth="1"/>
    <col min="13832" max="14080" width="8.796875" style="6"/>
    <col min="14081" max="14081" width="0.796875" style="6" customWidth="1"/>
    <col min="14082" max="14082" width="13.59765625" style="6" customWidth="1"/>
    <col min="14083" max="14086" width="12.69921875" style="6" customWidth="1"/>
    <col min="14087" max="14087" width="12.3984375" style="6" customWidth="1"/>
    <col min="14088" max="14336" width="8.796875" style="6"/>
    <col min="14337" max="14337" width="0.796875" style="6" customWidth="1"/>
    <col min="14338" max="14338" width="13.59765625" style="6" customWidth="1"/>
    <col min="14339" max="14342" width="12.69921875" style="6" customWidth="1"/>
    <col min="14343" max="14343" width="12.3984375" style="6" customWidth="1"/>
    <col min="14344" max="14592" width="8.796875" style="6"/>
    <col min="14593" max="14593" width="0.796875" style="6" customWidth="1"/>
    <col min="14594" max="14594" width="13.59765625" style="6" customWidth="1"/>
    <col min="14595" max="14598" width="12.69921875" style="6" customWidth="1"/>
    <col min="14599" max="14599" width="12.3984375" style="6" customWidth="1"/>
    <col min="14600" max="14848" width="8.796875" style="6"/>
    <col min="14849" max="14849" width="0.796875" style="6" customWidth="1"/>
    <col min="14850" max="14850" width="13.59765625" style="6" customWidth="1"/>
    <col min="14851" max="14854" width="12.69921875" style="6" customWidth="1"/>
    <col min="14855" max="14855" width="12.3984375" style="6" customWidth="1"/>
    <col min="14856" max="15104" width="8.796875" style="6"/>
    <col min="15105" max="15105" width="0.796875" style="6" customWidth="1"/>
    <col min="15106" max="15106" width="13.59765625" style="6" customWidth="1"/>
    <col min="15107" max="15110" width="12.69921875" style="6" customWidth="1"/>
    <col min="15111" max="15111" width="12.3984375" style="6" customWidth="1"/>
    <col min="15112" max="15360" width="8.796875" style="6"/>
    <col min="15361" max="15361" width="0.796875" style="6" customWidth="1"/>
    <col min="15362" max="15362" width="13.59765625" style="6" customWidth="1"/>
    <col min="15363" max="15366" width="12.69921875" style="6" customWidth="1"/>
    <col min="15367" max="15367" width="12.3984375" style="6" customWidth="1"/>
    <col min="15368" max="15616" width="8.796875" style="6"/>
    <col min="15617" max="15617" width="0.796875" style="6" customWidth="1"/>
    <col min="15618" max="15618" width="13.59765625" style="6" customWidth="1"/>
    <col min="15619" max="15622" width="12.69921875" style="6" customWidth="1"/>
    <col min="15623" max="15623" width="12.3984375" style="6" customWidth="1"/>
    <col min="15624" max="15872" width="8.796875" style="6"/>
    <col min="15873" max="15873" width="0.796875" style="6" customWidth="1"/>
    <col min="15874" max="15874" width="13.59765625" style="6" customWidth="1"/>
    <col min="15875" max="15878" width="12.69921875" style="6" customWidth="1"/>
    <col min="15879" max="15879" width="12.3984375" style="6" customWidth="1"/>
    <col min="15880" max="16128" width="8.796875" style="6"/>
    <col min="16129" max="16129" width="0.796875" style="6" customWidth="1"/>
    <col min="16130" max="16130" width="13.59765625" style="6" customWidth="1"/>
    <col min="16131" max="16134" width="12.69921875" style="6" customWidth="1"/>
    <col min="16135" max="16135" width="12.3984375" style="6" customWidth="1"/>
    <col min="16136" max="16384" width="8.796875" style="6"/>
  </cols>
  <sheetData>
    <row r="2" spans="2:9" ht="26.25" customHeight="1" x14ac:dyDescent="0.2">
      <c r="G2" s="7" t="s">
        <v>29</v>
      </c>
    </row>
    <row r="3" spans="2:9" ht="39.9" customHeight="1" x14ac:dyDescent="0.2">
      <c r="B3" s="8" t="s">
        <v>30</v>
      </c>
      <c r="C3" s="8"/>
      <c r="D3" s="9"/>
      <c r="E3" s="10" t="str">
        <f>IF(E16&gt;F16,"減額スライド",IF(E16&lt;F16,"増額スライド",""))</f>
        <v>増額スライド</v>
      </c>
      <c r="F3" s="11"/>
      <c r="G3" s="8"/>
    </row>
    <row r="4" spans="2:9" ht="13.8" thickBot="1" x14ac:dyDescent="0.25"/>
    <row r="5" spans="2:9" ht="27.75" customHeight="1" x14ac:dyDescent="0.2">
      <c r="B5" s="12"/>
      <c r="C5" s="90" t="s">
        <v>31</v>
      </c>
      <c r="D5" s="90" t="s">
        <v>32</v>
      </c>
      <c r="E5" s="92" t="s">
        <v>33</v>
      </c>
      <c r="F5" s="92"/>
      <c r="G5" s="93" t="s">
        <v>34</v>
      </c>
    </row>
    <row r="6" spans="2:9" ht="27.75" customHeight="1" thickBot="1" x14ac:dyDescent="0.25">
      <c r="B6" s="13"/>
      <c r="C6" s="91"/>
      <c r="D6" s="91"/>
      <c r="E6" s="14" t="s">
        <v>35</v>
      </c>
      <c r="F6" s="14" t="s">
        <v>36</v>
      </c>
      <c r="G6" s="94"/>
    </row>
    <row r="7" spans="2:9" ht="33.75" customHeight="1" x14ac:dyDescent="0.2">
      <c r="B7" s="15"/>
      <c r="C7" s="16" t="s">
        <v>37</v>
      </c>
      <c r="D7" s="16"/>
      <c r="E7" s="16"/>
      <c r="F7" s="16"/>
      <c r="G7" s="17"/>
    </row>
    <row r="8" spans="2:9" ht="33.75" customHeight="1" x14ac:dyDescent="0.2">
      <c r="B8" s="18" t="s">
        <v>38</v>
      </c>
      <c r="C8" s="19">
        <f>経費計算シート!C35</f>
        <v>285583100</v>
      </c>
      <c r="D8" s="20" t="s">
        <v>39</v>
      </c>
      <c r="E8" s="20" t="s">
        <v>39</v>
      </c>
      <c r="F8" s="20" t="s">
        <v>39</v>
      </c>
      <c r="G8" s="21" t="s">
        <v>39</v>
      </c>
      <c r="I8" s="6">
        <v>87.58593457476664</v>
      </c>
    </row>
    <row r="9" spans="2:9" ht="33.75" customHeight="1" x14ac:dyDescent="0.2">
      <c r="B9" s="22"/>
      <c r="C9" s="23" t="s">
        <v>40</v>
      </c>
      <c r="D9" s="23" t="s">
        <v>41</v>
      </c>
      <c r="E9" s="23" t="s">
        <v>42</v>
      </c>
      <c r="F9" s="23" t="s">
        <v>53</v>
      </c>
      <c r="G9" s="24"/>
    </row>
    <row r="10" spans="2:9" ht="33.75" customHeight="1" x14ac:dyDescent="0.2">
      <c r="B10" s="18" t="s">
        <v>43</v>
      </c>
      <c r="C10" s="19">
        <f>経費計算シート!C30+経費計算シート!C32</f>
        <v>259621000</v>
      </c>
      <c r="D10" s="19">
        <f>経費計算シート!O33</f>
        <v>93076000</v>
      </c>
      <c r="E10" s="19">
        <f>C10-D10</f>
        <v>166545000</v>
      </c>
      <c r="F10" s="19">
        <f>経費計算シート!M33</f>
        <v>170224000</v>
      </c>
      <c r="G10" s="25" t="s">
        <v>39</v>
      </c>
    </row>
    <row r="11" spans="2:9" ht="33.75" customHeight="1" x14ac:dyDescent="0.2">
      <c r="B11" s="26"/>
      <c r="C11" s="23"/>
      <c r="D11" s="23"/>
      <c r="E11" s="23"/>
      <c r="F11" s="23"/>
      <c r="G11" s="24"/>
    </row>
    <row r="12" spans="2:9" ht="33.75" customHeight="1" thickBot="1" x14ac:dyDescent="0.25">
      <c r="B12" s="27" t="s">
        <v>44</v>
      </c>
      <c r="C12" s="28">
        <f>経費計算シート!C34</f>
        <v>25962100</v>
      </c>
      <c r="D12" s="28" t="s">
        <v>39</v>
      </c>
      <c r="E12" s="28" t="s">
        <v>39</v>
      </c>
      <c r="F12" s="28" t="s">
        <v>39</v>
      </c>
      <c r="G12" s="29" t="s">
        <v>39</v>
      </c>
    </row>
    <row r="13" spans="2:9" ht="33.75" customHeight="1" x14ac:dyDescent="0.2">
      <c r="B13" s="15"/>
      <c r="C13" s="30" t="s">
        <v>45</v>
      </c>
      <c r="D13" s="30"/>
      <c r="E13" s="30"/>
      <c r="F13" s="30"/>
      <c r="G13" s="31"/>
    </row>
    <row r="14" spans="2:9" ht="33.75" customHeight="1" x14ac:dyDescent="0.2">
      <c r="B14" s="18" t="s">
        <v>46</v>
      </c>
      <c r="C14" s="19">
        <f>ROUNDDOWN(C8*I8/100,0)</f>
        <v>250130627</v>
      </c>
      <c r="D14" s="19" t="s">
        <v>39</v>
      </c>
      <c r="E14" s="19" t="s">
        <v>39</v>
      </c>
      <c r="F14" s="19" t="s">
        <v>39</v>
      </c>
      <c r="G14" s="21" t="s">
        <v>39</v>
      </c>
    </row>
    <row r="15" spans="2:9" ht="33.75" customHeight="1" x14ac:dyDescent="0.2">
      <c r="B15" s="32" t="s">
        <v>47</v>
      </c>
      <c r="C15" s="23" t="s">
        <v>48</v>
      </c>
      <c r="D15" s="23" t="s">
        <v>49</v>
      </c>
      <c r="E15" s="23" t="s">
        <v>50</v>
      </c>
      <c r="F15" s="23" t="s">
        <v>51</v>
      </c>
      <c r="G15" s="33" t="str">
        <f>IF(E16&gt;F16,"S'=P2'-P1'+（P1''×1/100）","S'=P2'-P1'-（P1''×1/100）")</f>
        <v>S'=P2'-P1'-（P1''×1/100）</v>
      </c>
    </row>
    <row r="16" spans="2:9" ht="33.75" customHeight="1" x14ac:dyDescent="0.2">
      <c r="B16" s="18" t="s">
        <v>52</v>
      </c>
      <c r="C16" s="19">
        <f>ROUNDDOWN(C14*10/11,0)</f>
        <v>227391479</v>
      </c>
      <c r="D16" s="19">
        <f>ROUNDDOWN(D10*C14/C8,0)</f>
        <v>81521484</v>
      </c>
      <c r="E16" s="19">
        <f>C16-D16</f>
        <v>145869995</v>
      </c>
      <c r="F16" s="19">
        <f>ROUNDDOWN(F10*C14/C8,0)</f>
        <v>149092281</v>
      </c>
      <c r="G16" s="25">
        <f>F16-E16-(E20*1/100)</f>
        <v>1858432.86</v>
      </c>
    </row>
    <row r="17" spans="2:7" ht="33.75" customHeight="1" x14ac:dyDescent="0.2">
      <c r="B17" s="26"/>
      <c r="C17" s="23"/>
      <c r="D17" s="23"/>
      <c r="E17" s="23"/>
      <c r="F17" s="23"/>
      <c r="G17" s="24"/>
    </row>
    <row r="18" spans="2:7" ht="33.75" customHeight="1" thickBot="1" x14ac:dyDescent="0.25">
      <c r="B18" s="27" t="s">
        <v>44</v>
      </c>
      <c r="C18" s="28">
        <f>C14-C16</f>
        <v>22739148</v>
      </c>
      <c r="D18" s="28" t="s">
        <v>39</v>
      </c>
      <c r="E18" s="28" t="s">
        <v>39</v>
      </c>
      <c r="F18" s="28" t="s">
        <v>39</v>
      </c>
      <c r="G18" s="29" t="s">
        <v>39</v>
      </c>
    </row>
    <row r="19" spans="2:7" ht="33.75" customHeight="1" x14ac:dyDescent="0.2">
      <c r="B19" s="89" t="s">
        <v>88</v>
      </c>
      <c r="C19" s="23" t="s">
        <v>89</v>
      </c>
      <c r="D19" s="23" t="s">
        <v>90</v>
      </c>
      <c r="E19" s="23" t="s">
        <v>91</v>
      </c>
      <c r="F19" s="23"/>
      <c r="G19" s="33"/>
    </row>
    <row r="20" spans="2:7" ht="33.75" customHeight="1" x14ac:dyDescent="0.2">
      <c r="B20" s="18" t="s">
        <v>52</v>
      </c>
      <c r="C20" s="19">
        <f>ROUNDDOWN(経費計算シート!Q33*C14/C8,0)</f>
        <v>218181818</v>
      </c>
      <c r="D20" s="19">
        <f>ROUNDDOWN(経費計算シート!S33*C14/C8,0)</f>
        <v>81796504</v>
      </c>
      <c r="E20" s="19">
        <f>C20-D20</f>
        <v>136385314</v>
      </c>
      <c r="F20" s="19"/>
      <c r="G20" s="25"/>
    </row>
    <row r="22" spans="2:7" x14ac:dyDescent="0.2">
      <c r="C22" s="34"/>
    </row>
  </sheetData>
  <mergeCells count="4">
    <mergeCell ref="C5:C6"/>
    <mergeCell ref="D5:D6"/>
    <mergeCell ref="E5:F5"/>
    <mergeCell ref="G5:G6"/>
  </mergeCells>
  <phoneticPr fontId="3"/>
  <pageMargins left="0.78740157480314965" right="0.71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1"/>
  <sheetViews>
    <sheetView tabSelected="1" view="pageBreakPreview" zoomScale="85" zoomScaleNormal="55" zoomScaleSheetLayoutView="85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Q9" sqref="Q9:R9"/>
    </sheetView>
  </sheetViews>
  <sheetFormatPr defaultColWidth="8.59765625" defaultRowHeight="12" x14ac:dyDescent="0.45"/>
  <cols>
    <col min="1" max="1" width="8.59765625" style="1"/>
    <col min="2" max="2" width="38.19921875" style="1" customWidth="1"/>
    <col min="3" max="3" width="6.69921875" style="2" customWidth="1"/>
    <col min="4" max="4" width="18.69921875" style="2" customWidth="1"/>
    <col min="5" max="5" width="6.69921875" style="2" customWidth="1"/>
    <col min="6" max="6" width="18.69921875" style="2" customWidth="1"/>
    <col min="7" max="7" width="6.69921875" style="2" customWidth="1"/>
    <col min="8" max="8" width="18.69921875" style="2" customWidth="1"/>
    <col min="9" max="9" width="9.69921875" style="2" customWidth="1"/>
    <col min="10" max="10" width="15.3984375" style="2" customWidth="1"/>
    <col min="11" max="11" width="6.69921875" style="2" customWidth="1"/>
    <col min="12" max="12" width="18.69921875" style="2" customWidth="1"/>
    <col min="13" max="13" width="6.69921875" style="2" customWidth="1"/>
    <col min="14" max="14" width="18.69921875" style="2" customWidth="1"/>
    <col min="15" max="15" width="6.69921875" style="2" customWidth="1"/>
    <col min="16" max="16" width="18.69921875" style="2" customWidth="1"/>
    <col min="17" max="17" width="6.69921875" style="2" customWidth="1"/>
    <col min="18" max="18" width="18.69921875" style="2" customWidth="1"/>
    <col min="19" max="19" width="6.69921875" style="2" customWidth="1"/>
    <col min="20" max="20" width="18.69921875" style="2" customWidth="1"/>
    <col min="21" max="21" width="33.09765625" style="2" customWidth="1"/>
    <col min="22" max="16384" width="8.59765625" style="1"/>
  </cols>
  <sheetData>
    <row r="1" spans="1:22" x14ac:dyDescent="0.45">
      <c r="C1" s="3"/>
      <c r="H1" s="3"/>
      <c r="K1" s="3"/>
      <c r="M1" s="3"/>
      <c r="O1" s="3"/>
    </row>
    <row r="2" spans="1:22" ht="18.600000000000001" customHeight="1" thickBot="1" x14ac:dyDescent="0.5">
      <c r="A2" s="36"/>
      <c r="B2" s="36"/>
      <c r="C2" s="106" t="s">
        <v>21</v>
      </c>
      <c r="D2" s="106"/>
      <c r="E2" s="106" t="s">
        <v>22</v>
      </c>
      <c r="F2" s="106"/>
      <c r="G2" s="147" t="s">
        <v>23</v>
      </c>
      <c r="H2" s="147"/>
      <c r="I2" s="106" t="s">
        <v>24</v>
      </c>
      <c r="J2" s="106"/>
      <c r="K2" s="106" t="s">
        <v>25</v>
      </c>
      <c r="L2" s="106"/>
      <c r="M2" s="106" t="s">
        <v>26</v>
      </c>
      <c r="N2" s="106"/>
      <c r="O2" s="106" t="s">
        <v>27</v>
      </c>
      <c r="P2" s="106"/>
      <c r="Q2" s="106" t="s">
        <v>82</v>
      </c>
      <c r="R2" s="106"/>
      <c r="S2" s="106" t="s">
        <v>83</v>
      </c>
      <c r="T2" s="106"/>
    </row>
    <row r="3" spans="1:22" ht="47.4" customHeight="1" thickBot="1" x14ac:dyDescent="0.5">
      <c r="A3" s="36"/>
      <c r="B3" s="88" t="s">
        <v>87</v>
      </c>
      <c r="C3" s="146" t="s">
        <v>1</v>
      </c>
      <c r="D3" s="143"/>
      <c r="E3" s="142" t="s">
        <v>58</v>
      </c>
      <c r="F3" s="143"/>
      <c r="G3" s="142" t="s">
        <v>57</v>
      </c>
      <c r="H3" s="143"/>
      <c r="I3" s="144" t="s">
        <v>59</v>
      </c>
      <c r="J3" s="145"/>
      <c r="K3" s="142" t="s">
        <v>61</v>
      </c>
      <c r="L3" s="143"/>
      <c r="M3" s="142" t="s">
        <v>85</v>
      </c>
      <c r="N3" s="143"/>
      <c r="O3" s="142" t="s">
        <v>86</v>
      </c>
      <c r="P3" s="143"/>
      <c r="Q3" s="107" t="s">
        <v>84</v>
      </c>
      <c r="R3" s="108"/>
      <c r="S3" s="107" t="s">
        <v>94</v>
      </c>
      <c r="T3" s="108"/>
      <c r="U3" s="35" t="s">
        <v>56</v>
      </c>
    </row>
    <row r="4" spans="1:22" ht="33" customHeight="1" x14ac:dyDescent="0.45">
      <c r="A4" s="178" t="s">
        <v>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81"/>
      <c r="R4" s="76"/>
      <c r="S4" s="76"/>
      <c r="T4" s="76"/>
      <c r="U4" s="35" t="s">
        <v>55</v>
      </c>
    </row>
    <row r="5" spans="1:22" ht="26.1" customHeight="1" x14ac:dyDescent="0.45">
      <c r="A5" s="37"/>
      <c r="B5" s="188" t="s">
        <v>9</v>
      </c>
      <c r="C5" s="109">
        <v>159813308</v>
      </c>
      <c r="D5" s="127"/>
      <c r="E5" s="109">
        <v>101128573</v>
      </c>
      <c r="F5" s="110"/>
      <c r="G5" s="109">
        <v>104093462</v>
      </c>
      <c r="H5" s="110"/>
      <c r="I5" s="38" t="s">
        <v>66</v>
      </c>
      <c r="J5" s="39">
        <f>C5-E5-J6-J7</f>
        <v>23729675</v>
      </c>
      <c r="K5" s="109">
        <v>162778197</v>
      </c>
      <c r="L5" s="127"/>
      <c r="M5" s="109">
        <v>104093462</v>
      </c>
      <c r="N5" s="127"/>
      <c r="O5" s="109">
        <v>58684735</v>
      </c>
      <c r="P5" s="127"/>
      <c r="Q5" s="109">
        <v>152213308</v>
      </c>
      <c r="R5" s="127"/>
      <c r="S5" s="109">
        <v>58684735</v>
      </c>
      <c r="T5" s="110"/>
      <c r="U5" s="2">
        <f>C5-E5</f>
        <v>58684735</v>
      </c>
      <c r="V5" s="1" t="str">
        <f>IF(U5=O5,"OK","NG")</f>
        <v>OK</v>
      </c>
    </row>
    <row r="6" spans="1:22" ht="26.1" customHeight="1" x14ac:dyDescent="0.45">
      <c r="A6" s="37"/>
      <c r="B6" s="189"/>
      <c r="C6" s="111"/>
      <c r="D6" s="113"/>
      <c r="E6" s="111"/>
      <c r="F6" s="112"/>
      <c r="G6" s="111"/>
      <c r="H6" s="112"/>
      <c r="I6" s="40" t="s">
        <v>67</v>
      </c>
      <c r="J6" s="41">
        <f>C7-E7</f>
        <v>34700000</v>
      </c>
      <c r="K6" s="111"/>
      <c r="L6" s="113"/>
      <c r="M6" s="111"/>
      <c r="N6" s="113"/>
      <c r="O6" s="111"/>
      <c r="P6" s="113"/>
      <c r="Q6" s="111"/>
      <c r="R6" s="113"/>
      <c r="S6" s="111"/>
      <c r="T6" s="112"/>
    </row>
    <row r="7" spans="1:22" ht="26.1" customHeight="1" x14ac:dyDescent="0.45">
      <c r="A7" s="37"/>
      <c r="B7" s="42" t="s">
        <v>54</v>
      </c>
      <c r="C7" s="111">
        <v>50535000</v>
      </c>
      <c r="D7" s="113"/>
      <c r="E7" s="111">
        <v>15835000</v>
      </c>
      <c r="F7" s="113"/>
      <c r="G7" s="111">
        <v>16660000</v>
      </c>
      <c r="H7" s="113"/>
      <c r="I7" s="40" t="s">
        <v>68</v>
      </c>
      <c r="J7" s="41">
        <f>C8-E8</f>
        <v>255060</v>
      </c>
      <c r="K7" s="111">
        <v>51360000</v>
      </c>
      <c r="L7" s="113"/>
      <c r="M7" s="111">
        <v>16660000</v>
      </c>
      <c r="N7" s="113"/>
      <c r="O7" s="111">
        <v>34700000</v>
      </c>
      <c r="P7" s="113"/>
      <c r="Q7" s="111">
        <v>42935000</v>
      </c>
      <c r="R7" s="113"/>
      <c r="S7" s="111">
        <v>34700000</v>
      </c>
      <c r="T7" s="113"/>
      <c r="U7" s="2">
        <f>C7-E7</f>
        <v>34700000</v>
      </c>
      <c r="V7" s="1" t="str">
        <f>IF(U7=O7,"OK","NG")</f>
        <v>OK</v>
      </c>
    </row>
    <row r="8" spans="1:22" ht="26.1" customHeight="1" x14ac:dyDescent="0.45">
      <c r="A8" s="37"/>
      <c r="B8" s="42" t="s">
        <v>10</v>
      </c>
      <c r="C8" s="111">
        <v>5772498</v>
      </c>
      <c r="D8" s="113"/>
      <c r="E8" s="111">
        <v>5517438</v>
      </c>
      <c r="F8" s="113"/>
      <c r="G8" s="111">
        <v>5526273</v>
      </c>
      <c r="H8" s="113"/>
      <c r="I8" s="174" t="s">
        <v>60</v>
      </c>
      <c r="J8" s="175"/>
      <c r="K8" s="111">
        <v>5781333</v>
      </c>
      <c r="L8" s="113"/>
      <c r="M8" s="111">
        <v>5526273</v>
      </c>
      <c r="N8" s="113"/>
      <c r="O8" s="111">
        <v>0</v>
      </c>
      <c r="P8" s="113"/>
      <c r="Q8" s="111">
        <v>5772498</v>
      </c>
      <c r="R8" s="113"/>
      <c r="S8" s="111">
        <v>0</v>
      </c>
      <c r="T8" s="113"/>
    </row>
    <row r="9" spans="1:22" ht="64.8" customHeight="1" thickBot="1" x14ac:dyDescent="0.5">
      <c r="A9" s="43"/>
      <c r="B9" s="44" t="s">
        <v>28</v>
      </c>
      <c r="C9" s="114">
        <v>1736124</v>
      </c>
      <c r="D9" s="115"/>
      <c r="E9" s="114">
        <v>2721106</v>
      </c>
      <c r="F9" s="115"/>
      <c r="G9" s="114">
        <v>2653370</v>
      </c>
      <c r="H9" s="115"/>
      <c r="I9" s="176"/>
      <c r="J9" s="177"/>
      <c r="K9" s="114">
        <v>1668388</v>
      </c>
      <c r="L9" s="115"/>
      <c r="M9" s="114">
        <v>2653370</v>
      </c>
      <c r="N9" s="115"/>
      <c r="O9" s="114">
        <v>0</v>
      </c>
      <c r="P9" s="115"/>
      <c r="Q9" s="114">
        <v>1850124</v>
      </c>
      <c r="R9" s="115"/>
      <c r="S9" s="114">
        <v>0</v>
      </c>
      <c r="T9" s="115"/>
    </row>
    <row r="10" spans="1:22" ht="26.1" customHeight="1" x14ac:dyDescent="0.45">
      <c r="A10" s="180" t="s">
        <v>6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82"/>
      <c r="R10" s="77"/>
      <c r="S10" s="77"/>
      <c r="T10" s="77"/>
    </row>
    <row r="11" spans="1:22" ht="26.1" customHeight="1" x14ac:dyDescent="0.45">
      <c r="A11" s="45"/>
      <c r="B11" s="46" t="s">
        <v>11</v>
      </c>
      <c r="C11" s="116">
        <v>23400</v>
      </c>
      <c r="D11" s="124"/>
      <c r="E11" s="116">
        <v>23400</v>
      </c>
      <c r="F11" s="117"/>
      <c r="G11" s="116">
        <v>23400</v>
      </c>
      <c r="H11" s="117"/>
      <c r="I11" s="116">
        <f>C11-E11</f>
        <v>0</v>
      </c>
      <c r="J11" s="124"/>
      <c r="K11" s="116">
        <v>23400</v>
      </c>
      <c r="L11" s="124"/>
      <c r="M11" s="116">
        <v>23400</v>
      </c>
      <c r="N11" s="124"/>
      <c r="O11" s="116">
        <v>0</v>
      </c>
      <c r="P11" s="124"/>
      <c r="Q11" s="116">
        <v>23400</v>
      </c>
      <c r="R11" s="124"/>
      <c r="S11" s="116">
        <v>0</v>
      </c>
      <c r="T11" s="117"/>
      <c r="U11" s="2">
        <f>C11-E11</f>
        <v>0</v>
      </c>
      <c r="V11" s="1" t="str">
        <f>IF(U11=O11,"OK","NG")</f>
        <v>OK</v>
      </c>
    </row>
    <row r="12" spans="1:22" ht="26.1" customHeight="1" thickBot="1" x14ac:dyDescent="0.5">
      <c r="A12" s="45"/>
      <c r="B12" s="47" t="s">
        <v>12</v>
      </c>
      <c r="C12" s="118">
        <v>946532</v>
      </c>
      <c r="D12" s="128"/>
      <c r="E12" s="118">
        <v>132900</v>
      </c>
      <c r="F12" s="119"/>
      <c r="G12" s="118">
        <v>138200</v>
      </c>
      <c r="H12" s="119"/>
      <c r="I12" s="118">
        <f>C12-E12</f>
        <v>813632</v>
      </c>
      <c r="J12" s="128"/>
      <c r="K12" s="118">
        <v>951832</v>
      </c>
      <c r="L12" s="128"/>
      <c r="M12" s="118">
        <v>138200</v>
      </c>
      <c r="N12" s="128"/>
      <c r="O12" s="118">
        <v>813632</v>
      </c>
      <c r="P12" s="128"/>
      <c r="Q12" s="118">
        <v>946532</v>
      </c>
      <c r="R12" s="128"/>
      <c r="S12" s="118">
        <v>813632</v>
      </c>
      <c r="T12" s="119"/>
      <c r="U12" s="2">
        <f>C12-E12</f>
        <v>813632</v>
      </c>
      <c r="V12" s="1" t="str">
        <f>IF(U12=O12,"OK","NG")</f>
        <v>OK</v>
      </c>
    </row>
    <row r="13" spans="1:22" ht="26.1" customHeight="1" x14ac:dyDescent="0.45">
      <c r="A13" s="45"/>
      <c r="B13" s="47" t="s">
        <v>69</v>
      </c>
      <c r="C13" s="111">
        <f>C5-C9-C7/2</f>
        <v>132809684</v>
      </c>
      <c r="D13" s="113"/>
      <c r="E13" s="129" t="s">
        <v>2</v>
      </c>
      <c r="F13" s="130"/>
      <c r="G13" s="129" t="s">
        <v>2</v>
      </c>
      <c r="H13" s="130"/>
      <c r="I13" s="129" t="s">
        <v>2</v>
      </c>
      <c r="J13" s="130"/>
      <c r="K13" s="111">
        <f>K5-K9-K7/2</f>
        <v>135429809</v>
      </c>
      <c r="L13" s="113"/>
      <c r="M13" s="111">
        <f>M5-M9-M7/2</f>
        <v>93110092</v>
      </c>
      <c r="N13" s="113"/>
      <c r="O13" s="112">
        <f>O5-O9-O7/2</f>
        <v>41334735</v>
      </c>
      <c r="P13" s="113"/>
      <c r="Q13" s="111">
        <f>Q5-Q9-Q7/2</f>
        <v>128895684</v>
      </c>
      <c r="R13" s="113"/>
      <c r="S13" s="111">
        <f>S5-S9-S7/2</f>
        <v>41334735</v>
      </c>
      <c r="T13" s="113"/>
    </row>
    <row r="14" spans="1:22" ht="26.1" customHeight="1" x14ac:dyDescent="0.45">
      <c r="A14" s="45"/>
      <c r="B14" s="47" t="s">
        <v>13</v>
      </c>
      <c r="C14" s="48">
        <v>0.1133</v>
      </c>
      <c r="D14" s="49">
        <f>ROUNDDOWN(C13*C14,-3)</f>
        <v>15047000</v>
      </c>
      <c r="E14" s="131"/>
      <c r="F14" s="132"/>
      <c r="G14" s="131"/>
      <c r="H14" s="132"/>
      <c r="I14" s="131"/>
      <c r="J14" s="132"/>
      <c r="K14" s="84">
        <v>0.1129</v>
      </c>
      <c r="L14" s="85">
        <f>ROUNDDOWN(K13*K14,-3)</f>
        <v>15290000</v>
      </c>
      <c r="M14" s="84">
        <f>K14</f>
        <v>0.1129</v>
      </c>
      <c r="N14" s="85">
        <f>ROUNDDOWN(M13*M14,-3)</f>
        <v>10512000</v>
      </c>
      <c r="O14" s="87">
        <f>C14</f>
        <v>0.1133</v>
      </c>
      <c r="P14" s="85">
        <f>ROUNDDOWN(O13*O14,-3)</f>
        <v>4683000</v>
      </c>
      <c r="Q14" s="80">
        <v>0.11409999999999999</v>
      </c>
      <c r="R14" s="49">
        <f>ROUNDDOWN(Q13*Q14,-3)</f>
        <v>14706000</v>
      </c>
      <c r="S14" s="80">
        <f>Q14</f>
        <v>0.11409999999999999</v>
      </c>
      <c r="T14" s="49">
        <f>ROUNDDOWN(S13*S14,-3)</f>
        <v>4716000</v>
      </c>
    </row>
    <row r="15" spans="1:22" ht="26.1" customHeight="1" x14ac:dyDescent="0.45">
      <c r="A15" s="45"/>
      <c r="B15" s="47" t="s">
        <v>70</v>
      </c>
      <c r="C15" s="120">
        <f>C11+C12+D14</f>
        <v>16016932</v>
      </c>
      <c r="D15" s="121"/>
      <c r="E15" s="131"/>
      <c r="F15" s="132"/>
      <c r="G15" s="131"/>
      <c r="H15" s="132"/>
      <c r="I15" s="131"/>
      <c r="J15" s="132"/>
      <c r="K15" s="120">
        <f>K11+K12+L14</f>
        <v>16265232</v>
      </c>
      <c r="L15" s="121"/>
      <c r="M15" s="120">
        <f>M11+M12+N14</f>
        <v>10673600</v>
      </c>
      <c r="N15" s="121"/>
      <c r="O15" s="172">
        <f>O11+O12+P14</f>
        <v>5496632</v>
      </c>
      <c r="P15" s="121"/>
      <c r="Q15" s="120">
        <f>Q11+Q12+R14</f>
        <v>15675932</v>
      </c>
      <c r="R15" s="121"/>
      <c r="S15" s="120">
        <f>S11+S12+T14</f>
        <v>5529632</v>
      </c>
      <c r="T15" s="121"/>
    </row>
    <row r="16" spans="1:22" ht="26.1" customHeight="1" thickBot="1" x14ac:dyDescent="0.5">
      <c r="A16" s="50"/>
      <c r="B16" s="51" t="s">
        <v>71</v>
      </c>
      <c r="C16" s="122">
        <f>C5+C15</f>
        <v>175830240</v>
      </c>
      <c r="D16" s="123"/>
      <c r="E16" s="131"/>
      <c r="F16" s="132"/>
      <c r="G16" s="131"/>
      <c r="H16" s="132"/>
      <c r="I16" s="131"/>
      <c r="J16" s="132"/>
      <c r="K16" s="122">
        <f>K5+K15</f>
        <v>179043429</v>
      </c>
      <c r="L16" s="123"/>
      <c r="M16" s="122">
        <f>M5+M15</f>
        <v>114767062</v>
      </c>
      <c r="N16" s="123"/>
      <c r="O16" s="173">
        <f>O5+O15</f>
        <v>64181367</v>
      </c>
      <c r="P16" s="123"/>
      <c r="Q16" s="122">
        <f>Q5+Q15</f>
        <v>167889240</v>
      </c>
      <c r="R16" s="123"/>
      <c r="S16" s="122">
        <f>S5+S15</f>
        <v>64214367</v>
      </c>
      <c r="T16" s="123"/>
    </row>
    <row r="17" spans="1:20" ht="26.1" customHeight="1" x14ac:dyDescent="0.45">
      <c r="A17" s="182" t="s">
        <v>7</v>
      </c>
      <c r="B17" s="183"/>
      <c r="C17" s="183"/>
      <c r="D17" s="184"/>
      <c r="E17" s="131"/>
      <c r="F17" s="132"/>
      <c r="G17" s="131"/>
      <c r="H17" s="132"/>
      <c r="I17" s="131"/>
      <c r="J17" s="132"/>
      <c r="K17" s="185"/>
      <c r="L17" s="186"/>
      <c r="M17" s="186"/>
      <c r="N17" s="186"/>
      <c r="O17" s="187"/>
      <c r="P17" s="187"/>
      <c r="Q17" s="78"/>
      <c r="R17" s="78"/>
      <c r="S17" s="78"/>
      <c r="T17" s="78"/>
    </row>
    <row r="18" spans="1:20" ht="26.1" customHeight="1" x14ac:dyDescent="0.45">
      <c r="A18" s="52"/>
      <c r="B18" s="46" t="s">
        <v>72</v>
      </c>
      <c r="C18" s="116">
        <f>C16-C9-C7/2</f>
        <v>148826616</v>
      </c>
      <c r="D18" s="124"/>
      <c r="E18" s="131"/>
      <c r="F18" s="132"/>
      <c r="G18" s="131"/>
      <c r="H18" s="132"/>
      <c r="I18" s="131"/>
      <c r="J18" s="132"/>
      <c r="K18" s="116">
        <f>K16-K9-K7/2</f>
        <v>151695041</v>
      </c>
      <c r="L18" s="124"/>
      <c r="M18" s="116">
        <f>M16-M9-M7/2</f>
        <v>103783692</v>
      </c>
      <c r="N18" s="124"/>
      <c r="O18" s="160">
        <f>O16-O9-O7/2</f>
        <v>46831367</v>
      </c>
      <c r="P18" s="124"/>
      <c r="Q18" s="116">
        <f>Q16-Q9-Q7/2</f>
        <v>144571616</v>
      </c>
      <c r="R18" s="124"/>
      <c r="S18" s="116">
        <f>S16-S9-S7/2</f>
        <v>46864367</v>
      </c>
      <c r="T18" s="124"/>
    </row>
    <row r="19" spans="1:20" ht="26.1" customHeight="1" x14ac:dyDescent="0.45">
      <c r="A19" s="52"/>
      <c r="B19" s="47" t="s">
        <v>14</v>
      </c>
      <c r="C19" s="48">
        <v>0.35370000000000001</v>
      </c>
      <c r="D19" s="49">
        <f>ROUNDDOWN(C19*C18,-3)</f>
        <v>52639000</v>
      </c>
      <c r="E19" s="131"/>
      <c r="F19" s="132"/>
      <c r="G19" s="131"/>
      <c r="H19" s="132"/>
      <c r="I19" s="131"/>
      <c r="J19" s="132"/>
      <c r="K19" s="84">
        <v>0.35310000000000002</v>
      </c>
      <c r="L19" s="85">
        <f>ROUNDDOWN(K19*K18,-3)</f>
        <v>53563000</v>
      </c>
      <c r="M19" s="84">
        <f>K19</f>
        <v>0.35310000000000002</v>
      </c>
      <c r="N19" s="85">
        <f>ROUNDDOWN(M19*M18,-3)</f>
        <v>36646000</v>
      </c>
      <c r="O19" s="48">
        <f>C19</f>
        <v>0.35370000000000001</v>
      </c>
      <c r="P19" s="86">
        <f>ROUNDDOWN(O19*O18,-3)</f>
        <v>16564000</v>
      </c>
      <c r="Q19" s="80">
        <v>0.35489999999999999</v>
      </c>
      <c r="R19" s="49">
        <f>ROUNDDOWN(Q19*Q18,-3)</f>
        <v>51308000</v>
      </c>
      <c r="S19" s="80">
        <f>Q19</f>
        <v>0.35489999999999999</v>
      </c>
      <c r="T19" s="49">
        <f>ROUNDDOWN(S19*S18,-3)</f>
        <v>16632000</v>
      </c>
    </row>
    <row r="20" spans="1:20" ht="26.1" customHeight="1" x14ac:dyDescent="0.45">
      <c r="A20" s="52"/>
      <c r="B20" s="47" t="s">
        <v>73</v>
      </c>
      <c r="C20" s="120">
        <f>D19</f>
        <v>52639000</v>
      </c>
      <c r="D20" s="121"/>
      <c r="E20" s="131"/>
      <c r="F20" s="132"/>
      <c r="G20" s="131"/>
      <c r="H20" s="132"/>
      <c r="I20" s="131"/>
      <c r="J20" s="132"/>
      <c r="K20" s="120">
        <f>L19</f>
        <v>53563000</v>
      </c>
      <c r="L20" s="121"/>
      <c r="M20" s="120">
        <f>N19</f>
        <v>36646000</v>
      </c>
      <c r="N20" s="121"/>
      <c r="O20" s="172">
        <f>P19</f>
        <v>16564000</v>
      </c>
      <c r="P20" s="121"/>
      <c r="Q20" s="120">
        <f>R19</f>
        <v>51308000</v>
      </c>
      <c r="R20" s="121"/>
      <c r="S20" s="120">
        <f>T19</f>
        <v>16632000</v>
      </c>
      <c r="T20" s="121"/>
    </row>
    <row r="21" spans="1:20" ht="26.1" customHeight="1" thickBot="1" x14ac:dyDescent="0.5">
      <c r="A21" s="53"/>
      <c r="B21" s="54" t="s">
        <v>74</v>
      </c>
      <c r="C21" s="97">
        <f>C16+C20</f>
        <v>228469240</v>
      </c>
      <c r="D21" s="98"/>
      <c r="E21" s="131"/>
      <c r="F21" s="132"/>
      <c r="G21" s="131"/>
      <c r="H21" s="132"/>
      <c r="I21" s="131"/>
      <c r="J21" s="132"/>
      <c r="K21" s="97">
        <f>K16+K20</f>
        <v>232606429</v>
      </c>
      <c r="L21" s="98"/>
      <c r="M21" s="97">
        <f>M16+M20</f>
        <v>151413062</v>
      </c>
      <c r="N21" s="98"/>
      <c r="O21" s="159">
        <f>O16+O20</f>
        <v>80745367</v>
      </c>
      <c r="P21" s="98"/>
      <c r="Q21" s="97">
        <f>Q16+Q20</f>
        <v>219197240</v>
      </c>
      <c r="R21" s="98"/>
      <c r="S21" s="97">
        <f>S16+S20</f>
        <v>80846367</v>
      </c>
      <c r="T21" s="98"/>
    </row>
    <row r="22" spans="1:20" ht="26.1" customHeight="1" x14ac:dyDescent="0.45">
      <c r="A22" s="166" t="s">
        <v>8</v>
      </c>
      <c r="B22" s="167"/>
      <c r="C22" s="167"/>
      <c r="D22" s="168"/>
      <c r="E22" s="131"/>
      <c r="F22" s="132"/>
      <c r="G22" s="131"/>
      <c r="H22" s="132"/>
      <c r="I22" s="131"/>
      <c r="J22" s="132"/>
      <c r="K22" s="169"/>
      <c r="L22" s="170"/>
      <c r="M22" s="170"/>
      <c r="N22" s="170"/>
      <c r="O22" s="170"/>
      <c r="P22" s="171"/>
      <c r="Q22" s="79"/>
      <c r="R22" s="79"/>
      <c r="S22" s="79"/>
      <c r="T22" s="79"/>
    </row>
    <row r="23" spans="1:20" ht="26.1" customHeight="1" x14ac:dyDescent="0.45">
      <c r="A23" s="55"/>
      <c r="B23" s="46" t="s">
        <v>75</v>
      </c>
      <c r="C23" s="116">
        <f>C21-C9</f>
        <v>226733116</v>
      </c>
      <c r="D23" s="124"/>
      <c r="E23" s="131"/>
      <c r="F23" s="132"/>
      <c r="G23" s="131"/>
      <c r="H23" s="132"/>
      <c r="I23" s="131"/>
      <c r="J23" s="132"/>
      <c r="K23" s="116">
        <f>K21-K9</f>
        <v>230938041</v>
      </c>
      <c r="L23" s="124"/>
      <c r="M23" s="116">
        <f>M21-M9</f>
        <v>148759692</v>
      </c>
      <c r="N23" s="124"/>
      <c r="O23" s="160">
        <f>O21-O9-O12</f>
        <v>79931735</v>
      </c>
      <c r="P23" s="124"/>
      <c r="Q23" s="116">
        <f>Q21-Q9</f>
        <v>217347116</v>
      </c>
      <c r="R23" s="124"/>
      <c r="S23" s="116">
        <f>S21-S9</f>
        <v>80846367</v>
      </c>
      <c r="T23" s="124"/>
    </row>
    <row r="24" spans="1:20" ht="26.1" customHeight="1" x14ac:dyDescent="0.45">
      <c r="A24" s="55"/>
      <c r="B24" s="47" t="s">
        <v>15</v>
      </c>
      <c r="C24" s="48">
        <v>0.15329999999999999</v>
      </c>
      <c r="D24" s="49">
        <f>C24*C23</f>
        <v>34758186.682799995</v>
      </c>
      <c r="E24" s="131"/>
      <c r="F24" s="132"/>
      <c r="G24" s="131"/>
      <c r="H24" s="132"/>
      <c r="I24" s="131"/>
      <c r="J24" s="132"/>
      <c r="K24" s="56">
        <v>0.15290000000000001</v>
      </c>
      <c r="L24" s="49">
        <f>K24*K23</f>
        <v>35310426.468900003</v>
      </c>
      <c r="M24" s="56">
        <f>K24</f>
        <v>0.15290000000000001</v>
      </c>
      <c r="N24" s="49">
        <f>M24*M23</f>
        <v>22745356.906800002</v>
      </c>
      <c r="O24" s="57">
        <f>C24</f>
        <v>0.15329999999999999</v>
      </c>
      <c r="P24" s="58">
        <f>O24*O23</f>
        <v>12253534.975499999</v>
      </c>
      <c r="Q24" s="80">
        <v>0.1542</v>
      </c>
      <c r="R24" s="49">
        <f>Q24*Q23</f>
        <v>33514925.2872</v>
      </c>
      <c r="S24" s="80">
        <f>Q24</f>
        <v>0.1542</v>
      </c>
      <c r="T24" s="49">
        <f>S24*S23</f>
        <v>12466509.7914</v>
      </c>
    </row>
    <row r="25" spans="1:20" ht="26.1" customHeight="1" x14ac:dyDescent="0.45">
      <c r="A25" s="55"/>
      <c r="B25" s="47" t="s">
        <v>76</v>
      </c>
      <c r="C25" s="125">
        <v>77899</v>
      </c>
      <c r="D25" s="126"/>
      <c r="E25" s="131"/>
      <c r="F25" s="132"/>
      <c r="G25" s="131"/>
      <c r="H25" s="132"/>
      <c r="I25" s="131"/>
      <c r="J25" s="132"/>
      <c r="K25" s="125">
        <f>C25</f>
        <v>77899</v>
      </c>
      <c r="L25" s="126"/>
      <c r="M25" s="125">
        <f>C25</f>
        <v>77899</v>
      </c>
      <c r="N25" s="126"/>
      <c r="O25" s="161">
        <f>C25</f>
        <v>77899</v>
      </c>
      <c r="P25" s="162"/>
      <c r="Q25" s="125">
        <v>77899</v>
      </c>
      <c r="R25" s="126"/>
      <c r="S25" s="125">
        <v>77899</v>
      </c>
      <c r="T25" s="126"/>
    </row>
    <row r="26" spans="1:20" ht="26.1" customHeight="1" x14ac:dyDescent="0.45">
      <c r="A26" s="55"/>
      <c r="B26" s="47" t="s">
        <v>77</v>
      </c>
      <c r="C26" s="95">
        <f>D24+C25</f>
        <v>34836085.682799995</v>
      </c>
      <c r="D26" s="96"/>
      <c r="E26" s="131"/>
      <c r="F26" s="132"/>
      <c r="G26" s="131"/>
      <c r="H26" s="132"/>
      <c r="I26" s="131"/>
      <c r="J26" s="132"/>
      <c r="K26" s="95">
        <f>L24+K25</f>
        <v>35388325.468900003</v>
      </c>
      <c r="L26" s="96"/>
      <c r="M26" s="95">
        <f>N24+M25</f>
        <v>22823255.906800002</v>
      </c>
      <c r="N26" s="96"/>
      <c r="O26" s="150">
        <f>P24+O25</f>
        <v>12331433.975499999</v>
      </c>
      <c r="P26" s="96"/>
      <c r="Q26" s="95">
        <f>R24+Q25</f>
        <v>33592824.287200004</v>
      </c>
      <c r="R26" s="96"/>
      <c r="S26" s="95">
        <f>T24+S25</f>
        <v>12544408.7914</v>
      </c>
      <c r="T26" s="96"/>
    </row>
    <row r="27" spans="1:20" ht="26.1" customHeight="1" x14ac:dyDescent="0.45">
      <c r="A27" s="55"/>
      <c r="B27" s="47" t="s">
        <v>78</v>
      </c>
      <c r="C27" s="95">
        <f>C21+C26</f>
        <v>263305325.68279999</v>
      </c>
      <c r="D27" s="96"/>
      <c r="E27" s="131"/>
      <c r="F27" s="132"/>
      <c r="G27" s="131"/>
      <c r="H27" s="132"/>
      <c r="I27" s="131"/>
      <c r="J27" s="132"/>
      <c r="K27" s="95">
        <f>K21+K26</f>
        <v>267994754.4689</v>
      </c>
      <c r="L27" s="96"/>
      <c r="M27" s="95">
        <f>M21+M26</f>
        <v>174236317.9068</v>
      </c>
      <c r="N27" s="96"/>
      <c r="O27" s="150">
        <f>O21+O26</f>
        <v>93076800.975500003</v>
      </c>
      <c r="P27" s="96"/>
      <c r="Q27" s="95">
        <f>Q21+Q26</f>
        <v>252790064.2872</v>
      </c>
      <c r="R27" s="96"/>
      <c r="S27" s="95">
        <f>S21+S26</f>
        <v>93390775.7914</v>
      </c>
      <c r="T27" s="96"/>
    </row>
    <row r="28" spans="1:20" ht="26.1" customHeight="1" x14ac:dyDescent="0.45">
      <c r="A28" s="55"/>
      <c r="B28" s="47" t="s">
        <v>16</v>
      </c>
      <c r="C28" s="95">
        <f>C27-ROUNDDOWN(C27,-3)</f>
        <v>325.68279999494553</v>
      </c>
      <c r="D28" s="96"/>
      <c r="E28" s="131"/>
      <c r="F28" s="132"/>
      <c r="G28" s="131"/>
      <c r="H28" s="132"/>
      <c r="I28" s="131"/>
      <c r="J28" s="132"/>
      <c r="K28" s="95">
        <f>K27-ROUNDDOWN(K27,-3)</f>
        <v>754.46889999508858</v>
      </c>
      <c r="L28" s="96"/>
      <c r="M28" s="95">
        <f>M27-ROUNDDOWN(M27,-3)</f>
        <v>317.90680000185966</v>
      </c>
      <c r="N28" s="96"/>
      <c r="O28" s="150">
        <f>O27-ROUNDDOWN(O27,-3)</f>
        <v>800.9755000025034</v>
      </c>
      <c r="P28" s="96"/>
      <c r="Q28" s="95">
        <f>Q27-ROUNDDOWN(Q27,-3)</f>
        <v>64.287200003862381</v>
      </c>
      <c r="R28" s="96"/>
      <c r="S28" s="95">
        <f>S27-ROUNDDOWN(S27,-3)</f>
        <v>775.791400000453</v>
      </c>
      <c r="T28" s="96"/>
    </row>
    <row r="29" spans="1:20" ht="26.1" customHeight="1" x14ac:dyDescent="0.45">
      <c r="A29" s="55"/>
      <c r="B29" s="47" t="s">
        <v>17</v>
      </c>
      <c r="C29" s="95">
        <f>C26-C28</f>
        <v>34835760</v>
      </c>
      <c r="D29" s="96"/>
      <c r="E29" s="131"/>
      <c r="F29" s="132"/>
      <c r="G29" s="131"/>
      <c r="H29" s="132"/>
      <c r="I29" s="131"/>
      <c r="J29" s="132"/>
      <c r="K29" s="95">
        <f>K26-K28</f>
        <v>35387571.000000007</v>
      </c>
      <c r="L29" s="96"/>
      <c r="M29" s="148">
        <f>M26-M28</f>
        <v>22822938</v>
      </c>
      <c r="N29" s="149"/>
      <c r="O29" s="95">
        <f>O26-O28</f>
        <v>12330632.999999996</v>
      </c>
      <c r="P29" s="96"/>
      <c r="Q29" s="95">
        <f>Q26-Q28</f>
        <v>33592760</v>
      </c>
      <c r="R29" s="96"/>
      <c r="S29" s="95">
        <f>S26-S28</f>
        <v>12543633</v>
      </c>
      <c r="T29" s="96"/>
    </row>
    <row r="30" spans="1:20" ht="26.1" customHeight="1" thickBot="1" x14ac:dyDescent="0.5">
      <c r="A30" s="59"/>
      <c r="B30" s="54" t="s">
        <v>79</v>
      </c>
      <c r="C30" s="97">
        <f>C29+C21</f>
        <v>263305000</v>
      </c>
      <c r="D30" s="98"/>
      <c r="E30" s="131"/>
      <c r="F30" s="132"/>
      <c r="G30" s="131"/>
      <c r="H30" s="132"/>
      <c r="I30" s="131"/>
      <c r="J30" s="132"/>
      <c r="K30" s="97">
        <f>K29+K21</f>
        <v>267994000</v>
      </c>
      <c r="L30" s="157"/>
      <c r="M30" s="97">
        <f>M29+M21</f>
        <v>174236000</v>
      </c>
      <c r="N30" s="98"/>
      <c r="O30" s="151">
        <f>O29+O21</f>
        <v>93076000</v>
      </c>
      <c r="P30" s="152"/>
      <c r="Q30" s="97">
        <f>Q29+Q21</f>
        <v>252790000</v>
      </c>
      <c r="R30" s="98"/>
      <c r="S30" s="97">
        <f>S29+S21</f>
        <v>93390000</v>
      </c>
      <c r="T30" s="98"/>
    </row>
    <row r="31" spans="1:20" ht="26.1" customHeight="1" x14ac:dyDescent="0.45">
      <c r="A31" s="137" t="s">
        <v>20</v>
      </c>
      <c r="B31" s="138"/>
      <c r="C31" s="138"/>
      <c r="D31" s="139"/>
      <c r="E31" s="131"/>
      <c r="F31" s="132"/>
      <c r="G31" s="131"/>
      <c r="H31" s="132"/>
      <c r="I31" s="131"/>
      <c r="J31" s="132"/>
      <c r="K31" s="155"/>
      <c r="L31" s="156"/>
      <c r="M31" s="156"/>
      <c r="N31" s="156"/>
      <c r="O31" s="164"/>
      <c r="P31" s="164"/>
      <c r="Q31" s="75"/>
      <c r="R31" s="74"/>
      <c r="S31" s="74"/>
      <c r="T31" s="74"/>
    </row>
    <row r="32" spans="1:20" ht="26.1" customHeight="1" thickBot="1" x14ac:dyDescent="0.5">
      <c r="A32" s="60"/>
      <c r="B32" s="46" t="s">
        <v>18</v>
      </c>
      <c r="C32" s="99">
        <v>-3684000</v>
      </c>
      <c r="D32" s="100"/>
      <c r="E32" s="131"/>
      <c r="F32" s="132"/>
      <c r="G32" s="131"/>
      <c r="H32" s="132"/>
      <c r="I32" s="131"/>
      <c r="J32" s="132"/>
      <c r="K32" s="116">
        <v>-4012000</v>
      </c>
      <c r="L32" s="124"/>
      <c r="M32" s="99">
        <v>-4012000</v>
      </c>
      <c r="N32" s="100"/>
      <c r="O32" s="163">
        <v>0</v>
      </c>
      <c r="P32" s="100"/>
      <c r="Q32" s="99">
        <v>-3684000</v>
      </c>
      <c r="R32" s="100"/>
      <c r="S32" s="99">
        <v>0</v>
      </c>
      <c r="T32" s="100"/>
    </row>
    <row r="33" spans="1:21" ht="26.1" customHeight="1" thickTop="1" thickBot="1" x14ac:dyDescent="0.5">
      <c r="A33" s="60"/>
      <c r="B33" s="71" t="s">
        <v>80</v>
      </c>
      <c r="C33" s="140">
        <f>C30+C32</f>
        <v>259621000</v>
      </c>
      <c r="D33" s="141"/>
      <c r="E33" s="132"/>
      <c r="F33" s="132"/>
      <c r="G33" s="131"/>
      <c r="H33" s="132"/>
      <c r="I33" s="131"/>
      <c r="J33" s="132"/>
      <c r="K33" s="111">
        <f>K30+K32</f>
        <v>263982000</v>
      </c>
      <c r="L33" s="158"/>
      <c r="M33" s="105">
        <f>M30+M32</f>
        <v>170224000</v>
      </c>
      <c r="N33" s="105"/>
      <c r="O33" s="140">
        <f>O30+O32</f>
        <v>93076000</v>
      </c>
      <c r="P33" s="165"/>
      <c r="Q33" s="101">
        <f>Q30+Q32</f>
        <v>249106000</v>
      </c>
      <c r="R33" s="105"/>
      <c r="S33" s="101">
        <f>S30+S32</f>
        <v>93390000</v>
      </c>
      <c r="T33" s="102"/>
      <c r="U33" s="70"/>
    </row>
    <row r="34" spans="1:21" ht="26.1" customHeight="1" thickTop="1" thickBot="1" x14ac:dyDescent="0.5">
      <c r="A34" s="60"/>
      <c r="B34" s="72" t="s">
        <v>19</v>
      </c>
      <c r="C34" s="135">
        <f>(C30+C32)*0.1</f>
        <v>25962100</v>
      </c>
      <c r="D34" s="136"/>
      <c r="E34" s="132"/>
      <c r="F34" s="132"/>
      <c r="G34" s="131"/>
      <c r="H34" s="132"/>
      <c r="I34" s="131"/>
      <c r="J34" s="132"/>
      <c r="K34" s="95">
        <f>(K30+K32)*0.1</f>
        <v>26398200</v>
      </c>
      <c r="L34" s="96"/>
      <c r="M34" s="103">
        <f>(M30+M32)*0.1</f>
        <v>17022400</v>
      </c>
      <c r="N34" s="104"/>
      <c r="O34" s="153">
        <f>(O30+O32)*0.1</f>
        <v>9307600</v>
      </c>
      <c r="P34" s="154"/>
      <c r="Q34" s="103">
        <f>(Q30+Q32)*0.1</f>
        <v>24910600</v>
      </c>
      <c r="R34" s="104"/>
      <c r="S34" s="103">
        <f>(S30+S32)*0.1</f>
        <v>9339000</v>
      </c>
      <c r="T34" s="104"/>
    </row>
    <row r="35" spans="1:21" ht="26.1" customHeight="1" thickTop="1" thickBot="1" x14ac:dyDescent="0.5">
      <c r="A35" s="61"/>
      <c r="B35" s="73" t="s">
        <v>81</v>
      </c>
      <c r="C35" s="135">
        <f>C30+C32+C34</f>
        <v>285583100</v>
      </c>
      <c r="D35" s="136"/>
      <c r="E35" s="133"/>
      <c r="F35" s="133"/>
      <c r="G35" s="134"/>
      <c r="H35" s="133"/>
      <c r="I35" s="134"/>
      <c r="J35" s="133"/>
      <c r="K35" s="97">
        <f>K30+K32+K34</f>
        <v>290380200</v>
      </c>
      <c r="L35" s="98"/>
      <c r="M35" s="97">
        <f>M30+M32+M34</f>
        <v>187246400</v>
      </c>
      <c r="N35" s="98"/>
      <c r="O35" s="159">
        <f>O30+O32+O34</f>
        <v>102383600</v>
      </c>
      <c r="P35" s="98"/>
      <c r="Q35" s="97">
        <f>Q30+Q32+Q34</f>
        <v>274016600</v>
      </c>
      <c r="R35" s="98"/>
      <c r="S35" s="97">
        <f>S30+S32+S34</f>
        <v>102729000</v>
      </c>
      <c r="T35" s="98"/>
    </row>
    <row r="36" spans="1:21" ht="10.8" customHeight="1" x14ac:dyDescent="0.45">
      <c r="A36" s="36"/>
      <c r="B36" s="36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1" s="4" customFormat="1" ht="34.200000000000003" x14ac:dyDescent="0.45">
      <c r="A37" s="63"/>
      <c r="B37" s="63"/>
      <c r="C37" s="64"/>
      <c r="D37" s="65" t="s">
        <v>4</v>
      </c>
      <c r="E37" s="65"/>
      <c r="F37" s="65"/>
      <c r="G37" s="65"/>
      <c r="H37" s="65"/>
      <c r="I37" s="65"/>
      <c r="J37" s="65"/>
      <c r="K37" s="66"/>
      <c r="L37" s="67" t="s">
        <v>62</v>
      </c>
      <c r="M37" s="66"/>
      <c r="N37" s="67" t="s">
        <v>64</v>
      </c>
      <c r="O37" s="64"/>
      <c r="P37" s="67" t="s">
        <v>65</v>
      </c>
      <c r="Q37" s="83"/>
      <c r="R37" s="67" t="s">
        <v>92</v>
      </c>
      <c r="S37" s="83"/>
      <c r="T37" s="67" t="s">
        <v>93</v>
      </c>
      <c r="U37" s="5"/>
    </row>
    <row r="38" spans="1:21" s="4" customFormat="1" ht="22.8" x14ac:dyDescent="0.45">
      <c r="A38" s="63"/>
      <c r="B38" s="63"/>
      <c r="C38" s="68"/>
      <c r="D38" s="65" t="s">
        <v>0</v>
      </c>
      <c r="E38" s="65"/>
      <c r="F38" s="65"/>
      <c r="G38" s="65"/>
      <c r="H38" s="65"/>
      <c r="I38" s="65"/>
      <c r="J38" s="65"/>
      <c r="K38" s="68"/>
      <c r="L38" s="67" t="s">
        <v>63</v>
      </c>
      <c r="M38" s="68"/>
      <c r="N38" s="67" t="s">
        <v>63</v>
      </c>
      <c r="O38" s="68"/>
      <c r="P38" s="67" t="s">
        <v>63</v>
      </c>
      <c r="Q38" s="68"/>
      <c r="R38" s="67" t="s">
        <v>63</v>
      </c>
      <c r="S38" s="68"/>
      <c r="T38" s="67" t="s">
        <v>63</v>
      </c>
      <c r="U38" s="5"/>
    </row>
    <row r="39" spans="1:21" ht="15" thickBot="1" x14ac:dyDescent="0.5">
      <c r="A39" s="36"/>
      <c r="B39" s="36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1" ht="19.2" thickTop="1" thickBot="1" x14ac:dyDescent="0.5">
      <c r="A40" s="36"/>
      <c r="B40" s="36"/>
      <c r="C40"/>
      <c r="D40"/>
      <c r="E40"/>
      <c r="F40"/>
      <c r="G40"/>
      <c r="H40"/>
      <c r="I40"/>
      <c r="J40"/>
      <c r="K40"/>
      <c r="L40"/>
      <c r="M40"/>
      <c r="N40" s="62"/>
      <c r="O40" s="69"/>
      <c r="P40" s="62" t="s">
        <v>3</v>
      </c>
      <c r="Q40" s="62"/>
      <c r="R40" s="62"/>
      <c r="S40" s="62"/>
      <c r="T40" s="62"/>
    </row>
    <row r="41" spans="1:21" ht="12.6" thickTop="1" x14ac:dyDescent="0.45"/>
  </sheetData>
  <mergeCells count="186">
    <mergeCell ref="G8:H8"/>
    <mergeCell ref="G9:H9"/>
    <mergeCell ref="I8:J9"/>
    <mergeCell ref="O8:P8"/>
    <mergeCell ref="O9:P9"/>
    <mergeCell ref="C8:D8"/>
    <mergeCell ref="A4:P4"/>
    <mergeCell ref="A10:P10"/>
    <mergeCell ref="A17:D17"/>
    <mergeCell ref="K17:N17"/>
    <mergeCell ref="O17:P17"/>
    <mergeCell ref="C12:D12"/>
    <mergeCell ref="C11:D11"/>
    <mergeCell ref="K11:L11"/>
    <mergeCell ref="K12:L12"/>
    <mergeCell ref="B5:B6"/>
    <mergeCell ref="M7:N7"/>
    <mergeCell ref="O7:P7"/>
    <mergeCell ref="C9:D9"/>
    <mergeCell ref="K9:L9"/>
    <mergeCell ref="E11:F11"/>
    <mergeCell ref="E12:F12"/>
    <mergeCell ref="E8:F8"/>
    <mergeCell ref="E9:F9"/>
    <mergeCell ref="A22:D22"/>
    <mergeCell ref="K22:N22"/>
    <mergeCell ref="O22:P22"/>
    <mergeCell ref="O13:P13"/>
    <mergeCell ref="O15:P15"/>
    <mergeCell ref="O16:P16"/>
    <mergeCell ref="O18:P18"/>
    <mergeCell ref="O20:P20"/>
    <mergeCell ref="C16:D16"/>
    <mergeCell ref="C18:D18"/>
    <mergeCell ref="C15:D15"/>
    <mergeCell ref="C20:D20"/>
    <mergeCell ref="C13:D13"/>
    <mergeCell ref="O35:P35"/>
    <mergeCell ref="O21:P21"/>
    <mergeCell ref="O23:P23"/>
    <mergeCell ref="O25:P25"/>
    <mergeCell ref="O26:P26"/>
    <mergeCell ref="O27:P27"/>
    <mergeCell ref="O32:P32"/>
    <mergeCell ref="O31:P31"/>
    <mergeCell ref="M32:N32"/>
    <mergeCell ref="O33:P33"/>
    <mergeCell ref="I12:J12"/>
    <mergeCell ref="K13:L13"/>
    <mergeCell ref="K26:L26"/>
    <mergeCell ref="K27:L27"/>
    <mergeCell ref="K28:L28"/>
    <mergeCell ref="K29:L29"/>
    <mergeCell ref="K32:L32"/>
    <mergeCell ref="K31:N31"/>
    <mergeCell ref="K30:L30"/>
    <mergeCell ref="K23:L23"/>
    <mergeCell ref="K25:L25"/>
    <mergeCell ref="K15:L15"/>
    <mergeCell ref="I13:J35"/>
    <mergeCell ref="K35:L35"/>
    <mergeCell ref="M35:N35"/>
    <mergeCell ref="K33:L33"/>
    <mergeCell ref="M33:N33"/>
    <mergeCell ref="O2:P2"/>
    <mergeCell ref="O3:P3"/>
    <mergeCell ref="O5:P6"/>
    <mergeCell ref="O11:P11"/>
    <mergeCell ref="O12:P12"/>
    <mergeCell ref="M28:N28"/>
    <mergeCell ref="M29:N29"/>
    <mergeCell ref="M30:N30"/>
    <mergeCell ref="M34:N34"/>
    <mergeCell ref="O28:P28"/>
    <mergeCell ref="O29:P29"/>
    <mergeCell ref="O30:P30"/>
    <mergeCell ref="O34:P34"/>
    <mergeCell ref="M13:N13"/>
    <mergeCell ref="M15:N15"/>
    <mergeCell ref="M16:N16"/>
    <mergeCell ref="M18:N18"/>
    <mergeCell ref="M21:N21"/>
    <mergeCell ref="M23:N23"/>
    <mergeCell ref="M25:N25"/>
    <mergeCell ref="M26:N26"/>
    <mergeCell ref="M27:N27"/>
    <mergeCell ref="M20:N20"/>
    <mergeCell ref="M2:N2"/>
    <mergeCell ref="M3:N3"/>
    <mergeCell ref="M5:N6"/>
    <mergeCell ref="M11:N11"/>
    <mergeCell ref="M12:N12"/>
    <mergeCell ref="M8:N8"/>
    <mergeCell ref="M9:N9"/>
    <mergeCell ref="C2:D2"/>
    <mergeCell ref="E2:F2"/>
    <mergeCell ref="I2:J2"/>
    <mergeCell ref="C5:D6"/>
    <mergeCell ref="E5:F6"/>
    <mergeCell ref="I3:J3"/>
    <mergeCell ref="C3:D3"/>
    <mergeCell ref="K2:L2"/>
    <mergeCell ref="K3:L3"/>
    <mergeCell ref="K5:L6"/>
    <mergeCell ref="G3:H3"/>
    <mergeCell ref="G5:H6"/>
    <mergeCell ref="E3:F3"/>
    <mergeCell ref="G2:H2"/>
    <mergeCell ref="C7:D7"/>
    <mergeCell ref="E7:F7"/>
    <mergeCell ref="G7:H7"/>
    <mergeCell ref="K7:L7"/>
    <mergeCell ref="K8:L8"/>
    <mergeCell ref="G11:H11"/>
    <mergeCell ref="G12:H12"/>
    <mergeCell ref="E13:F35"/>
    <mergeCell ref="G13:H35"/>
    <mergeCell ref="C35:D35"/>
    <mergeCell ref="C21:D21"/>
    <mergeCell ref="C23:D23"/>
    <mergeCell ref="C25:D25"/>
    <mergeCell ref="C27:D27"/>
    <mergeCell ref="C28:D28"/>
    <mergeCell ref="C29:D29"/>
    <mergeCell ref="C30:D30"/>
    <mergeCell ref="C34:D34"/>
    <mergeCell ref="C32:D32"/>
    <mergeCell ref="A31:D31"/>
    <mergeCell ref="C26:D26"/>
    <mergeCell ref="C33:D33"/>
    <mergeCell ref="K34:L34"/>
    <mergeCell ref="K16:L16"/>
    <mergeCell ref="K18:L18"/>
    <mergeCell ref="K20:L20"/>
    <mergeCell ref="K21:L21"/>
    <mergeCell ref="I11:J11"/>
    <mergeCell ref="Q2:R2"/>
    <mergeCell ref="Q3:R3"/>
    <mergeCell ref="Q5:R6"/>
    <mergeCell ref="Q7:R7"/>
    <mergeCell ref="Q8:R8"/>
    <mergeCell ref="Q9:R9"/>
    <mergeCell ref="Q11:R11"/>
    <mergeCell ref="Q12:R12"/>
    <mergeCell ref="Q13:R13"/>
    <mergeCell ref="S15:T15"/>
    <mergeCell ref="S16:T16"/>
    <mergeCell ref="S18:T18"/>
    <mergeCell ref="S20:T20"/>
    <mergeCell ref="S21:T21"/>
    <mergeCell ref="S23:T23"/>
    <mergeCell ref="S25:T25"/>
    <mergeCell ref="S26:T26"/>
    <mergeCell ref="Q15:R15"/>
    <mergeCell ref="Q16:R16"/>
    <mergeCell ref="Q18:R18"/>
    <mergeCell ref="Q20:R20"/>
    <mergeCell ref="Q21:R21"/>
    <mergeCell ref="Q23:R23"/>
    <mergeCell ref="Q25:R25"/>
    <mergeCell ref="Q26:R26"/>
    <mergeCell ref="S2:T2"/>
    <mergeCell ref="S3:T3"/>
    <mergeCell ref="S5:T6"/>
    <mergeCell ref="S7:T7"/>
    <mergeCell ref="S8:T8"/>
    <mergeCell ref="S9:T9"/>
    <mergeCell ref="S11:T11"/>
    <mergeCell ref="S12:T12"/>
    <mergeCell ref="S13:T13"/>
    <mergeCell ref="S27:T27"/>
    <mergeCell ref="S28:T28"/>
    <mergeCell ref="S29:T29"/>
    <mergeCell ref="S30:T30"/>
    <mergeCell ref="S32:T32"/>
    <mergeCell ref="S33:T33"/>
    <mergeCell ref="S34:T34"/>
    <mergeCell ref="S35:T35"/>
    <mergeCell ref="Q28:R28"/>
    <mergeCell ref="Q29:R29"/>
    <mergeCell ref="Q30:R30"/>
    <mergeCell ref="Q32:R32"/>
    <mergeCell ref="Q33:R33"/>
    <mergeCell ref="Q34:R34"/>
    <mergeCell ref="Q35:R35"/>
    <mergeCell ref="Q27:R27"/>
  </mergeCells>
  <phoneticPr fontId="3"/>
  <pageMargins left="0.25" right="0.25" top="0.75" bottom="0.75" header="0.3" footer="0.3"/>
  <pageSetup paperSize="8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スライド調書（様式4-2号）</vt:lpstr>
      <vt:lpstr>経費計算シート</vt:lpstr>
      <vt:lpstr>経費計算シート!Print_Area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cp:lastPrinted>2026-09-16T06:08:23Z</cp:lastPrinted>
  <dcterms:created xsi:type="dcterms:W3CDTF">2024-03-14T02:11:45Z</dcterms:created>
  <dcterms:modified xsi:type="dcterms:W3CDTF">2026-09-17T08:01:08Z</dcterms:modified>
</cp:coreProperties>
</file>
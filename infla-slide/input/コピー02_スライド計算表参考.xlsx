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16" activeTab="1"/>
  </bookViews>
  <sheets>
    <sheet name="○○○○○○○工事" sheetId="5" r:id="rId1"/>
    <sheet name="例）○○○○○○○工事" sheetId="4" r:id="rId2"/>
  </sheets>
  <definedNames>
    <definedName name="_xlnm._FilterDatabase" localSheetId="0" hidden="1">○○○○○○○工事!#REF!</definedName>
    <definedName name="_xlnm._FilterDatabase" localSheetId="1" hidden="1">'例）○○○○○○○工事'!#REF!</definedName>
    <definedName name="_xlnm.Print_Area" localSheetId="0">○○○○○○○工事!$A$1:$T$233</definedName>
    <definedName name="_xlnm.Print_Area" localSheetId="1">'例）○○○○○○○工事'!$A$1:$U$248</definedName>
    <definedName name="_xlnm.Print_Titles" localSheetId="0">○○○○○○○工事!$1:$7</definedName>
    <definedName name="_xlnm.Print_Titles" localSheetId="1">'例）○○○○○○○工事'!$1:$7</definedName>
  </definedNames>
  <calcPr calcId="162913"/>
</workbook>
</file>

<file path=xl/calcChain.xml><?xml version="1.0" encoding="utf-8"?>
<calcChain xmlns="http://schemas.openxmlformats.org/spreadsheetml/2006/main">
  <c r="T217" i="4" l="1"/>
  <c r="T219" i="4" s="1"/>
  <c r="T218" i="4"/>
  <c r="S218" i="4"/>
  <c r="R218" i="4"/>
  <c r="Q218" i="4"/>
  <c r="R217" i="4"/>
  <c r="S217" i="4"/>
  <c r="S219" i="4" s="1"/>
  <c r="Q217" i="4"/>
  <c r="T216" i="4"/>
  <c r="S216" i="4"/>
  <c r="T215" i="4"/>
  <c r="S215" i="4"/>
  <c r="T214" i="4"/>
  <c r="S214" i="4"/>
  <c r="S213" i="4"/>
  <c r="R214" i="4"/>
  <c r="Q214" i="4"/>
  <c r="T213" i="4"/>
  <c r="T212" i="4"/>
  <c r="T211" i="4"/>
  <c r="S211" i="4"/>
  <c r="R211" i="4"/>
  <c r="T210" i="4"/>
  <c r="T209" i="4"/>
  <c r="T203" i="4"/>
  <c r="T202" i="4"/>
  <c r="R203" i="4"/>
  <c r="R202" i="4"/>
  <c r="S210" i="4"/>
  <c r="S209" i="4"/>
  <c r="R210" i="4"/>
  <c r="Q210" i="4"/>
  <c r="R209" i="4"/>
  <c r="T220" i="4" l="1"/>
  <c r="T221" i="4" s="1"/>
  <c r="S220" i="4"/>
  <c r="S221" i="4" s="1"/>
  <c r="Q203" i="4"/>
  <c r="Q209" i="4"/>
  <c r="S208" i="4"/>
  <c r="R208" i="4"/>
  <c r="Q208" i="4"/>
  <c r="Q207" i="4"/>
  <c r="Q206" i="4"/>
  <c r="S207" i="4"/>
  <c r="S206" i="4"/>
  <c r="S205" i="4"/>
  <c r="S204" i="4"/>
  <c r="S203" i="4"/>
  <c r="S201" i="4"/>
  <c r="R205" i="4"/>
  <c r="S199" i="4"/>
  <c r="R206" i="4"/>
  <c r="Q205" i="4"/>
  <c r="Q204" i="4"/>
  <c r="Q202" i="4"/>
  <c r="S212" i="4" l="1"/>
  <c r="S202" i="4" l="1"/>
  <c r="T205" i="4"/>
  <c r="Q198" i="4"/>
  <c r="S198" i="4"/>
  <c r="Q183" i="4"/>
  <c r="T198" i="4"/>
  <c r="T31" i="4"/>
  <c r="Q11" i="4"/>
  <c r="R23" i="4"/>
  <c r="R19" i="4"/>
  <c r="R18" i="4"/>
  <c r="R17" i="4"/>
  <c r="S135" i="4" l="1"/>
  <c r="S134" i="4"/>
  <c r="S133" i="4"/>
  <c r="S89" i="4"/>
  <c r="S88" i="4"/>
  <c r="S87" i="4"/>
  <c r="S43" i="4"/>
  <c r="S42" i="4"/>
  <c r="S18" i="4" l="1"/>
  <c r="S15" i="4"/>
  <c r="J44" i="4" l="1"/>
  <c r="T186" i="4"/>
  <c r="T185" i="4"/>
  <c r="T197" i="4"/>
  <c r="T196" i="4"/>
  <c r="T193" i="4"/>
  <c r="T192" i="4"/>
  <c r="T191" i="4"/>
  <c r="T190" i="4"/>
  <c r="T189" i="4"/>
  <c r="T181" i="4"/>
  <c r="T180" i="4" s="1"/>
  <c r="T179" i="4" s="1"/>
  <c r="T178" i="4"/>
  <c r="T177" i="4"/>
  <c r="T175" i="4"/>
  <c r="T174" i="4" s="1"/>
  <c r="T173" i="4"/>
  <c r="T172" i="4"/>
  <c r="T169" i="4"/>
  <c r="T168" i="4"/>
  <c r="T167" i="4"/>
  <c r="T166" i="4"/>
  <c r="T165" i="4"/>
  <c r="T164" i="4"/>
  <c r="T163" i="4"/>
  <c r="T159" i="4"/>
  <c r="T158" i="4"/>
  <c r="T156" i="4"/>
  <c r="T155" i="4"/>
  <c r="T154" i="4"/>
  <c r="T152" i="4"/>
  <c r="T151" i="4" s="1"/>
  <c r="T150" i="4"/>
  <c r="T149" i="4" s="1"/>
  <c r="T147" i="4"/>
  <c r="T146" i="4" s="1"/>
  <c r="T145" i="4"/>
  <c r="T144" i="4" s="1"/>
  <c r="T143" i="4"/>
  <c r="T142" i="4" s="1"/>
  <c r="T139" i="4"/>
  <c r="T138" i="4"/>
  <c r="T137" i="4"/>
  <c r="T135" i="4"/>
  <c r="T134" i="4"/>
  <c r="T133" i="4"/>
  <c r="T132" i="4"/>
  <c r="T129" i="4"/>
  <c r="T128" i="4" s="1"/>
  <c r="T127" i="4"/>
  <c r="T126" i="4" s="1"/>
  <c r="T125" i="4"/>
  <c r="T124" i="4"/>
  <c r="T123" i="4"/>
  <c r="T122" i="4"/>
  <c r="T120" i="4"/>
  <c r="T119" i="4"/>
  <c r="T118" i="4"/>
  <c r="T117" i="4"/>
  <c r="T116" i="4"/>
  <c r="T115" i="4"/>
  <c r="T113" i="4"/>
  <c r="T112" i="4"/>
  <c r="T111" i="4"/>
  <c r="T109" i="4"/>
  <c r="T108" i="4"/>
  <c r="T106" i="4"/>
  <c r="T105" i="4" s="1"/>
  <c r="T104" i="4"/>
  <c r="T103" i="4" s="1"/>
  <c r="T102" i="4"/>
  <c r="T101" i="4" s="1"/>
  <c r="T100" i="4"/>
  <c r="T99" i="4" s="1"/>
  <c r="T98" i="4"/>
  <c r="T97" i="4" s="1"/>
  <c r="T96" i="4"/>
  <c r="T95" i="4" s="1"/>
  <c r="T93" i="4"/>
  <c r="T92" i="4"/>
  <c r="T91" i="4"/>
  <c r="T89" i="4"/>
  <c r="T88" i="4"/>
  <c r="T87" i="4"/>
  <c r="T86" i="4"/>
  <c r="T83" i="4"/>
  <c r="T82" i="4" s="1"/>
  <c r="T81" i="4"/>
  <c r="T80" i="4" s="1"/>
  <c r="T79" i="4"/>
  <c r="T78" i="4"/>
  <c r="T77" i="4"/>
  <c r="T76" i="4"/>
  <c r="T74" i="4"/>
  <c r="T73" i="4"/>
  <c r="T72" i="4"/>
  <c r="T71" i="4"/>
  <c r="T70" i="4"/>
  <c r="T68" i="4"/>
  <c r="T67" i="4"/>
  <c r="T66" i="4"/>
  <c r="T64" i="4"/>
  <c r="T63" i="4"/>
  <c r="T61" i="4"/>
  <c r="T60" i="4" s="1"/>
  <c r="T59" i="4"/>
  <c r="T58" i="4" s="1"/>
  <c r="T57" i="4"/>
  <c r="T56" i="4" s="1"/>
  <c r="T55" i="4"/>
  <c r="T54" i="4" s="1"/>
  <c r="T53" i="4"/>
  <c r="T52" i="4" s="1"/>
  <c r="T51" i="4"/>
  <c r="T50" i="4" s="1"/>
  <c r="T47" i="4"/>
  <c r="T46" i="4"/>
  <c r="T45" i="4"/>
  <c r="T43" i="4"/>
  <c r="T42" i="4"/>
  <c r="T41" i="4"/>
  <c r="T38" i="4"/>
  <c r="T37" i="4"/>
  <c r="T36" i="4"/>
  <c r="T34" i="4"/>
  <c r="T33" i="4"/>
  <c r="T32" i="4"/>
  <c r="T29" i="4"/>
  <c r="T28" i="4" s="1"/>
  <c r="T27" i="4"/>
  <c r="T26" i="4"/>
  <c r="T24" i="4"/>
  <c r="T23" i="4" s="1"/>
  <c r="T22" i="4"/>
  <c r="T21" i="4" s="1"/>
  <c r="T20" i="4"/>
  <c r="T19" i="4" s="1"/>
  <c r="T18" i="4"/>
  <c r="T17" i="4" s="1"/>
  <c r="T16" i="4"/>
  <c r="T15" i="4"/>
  <c r="T13" i="4"/>
  <c r="T12" i="4" s="1"/>
  <c r="S145" i="4"/>
  <c r="S144" i="4" s="1"/>
  <c r="S197" i="4"/>
  <c r="S196" i="4"/>
  <c r="S193" i="4"/>
  <c r="S192" i="4"/>
  <c r="S191" i="4"/>
  <c r="S190" i="4"/>
  <c r="S189" i="4"/>
  <c r="S186" i="4"/>
  <c r="S185" i="4"/>
  <c r="S181" i="4"/>
  <c r="S180" i="4" s="1"/>
  <c r="S179" i="4" s="1"/>
  <c r="S175" i="4"/>
  <c r="S174" i="4" s="1"/>
  <c r="S178" i="4"/>
  <c r="S177" i="4"/>
  <c r="S173" i="4"/>
  <c r="S172" i="4"/>
  <c r="S169" i="4"/>
  <c r="S168" i="4"/>
  <c r="S167" i="4"/>
  <c r="S166" i="4"/>
  <c r="S165" i="4"/>
  <c r="S164" i="4"/>
  <c r="S163" i="4"/>
  <c r="S159" i="4"/>
  <c r="S158" i="4"/>
  <c r="S156" i="4"/>
  <c r="S155" i="4"/>
  <c r="S154" i="4"/>
  <c r="S152" i="4"/>
  <c r="S151" i="4" s="1"/>
  <c r="S150" i="4"/>
  <c r="S149" i="4" s="1"/>
  <c r="S147" i="4"/>
  <c r="S146" i="4" s="1"/>
  <c r="S143" i="4"/>
  <c r="S142" i="4" s="1"/>
  <c r="S139" i="4"/>
  <c r="S138" i="4"/>
  <c r="S137" i="4"/>
  <c r="S132" i="4"/>
  <c r="S129" i="4"/>
  <c r="S128" i="4" s="1"/>
  <c r="S127" i="4"/>
  <c r="S126" i="4" s="1"/>
  <c r="S125" i="4"/>
  <c r="S124" i="4"/>
  <c r="S123" i="4"/>
  <c r="S122" i="4"/>
  <c r="S120" i="4"/>
  <c r="S119" i="4"/>
  <c r="S118" i="4"/>
  <c r="S117" i="4"/>
  <c r="S116" i="4"/>
  <c r="S115" i="4"/>
  <c r="S113" i="4"/>
  <c r="S112" i="4"/>
  <c r="S111" i="4"/>
  <c r="S109" i="4"/>
  <c r="S108" i="4"/>
  <c r="S106" i="4"/>
  <c r="S105" i="4" s="1"/>
  <c r="S104" i="4"/>
  <c r="S103" i="4" s="1"/>
  <c r="S102" i="4"/>
  <c r="S101" i="4" s="1"/>
  <c r="S100" i="4"/>
  <c r="S99" i="4" s="1"/>
  <c r="S98" i="4"/>
  <c r="S97" i="4" s="1"/>
  <c r="S96" i="4"/>
  <c r="S95" i="4" s="1"/>
  <c r="S93" i="4"/>
  <c r="S92" i="4"/>
  <c r="S91" i="4"/>
  <c r="S86" i="4"/>
  <c r="S83" i="4"/>
  <c r="S82" i="4" s="1"/>
  <c r="S81" i="4"/>
  <c r="S80" i="4" s="1"/>
  <c r="S79" i="4"/>
  <c r="S78" i="4"/>
  <c r="S77" i="4"/>
  <c r="S76" i="4"/>
  <c r="S74" i="4"/>
  <c r="S73" i="4"/>
  <c r="S72" i="4"/>
  <c r="S71" i="4"/>
  <c r="S70" i="4"/>
  <c r="S68" i="4"/>
  <c r="S67" i="4"/>
  <c r="S66" i="4"/>
  <c r="S64" i="4"/>
  <c r="S63" i="4"/>
  <c r="S61" i="4"/>
  <c r="S60" i="4" s="1"/>
  <c r="S59" i="4"/>
  <c r="S58" i="4" s="1"/>
  <c r="S57" i="4"/>
  <c r="S56" i="4" s="1"/>
  <c r="S55" i="4"/>
  <c r="S54" i="4" s="1"/>
  <c r="S53" i="4"/>
  <c r="S52" i="4" s="1"/>
  <c r="S51" i="4"/>
  <c r="S50" i="4" s="1"/>
  <c r="S47" i="4"/>
  <c r="S46" i="4"/>
  <c r="S45" i="4"/>
  <c r="S41" i="4"/>
  <c r="S38" i="4"/>
  <c r="S37" i="4"/>
  <c r="S36" i="4"/>
  <c r="S34" i="4"/>
  <c r="S33" i="4"/>
  <c r="S32" i="4"/>
  <c r="S31" i="4"/>
  <c r="S29" i="4"/>
  <c r="S28" i="4" s="1"/>
  <c r="S27" i="4"/>
  <c r="S26" i="4"/>
  <c r="S24" i="4"/>
  <c r="S23" i="4" s="1"/>
  <c r="S22" i="4"/>
  <c r="S21" i="4" s="1"/>
  <c r="S20" i="4"/>
  <c r="S19" i="4" s="1"/>
  <c r="S17" i="4"/>
  <c r="S16" i="4"/>
  <c r="S13" i="4"/>
  <c r="S12" i="4" s="1"/>
  <c r="J136" i="4"/>
  <c r="S136" i="4" s="1"/>
  <c r="J90" i="4"/>
  <c r="S62" i="4" l="1"/>
  <c r="T44" i="4"/>
  <c r="S44" i="4"/>
  <c r="S40" i="4" s="1"/>
  <c r="S39" i="4" s="1"/>
  <c r="S121" i="4"/>
  <c r="S153" i="4"/>
  <c r="S176" i="4"/>
  <c r="S188" i="4"/>
  <c r="S187" i="4" s="1"/>
  <c r="T114" i="4"/>
  <c r="T110" i="4"/>
  <c r="T162" i="4"/>
  <c r="T161" i="4" s="1"/>
  <c r="S157" i="4"/>
  <c r="S184" i="4"/>
  <c r="S183" i="4" s="1"/>
  <c r="S14" i="4"/>
  <c r="S107" i="4"/>
  <c r="T171" i="4"/>
  <c r="T14" i="4"/>
  <c r="T184" i="4"/>
  <c r="T183" i="4" s="1"/>
  <c r="S25" i="4"/>
  <c r="S30" i="4"/>
  <c r="S69" i="4"/>
  <c r="S195" i="4"/>
  <c r="S194" i="4" s="1"/>
  <c r="T62" i="4"/>
  <c r="T141" i="4"/>
  <c r="S75" i="4"/>
  <c r="S171" i="4"/>
  <c r="T30" i="4"/>
  <c r="T65" i="4"/>
  <c r="T75" i="4"/>
  <c r="S110" i="4"/>
  <c r="T195" i="4"/>
  <c r="T194" i="4" s="1"/>
  <c r="T176" i="4"/>
  <c r="T170" i="4" s="1"/>
  <c r="T160" i="4" s="1"/>
  <c r="T188" i="4"/>
  <c r="T187" i="4" s="1"/>
  <c r="T25" i="4"/>
  <c r="T107" i="4"/>
  <c r="T157" i="4"/>
  <c r="S65" i="4"/>
  <c r="T35" i="4"/>
  <c r="T69" i="4"/>
  <c r="T121" i="4"/>
  <c r="T153" i="4"/>
  <c r="S162" i="4"/>
  <c r="S161" i="4" s="1"/>
  <c r="S148" i="4"/>
  <c r="S141" i="4"/>
  <c r="S114" i="4"/>
  <c r="S35" i="4"/>
  <c r="R193" i="4"/>
  <c r="Q15" i="4"/>
  <c r="S94" i="4" l="1"/>
  <c r="S49" i="4"/>
  <c r="T206" i="4"/>
  <c r="S170" i="4"/>
  <c r="S11" i="4"/>
  <c r="T49" i="4"/>
  <c r="T94" i="4"/>
  <c r="T11" i="4"/>
  <c r="T148" i="4"/>
  <c r="T140" i="4" s="1"/>
  <c r="S160" i="4"/>
  <c r="S140" i="4"/>
  <c r="Q37" i="4" l="1"/>
  <c r="Q38" i="4"/>
  <c r="Q36" i="4"/>
  <c r="Q197" i="4" l="1"/>
  <c r="Q196" i="4"/>
  <c r="Q193" i="4"/>
  <c r="Q192" i="4"/>
  <c r="Q191" i="4"/>
  <c r="Q190" i="4"/>
  <c r="Q189" i="4"/>
  <c r="Q186" i="4"/>
  <c r="Q185" i="4"/>
  <c r="Q181" i="4"/>
  <c r="Q180" i="4" s="1"/>
  <c r="Q179" i="4" s="1"/>
  <c r="Q178" i="4"/>
  <c r="Q177" i="4"/>
  <c r="Q175" i="4"/>
  <c r="Q174" i="4" s="1"/>
  <c r="Q173" i="4"/>
  <c r="Q172" i="4"/>
  <c r="Q169" i="4"/>
  <c r="Q168" i="4"/>
  <c r="Q167" i="4"/>
  <c r="Q166" i="4"/>
  <c r="Q165" i="4"/>
  <c r="Q164" i="4"/>
  <c r="Q163" i="4"/>
  <c r="Q159" i="4"/>
  <c r="Q158" i="4"/>
  <c r="Q156" i="4"/>
  <c r="Q155" i="4"/>
  <c r="Q154" i="4"/>
  <c r="Q152" i="4"/>
  <c r="Q150" i="4"/>
  <c r="Q149" i="4" s="1"/>
  <c r="Q147" i="4"/>
  <c r="Q146" i="4" s="1"/>
  <c r="Q145" i="4"/>
  <c r="Q144" i="4" s="1"/>
  <c r="Q143" i="4"/>
  <c r="Q139" i="4"/>
  <c r="Q138" i="4"/>
  <c r="Q137" i="4"/>
  <c r="Q135" i="4"/>
  <c r="Q134" i="4"/>
  <c r="Q133" i="4"/>
  <c r="Q132" i="4"/>
  <c r="Q129" i="4"/>
  <c r="Q127" i="4"/>
  <c r="Q126" i="4" s="1"/>
  <c r="Q125" i="4"/>
  <c r="Q124" i="4"/>
  <c r="Q123" i="4"/>
  <c r="Q122" i="4"/>
  <c r="Q120" i="4"/>
  <c r="Q119" i="4"/>
  <c r="Q118" i="4"/>
  <c r="Q117" i="4"/>
  <c r="Q116" i="4"/>
  <c r="Q115" i="4"/>
  <c r="Q113" i="4"/>
  <c r="Q112" i="4"/>
  <c r="Q111" i="4"/>
  <c r="Q109" i="4"/>
  <c r="Q108" i="4"/>
  <c r="Q106" i="4"/>
  <c r="Q105" i="4" s="1"/>
  <c r="Q104" i="4"/>
  <c r="Q103" i="4" s="1"/>
  <c r="Q102" i="4"/>
  <c r="Q101" i="4" s="1"/>
  <c r="Q100" i="4"/>
  <c r="Q99" i="4" s="1"/>
  <c r="Q98" i="4"/>
  <c r="Q97" i="4" s="1"/>
  <c r="Q96" i="4"/>
  <c r="Q95" i="4" s="1"/>
  <c r="Q93" i="4"/>
  <c r="Q92" i="4"/>
  <c r="Q91" i="4"/>
  <c r="Q89" i="4"/>
  <c r="Q88" i="4"/>
  <c r="Q87" i="4"/>
  <c r="Q86" i="4"/>
  <c r="Q83" i="4"/>
  <c r="Q82" i="4" s="1"/>
  <c r="Q81" i="4"/>
  <c r="Q80" i="4" s="1"/>
  <c r="Q79" i="4"/>
  <c r="Q78" i="4"/>
  <c r="Q77" i="4"/>
  <c r="Q76" i="4"/>
  <c r="Q74" i="4"/>
  <c r="Q73" i="4"/>
  <c r="Q72" i="4"/>
  <c r="Q71" i="4"/>
  <c r="Q70" i="4"/>
  <c r="Q68" i="4"/>
  <c r="Q67" i="4"/>
  <c r="Q66" i="4"/>
  <c r="Q64" i="4"/>
  <c r="Q63" i="4"/>
  <c r="Q61" i="4"/>
  <c r="Q60" i="4" s="1"/>
  <c r="Q59" i="4"/>
  <c r="Q57" i="4"/>
  <c r="Q56" i="4" s="1"/>
  <c r="Q55" i="4"/>
  <c r="Q54" i="4" s="1"/>
  <c r="Q53" i="4"/>
  <c r="Q52" i="4" s="1"/>
  <c r="Q51" i="4"/>
  <c r="Q47" i="4"/>
  <c r="Q46" i="4"/>
  <c r="Q45" i="4"/>
  <c r="Q43" i="4"/>
  <c r="Q42" i="4"/>
  <c r="Q41" i="4"/>
  <c r="Q34" i="4"/>
  <c r="Q33" i="4"/>
  <c r="Q32" i="4"/>
  <c r="Q31" i="4"/>
  <c r="Q29" i="4"/>
  <c r="Q28" i="4" s="1"/>
  <c r="Q27" i="4"/>
  <c r="Q26" i="4"/>
  <c r="Q24" i="4"/>
  <c r="Q23" i="4" s="1"/>
  <c r="Q22" i="4"/>
  <c r="Q20" i="4"/>
  <c r="Q19" i="4" s="1"/>
  <c r="Q18" i="4"/>
  <c r="Q17" i="4" s="1"/>
  <c r="Q16" i="4"/>
  <c r="Q14" i="4" s="1"/>
  <c r="Q13" i="4"/>
  <c r="Q12" i="4" s="1"/>
  <c r="Q151" i="4"/>
  <c r="Q142" i="4"/>
  <c r="Q128" i="4"/>
  <c r="Q58" i="4"/>
  <c r="Q50" i="4"/>
  <c r="Q35" i="4"/>
  <c r="Q157" i="4" l="1"/>
  <c r="Q176" i="4"/>
  <c r="S90" i="4"/>
  <c r="Q171" i="4"/>
  <c r="Q195" i="4"/>
  <c r="Q194" i="4" s="1"/>
  <c r="Q65" i="4"/>
  <c r="Q25" i="4"/>
  <c r="Q184" i="4"/>
  <c r="Q107" i="4"/>
  <c r="Q170" i="4"/>
  <c r="Q62" i="4"/>
  <c r="Q75" i="4"/>
  <c r="Q153" i="4"/>
  <c r="Q148" i="4" s="1"/>
  <c r="Q162" i="4"/>
  <c r="Q161" i="4" s="1"/>
  <c r="Q188" i="4"/>
  <c r="Q187" i="4" s="1"/>
  <c r="I44" i="4"/>
  <c r="Q44" i="4" s="1"/>
  <c r="Q69" i="4"/>
  <c r="I90" i="4"/>
  <c r="Q110" i="4"/>
  <c r="Q30" i="4"/>
  <c r="I136" i="4"/>
  <c r="Q21" i="4"/>
  <c r="Q141" i="4"/>
  <c r="Q121" i="4"/>
  <c r="Q114" i="4"/>
  <c r="R13" i="4"/>
  <c r="R12" i="4" s="1"/>
  <c r="Q90" i="4" l="1"/>
  <c r="Q85" i="4" s="1"/>
  <c r="Q84" i="4" s="1"/>
  <c r="R90" i="4"/>
  <c r="Q160" i="4"/>
  <c r="Q136" i="4"/>
  <c r="Q131" i="4" s="1"/>
  <c r="Q130" i="4" s="1"/>
  <c r="Q40" i="4"/>
  <c r="Q39" i="4" s="1"/>
  <c r="Q10" i="4" s="1"/>
  <c r="Q49" i="4"/>
  <c r="Q94" i="4"/>
  <c r="Q140" i="4"/>
  <c r="R189" i="4"/>
  <c r="R169" i="4"/>
  <c r="R168" i="4"/>
  <c r="R167" i="4"/>
  <c r="R166" i="4"/>
  <c r="R165" i="4"/>
  <c r="R164" i="4"/>
  <c r="Q48" i="4" l="1"/>
  <c r="Q9" i="4" s="1"/>
  <c r="Q182" i="4" s="1"/>
  <c r="T40" i="4"/>
  <c r="T39" i="4" s="1"/>
  <c r="T10" i="4" s="1"/>
  <c r="S10" i="4"/>
  <c r="S85" i="4"/>
  <c r="S84" i="4" s="1"/>
  <c r="T90" i="4"/>
  <c r="T85" i="4" s="1"/>
  <c r="T84" i="4" s="1"/>
  <c r="T136" i="4"/>
  <c r="T131" i="4" s="1"/>
  <c r="T130" i="4" s="1"/>
  <c r="S131" i="4"/>
  <c r="S130" i="4" s="1"/>
  <c r="Q199" i="4" l="1"/>
  <c r="S48" i="4"/>
  <c r="S9" i="4" s="1"/>
  <c r="S182" i="4" s="1"/>
  <c r="T48" i="4"/>
  <c r="T9" i="4" s="1"/>
  <c r="T182" i="4" s="1"/>
  <c r="T199" i="4" s="1"/>
  <c r="Q200" i="4" l="1"/>
  <c r="S200" i="4"/>
  <c r="T200" i="4" s="1"/>
  <c r="T207" i="4"/>
  <c r="R197" i="4"/>
  <c r="R196" i="4"/>
  <c r="R192" i="4"/>
  <c r="R191" i="4"/>
  <c r="R190" i="4"/>
  <c r="R186" i="4"/>
  <c r="R185" i="4"/>
  <c r="R181" i="4"/>
  <c r="R180" i="4" s="1"/>
  <c r="R179" i="4" s="1"/>
  <c r="R178" i="4"/>
  <c r="R177" i="4"/>
  <c r="R175" i="4"/>
  <c r="R174" i="4" s="1"/>
  <c r="R173" i="4"/>
  <c r="R172" i="4"/>
  <c r="R163" i="4"/>
  <c r="R162" i="4" s="1"/>
  <c r="R161" i="4" s="1"/>
  <c r="R159" i="4"/>
  <c r="R158" i="4"/>
  <c r="R156" i="4"/>
  <c r="R155" i="4"/>
  <c r="R154" i="4"/>
  <c r="R152" i="4"/>
  <c r="R151" i="4" s="1"/>
  <c r="R150" i="4"/>
  <c r="R149" i="4" s="1"/>
  <c r="R147" i="4"/>
  <c r="R146" i="4" s="1"/>
  <c r="R145" i="4"/>
  <c r="R144" i="4" s="1"/>
  <c r="R143" i="4"/>
  <c r="R142" i="4" s="1"/>
  <c r="R139" i="4"/>
  <c r="R138" i="4"/>
  <c r="R137" i="4"/>
  <c r="R136" i="4"/>
  <c r="R135" i="4"/>
  <c r="R134" i="4"/>
  <c r="R133" i="4"/>
  <c r="R132" i="4"/>
  <c r="R129" i="4"/>
  <c r="R128" i="4" s="1"/>
  <c r="R127" i="4"/>
  <c r="R126" i="4" s="1"/>
  <c r="R125" i="4"/>
  <c r="R124" i="4"/>
  <c r="R123" i="4"/>
  <c r="R122" i="4"/>
  <c r="R120" i="4"/>
  <c r="R119" i="4"/>
  <c r="R118" i="4"/>
  <c r="R117" i="4"/>
  <c r="R116" i="4"/>
  <c r="R115" i="4"/>
  <c r="R113" i="4"/>
  <c r="R112" i="4"/>
  <c r="R111" i="4"/>
  <c r="R109" i="4"/>
  <c r="R108" i="4"/>
  <c r="R106" i="4"/>
  <c r="R105" i="4" s="1"/>
  <c r="R104" i="4"/>
  <c r="R103" i="4" s="1"/>
  <c r="R102" i="4"/>
  <c r="R101" i="4" s="1"/>
  <c r="R100" i="4"/>
  <c r="R99" i="4" s="1"/>
  <c r="R98" i="4"/>
  <c r="R97" i="4" s="1"/>
  <c r="R96" i="4"/>
  <c r="R95" i="4" s="1"/>
  <c r="R93" i="4"/>
  <c r="R92" i="4"/>
  <c r="R91" i="4"/>
  <c r="R89" i="4"/>
  <c r="R88" i="4"/>
  <c r="R87" i="4"/>
  <c r="R86" i="4"/>
  <c r="R83" i="4"/>
  <c r="R82" i="4" s="1"/>
  <c r="R81" i="4"/>
  <c r="R80" i="4" s="1"/>
  <c r="R79" i="4"/>
  <c r="R78" i="4"/>
  <c r="R77" i="4"/>
  <c r="R76" i="4"/>
  <c r="R74" i="4"/>
  <c r="R73" i="4"/>
  <c r="R72" i="4"/>
  <c r="R71" i="4"/>
  <c r="R70" i="4"/>
  <c r="R68" i="4"/>
  <c r="R67" i="4"/>
  <c r="R66" i="4"/>
  <c r="R64" i="4"/>
  <c r="R63" i="4"/>
  <c r="R61" i="4"/>
  <c r="R60" i="4" s="1"/>
  <c r="R59" i="4"/>
  <c r="R58" i="4" s="1"/>
  <c r="R57" i="4"/>
  <c r="R56" i="4" s="1"/>
  <c r="R55" i="4"/>
  <c r="R54" i="4" s="1"/>
  <c r="R53" i="4"/>
  <c r="R52" i="4" s="1"/>
  <c r="R51" i="4"/>
  <c r="R50" i="4" s="1"/>
  <c r="R47" i="4"/>
  <c r="R46" i="4"/>
  <c r="R45" i="4"/>
  <c r="R44" i="4"/>
  <c r="R43" i="4"/>
  <c r="R42" i="4"/>
  <c r="R41" i="4"/>
  <c r="R38" i="4"/>
  <c r="R37" i="4"/>
  <c r="R36" i="4"/>
  <c r="R34" i="4"/>
  <c r="R33" i="4"/>
  <c r="R32" i="4"/>
  <c r="R31" i="4"/>
  <c r="R29" i="4"/>
  <c r="R28" i="4" s="1"/>
  <c r="R27" i="4"/>
  <c r="R26" i="4"/>
  <c r="R24" i="4"/>
  <c r="R22" i="4"/>
  <c r="R198" i="4" s="1"/>
  <c r="R20" i="4"/>
  <c r="R16" i="4"/>
  <c r="R15" i="4"/>
  <c r="Q201" i="4" l="1"/>
  <c r="T208" i="4"/>
  <c r="T201" i="4"/>
  <c r="R195" i="4"/>
  <c r="R194" i="4" s="1"/>
  <c r="R171" i="4"/>
  <c r="R188" i="4"/>
  <c r="R187" i="4" s="1"/>
  <c r="R69" i="4"/>
  <c r="R21" i="4"/>
  <c r="R62" i="4"/>
  <c r="R157" i="4"/>
  <c r="R14" i="4"/>
  <c r="R65" i="4"/>
  <c r="R107" i="4"/>
  <c r="R176" i="4"/>
  <c r="R35" i="4"/>
  <c r="R75" i="4"/>
  <c r="R85" i="4"/>
  <c r="R84" i="4" s="1"/>
  <c r="R110" i="4"/>
  <c r="R114" i="4"/>
  <c r="R121" i="4"/>
  <c r="R131" i="4"/>
  <c r="R130" i="4" s="1"/>
  <c r="R153" i="4"/>
  <c r="R148" i="4" s="1"/>
  <c r="R184" i="4"/>
  <c r="R183" i="4" s="1"/>
  <c r="R25" i="4"/>
  <c r="R30" i="4"/>
  <c r="R40" i="4"/>
  <c r="R39" i="4" s="1"/>
  <c r="R10" i="4" s="1"/>
  <c r="R141" i="4"/>
  <c r="R140" i="4" l="1"/>
  <c r="R170" i="4"/>
  <c r="R160" i="4" s="1"/>
  <c r="R49" i="4"/>
  <c r="R11" i="4"/>
  <c r="R94" i="4"/>
  <c r="R48" i="4" l="1"/>
  <c r="R9" i="4" s="1"/>
  <c r="R182" i="4" s="1"/>
  <c r="R199" i="4" s="1"/>
  <c r="R200" i="4" s="1"/>
  <c r="R201" i="4" l="1"/>
  <c r="R204" i="4" s="1"/>
  <c r="Q211" i="4" l="1"/>
  <c r="Q212" i="4" s="1"/>
  <c r="Q213" i="4" l="1"/>
  <c r="Q215" i="4" s="1"/>
  <c r="R215" i="4" s="1"/>
  <c r="R207" i="4"/>
  <c r="Q216" i="4" l="1"/>
  <c r="Q219" i="4" s="1"/>
  <c r="R212" i="4"/>
  <c r="R213" i="4" l="1"/>
  <c r="R216" i="4" s="1"/>
  <c r="R219" i="4" s="1"/>
  <c r="Q220" i="4"/>
  <c r="Q221" i="4" s="1"/>
  <c r="R220" i="4" l="1"/>
  <c r="R221" i="4" s="1"/>
</calcChain>
</file>

<file path=xl/sharedStrings.xml><?xml version="1.0" encoding="utf-8"?>
<sst xmlns="http://schemas.openxmlformats.org/spreadsheetml/2006/main" count="719" uniqueCount="225">
  <si>
    <t>費目</t>
    <rPh sb="0" eb="2">
      <t>ヒモク</t>
    </rPh>
    <phoneticPr fontId="3"/>
  </si>
  <si>
    <t>工事区分</t>
    <rPh sb="0" eb="2">
      <t>コウジ</t>
    </rPh>
    <rPh sb="2" eb="4">
      <t>クブン</t>
    </rPh>
    <phoneticPr fontId="3"/>
  </si>
  <si>
    <t>単位</t>
    <rPh sb="0" eb="2">
      <t>タンイ</t>
    </rPh>
    <phoneticPr fontId="3"/>
  </si>
  <si>
    <t>工種</t>
    <rPh sb="0" eb="1">
      <t>コウ</t>
    </rPh>
    <rPh sb="1" eb="2">
      <t>タネ</t>
    </rPh>
    <phoneticPr fontId="3"/>
  </si>
  <si>
    <t>種別</t>
    <rPh sb="0" eb="2">
      <t>シュベツ</t>
    </rPh>
    <phoneticPr fontId="3"/>
  </si>
  <si>
    <t>細別</t>
    <rPh sb="0" eb="2">
      <t>サイベツ</t>
    </rPh>
    <phoneticPr fontId="3"/>
  </si>
  <si>
    <t>本工事費</t>
    <rPh sb="0" eb="1">
      <t>ホン</t>
    </rPh>
    <rPh sb="1" eb="3">
      <t>コウジ</t>
    </rPh>
    <rPh sb="3" eb="4">
      <t>ヒ</t>
    </rPh>
    <phoneticPr fontId="3"/>
  </si>
  <si>
    <t>規格</t>
    <rPh sb="0" eb="2">
      <t>キカク</t>
    </rPh>
    <phoneticPr fontId="3"/>
  </si>
  <si>
    <t>埋戻し</t>
    <rPh sb="0" eb="2">
      <t>ウメモド</t>
    </rPh>
    <phoneticPr fontId="2"/>
  </si>
  <si>
    <t>m3</t>
    <phoneticPr fontId="2"/>
  </si>
  <si>
    <t>④</t>
    <phoneticPr fontId="2"/>
  </si>
  <si>
    <t>③</t>
    <phoneticPr fontId="2"/>
  </si>
  <si>
    <t>②</t>
    <phoneticPr fontId="2"/>
  </si>
  <si>
    <t>①</t>
    <phoneticPr fontId="2"/>
  </si>
  <si>
    <t>直接工事費計</t>
    <rPh sb="0" eb="2">
      <t>チョクセツ</t>
    </rPh>
    <rPh sb="2" eb="5">
      <t>コウジヒ</t>
    </rPh>
    <rPh sb="5" eb="6">
      <t>ケイ</t>
    </rPh>
    <phoneticPr fontId="2"/>
  </si>
  <si>
    <t>準備費</t>
    <rPh sb="0" eb="2">
      <t>ジュンビ</t>
    </rPh>
    <rPh sb="2" eb="3">
      <t>ヒ</t>
    </rPh>
    <phoneticPr fontId="2"/>
  </si>
  <si>
    <t>共通仮設費率分</t>
    <rPh sb="0" eb="2">
      <t>キョウツウ</t>
    </rPh>
    <rPh sb="2" eb="4">
      <t>カセツ</t>
    </rPh>
    <rPh sb="4" eb="5">
      <t>ヒ</t>
    </rPh>
    <rPh sb="5" eb="6">
      <t>リツ</t>
    </rPh>
    <rPh sb="6" eb="7">
      <t>ブン</t>
    </rPh>
    <phoneticPr fontId="2"/>
  </si>
  <si>
    <t>共通仮設費計</t>
    <rPh sb="0" eb="2">
      <t>キョウツウ</t>
    </rPh>
    <rPh sb="2" eb="4">
      <t>カセツ</t>
    </rPh>
    <rPh sb="4" eb="5">
      <t>ヒ</t>
    </rPh>
    <rPh sb="5" eb="6">
      <t>ケイ</t>
    </rPh>
    <phoneticPr fontId="2"/>
  </si>
  <si>
    <t>現場管理費</t>
    <rPh sb="0" eb="2">
      <t>ゲンバ</t>
    </rPh>
    <rPh sb="2" eb="5">
      <t>カンリヒ</t>
    </rPh>
    <phoneticPr fontId="2"/>
  </si>
  <si>
    <t>工事原価計</t>
    <rPh sb="0" eb="2">
      <t>コウジ</t>
    </rPh>
    <rPh sb="2" eb="4">
      <t>ゲンカ</t>
    </rPh>
    <rPh sb="4" eb="5">
      <t>ケイ</t>
    </rPh>
    <phoneticPr fontId="2"/>
  </si>
  <si>
    <t>ｽｸﾗｯﾌﾟ</t>
    <phoneticPr fontId="2"/>
  </si>
  <si>
    <t>ｽｸﾗｯﾌﾟ</t>
    <phoneticPr fontId="2"/>
  </si>
  <si>
    <t>工事価格</t>
    <rPh sb="0" eb="2">
      <t>コウジ</t>
    </rPh>
    <rPh sb="2" eb="4">
      <t>カカク</t>
    </rPh>
    <phoneticPr fontId="2"/>
  </si>
  <si>
    <t>消費税相当額</t>
    <rPh sb="0" eb="3">
      <t>ショウヒゼイ</t>
    </rPh>
    <rPh sb="3" eb="5">
      <t>ソウトウ</t>
    </rPh>
    <rPh sb="5" eb="6">
      <t>ガク</t>
    </rPh>
    <phoneticPr fontId="2"/>
  </si>
  <si>
    <t>工事費</t>
    <rPh sb="0" eb="2">
      <t>コウジ</t>
    </rPh>
    <rPh sb="2" eb="3">
      <t>ヒ</t>
    </rPh>
    <phoneticPr fontId="2"/>
  </si>
  <si>
    <t>基礎砕石</t>
    <rPh sb="0" eb="2">
      <t>キソ</t>
    </rPh>
    <rPh sb="2" eb="4">
      <t>サイセキ</t>
    </rPh>
    <phoneticPr fontId="2"/>
  </si>
  <si>
    <t>型枠</t>
    <rPh sb="0" eb="2">
      <t>カタワク</t>
    </rPh>
    <phoneticPr fontId="2"/>
  </si>
  <si>
    <t>生木処分費（萩原林業）</t>
    <rPh sb="0" eb="2">
      <t>ナマキ</t>
    </rPh>
    <rPh sb="2" eb="4">
      <t>ショブン</t>
    </rPh>
    <rPh sb="4" eb="5">
      <t>ヒ</t>
    </rPh>
    <rPh sb="6" eb="8">
      <t>ハギワラ</t>
    </rPh>
    <rPh sb="8" eb="10">
      <t>リンギョウ</t>
    </rPh>
    <phoneticPr fontId="2"/>
  </si>
  <si>
    <t>式</t>
    <rPh sb="0" eb="1">
      <t>シキ</t>
    </rPh>
    <phoneticPr fontId="2"/>
  </si>
  <si>
    <t>式</t>
    <rPh sb="0" eb="1">
      <t>シキ</t>
    </rPh>
    <phoneticPr fontId="2"/>
  </si>
  <si>
    <t>m2</t>
    <phoneticPr fontId="2"/>
  </si>
  <si>
    <t>m</t>
    <phoneticPr fontId="2"/>
  </si>
  <si>
    <t>純工事費計</t>
    <rPh sb="0" eb="1">
      <t>ジュン</t>
    </rPh>
    <rPh sb="1" eb="3">
      <t>コウジ</t>
    </rPh>
    <rPh sb="3" eb="4">
      <t>ヒ</t>
    </rPh>
    <rPh sb="4" eb="5">
      <t>ケイ</t>
    </rPh>
    <phoneticPr fontId="2"/>
  </si>
  <si>
    <t>本</t>
    <rPh sb="0" eb="1">
      <t>ホン</t>
    </rPh>
    <phoneticPr fontId="2"/>
  </si>
  <si>
    <t>ｔ</t>
    <phoneticPr fontId="2"/>
  </si>
  <si>
    <t>技術管理費</t>
    <rPh sb="0" eb="2">
      <t>ギジュツ</t>
    </rPh>
    <rPh sb="2" eb="5">
      <t>カンリヒ</t>
    </rPh>
    <phoneticPr fontId="2"/>
  </si>
  <si>
    <t>橋梁下部</t>
    <rPh sb="0" eb="2">
      <t>キョウリョウ</t>
    </rPh>
    <rPh sb="2" eb="4">
      <t>カブ</t>
    </rPh>
    <phoneticPr fontId="2"/>
  </si>
  <si>
    <t>橋台工</t>
    <rPh sb="0" eb="2">
      <t>キョウダイ</t>
    </rPh>
    <rPh sb="2" eb="3">
      <t>コウ</t>
    </rPh>
    <phoneticPr fontId="2"/>
  </si>
  <si>
    <t>橋台躯体工</t>
    <rPh sb="0" eb="2">
      <t>キョウダイ</t>
    </rPh>
    <rPh sb="2" eb="4">
      <t>クタイ</t>
    </rPh>
    <rPh sb="4" eb="5">
      <t>コウ</t>
    </rPh>
    <phoneticPr fontId="2"/>
  </si>
  <si>
    <t>床掘り</t>
    <rPh sb="0" eb="2">
      <t>トコボ</t>
    </rPh>
    <phoneticPr fontId="2"/>
  </si>
  <si>
    <t>基面整正</t>
    <rPh sb="0" eb="4">
      <t>キメンセイセイ</t>
    </rPh>
    <phoneticPr fontId="2"/>
  </si>
  <si>
    <t>土砂等運搬</t>
    <rPh sb="0" eb="2">
      <t>ドシャ</t>
    </rPh>
    <rPh sb="2" eb="3">
      <t>トウ</t>
    </rPh>
    <rPh sb="3" eb="5">
      <t>ウンパン</t>
    </rPh>
    <phoneticPr fontId="2"/>
  </si>
  <si>
    <t>残土等処分</t>
    <rPh sb="0" eb="2">
      <t>ザンド</t>
    </rPh>
    <rPh sb="2" eb="3">
      <t>トウ</t>
    </rPh>
    <rPh sb="3" eb="5">
      <t>ショブン</t>
    </rPh>
    <phoneticPr fontId="2"/>
  </si>
  <si>
    <t>土材料</t>
    <rPh sb="0" eb="1">
      <t>ツチ</t>
    </rPh>
    <rPh sb="1" eb="3">
      <t>ザイリョウ</t>
    </rPh>
    <phoneticPr fontId="2"/>
  </si>
  <si>
    <t>逆T式橋台</t>
    <rPh sb="0" eb="1">
      <t>ギャク</t>
    </rPh>
    <rPh sb="2" eb="3">
      <t>シキ</t>
    </rPh>
    <rPh sb="3" eb="5">
      <t>キョウダイ</t>
    </rPh>
    <phoneticPr fontId="2"/>
  </si>
  <si>
    <t>コンクリート</t>
    <phoneticPr fontId="2"/>
  </si>
  <si>
    <t>鉄筋</t>
    <rPh sb="0" eb="2">
      <t>テッキン</t>
    </rPh>
    <phoneticPr fontId="2"/>
  </si>
  <si>
    <t>鉄筋工</t>
    <rPh sb="0" eb="2">
      <t>テッキン</t>
    </rPh>
    <rPh sb="2" eb="3">
      <t>コウ</t>
    </rPh>
    <phoneticPr fontId="2"/>
  </si>
  <si>
    <t>SR235</t>
    <phoneticPr fontId="2"/>
  </si>
  <si>
    <t>躯体</t>
    <rPh sb="0" eb="2">
      <t>クタイ</t>
    </rPh>
    <phoneticPr fontId="2"/>
  </si>
  <si>
    <t>フーチング</t>
    <phoneticPr fontId="2"/>
  </si>
  <si>
    <t>SD345　D13</t>
    <phoneticPr fontId="2"/>
  </si>
  <si>
    <t>t</t>
    <phoneticPr fontId="2"/>
  </si>
  <si>
    <t>SD345　D16～D25</t>
    <phoneticPr fontId="2"/>
  </si>
  <si>
    <t>踏掛版アンカーボルト</t>
    <rPh sb="0" eb="3">
      <t>フミカケバン</t>
    </rPh>
    <phoneticPr fontId="2"/>
  </si>
  <si>
    <t>SD345　D16～D25　差筋</t>
    <rPh sb="14" eb="15">
      <t>サ</t>
    </rPh>
    <rPh sb="15" eb="16">
      <t>キン</t>
    </rPh>
    <phoneticPr fontId="2"/>
  </si>
  <si>
    <t>材料費（m）</t>
    <rPh sb="0" eb="3">
      <t>ザイリョウヒ</t>
    </rPh>
    <phoneticPr fontId="2"/>
  </si>
  <si>
    <t>場所打杭工</t>
    <rPh sb="0" eb="2">
      <t>バショ</t>
    </rPh>
    <rPh sb="2" eb="3">
      <t>ウ</t>
    </rPh>
    <rPh sb="3" eb="4">
      <t>クイ</t>
    </rPh>
    <rPh sb="4" eb="5">
      <t>コウ</t>
    </rPh>
    <phoneticPr fontId="2"/>
  </si>
  <si>
    <t>場所打杭</t>
    <rPh sb="0" eb="2">
      <t>バショ</t>
    </rPh>
    <rPh sb="2" eb="3">
      <t>ウ</t>
    </rPh>
    <rPh sb="3" eb="4">
      <t>クイ</t>
    </rPh>
    <phoneticPr fontId="2"/>
  </si>
  <si>
    <t>全回転式ｵｰﾙｹｰｼﾝｸﾞ工</t>
    <rPh sb="0" eb="1">
      <t>ゼン</t>
    </rPh>
    <rPh sb="1" eb="3">
      <t>カイテン</t>
    </rPh>
    <rPh sb="3" eb="4">
      <t>シキ</t>
    </rPh>
    <phoneticPr fontId="2"/>
  </si>
  <si>
    <t>補強リング設置</t>
    <rPh sb="0" eb="2">
      <t>ホキョウ</t>
    </rPh>
    <rPh sb="5" eb="7">
      <t>セッチ</t>
    </rPh>
    <phoneticPr fontId="2"/>
  </si>
  <si>
    <t>フレアー溶接</t>
    <rPh sb="4" eb="6">
      <t>ヨウセツ</t>
    </rPh>
    <phoneticPr fontId="2"/>
  </si>
  <si>
    <t>SD345　D16</t>
    <phoneticPr fontId="2"/>
  </si>
  <si>
    <t>箇所</t>
    <rPh sb="0" eb="2">
      <t>カショ</t>
    </rPh>
    <phoneticPr fontId="2"/>
  </si>
  <si>
    <t>杭頭処理</t>
    <rPh sb="0" eb="2">
      <t>クイトウ</t>
    </rPh>
    <rPh sb="2" eb="4">
      <t>ショリ</t>
    </rPh>
    <phoneticPr fontId="2"/>
  </si>
  <si>
    <t>積込（ｺﾝｸﾘｰﾄ殻）</t>
    <rPh sb="0" eb="2">
      <t>ツミコミ</t>
    </rPh>
    <rPh sb="9" eb="10">
      <t>ガラ</t>
    </rPh>
    <phoneticPr fontId="2"/>
  </si>
  <si>
    <t>RC橋脚工</t>
    <rPh sb="2" eb="4">
      <t>キョウキャク</t>
    </rPh>
    <rPh sb="4" eb="5">
      <t>コウ</t>
    </rPh>
    <phoneticPr fontId="2"/>
  </si>
  <si>
    <t>橋脚躯体工</t>
    <rPh sb="0" eb="2">
      <t>キョウキャク</t>
    </rPh>
    <rPh sb="2" eb="4">
      <t>クタイ</t>
    </rPh>
    <rPh sb="4" eb="5">
      <t>コウ</t>
    </rPh>
    <phoneticPr fontId="2"/>
  </si>
  <si>
    <t>均しコンクリート</t>
    <rPh sb="0" eb="1">
      <t>ナラ</t>
    </rPh>
    <phoneticPr fontId="2"/>
  </si>
  <si>
    <t>SD345　D29～D32</t>
    <phoneticPr fontId="2"/>
  </si>
  <si>
    <t>SD345　D35</t>
    <phoneticPr fontId="2"/>
  </si>
  <si>
    <t>SD345　D38</t>
    <phoneticPr fontId="2"/>
  </si>
  <si>
    <t>化粧型枠</t>
    <rPh sb="0" eb="2">
      <t>ケショウ</t>
    </rPh>
    <rPh sb="2" eb="4">
      <t>カタワク</t>
    </rPh>
    <phoneticPr fontId="2"/>
  </si>
  <si>
    <t>化粧型枠（材料費）</t>
    <rPh sb="0" eb="2">
      <t>ケショウ</t>
    </rPh>
    <rPh sb="2" eb="4">
      <t>カタワク</t>
    </rPh>
    <rPh sb="5" eb="8">
      <t>ザイリョウヒ</t>
    </rPh>
    <phoneticPr fontId="2"/>
  </si>
  <si>
    <t>支保</t>
    <rPh sb="0" eb="2">
      <t>シホ</t>
    </rPh>
    <phoneticPr fontId="2"/>
  </si>
  <si>
    <t>空m3</t>
    <rPh sb="0" eb="1">
      <t>クウ</t>
    </rPh>
    <phoneticPr fontId="2"/>
  </si>
  <si>
    <t>足場</t>
    <rPh sb="0" eb="2">
      <t>アシバ</t>
    </rPh>
    <phoneticPr fontId="2"/>
  </si>
  <si>
    <t>足場工</t>
    <rPh sb="0" eb="2">
      <t>アシバ</t>
    </rPh>
    <rPh sb="2" eb="3">
      <t>コウ</t>
    </rPh>
    <phoneticPr fontId="2"/>
  </si>
  <si>
    <t>掛m2</t>
    <rPh sb="0" eb="1">
      <t>カ</t>
    </rPh>
    <phoneticPr fontId="2"/>
  </si>
  <si>
    <t>SD345　D22</t>
    <phoneticPr fontId="2"/>
  </si>
  <si>
    <t>基礎材</t>
    <rPh sb="0" eb="2">
      <t>キソ</t>
    </rPh>
    <rPh sb="2" eb="3">
      <t>ザイ</t>
    </rPh>
    <phoneticPr fontId="2"/>
  </si>
  <si>
    <t>円形空洞型枠設置</t>
    <rPh sb="0" eb="2">
      <t>エンケイ</t>
    </rPh>
    <rPh sb="2" eb="4">
      <t>クウドウ</t>
    </rPh>
    <rPh sb="4" eb="6">
      <t>カタワク</t>
    </rPh>
    <rPh sb="6" eb="8">
      <t>セッチ</t>
    </rPh>
    <phoneticPr fontId="2"/>
  </si>
  <si>
    <t>SD345　D51</t>
    <phoneticPr fontId="2"/>
  </si>
  <si>
    <t>構造物撤去工</t>
    <rPh sb="0" eb="3">
      <t>コウゾウブツ</t>
    </rPh>
    <rPh sb="3" eb="6">
      <t>テッキョコウ</t>
    </rPh>
    <phoneticPr fontId="2"/>
  </si>
  <si>
    <t>防護柵撤去</t>
    <rPh sb="0" eb="2">
      <t>ボウゴ</t>
    </rPh>
    <rPh sb="2" eb="3">
      <t>サク</t>
    </rPh>
    <rPh sb="3" eb="5">
      <t>テッキョ</t>
    </rPh>
    <phoneticPr fontId="2"/>
  </si>
  <si>
    <t>立入防止柵撤去</t>
    <rPh sb="0" eb="2">
      <t>タチイ</t>
    </rPh>
    <rPh sb="2" eb="5">
      <t>ボウシサク</t>
    </rPh>
    <rPh sb="5" eb="7">
      <t>テッキョ</t>
    </rPh>
    <phoneticPr fontId="2"/>
  </si>
  <si>
    <t>ｺﾝｸﾘｰﾄ構造物取壊し</t>
    <rPh sb="6" eb="9">
      <t>コウゾウブツ</t>
    </rPh>
    <rPh sb="9" eb="11">
      <t>トリコワ</t>
    </rPh>
    <phoneticPr fontId="2"/>
  </si>
  <si>
    <t>構造物とりこわし</t>
    <rPh sb="0" eb="3">
      <t>コウゾウブツ</t>
    </rPh>
    <phoneticPr fontId="2"/>
  </si>
  <si>
    <t>地先境界ブロック撤去</t>
    <rPh sb="0" eb="2">
      <t>チサキ</t>
    </rPh>
    <rPh sb="2" eb="4">
      <t>キョウカイ</t>
    </rPh>
    <rPh sb="8" eb="10">
      <t>テッキョ</t>
    </rPh>
    <phoneticPr fontId="2"/>
  </si>
  <si>
    <t>運搬処理工</t>
    <rPh sb="0" eb="2">
      <t>ウンパン</t>
    </rPh>
    <rPh sb="2" eb="4">
      <t>ショリ</t>
    </rPh>
    <rPh sb="4" eb="5">
      <t>コウ</t>
    </rPh>
    <phoneticPr fontId="2"/>
  </si>
  <si>
    <t>殻運搬</t>
    <rPh sb="0" eb="1">
      <t>ガラ</t>
    </rPh>
    <rPh sb="1" eb="3">
      <t>ウンパン</t>
    </rPh>
    <phoneticPr fontId="2"/>
  </si>
  <si>
    <t>現場発生品・支給品運搬</t>
    <rPh sb="0" eb="2">
      <t>ゲンバ</t>
    </rPh>
    <rPh sb="2" eb="4">
      <t>ハッセイ</t>
    </rPh>
    <rPh sb="4" eb="5">
      <t>ヒン</t>
    </rPh>
    <rPh sb="6" eb="9">
      <t>シキュウヒン</t>
    </rPh>
    <rPh sb="9" eb="11">
      <t>ウンパン</t>
    </rPh>
    <phoneticPr fontId="2"/>
  </si>
  <si>
    <t>回</t>
    <rPh sb="0" eb="1">
      <t>カイ</t>
    </rPh>
    <phoneticPr fontId="2"/>
  </si>
  <si>
    <t>殻処分</t>
    <rPh sb="0" eb="1">
      <t>ガラ</t>
    </rPh>
    <rPh sb="1" eb="3">
      <t>ショブン</t>
    </rPh>
    <phoneticPr fontId="2"/>
  </si>
  <si>
    <t>処分費（m3）</t>
    <rPh sb="0" eb="2">
      <t>ショブン</t>
    </rPh>
    <rPh sb="2" eb="3">
      <t>ヒ</t>
    </rPh>
    <phoneticPr fontId="2"/>
  </si>
  <si>
    <t>処分費（ｔ）</t>
    <rPh sb="0" eb="2">
      <t>ショブン</t>
    </rPh>
    <rPh sb="2" eb="3">
      <t>ヒ</t>
    </rPh>
    <phoneticPr fontId="2"/>
  </si>
  <si>
    <t>仮設工</t>
    <rPh sb="0" eb="3">
      <t>カセツコウ</t>
    </rPh>
    <phoneticPr fontId="2"/>
  </si>
  <si>
    <t>安定処理工</t>
    <rPh sb="0" eb="2">
      <t>アンテイ</t>
    </rPh>
    <rPh sb="2" eb="4">
      <t>ショリ</t>
    </rPh>
    <rPh sb="4" eb="5">
      <t>コウ</t>
    </rPh>
    <phoneticPr fontId="2"/>
  </si>
  <si>
    <t>安定処理</t>
    <rPh sb="0" eb="2">
      <t>アンテイ</t>
    </rPh>
    <rPh sb="2" eb="4">
      <t>ショリ</t>
    </rPh>
    <phoneticPr fontId="2"/>
  </si>
  <si>
    <t>工事用道路工</t>
    <rPh sb="0" eb="3">
      <t>コウジヨウ</t>
    </rPh>
    <rPh sb="3" eb="5">
      <t>ドウロ</t>
    </rPh>
    <rPh sb="5" eb="6">
      <t>コウ</t>
    </rPh>
    <phoneticPr fontId="2"/>
  </si>
  <si>
    <t>スロープ工</t>
    <rPh sb="4" eb="5">
      <t>コウ</t>
    </rPh>
    <phoneticPr fontId="2"/>
  </si>
  <si>
    <t>路体（築堤）盛土</t>
    <rPh sb="0" eb="2">
      <t>ロタイ</t>
    </rPh>
    <rPh sb="3" eb="5">
      <t>チクテイ</t>
    </rPh>
    <rPh sb="6" eb="7">
      <t>モ</t>
    </rPh>
    <rPh sb="7" eb="8">
      <t>ツチ</t>
    </rPh>
    <phoneticPr fontId="2"/>
  </si>
  <si>
    <t>仮囲い</t>
    <rPh sb="0" eb="1">
      <t>カリ</t>
    </rPh>
    <rPh sb="1" eb="2">
      <t>カコ</t>
    </rPh>
    <phoneticPr fontId="2"/>
  </si>
  <si>
    <t>仮囲い設置・撤去</t>
    <rPh sb="0" eb="1">
      <t>カリ</t>
    </rPh>
    <rPh sb="1" eb="2">
      <t>カコ</t>
    </rPh>
    <rPh sb="3" eb="5">
      <t>セッチ</t>
    </rPh>
    <rPh sb="6" eb="8">
      <t>テッキョ</t>
    </rPh>
    <phoneticPr fontId="2"/>
  </si>
  <si>
    <t>構造物撤去・再設置工</t>
    <rPh sb="0" eb="3">
      <t>コウゾウブツ</t>
    </rPh>
    <rPh sb="3" eb="5">
      <t>テッキョ</t>
    </rPh>
    <rPh sb="6" eb="9">
      <t>サイセッチ</t>
    </rPh>
    <rPh sb="9" eb="10">
      <t>コウ</t>
    </rPh>
    <phoneticPr fontId="2"/>
  </si>
  <si>
    <t>立入防止柵撤去・再設置工</t>
    <rPh sb="0" eb="2">
      <t>タチイリ</t>
    </rPh>
    <rPh sb="2" eb="5">
      <t>ボウシサク</t>
    </rPh>
    <rPh sb="5" eb="7">
      <t>テッキョ</t>
    </rPh>
    <rPh sb="8" eb="11">
      <t>サイセッチ</t>
    </rPh>
    <rPh sb="11" eb="12">
      <t>コウ</t>
    </rPh>
    <phoneticPr fontId="2"/>
  </si>
  <si>
    <t>目隠しフェンス撤去・再設置工</t>
    <rPh sb="0" eb="2">
      <t>メカク</t>
    </rPh>
    <rPh sb="7" eb="9">
      <t>テッキョ</t>
    </rPh>
    <rPh sb="10" eb="13">
      <t>サイセッチ</t>
    </rPh>
    <rPh sb="13" eb="14">
      <t>コウ</t>
    </rPh>
    <phoneticPr fontId="2"/>
  </si>
  <si>
    <t>交通管理工</t>
    <rPh sb="0" eb="2">
      <t>コウツウ</t>
    </rPh>
    <rPh sb="2" eb="4">
      <t>カンリ</t>
    </rPh>
    <rPh sb="4" eb="5">
      <t>コウ</t>
    </rPh>
    <phoneticPr fontId="2"/>
  </si>
  <si>
    <t>交通誘導警備員</t>
    <rPh sb="0" eb="2">
      <t>コウツウ</t>
    </rPh>
    <rPh sb="2" eb="4">
      <t>ユウドウ</t>
    </rPh>
    <rPh sb="4" eb="7">
      <t>ケイビイン</t>
    </rPh>
    <phoneticPr fontId="2"/>
  </si>
  <si>
    <t>交通誘導警備員B</t>
    <rPh sb="0" eb="2">
      <t>コウツウ</t>
    </rPh>
    <rPh sb="2" eb="4">
      <t>ユウドウ</t>
    </rPh>
    <rPh sb="4" eb="7">
      <t>ケイビイン</t>
    </rPh>
    <phoneticPr fontId="2"/>
  </si>
  <si>
    <t>人日</t>
    <rPh sb="0" eb="1">
      <t>ヒト</t>
    </rPh>
    <rPh sb="1" eb="2">
      <t>ニチ</t>
    </rPh>
    <phoneticPr fontId="2"/>
  </si>
  <si>
    <t>運搬費</t>
    <rPh sb="0" eb="2">
      <t>ウンパン</t>
    </rPh>
    <rPh sb="2" eb="3">
      <t>ヒ</t>
    </rPh>
    <phoneticPr fontId="2"/>
  </si>
  <si>
    <t>重機分解組立輸送</t>
    <rPh sb="0" eb="2">
      <t>ジュウキ</t>
    </rPh>
    <rPh sb="2" eb="4">
      <t>ブンカイ</t>
    </rPh>
    <rPh sb="4" eb="6">
      <t>クミタテ</t>
    </rPh>
    <rPh sb="6" eb="8">
      <t>ユソウ</t>
    </rPh>
    <phoneticPr fontId="2"/>
  </si>
  <si>
    <t>木根等処分費</t>
    <rPh sb="0" eb="1">
      <t>キ</t>
    </rPh>
    <rPh sb="1" eb="2">
      <t>ネ</t>
    </rPh>
    <rPh sb="2" eb="3">
      <t>トウ</t>
    </rPh>
    <rPh sb="3" eb="5">
      <t>ショブン</t>
    </rPh>
    <rPh sb="5" eb="6">
      <t>ヒ</t>
    </rPh>
    <phoneticPr fontId="2"/>
  </si>
  <si>
    <t>高木伐採・根株撤去</t>
    <rPh sb="0" eb="2">
      <t>コウボク</t>
    </rPh>
    <rPh sb="2" eb="4">
      <t>バッサイ</t>
    </rPh>
    <rPh sb="5" eb="7">
      <t>ネカブ</t>
    </rPh>
    <rPh sb="7" eb="9">
      <t>テッキョ</t>
    </rPh>
    <phoneticPr fontId="2"/>
  </si>
  <si>
    <t>枝葉</t>
    <rPh sb="0" eb="2">
      <t>シヨウ</t>
    </rPh>
    <phoneticPr fontId="2"/>
  </si>
  <si>
    <t>幹</t>
    <rPh sb="0" eb="1">
      <t>ミキ</t>
    </rPh>
    <phoneticPr fontId="2"/>
  </si>
  <si>
    <t>根</t>
    <rPh sb="0" eb="1">
      <t>ネ</t>
    </rPh>
    <phoneticPr fontId="2"/>
  </si>
  <si>
    <t>土質試験費</t>
    <rPh sb="0" eb="2">
      <t>ドシツ</t>
    </rPh>
    <rPh sb="2" eb="4">
      <t>シケン</t>
    </rPh>
    <rPh sb="4" eb="5">
      <t>ヒ</t>
    </rPh>
    <phoneticPr fontId="2"/>
  </si>
  <si>
    <t>土の一軸圧縮試験</t>
    <rPh sb="0" eb="1">
      <t>ツチ</t>
    </rPh>
    <rPh sb="2" eb="4">
      <t>イチジク</t>
    </rPh>
    <rPh sb="4" eb="6">
      <t>アッシュク</t>
    </rPh>
    <rPh sb="6" eb="8">
      <t>シケン</t>
    </rPh>
    <phoneticPr fontId="2"/>
  </si>
  <si>
    <t>六価クロム溶出試験費</t>
    <rPh sb="0" eb="2">
      <t>ロッカ</t>
    </rPh>
    <rPh sb="5" eb="7">
      <t>ヨウシュツ</t>
    </rPh>
    <rPh sb="7" eb="9">
      <t>シケン</t>
    </rPh>
    <rPh sb="9" eb="10">
      <t>ヒ</t>
    </rPh>
    <phoneticPr fontId="2"/>
  </si>
  <si>
    <t>試料</t>
    <rPh sb="0" eb="2">
      <t>シリョウ</t>
    </rPh>
    <phoneticPr fontId="2"/>
  </si>
  <si>
    <t>処分費</t>
    <rPh sb="0" eb="2">
      <t>ショブン</t>
    </rPh>
    <rPh sb="2" eb="3">
      <t>ヒ</t>
    </rPh>
    <phoneticPr fontId="2"/>
  </si>
  <si>
    <t>処分費</t>
    <rPh sb="0" eb="2">
      <t>ショブン</t>
    </rPh>
    <rPh sb="2" eb="3">
      <t>ヒ</t>
    </rPh>
    <phoneticPr fontId="2"/>
  </si>
  <si>
    <t>〇</t>
    <phoneticPr fontId="2"/>
  </si>
  <si>
    <t>共通仮設費率分対象減額分</t>
    <rPh sb="0" eb="2">
      <t>キョウツウ</t>
    </rPh>
    <rPh sb="2" eb="4">
      <t>カセツ</t>
    </rPh>
    <rPh sb="4" eb="5">
      <t>ヒ</t>
    </rPh>
    <rPh sb="5" eb="6">
      <t>リツ</t>
    </rPh>
    <rPh sb="6" eb="7">
      <t>ブン</t>
    </rPh>
    <rPh sb="7" eb="9">
      <t>タイショウ</t>
    </rPh>
    <rPh sb="9" eb="12">
      <t>ゲンガクブン</t>
    </rPh>
    <phoneticPr fontId="2"/>
  </si>
  <si>
    <t>共通仮設費率分対象額</t>
    <rPh sb="0" eb="2">
      <t>キョウツウ</t>
    </rPh>
    <rPh sb="2" eb="4">
      <t>カセツ</t>
    </rPh>
    <rPh sb="4" eb="5">
      <t>ヒ</t>
    </rPh>
    <rPh sb="5" eb="6">
      <t>リツ</t>
    </rPh>
    <rPh sb="6" eb="7">
      <t>ブン</t>
    </rPh>
    <rPh sb="7" eb="9">
      <t>タイショウ</t>
    </rPh>
    <rPh sb="9" eb="10">
      <t>ガク</t>
    </rPh>
    <phoneticPr fontId="2"/>
  </si>
  <si>
    <t>共通仮設費率</t>
    <rPh sb="0" eb="2">
      <t>キョウツウ</t>
    </rPh>
    <rPh sb="2" eb="4">
      <t>カセツ</t>
    </rPh>
    <rPh sb="4" eb="5">
      <t>ヒ</t>
    </rPh>
    <rPh sb="5" eb="6">
      <t>リツ</t>
    </rPh>
    <phoneticPr fontId="2"/>
  </si>
  <si>
    <t>現場管理費率</t>
    <rPh sb="0" eb="2">
      <t>ゲンバ</t>
    </rPh>
    <rPh sb="2" eb="5">
      <t>カンリヒ</t>
    </rPh>
    <rPh sb="5" eb="6">
      <t>リツ</t>
    </rPh>
    <phoneticPr fontId="2"/>
  </si>
  <si>
    <t>一般管理費率</t>
    <rPh sb="0" eb="2">
      <t>イッパン</t>
    </rPh>
    <rPh sb="2" eb="5">
      <t>カンリヒ</t>
    </rPh>
    <rPh sb="5" eb="6">
      <t>リツ</t>
    </rPh>
    <phoneticPr fontId="2"/>
  </si>
  <si>
    <t>一般管理費</t>
    <rPh sb="0" eb="2">
      <t>イッパン</t>
    </rPh>
    <rPh sb="2" eb="5">
      <t>カンリヒ</t>
    </rPh>
    <phoneticPr fontId="2"/>
  </si>
  <si>
    <t>P1橋脚</t>
    <rPh sb="2" eb="4">
      <t>キョウキャク</t>
    </rPh>
    <phoneticPr fontId="2"/>
  </si>
  <si>
    <t>P２橋脚</t>
    <rPh sb="2" eb="4">
      <t>キョウキャク</t>
    </rPh>
    <phoneticPr fontId="2"/>
  </si>
  <si>
    <t>摘要</t>
    <rPh sb="0" eb="2">
      <t>テキヨウ</t>
    </rPh>
    <phoneticPr fontId="3"/>
  </si>
  <si>
    <t>土砂</t>
    <phoneticPr fontId="2"/>
  </si>
  <si>
    <t>逆Ｔ式橋台　A1橋台</t>
    <phoneticPr fontId="2"/>
  </si>
  <si>
    <t>購入土　橋台背面裏込め部</t>
    <rPh sb="0" eb="2">
      <t>コウニュウ</t>
    </rPh>
    <rPh sb="2" eb="3">
      <t>ツチ</t>
    </rPh>
    <phoneticPr fontId="2"/>
  </si>
  <si>
    <t>片道9.5km</t>
    <phoneticPr fontId="2"/>
  </si>
  <si>
    <t>布施畑環境センター</t>
    <phoneticPr fontId="2"/>
  </si>
  <si>
    <t>橋台背面裏込め部埋戻し材</t>
    <phoneticPr fontId="2"/>
  </si>
  <si>
    <t>24-12-25(20)(高炉)</t>
    <phoneticPr fontId="2"/>
  </si>
  <si>
    <t>24-12-40(高炉)</t>
    <phoneticPr fontId="2"/>
  </si>
  <si>
    <t>翼壁部壁高欄</t>
    <phoneticPr fontId="2"/>
  </si>
  <si>
    <t>翼壁部壁高欄施工型枠</t>
    <phoneticPr fontId="2"/>
  </si>
  <si>
    <t>一般型枠</t>
    <phoneticPr fontId="2"/>
  </si>
  <si>
    <t>支承アンカーボルト箱抜き用円形空洞型枠</t>
    <rPh sb="0" eb="2">
      <t>シショウ</t>
    </rPh>
    <rPh sb="9" eb="11">
      <t>ハコヌ</t>
    </rPh>
    <rPh sb="12" eb="13">
      <t>ヨウ</t>
    </rPh>
    <rPh sb="13" eb="15">
      <t>エンケイ</t>
    </rPh>
    <rPh sb="15" eb="17">
      <t>クウドウ</t>
    </rPh>
    <rPh sb="17" eb="19">
      <t>カタワク</t>
    </rPh>
    <phoneticPr fontId="2"/>
  </si>
  <si>
    <t>D200</t>
    <phoneticPr fontId="2"/>
  </si>
  <si>
    <t>水抜きパイプ</t>
    <rPh sb="0" eb="2">
      <t>ミズヌ</t>
    </rPh>
    <phoneticPr fontId="2"/>
  </si>
  <si>
    <t>φ75</t>
    <phoneticPr fontId="2"/>
  </si>
  <si>
    <t>A1橋台</t>
    <phoneticPr fontId="2"/>
  </si>
  <si>
    <t>1000mm　30-18-25 高炉Ｂ</t>
    <phoneticPr fontId="2"/>
  </si>
  <si>
    <t>掘削土量：111.5m3</t>
    <phoneticPr fontId="2"/>
  </si>
  <si>
    <t>杭頭処理コンクリート殻</t>
    <phoneticPr fontId="2"/>
  </si>
  <si>
    <t>RC張出し式円柱橋脚 P1橋脚</t>
    <phoneticPr fontId="2"/>
  </si>
  <si>
    <t>再生ｸﾗｯｼｬﾗﾝ 40~0</t>
    <phoneticPr fontId="2"/>
  </si>
  <si>
    <t>均しコンクリートt=100mm</t>
    <phoneticPr fontId="2"/>
  </si>
  <si>
    <t>18-8-40(高炉)</t>
    <phoneticPr fontId="2"/>
  </si>
  <si>
    <t>均しコンクリート</t>
    <phoneticPr fontId="2"/>
  </si>
  <si>
    <t>40-12-25（高炉）</t>
    <phoneticPr fontId="2"/>
  </si>
  <si>
    <t>24-12-25(20)(高炉)</t>
    <phoneticPr fontId="2"/>
  </si>
  <si>
    <t>24-12-40(高炉)</t>
    <phoneticPr fontId="2"/>
  </si>
  <si>
    <t>柱凹凸部</t>
    <phoneticPr fontId="2"/>
  </si>
  <si>
    <t>支承アンカーボルト箱抜き</t>
    <phoneticPr fontId="2"/>
  </si>
  <si>
    <t>1200mm　30-18-25 高炉Ｂ</t>
    <phoneticPr fontId="2"/>
  </si>
  <si>
    <t>掘削土量：172.2m3</t>
    <phoneticPr fontId="2"/>
  </si>
  <si>
    <t>t=200mm</t>
  </si>
  <si>
    <t>t=200mm</t>
    <phoneticPr fontId="2"/>
  </si>
  <si>
    <t>梁</t>
    <phoneticPr fontId="2"/>
  </si>
  <si>
    <t>柱</t>
    <phoneticPr fontId="2"/>
  </si>
  <si>
    <t>フーチング</t>
    <phoneticPr fontId="2"/>
  </si>
  <si>
    <t>ﾊﾟｲﾌﾟｻﾎﾟｰﾄ支保･くさび結合支保</t>
    <rPh sb="10" eb="13">
      <t>クサビ</t>
    </rPh>
    <rPh sb="15" eb="17">
      <t>シホ</t>
    </rPh>
    <phoneticPr fontId="2"/>
  </si>
  <si>
    <t>掘削土量：175.8m3</t>
    <phoneticPr fontId="2"/>
  </si>
  <si>
    <t>H=1.8m</t>
    <phoneticPr fontId="2"/>
  </si>
  <si>
    <t>無筋構造物</t>
    <phoneticPr fontId="2"/>
  </si>
  <si>
    <t>処分</t>
    <phoneticPr fontId="2"/>
  </si>
  <si>
    <t>片道9.5km　場所打杭掘削残土</t>
    <phoneticPr fontId="2"/>
  </si>
  <si>
    <t>場所打杭掘削残土</t>
    <phoneticPr fontId="2"/>
  </si>
  <si>
    <t>Co(無筋･鉄筋)構造物とりこわし</t>
    <phoneticPr fontId="2"/>
  </si>
  <si>
    <t>片道7.8km</t>
    <phoneticPr fontId="2"/>
  </si>
  <si>
    <t>片道5.5km　化粧型枠</t>
    <rPh sb="8" eb="10">
      <t>ケショウ</t>
    </rPh>
    <rPh sb="10" eb="12">
      <t>カタワク</t>
    </rPh>
    <phoneticPr fontId="2"/>
  </si>
  <si>
    <t>片道3.5km　スクラップ（立入防止柵）</t>
    <phoneticPr fontId="2"/>
  </si>
  <si>
    <t>コンクリート殻　前田道路(株) (神戸合材工場)</t>
    <phoneticPr fontId="2"/>
  </si>
  <si>
    <t>混合廃棄物（神港衛生株式会社）</t>
    <rPh sb="0" eb="2">
      <t>コンゴウ</t>
    </rPh>
    <rPh sb="2" eb="5">
      <t>ハイキブツ</t>
    </rPh>
    <rPh sb="6" eb="7">
      <t>カミ</t>
    </rPh>
    <rPh sb="7" eb="8">
      <t>ミナト</t>
    </rPh>
    <rPh sb="8" eb="10">
      <t>エイセイ</t>
    </rPh>
    <rPh sb="10" eb="14">
      <t>カブシキガイシャ</t>
    </rPh>
    <phoneticPr fontId="2"/>
  </si>
  <si>
    <t>構造物基礎　セメント系固化材</t>
    <phoneticPr fontId="2"/>
  </si>
  <si>
    <t>設置･撤去</t>
    <phoneticPr fontId="2"/>
  </si>
  <si>
    <t>材料再利用</t>
    <phoneticPr fontId="2"/>
  </si>
  <si>
    <t>H=3.0m</t>
    <phoneticPr fontId="2"/>
  </si>
  <si>
    <t>分解組立+輸送(往復)</t>
    <phoneticPr fontId="2"/>
  </si>
  <si>
    <t>分解組立+輸送(往復)　</t>
    <phoneticPr fontId="2"/>
  </si>
  <si>
    <t>幹周90cm～110cm</t>
    <phoneticPr fontId="2"/>
  </si>
  <si>
    <t>集材含む</t>
    <phoneticPr fontId="2"/>
  </si>
  <si>
    <t>運搬距離12.6km</t>
    <phoneticPr fontId="2"/>
  </si>
  <si>
    <t>2供試体/試料</t>
    <phoneticPr fontId="2"/>
  </si>
  <si>
    <t>検液作成費・経費を含む</t>
    <phoneticPr fontId="2"/>
  </si>
  <si>
    <t>再生クラッシャラン0~40</t>
    <phoneticPr fontId="2"/>
  </si>
  <si>
    <t>RC張出し式円柱橋脚 P2橋脚</t>
    <phoneticPr fontId="2"/>
  </si>
  <si>
    <t>全周回転掘削機設置時安定性確保　A1橋台</t>
    <rPh sb="18" eb="20">
      <t>キョウダイ</t>
    </rPh>
    <phoneticPr fontId="2"/>
  </si>
  <si>
    <t>ｸﾛｰﾗｸﾚｰﾝ設置時安定性確保　A1橋台</t>
    <rPh sb="19" eb="21">
      <t>キョウダイ</t>
    </rPh>
    <phoneticPr fontId="2"/>
  </si>
  <si>
    <t>全周回転掘削機設置時安定性確保　P1橋脚</t>
    <phoneticPr fontId="2"/>
  </si>
  <si>
    <t>ｸﾛｰﾗｸﾚｰﾝ設置時安定性確保　P1橋脚</t>
    <phoneticPr fontId="2"/>
  </si>
  <si>
    <t>全周回転掘削機設置時安定性確保　P2橋脚</t>
    <phoneticPr fontId="2"/>
  </si>
  <si>
    <t>ｸﾛｰﾗｸﾚｰﾝ設置時安定性確保　P2橋脚（西側）</t>
    <phoneticPr fontId="2"/>
  </si>
  <si>
    <t>ｸﾛｰﾗｸﾚｰﾝ設置時安定性確保　P2橋脚（東側）</t>
    <rPh sb="22" eb="23">
      <t>ヒガシ</t>
    </rPh>
    <phoneticPr fontId="2"/>
  </si>
  <si>
    <t>再生砕石RC-40</t>
    <phoneticPr fontId="2"/>
  </si>
  <si>
    <t>検体</t>
    <phoneticPr fontId="2"/>
  </si>
  <si>
    <t>単価</t>
    <rPh sb="0" eb="2">
      <t>タンカ</t>
    </rPh>
    <phoneticPr fontId="2"/>
  </si>
  <si>
    <t>出来形</t>
    <rPh sb="0" eb="3">
      <t>デキガタ</t>
    </rPh>
    <phoneticPr fontId="2"/>
  </si>
  <si>
    <t>残工事</t>
    <rPh sb="0" eb="1">
      <t>ザン</t>
    </rPh>
    <rPh sb="1" eb="3">
      <t>コウジ</t>
    </rPh>
    <phoneticPr fontId="2"/>
  </si>
  <si>
    <t>数量</t>
    <rPh sb="0" eb="2">
      <t>スウリョウ</t>
    </rPh>
    <phoneticPr fontId="2"/>
  </si>
  <si>
    <t>スライド前</t>
    <rPh sb="4" eb="5">
      <t>マエ</t>
    </rPh>
    <phoneticPr fontId="3"/>
  </si>
  <si>
    <t>スライド前</t>
    <rPh sb="4" eb="5">
      <t>マエ</t>
    </rPh>
    <phoneticPr fontId="2"/>
  </si>
  <si>
    <t>スライド後</t>
    <rPh sb="4" eb="5">
      <t>ゴ</t>
    </rPh>
    <phoneticPr fontId="2"/>
  </si>
  <si>
    <t>全体</t>
    <rPh sb="0" eb="2">
      <t>ゼンタイ</t>
    </rPh>
    <phoneticPr fontId="2"/>
  </si>
  <si>
    <t>スライド後</t>
    <rPh sb="4" eb="5">
      <t>アト</t>
    </rPh>
    <phoneticPr fontId="3"/>
  </si>
  <si>
    <t>共通仮設費率分対象額（補正後）</t>
    <rPh sb="0" eb="2">
      <t>キョウツウ</t>
    </rPh>
    <rPh sb="2" eb="4">
      <t>カセツ</t>
    </rPh>
    <rPh sb="4" eb="5">
      <t>ヒ</t>
    </rPh>
    <rPh sb="5" eb="6">
      <t>リツ</t>
    </rPh>
    <rPh sb="6" eb="7">
      <t>ブン</t>
    </rPh>
    <rPh sb="7" eb="9">
      <t>タイショウ</t>
    </rPh>
    <rPh sb="9" eb="10">
      <t>ガク</t>
    </rPh>
    <rPh sb="11" eb="13">
      <t>ホセイ</t>
    </rPh>
    <rPh sb="13" eb="14">
      <t>ゴ</t>
    </rPh>
    <phoneticPr fontId="2"/>
  </si>
  <si>
    <t>共通仮設費（積上げ分）</t>
    <rPh sb="0" eb="2">
      <t>キョウツウ</t>
    </rPh>
    <rPh sb="2" eb="4">
      <t>カセツ</t>
    </rPh>
    <rPh sb="4" eb="5">
      <t>ヒ</t>
    </rPh>
    <rPh sb="6" eb="8">
      <t>ツミア</t>
    </rPh>
    <rPh sb="9" eb="10">
      <t>ブン</t>
    </rPh>
    <phoneticPr fontId="2"/>
  </si>
  <si>
    <t>現場管理費率対象額</t>
    <rPh sb="0" eb="2">
      <t>ゲンバ</t>
    </rPh>
    <rPh sb="2" eb="5">
      <t>カンリヒ</t>
    </rPh>
    <rPh sb="5" eb="6">
      <t>リツ</t>
    </rPh>
    <rPh sb="6" eb="8">
      <t>タイショウ</t>
    </rPh>
    <rPh sb="8" eb="9">
      <t>ガク</t>
    </rPh>
    <phoneticPr fontId="2"/>
  </si>
  <si>
    <t>一般管理費率対象額</t>
    <rPh sb="0" eb="2">
      <t>イッパン</t>
    </rPh>
    <rPh sb="2" eb="5">
      <t>カンリヒ</t>
    </rPh>
    <rPh sb="5" eb="6">
      <t>リツ</t>
    </rPh>
    <rPh sb="6" eb="8">
      <t>タイショウ</t>
    </rPh>
    <rPh sb="8" eb="9">
      <t>ガク</t>
    </rPh>
    <phoneticPr fontId="2"/>
  </si>
  <si>
    <t>契約保障費</t>
    <rPh sb="0" eb="2">
      <t>ケイヤク</t>
    </rPh>
    <rPh sb="2" eb="4">
      <t>ホショウ</t>
    </rPh>
    <rPh sb="4" eb="5">
      <t>ヒ</t>
    </rPh>
    <phoneticPr fontId="2"/>
  </si>
  <si>
    <t>共通仮設費率（補正後）</t>
    <rPh sb="0" eb="2">
      <t>キョウツウ</t>
    </rPh>
    <rPh sb="2" eb="4">
      <t>カセツ</t>
    </rPh>
    <rPh sb="4" eb="5">
      <t>ヒ</t>
    </rPh>
    <rPh sb="5" eb="6">
      <t>リツ</t>
    </rPh>
    <rPh sb="7" eb="9">
      <t>ホセイ</t>
    </rPh>
    <rPh sb="9" eb="10">
      <t>ゴ</t>
    </rPh>
    <phoneticPr fontId="2"/>
  </si>
  <si>
    <t>現場管理費率（補正後）</t>
    <rPh sb="0" eb="2">
      <t>ゲンバ</t>
    </rPh>
    <rPh sb="2" eb="5">
      <t>カンリヒ</t>
    </rPh>
    <rPh sb="5" eb="6">
      <t>リツ</t>
    </rPh>
    <rPh sb="7" eb="9">
      <t>ホセイ</t>
    </rPh>
    <rPh sb="9" eb="10">
      <t>ゴ</t>
    </rPh>
    <phoneticPr fontId="2"/>
  </si>
  <si>
    <t>○○○○○○○工事</t>
    <phoneticPr fontId="2"/>
  </si>
  <si>
    <t>※地域補正・週休補正等</t>
    <rPh sb="1" eb="3">
      <t>チイキ</t>
    </rPh>
    <rPh sb="3" eb="5">
      <t>ホセイ</t>
    </rPh>
    <rPh sb="6" eb="8">
      <t>シュウキュウ</t>
    </rPh>
    <rPh sb="8" eb="10">
      <t>ホセイ</t>
    </rPh>
    <rPh sb="10" eb="11">
      <t>トウ</t>
    </rPh>
    <phoneticPr fontId="2"/>
  </si>
  <si>
    <t>※道路改良工事・公園工事等</t>
    <rPh sb="1" eb="3">
      <t>ドウロ</t>
    </rPh>
    <rPh sb="3" eb="5">
      <t>カイリョウ</t>
    </rPh>
    <rPh sb="5" eb="7">
      <t>コウジ</t>
    </rPh>
    <rPh sb="8" eb="10">
      <t>コウエン</t>
    </rPh>
    <rPh sb="10" eb="12">
      <t>コウジ</t>
    </rPh>
    <rPh sb="12" eb="13">
      <t>トウ</t>
    </rPh>
    <phoneticPr fontId="2"/>
  </si>
  <si>
    <t>管材費</t>
    <rPh sb="0" eb="3">
      <t>カンザイヒ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</si>
</sst>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#,##0_);[Red]\(#,##0\)"/>
    <numFmt numFmtId="177" formatCode="#,##0.00_);[Red]\(#,##0.00\)"/>
    <numFmt numFmtId="178" formatCode="0_);[Red]\(0\)"/>
    <numFmt numFmtId="179" formatCode="#,##0.00_ ;[Red]\-#,##0.00\ "/>
    <numFmt numFmtId="180" formatCode="#,##0.000000_ ;[Red]\-#,##0.000000\ "/>
    <numFmt numFmtId="181" formatCode="#,##0.0000000000_ ;[Red]\-#,##0.0000000000\ "/>
    <numFmt numFmtId="182" formatCode="0.0000_ "/>
    <numFmt numFmtId="183" formatCode="#,##0.0_ ;[Red]\-#,##0.0\ "/>
    <numFmt numFmtId="184" formatCode="#,##0_ ;[Red]\-#,##0\ "/>
    <numFmt numFmtId="185" formatCode="0.00_);[Red]\(0.00\)"/>
  </numFmts>
  <fonts count="8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7"/>
      <color theme="1"/>
      <name val="ＭＳ Ｐゴシック"/>
      <family val="3"/>
      <charset val="128"/>
      <scheme val="minor"/>
    </font>
    <font>
      <sz val="5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07">
    <xf numFmtId="0" fontId="0" fillId="0" borderId="0" xfId="0"/>
    <xf numFmtId="38" fontId="4" fillId="0" borderId="10" xfId="1" applyFont="1" applyFill="1" applyBorder="1" applyAlignment="1">
      <alignment vertical="center"/>
    </xf>
    <xf numFmtId="38" fontId="4" fillId="0" borderId="5" xfId="1" applyFont="1" applyFill="1" applyBorder="1" applyAlignment="1">
      <alignment vertical="center" shrinkToFit="1"/>
    </xf>
    <xf numFmtId="0" fontId="4" fillId="0" borderId="0" xfId="0" applyFont="1" applyFill="1"/>
    <xf numFmtId="38" fontId="4" fillId="0" borderId="0" xfId="0" applyNumberFormat="1" applyFont="1" applyFill="1"/>
    <xf numFmtId="0" fontId="4" fillId="0" borderId="5" xfId="0" applyFont="1" applyFill="1" applyBorder="1" applyAlignment="1">
      <alignment vertical="center" shrinkToFit="1"/>
    </xf>
    <xf numFmtId="0" fontId="4" fillId="0" borderId="5" xfId="0" applyFont="1" applyFill="1" applyBorder="1" applyAlignment="1">
      <alignment shrinkToFit="1"/>
    </xf>
    <xf numFmtId="38" fontId="4" fillId="0" borderId="0" xfId="1" applyFont="1" applyFill="1" applyAlignment="1"/>
    <xf numFmtId="0" fontId="4" fillId="0" borderId="0" xfId="0" applyFont="1" applyFill="1" applyBorder="1"/>
    <xf numFmtId="38" fontId="5" fillId="0" borderId="10" xfId="1" applyFont="1" applyFill="1" applyBorder="1" applyAlignment="1">
      <alignment vertical="center"/>
    </xf>
    <xf numFmtId="38" fontId="5" fillId="0" borderId="1" xfId="1" applyFont="1" applyFill="1" applyBorder="1">
      <alignment vertical="center"/>
    </xf>
    <xf numFmtId="38" fontId="5" fillId="0" borderId="3" xfId="1" applyFont="1" applyFill="1" applyBorder="1" applyAlignment="1">
      <alignment vertical="center"/>
    </xf>
    <xf numFmtId="38" fontId="5" fillId="0" borderId="5" xfId="1" applyFont="1" applyFill="1" applyBorder="1" applyAlignment="1">
      <alignment horizontal="center" vertical="center" shrinkToFit="1"/>
    </xf>
    <xf numFmtId="38" fontId="5" fillId="0" borderId="5" xfId="1" applyFont="1" applyFill="1" applyBorder="1" applyAlignment="1">
      <alignment horizontal="right" vertical="center" shrinkToFit="1"/>
    </xf>
    <xf numFmtId="38" fontId="5" fillId="0" borderId="5" xfId="1" applyFont="1" applyFill="1" applyBorder="1" applyAlignment="1">
      <alignment horizontal="left" vertical="center" shrinkToFit="1"/>
    </xf>
    <xf numFmtId="38" fontId="5" fillId="0" borderId="0" xfId="1" applyFont="1" applyFill="1" applyBorder="1">
      <alignment vertical="center"/>
    </xf>
    <xf numFmtId="38" fontId="5" fillId="0" borderId="13" xfId="1" applyFont="1" applyFill="1" applyBorder="1" applyAlignment="1">
      <alignment vertical="center" shrinkToFit="1"/>
    </xf>
    <xf numFmtId="38" fontId="5" fillId="0" borderId="11" xfId="1" applyFont="1" applyFill="1" applyBorder="1" applyAlignment="1">
      <alignment vertical="center" shrinkToFit="1"/>
    </xf>
    <xf numFmtId="38" fontId="5" fillId="0" borderId="0" xfId="1" applyFont="1" applyFill="1" applyBorder="1" applyAlignment="1">
      <alignment vertical="center" shrinkToFit="1"/>
    </xf>
    <xf numFmtId="38" fontId="5" fillId="0" borderId="0" xfId="1" applyFont="1" applyFill="1" applyBorder="1" applyAlignment="1">
      <alignment horizontal="left" vertical="center" shrinkToFit="1"/>
    </xf>
    <xf numFmtId="38" fontId="5" fillId="0" borderId="4" xfId="1" applyFont="1" applyFill="1" applyBorder="1">
      <alignment vertical="center"/>
    </xf>
    <xf numFmtId="38" fontId="5" fillId="0" borderId="12" xfId="1" applyFont="1" applyFill="1" applyBorder="1" applyAlignment="1">
      <alignment vertical="center" shrinkToFit="1"/>
    </xf>
    <xf numFmtId="38" fontId="5" fillId="0" borderId="5" xfId="1" applyFont="1" applyFill="1" applyBorder="1" applyAlignment="1">
      <alignment vertical="center" shrinkToFit="1"/>
    </xf>
    <xf numFmtId="38" fontId="5" fillId="0" borderId="10" xfId="1" applyFont="1" applyFill="1" applyBorder="1">
      <alignment vertical="center"/>
    </xf>
    <xf numFmtId="38" fontId="5" fillId="0" borderId="5" xfId="1" applyNumberFormat="1" applyFont="1" applyFill="1" applyBorder="1" applyAlignment="1">
      <alignment horizontal="right" vertical="center" shrinkToFit="1"/>
    </xf>
    <xf numFmtId="38" fontId="5" fillId="0" borderId="0" xfId="1" applyFont="1" applyFill="1">
      <alignment vertical="center"/>
    </xf>
    <xf numFmtId="38" fontId="5" fillId="0" borderId="0" xfId="1" applyFont="1" applyFill="1" applyAlignment="1">
      <alignment vertical="center" shrinkToFit="1"/>
    </xf>
    <xf numFmtId="38" fontId="5" fillId="0" borderId="0" xfId="1" applyFont="1" applyFill="1" applyAlignment="1">
      <alignment horizontal="right" vertical="center" shrinkToFit="1"/>
    </xf>
    <xf numFmtId="38" fontId="5" fillId="0" borderId="0" xfId="1" applyFont="1" applyFill="1" applyAlignment="1">
      <alignment horizontal="center" vertical="center" shrinkToFit="1"/>
    </xf>
    <xf numFmtId="38" fontId="5" fillId="0" borderId="0" xfId="1" applyFont="1" applyFill="1" applyAlignment="1">
      <alignment horizontal="left" vertical="center" shrinkToFit="1"/>
    </xf>
    <xf numFmtId="38" fontId="5" fillId="0" borderId="4" xfId="1" applyFont="1" applyFill="1" applyBorder="1" applyAlignment="1">
      <alignment vertical="center" shrinkToFit="1"/>
    </xf>
    <xf numFmtId="38" fontId="5" fillId="0" borderId="4" xfId="1" applyFont="1" applyFill="1" applyBorder="1" applyAlignment="1">
      <alignment horizontal="left" vertical="center" shrinkToFit="1"/>
    </xf>
    <xf numFmtId="176" fontId="4" fillId="0" borderId="5" xfId="0" applyNumberFormat="1" applyFont="1" applyFill="1" applyBorder="1" applyAlignment="1">
      <alignment shrinkToFit="1"/>
    </xf>
    <xf numFmtId="176" fontId="5" fillId="0" borderId="0" xfId="1" applyNumberFormat="1" applyFont="1" applyFill="1" applyBorder="1" applyAlignment="1">
      <alignment vertical="center" shrinkToFit="1"/>
    </xf>
    <xf numFmtId="176" fontId="5" fillId="0" borderId="4" xfId="1" applyNumberFormat="1" applyFont="1" applyFill="1" applyBorder="1" applyAlignment="1">
      <alignment vertical="center" shrinkToFit="1"/>
    </xf>
    <xf numFmtId="176" fontId="5" fillId="0" borderId="5" xfId="1" applyNumberFormat="1" applyFont="1" applyFill="1" applyBorder="1" applyAlignment="1">
      <alignment vertical="center" shrinkToFit="1"/>
    </xf>
    <xf numFmtId="38" fontId="5" fillId="0" borderId="14" xfId="1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176" fontId="5" fillId="0" borderId="0" xfId="1" applyNumberFormat="1" applyFont="1" applyFill="1" applyAlignment="1">
      <alignment vertical="center" shrinkToFit="1"/>
    </xf>
    <xf numFmtId="38" fontId="5" fillId="0" borderId="3" xfId="1" applyFont="1" applyFill="1" applyBorder="1">
      <alignment vertical="center"/>
    </xf>
    <xf numFmtId="38" fontId="5" fillId="0" borderId="9" xfId="1" applyFont="1" applyFill="1" applyBorder="1">
      <alignment vertical="center"/>
    </xf>
    <xf numFmtId="38" fontId="5" fillId="0" borderId="3" xfId="1" applyFont="1" applyFill="1" applyBorder="1">
      <alignment vertical="center"/>
    </xf>
    <xf numFmtId="38" fontId="5" fillId="0" borderId="3" xfId="1" applyFont="1" applyFill="1" applyBorder="1">
      <alignment vertical="center"/>
    </xf>
    <xf numFmtId="38" fontId="5" fillId="0" borderId="3" xfId="1" applyFont="1" applyFill="1" applyBorder="1">
      <alignment vertical="center"/>
    </xf>
    <xf numFmtId="177" fontId="5" fillId="0" borderId="5" xfId="1" applyNumberFormat="1" applyFont="1" applyFill="1" applyBorder="1" applyAlignment="1">
      <alignment vertical="center" shrinkToFit="1"/>
    </xf>
    <xf numFmtId="177" fontId="4" fillId="0" borderId="5" xfId="0" applyNumberFormat="1" applyFont="1" applyFill="1" applyBorder="1" applyAlignment="1">
      <alignment shrinkToFit="1"/>
    </xf>
    <xf numFmtId="178" fontId="4" fillId="0" borderId="5" xfId="0" applyNumberFormat="1" applyFont="1" applyFill="1" applyBorder="1" applyAlignment="1">
      <alignment shrinkToFit="1"/>
    </xf>
    <xf numFmtId="179" fontId="5" fillId="0" borderId="5" xfId="1" applyNumberFormat="1" applyFont="1" applyFill="1" applyBorder="1" applyAlignment="1">
      <alignment horizontal="right" vertical="center" shrinkToFit="1"/>
    </xf>
    <xf numFmtId="180" fontId="5" fillId="0" borderId="5" xfId="1" applyNumberFormat="1" applyFont="1" applyFill="1" applyBorder="1" applyAlignment="1">
      <alignment horizontal="left" vertical="center" shrinkToFit="1"/>
    </xf>
    <xf numFmtId="179" fontId="5" fillId="0" borderId="5" xfId="1" applyNumberFormat="1" applyFont="1" applyFill="1" applyBorder="1" applyAlignment="1">
      <alignment horizontal="left" vertical="center" shrinkToFit="1"/>
    </xf>
    <xf numFmtId="181" fontId="5" fillId="0" borderId="5" xfId="1" applyNumberFormat="1" applyFont="1" applyFill="1" applyBorder="1" applyAlignment="1">
      <alignment horizontal="left" vertical="center" shrinkToFit="1"/>
    </xf>
    <xf numFmtId="40" fontId="5" fillId="0" borderId="5" xfId="1" applyNumberFormat="1" applyFont="1" applyFill="1" applyBorder="1" applyAlignment="1">
      <alignment vertical="center" shrinkToFit="1"/>
    </xf>
    <xf numFmtId="38" fontId="5" fillId="0" borderId="3" xfId="1" applyFont="1" applyFill="1" applyBorder="1">
      <alignment vertical="center"/>
    </xf>
    <xf numFmtId="182" fontId="4" fillId="0" borderId="0" xfId="0" applyNumberFormat="1" applyFont="1" applyFill="1"/>
    <xf numFmtId="38" fontId="5" fillId="0" borderId="3" xfId="1" applyFont="1" applyFill="1" applyBorder="1">
      <alignment vertical="center"/>
    </xf>
    <xf numFmtId="184" fontId="5" fillId="0" borderId="5" xfId="1" applyNumberFormat="1" applyFont="1" applyFill="1" applyBorder="1" applyAlignment="1">
      <alignment horizontal="right" vertical="center" shrinkToFit="1"/>
    </xf>
    <xf numFmtId="38" fontId="4" fillId="0" borderId="0" xfId="1" applyFont="1" applyFill="1" applyBorder="1" applyAlignment="1">
      <alignment vertical="center"/>
    </xf>
    <xf numFmtId="38" fontId="5" fillId="0" borderId="0" xfId="1" applyFont="1" applyFill="1" applyBorder="1" applyAlignment="1">
      <alignment vertical="center"/>
    </xf>
    <xf numFmtId="0" fontId="4" fillId="0" borderId="0" xfId="0" applyFont="1" applyFill="1" applyBorder="1" applyAlignment="1">
      <alignment vertical="center" shrinkToFit="1"/>
    </xf>
    <xf numFmtId="0" fontId="4" fillId="0" borderId="0" xfId="0" applyFont="1" applyFill="1" applyBorder="1" applyAlignment="1">
      <alignment shrinkToFit="1"/>
    </xf>
    <xf numFmtId="38" fontId="5" fillId="0" borderId="0" xfId="1" applyFont="1" applyFill="1" applyBorder="1" applyAlignment="1">
      <alignment horizontal="center" vertical="center" shrinkToFit="1"/>
    </xf>
    <xf numFmtId="38" fontId="5" fillId="0" borderId="0" xfId="1" applyNumberFormat="1" applyFont="1" applyFill="1" applyBorder="1" applyAlignment="1">
      <alignment horizontal="right" vertical="center" shrinkToFit="1"/>
    </xf>
    <xf numFmtId="176" fontId="4" fillId="0" borderId="0" xfId="0" applyNumberFormat="1" applyFont="1" applyFill="1" applyBorder="1" applyAlignment="1">
      <alignment shrinkToFit="1"/>
    </xf>
    <xf numFmtId="38" fontId="5" fillId="0" borderId="0" xfId="1" applyFont="1" applyFill="1" applyBorder="1" applyAlignment="1">
      <alignment horizontal="right" vertical="center" shrinkToFit="1"/>
    </xf>
    <xf numFmtId="179" fontId="5" fillId="0" borderId="0" xfId="1" applyNumberFormat="1" applyFont="1" applyFill="1" applyBorder="1" applyAlignment="1">
      <alignment horizontal="center" vertical="center" shrinkToFit="1"/>
    </xf>
    <xf numFmtId="40" fontId="5" fillId="0" borderId="0" xfId="1" applyNumberFormat="1" applyFont="1" applyFill="1" applyBorder="1" applyAlignment="1">
      <alignment horizontal="center" vertical="center" shrinkToFit="1"/>
    </xf>
    <xf numFmtId="38" fontId="5" fillId="0" borderId="3" xfId="1" applyFont="1" applyFill="1" applyBorder="1">
      <alignment vertical="center"/>
    </xf>
    <xf numFmtId="38" fontId="5" fillId="0" borderId="9" xfId="1" applyFont="1" applyFill="1" applyBorder="1">
      <alignment vertical="center"/>
    </xf>
    <xf numFmtId="185" fontId="5" fillId="0" borderId="0" xfId="1" applyNumberFormat="1" applyFont="1" applyFill="1" applyBorder="1" applyAlignment="1">
      <alignment horizontal="right" vertical="center" shrinkToFit="1"/>
    </xf>
    <xf numFmtId="183" fontId="7" fillId="0" borderId="5" xfId="1" applyNumberFormat="1" applyFont="1" applyFill="1" applyBorder="1" applyAlignment="1">
      <alignment horizontal="left" vertical="center" shrinkToFit="1"/>
    </xf>
    <xf numFmtId="38" fontId="5" fillId="0" borderId="5" xfId="1" applyFont="1" applyFill="1" applyBorder="1" applyAlignment="1">
      <alignment vertical="center" textRotation="255"/>
    </xf>
    <xf numFmtId="38" fontId="5" fillId="0" borderId="6" xfId="1" applyFont="1" applyFill="1" applyBorder="1">
      <alignment vertical="center"/>
    </xf>
    <xf numFmtId="38" fontId="5" fillId="0" borderId="2" xfId="1" applyFont="1" applyFill="1" applyBorder="1">
      <alignment vertical="center"/>
    </xf>
    <xf numFmtId="38" fontId="5" fillId="0" borderId="3" xfId="1" applyFont="1" applyFill="1" applyBorder="1">
      <alignment vertical="center"/>
    </xf>
    <xf numFmtId="38" fontId="4" fillId="0" borderId="7" xfId="1" applyFont="1" applyFill="1" applyBorder="1" applyAlignment="1">
      <alignment horizontal="center" vertical="center" shrinkToFit="1"/>
    </xf>
    <xf numFmtId="38" fontId="4" fillId="0" borderId="8" xfId="1" applyFont="1" applyFill="1" applyBorder="1" applyAlignment="1">
      <alignment horizontal="center" vertical="center" shrinkToFit="1"/>
    </xf>
    <xf numFmtId="38" fontId="4" fillId="0" borderId="9" xfId="1" applyFont="1" applyFill="1" applyBorder="1" applyAlignment="1">
      <alignment horizontal="center" vertical="center" shrinkToFit="1"/>
    </xf>
    <xf numFmtId="176" fontId="4" fillId="0" borderId="6" xfId="1" applyNumberFormat="1" applyFont="1" applyFill="1" applyBorder="1" applyAlignment="1">
      <alignment horizontal="center" vertical="center" wrapText="1" shrinkToFit="1"/>
    </xf>
    <xf numFmtId="176" fontId="4" fillId="0" borderId="16" xfId="1" applyNumberFormat="1" applyFont="1" applyFill="1" applyBorder="1" applyAlignment="1">
      <alignment horizontal="center" vertical="center" wrapText="1" shrinkToFit="1"/>
    </xf>
    <xf numFmtId="176" fontId="4" fillId="0" borderId="18" xfId="1" applyNumberFormat="1" applyFont="1" applyFill="1" applyBorder="1" applyAlignment="1">
      <alignment horizontal="center" vertical="center" wrapText="1" shrinkToFit="1"/>
    </xf>
    <xf numFmtId="176" fontId="4" fillId="0" borderId="12" xfId="1" applyNumberFormat="1" applyFont="1" applyFill="1" applyBorder="1" applyAlignment="1">
      <alignment horizontal="center" vertical="center" wrapText="1" shrinkToFit="1"/>
    </xf>
    <xf numFmtId="38" fontId="4" fillId="0" borderId="6" xfId="1" applyFont="1" applyFill="1" applyBorder="1" applyAlignment="1">
      <alignment horizontal="center" vertical="center" wrapText="1" shrinkToFit="1"/>
    </xf>
    <xf numFmtId="38" fontId="4" fillId="0" borderId="17" xfId="1" applyFont="1" applyFill="1" applyBorder="1" applyAlignment="1">
      <alignment horizontal="center" vertical="center" wrapText="1" shrinkToFit="1"/>
    </xf>
    <xf numFmtId="38" fontId="4" fillId="0" borderId="16" xfId="1" applyFont="1" applyFill="1" applyBorder="1" applyAlignment="1">
      <alignment horizontal="center" vertical="center" wrapText="1" shrinkToFit="1"/>
    </xf>
    <xf numFmtId="38" fontId="4" fillId="0" borderId="18" xfId="1" applyFont="1" applyFill="1" applyBorder="1" applyAlignment="1">
      <alignment horizontal="center" vertical="center" wrapText="1" shrinkToFit="1"/>
    </xf>
    <xf numFmtId="38" fontId="4" fillId="0" borderId="4" xfId="1" applyFont="1" applyFill="1" applyBorder="1" applyAlignment="1">
      <alignment horizontal="center" vertical="center" wrapText="1" shrinkToFit="1"/>
    </xf>
    <xf numFmtId="38" fontId="4" fillId="0" borderId="12" xfId="1" applyFont="1" applyFill="1" applyBorder="1" applyAlignment="1">
      <alignment horizontal="center" vertical="center" wrapText="1" shrinkToFit="1"/>
    </xf>
    <xf numFmtId="38" fontId="5" fillId="0" borderId="8" xfId="1" applyFont="1" applyFill="1" applyBorder="1">
      <alignment vertical="center"/>
    </xf>
    <xf numFmtId="38" fontId="5" fillId="0" borderId="9" xfId="1" applyFont="1" applyFill="1" applyBorder="1">
      <alignment vertical="center"/>
    </xf>
    <xf numFmtId="176" fontId="4" fillId="0" borderId="8" xfId="1" applyNumberFormat="1" applyFont="1" applyFill="1" applyBorder="1" applyAlignment="1">
      <alignment horizontal="center" vertical="center" shrinkToFit="1"/>
    </xf>
    <xf numFmtId="176" fontId="4" fillId="0" borderId="9" xfId="1" applyNumberFormat="1" applyFont="1" applyFill="1" applyBorder="1" applyAlignment="1">
      <alignment horizontal="center" vertical="center" shrinkToFit="1"/>
    </xf>
    <xf numFmtId="38" fontId="5" fillId="0" borderId="7" xfId="1" applyFont="1" applyFill="1" applyBorder="1" applyAlignment="1">
      <alignment horizontal="center" vertical="center" textRotation="255" wrapText="1" shrinkToFit="1"/>
    </xf>
    <xf numFmtId="38" fontId="5" fillId="0" borderId="8" xfId="1" applyFont="1" applyFill="1" applyBorder="1" applyAlignment="1">
      <alignment horizontal="center" vertical="center" textRotation="255" shrinkToFit="1"/>
    </xf>
    <xf numFmtId="38" fontId="5" fillId="0" borderId="9" xfId="1" applyFont="1" applyFill="1" applyBorder="1" applyAlignment="1">
      <alignment horizontal="center" vertical="center" textRotation="255" shrinkToFit="1"/>
    </xf>
    <xf numFmtId="38" fontId="5" fillId="0" borderId="6" xfId="1" applyFont="1" applyFill="1" applyBorder="1" applyAlignment="1">
      <alignment horizontal="center" vertical="center" wrapText="1" shrinkToFit="1"/>
    </xf>
    <xf numFmtId="38" fontId="5" fillId="0" borderId="17" xfId="1" applyFont="1" applyFill="1" applyBorder="1" applyAlignment="1">
      <alignment horizontal="center" vertical="center" wrapText="1" shrinkToFit="1"/>
    </xf>
    <xf numFmtId="38" fontId="5" fillId="0" borderId="18" xfId="1" applyFont="1" applyFill="1" applyBorder="1" applyAlignment="1">
      <alignment horizontal="center" vertical="center" wrapText="1" shrinkToFit="1"/>
    </xf>
    <xf numFmtId="38" fontId="5" fillId="0" borderId="4" xfId="1" applyFont="1" applyFill="1" applyBorder="1" applyAlignment="1">
      <alignment horizontal="center" vertical="center" wrapText="1" shrinkToFit="1"/>
    </xf>
    <xf numFmtId="38" fontId="5" fillId="0" borderId="16" xfId="1" applyFont="1" applyFill="1" applyBorder="1" applyAlignment="1">
      <alignment horizontal="center" vertical="center" wrapText="1" shrinkToFit="1"/>
    </xf>
    <xf numFmtId="38" fontId="5" fillId="0" borderId="12" xfId="1" applyFont="1" applyFill="1" applyBorder="1" applyAlignment="1">
      <alignment horizontal="center" vertical="center" wrapText="1" shrinkToFit="1"/>
    </xf>
    <xf numFmtId="38" fontId="5" fillId="0" borderId="7" xfId="1" applyFont="1" applyFill="1" applyBorder="1" applyAlignment="1">
      <alignment horizontal="center" vertical="center" shrinkToFit="1"/>
    </xf>
    <xf numFmtId="38" fontId="5" fillId="0" borderId="8" xfId="1" applyFont="1" applyFill="1" applyBorder="1" applyAlignment="1">
      <alignment horizontal="center" vertical="center" shrinkToFit="1"/>
    </xf>
    <xf numFmtId="38" fontId="5" fillId="0" borderId="9" xfId="1" applyFont="1" applyFill="1" applyBorder="1" applyAlignment="1">
      <alignment horizontal="center" vertical="center" shrinkToFit="1"/>
    </xf>
    <xf numFmtId="0" fontId="6" fillId="0" borderId="11" xfId="0" applyFont="1" applyFill="1" applyBorder="1" applyAlignment="1"/>
    <xf numFmtId="0" fontId="6" fillId="0" borderId="0" xfId="0" applyFont="1" applyAlignment="1"/>
    <xf numFmtId="0" fontId="6" fillId="0" borderId="11" xfId="0" applyFont="1" applyFill="1" applyBorder="1" applyAlignment="1">
      <alignment horizontal="left" vertical="center" shrinkToFit="1"/>
    </xf>
    <xf numFmtId="0" fontId="6" fillId="0" borderId="0" xfId="0" applyFont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colors>
    <mruColors>
      <color rgb="FFFF99FF"/>
      <color rgb="FFCCECFF"/>
      <color rgb="FFFFCCFF"/>
      <color rgb="FF0000FF"/>
      <color rgb="FF00FFFF"/>
      <color rgb="FF99FFCC"/>
      <color rgb="FFFFE2C5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45"/>
  <sheetViews>
    <sheetView view="pageBreakPreview" zoomScaleNormal="85" zoomScaleSheetLayoutView="10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G20" sqref="G20"/>
    </sheetView>
  </sheetViews>
  <sheetFormatPr defaultColWidth="9" defaultRowHeight="12.75" customHeight="1" outlineLevelRow="1" x14ac:dyDescent="0.15"/>
  <cols>
    <col min="1" max="1" width="4.109375" style="3" customWidth="1"/>
    <col min="2" max="6" width="2.21875" style="25" customWidth="1"/>
    <col min="7" max="7" width="21.33203125" style="26" customWidth="1"/>
    <col min="8" max="8" width="18.77734375" style="26" customWidth="1"/>
    <col min="9" max="10" width="8.88671875" style="38" bestFit="1" customWidth="1"/>
    <col min="11" max="11" width="8" style="26" bestFit="1" customWidth="1"/>
    <col min="12" max="13" width="6.33203125" style="26" bestFit="1" customWidth="1"/>
    <col min="14" max="14" width="5.6640625" style="28" bestFit="1" customWidth="1"/>
    <col min="15" max="15" width="3.33203125" style="28" customWidth="1"/>
    <col min="16" max="19" width="10.109375" style="27" customWidth="1"/>
    <col min="20" max="20" width="16.33203125" style="29" customWidth="1"/>
    <col min="21" max="16384" width="9" style="3"/>
  </cols>
  <sheetData>
    <row r="1" spans="2:20" ht="12.75" customHeight="1" x14ac:dyDescent="0.15">
      <c r="B1" s="15" t="s">
        <v>221</v>
      </c>
      <c r="C1" s="15"/>
      <c r="D1" s="15"/>
      <c r="E1" s="15"/>
      <c r="F1" s="15"/>
      <c r="G1" s="16"/>
      <c r="H1" s="17"/>
      <c r="I1" s="33"/>
      <c r="J1" s="33"/>
      <c r="K1" s="18"/>
      <c r="L1" s="18"/>
      <c r="M1" s="18"/>
      <c r="N1" s="18"/>
      <c r="O1" s="18"/>
      <c r="P1" s="18"/>
      <c r="Q1" s="18"/>
      <c r="R1" s="18"/>
      <c r="S1" s="18"/>
      <c r="T1" s="19"/>
    </row>
    <row r="2" spans="2:20" s="8" customFormat="1" ht="12.75" customHeight="1" x14ac:dyDescent="0.15">
      <c r="B2" s="20"/>
      <c r="C2" s="15"/>
      <c r="D2" s="20"/>
      <c r="E2" s="20"/>
      <c r="F2" s="20"/>
      <c r="G2" s="21"/>
      <c r="H2" s="17"/>
      <c r="I2" s="34"/>
      <c r="J2" s="34"/>
      <c r="K2" s="30"/>
      <c r="L2" s="30"/>
      <c r="M2" s="30"/>
      <c r="N2" s="30"/>
      <c r="O2" s="30"/>
      <c r="P2" s="30"/>
      <c r="Q2" s="30"/>
      <c r="R2" s="30"/>
      <c r="S2" s="30"/>
      <c r="T2" s="31"/>
    </row>
    <row r="3" spans="2:20" ht="12.75" customHeight="1" x14ac:dyDescent="0.15">
      <c r="B3" s="70" t="s">
        <v>0</v>
      </c>
      <c r="C3" s="71" t="s">
        <v>1</v>
      </c>
      <c r="D3" s="72"/>
      <c r="E3" s="72"/>
      <c r="F3" s="72"/>
      <c r="G3" s="73"/>
      <c r="H3" s="74" t="s">
        <v>7</v>
      </c>
      <c r="I3" s="77" t="s">
        <v>205</v>
      </c>
      <c r="J3" s="78"/>
      <c r="K3" s="81" t="s">
        <v>208</v>
      </c>
      <c r="L3" s="82"/>
      <c r="M3" s="83"/>
      <c r="N3" s="100" t="s">
        <v>2</v>
      </c>
      <c r="O3" s="91" t="s">
        <v>122</v>
      </c>
      <c r="P3" s="94" t="s">
        <v>209</v>
      </c>
      <c r="Q3" s="95"/>
      <c r="R3" s="94" t="s">
        <v>213</v>
      </c>
      <c r="S3" s="98"/>
      <c r="T3" s="100" t="s">
        <v>133</v>
      </c>
    </row>
    <row r="4" spans="2:20" ht="12.75" customHeight="1" x14ac:dyDescent="0.15">
      <c r="B4" s="70"/>
      <c r="C4" s="87"/>
      <c r="D4" s="71" t="s">
        <v>3</v>
      </c>
      <c r="E4" s="72"/>
      <c r="F4" s="72"/>
      <c r="G4" s="73"/>
      <c r="H4" s="75"/>
      <c r="I4" s="79"/>
      <c r="J4" s="80"/>
      <c r="K4" s="84"/>
      <c r="L4" s="85"/>
      <c r="M4" s="86"/>
      <c r="N4" s="101"/>
      <c r="O4" s="92"/>
      <c r="P4" s="96"/>
      <c r="Q4" s="97"/>
      <c r="R4" s="96"/>
      <c r="S4" s="99"/>
      <c r="T4" s="101"/>
    </row>
    <row r="5" spans="2:20" ht="12.75" customHeight="1" x14ac:dyDescent="0.15">
      <c r="B5" s="70"/>
      <c r="C5" s="87"/>
      <c r="D5" s="87"/>
      <c r="E5" s="71" t="s">
        <v>4</v>
      </c>
      <c r="F5" s="72"/>
      <c r="G5" s="73"/>
      <c r="H5" s="75"/>
      <c r="I5" s="89" t="s">
        <v>210</v>
      </c>
      <c r="J5" s="89" t="s">
        <v>211</v>
      </c>
      <c r="K5" s="75" t="s">
        <v>212</v>
      </c>
      <c r="L5" s="75" t="s">
        <v>206</v>
      </c>
      <c r="M5" s="75" t="s">
        <v>207</v>
      </c>
      <c r="N5" s="101"/>
      <c r="O5" s="92"/>
      <c r="P5" s="75" t="s">
        <v>212</v>
      </c>
      <c r="Q5" s="75" t="s">
        <v>206</v>
      </c>
      <c r="R5" s="75" t="s">
        <v>212</v>
      </c>
      <c r="S5" s="75" t="s">
        <v>207</v>
      </c>
      <c r="T5" s="101"/>
    </row>
    <row r="6" spans="2:20" ht="12.75" customHeight="1" x14ac:dyDescent="0.15">
      <c r="B6" s="70"/>
      <c r="C6" s="87"/>
      <c r="D6" s="87"/>
      <c r="E6" s="87"/>
      <c r="F6" s="71" t="s">
        <v>5</v>
      </c>
      <c r="G6" s="73"/>
      <c r="H6" s="75"/>
      <c r="I6" s="89"/>
      <c r="J6" s="89"/>
      <c r="K6" s="75"/>
      <c r="L6" s="75"/>
      <c r="M6" s="75"/>
      <c r="N6" s="101"/>
      <c r="O6" s="92"/>
      <c r="P6" s="75"/>
      <c r="Q6" s="75"/>
      <c r="R6" s="75"/>
      <c r="S6" s="75"/>
      <c r="T6" s="101"/>
    </row>
    <row r="7" spans="2:20" ht="12.75" customHeight="1" x14ac:dyDescent="0.15">
      <c r="B7" s="70"/>
      <c r="C7" s="88"/>
      <c r="D7" s="88"/>
      <c r="E7" s="88"/>
      <c r="F7" s="67"/>
      <c r="G7" s="22"/>
      <c r="H7" s="76"/>
      <c r="I7" s="90"/>
      <c r="J7" s="90"/>
      <c r="K7" s="76"/>
      <c r="L7" s="76"/>
      <c r="M7" s="76"/>
      <c r="N7" s="102"/>
      <c r="O7" s="93"/>
      <c r="P7" s="76"/>
      <c r="Q7" s="76"/>
      <c r="R7" s="76"/>
      <c r="S7" s="76"/>
      <c r="T7" s="102"/>
    </row>
    <row r="8" spans="2:20" ht="12.75" customHeight="1" x14ac:dyDescent="0.15">
      <c r="B8" s="10" t="s">
        <v>6</v>
      </c>
      <c r="C8" s="23"/>
      <c r="D8" s="23"/>
      <c r="E8" s="23"/>
      <c r="F8" s="66"/>
      <c r="G8" s="22"/>
      <c r="H8" s="22"/>
      <c r="I8" s="35"/>
      <c r="J8" s="35"/>
      <c r="K8" s="22"/>
      <c r="L8" s="22"/>
      <c r="M8" s="22"/>
      <c r="N8" s="12"/>
      <c r="O8" s="12"/>
      <c r="P8" s="13"/>
      <c r="Q8" s="13"/>
      <c r="R8" s="13"/>
      <c r="S8" s="13"/>
      <c r="T8" s="14"/>
    </row>
    <row r="9" spans="2:20" ht="12.75" customHeight="1" x14ac:dyDescent="0.15">
      <c r="B9" s="10"/>
      <c r="C9" s="1"/>
      <c r="D9" s="1"/>
      <c r="E9" s="9"/>
      <c r="F9" s="11"/>
      <c r="G9" s="5"/>
      <c r="H9" s="6"/>
      <c r="I9" s="32"/>
      <c r="J9" s="32"/>
      <c r="K9" s="6"/>
      <c r="L9" s="6"/>
      <c r="M9" s="6"/>
      <c r="N9" s="12"/>
      <c r="O9" s="12"/>
      <c r="P9" s="13"/>
      <c r="Q9" s="13"/>
      <c r="R9" s="13"/>
      <c r="S9" s="13"/>
      <c r="T9" s="14"/>
    </row>
    <row r="10" spans="2:20" ht="12.75" customHeight="1" x14ac:dyDescent="0.15">
      <c r="B10" s="10"/>
      <c r="C10" s="1"/>
      <c r="D10" s="1"/>
      <c r="E10" s="9"/>
      <c r="F10" s="11"/>
      <c r="G10" s="5"/>
      <c r="H10" s="6"/>
      <c r="I10" s="32"/>
      <c r="J10" s="32"/>
      <c r="K10" s="6"/>
      <c r="L10" s="6"/>
      <c r="M10" s="6"/>
      <c r="N10" s="12"/>
      <c r="O10" s="12"/>
      <c r="P10" s="13"/>
      <c r="Q10" s="13"/>
      <c r="R10" s="13"/>
      <c r="S10" s="13"/>
      <c r="T10" s="14"/>
    </row>
    <row r="11" spans="2:20" ht="12.75" customHeight="1" x14ac:dyDescent="0.15">
      <c r="B11" s="10"/>
      <c r="C11" s="1"/>
      <c r="D11" s="1"/>
      <c r="E11" s="9"/>
      <c r="F11" s="11"/>
      <c r="G11" s="5"/>
      <c r="H11" s="6"/>
      <c r="I11" s="32"/>
      <c r="J11" s="32"/>
      <c r="K11" s="6"/>
      <c r="L11" s="6"/>
      <c r="M11" s="6"/>
      <c r="N11" s="12"/>
      <c r="O11" s="12"/>
      <c r="P11" s="13"/>
      <c r="Q11" s="13"/>
      <c r="R11" s="13"/>
      <c r="S11" s="13"/>
      <c r="T11" s="14"/>
    </row>
    <row r="12" spans="2:20" ht="12.75" customHeight="1" x14ac:dyDescent="0.15">
      <c r="B12" s="10"/>
      <c r="C12" s="1"/>
      <c r="D12" s="1"/>
      <c r="E12" s="9"/>
      <c r="F12" s="11"/>
      <c r="G12" s="5"/>
      <c r="H12" s="6"/>
      <c r="I12" s="32"/>
      <c r="J12" s="32"/>
      <c r="K12" s="6"/>
      <c r="L12" s="6"/>
      <c r="M12" s="6"/>
      <c r="N12" s="12"/>
      <c r="O12" s="12"/>
      <c r="P12" s="24"/>
      <c r="Q12" s="24"/>
      <c r="R12" s="24"/>
      <c r="S12" s="24"/>
      <c r="T12" s="14"/>
    </row>
    <row r="13" spans="2:20" ht="12.75" customHeight="1" x14ac:dyDescent="0.15">
      <c r="B13" s="10"/>
      <c r="C13" s="23"/>
      <c r="D13" s="23"/>
      <c r="E13" s="23"/>
      <c r="F13" s="66"/>
      <c r="G13" s="22"/>
      <c r="H13" s="22"/>
      <c r="I13" s="35"/>
      <c r="J13" s="35"/>
      <c r="K13" s="22"/>
      <c r="L13" s="22"/>
      <c r="M13" s="22"/>
      <c r="N13" s="12"/>
      <c r="O13" s="12"/>
      <c r="P13" s="13"/>
      <c r="Q13" s="13"/>
      <c r="R13" s="13"/>
      <c r="S13" s="13"/>
      <c r="T13" s="14"/>
    </row>
    <row r="14" spans="2:20" ht="12.75" customHeight="1" x14ac:dyDescent="0.15">
      <c r="B14" s="10"/>
      <c r="C14" s="1"/>
      <c r="D14" s="1"/>
      <c r="E14" s="9"/>
      <c r="F14" s="11"/>
      <c r="G14" s="5"/>
      <c r="H14" s="6"/>
      <c r="I14" s="32"/>
      <c r="J14" s="32"/>
      <c r="K14" s="6"/>
      <c r="L14" s="6"/>
      <c r="M14" s="6"/>
      <c r="N14" s="12"/>
      <c r="O14" s="12"/>
      <c r="P14" s="24"/>
      <c r="Q14" s="24"/>
      <c r="R14" s="24"/>
      <c r="S14" s="24"/>
      <c r="T14" s="14"/>
    </row>
    <row r="15" spans="2:20" ht="12.75" customHeight="1" x14ac:dyDescent="0.15">
      <c r="B15" s="10"/>
      <c r="C15" s="23"/>
      <c r="D15" s="23"/>
      <c r="E15" s="23"/>
      <c r="F15" s="66"/>
      <c r="G15" s="22"/>
      <c r="H15" s="22"/>
      <c r="I15" s="35"/>
      <c r="J15" s="35"/>
      <c r="K15" s="22"/>
      <c r="L15" s="22"/>
      <c r="M15" s="22"/>
      <c r="N15" s="12"/>
      <c r="O15" s="12"/>
      <c r="P15" s="13"/>
      <c r="Q15" s="13"/>
      <c r="R15" s="13"/>
      <c r="S15" s="13"/>
      <c r="T15" s="14"/>
    </row>
    <row r="16" spans="2:20" ht="12.75" customHeight="1" x14ac:dyDescent="0.15">
      <c r="B16" s="10"/>
      <c r="C16" s="1"/>
      <c r="D16" s="1"/>
      <c r="E16" s="9"/>
      <c r="F16" s="11"/>
      <c r="G16" s="22"/>
      <c r="H16" s="22"/>
      <c r="I16" s="35"/>
      <c r="J16" s="35"/>
      <c r="K16" s="6"/>
      <c r="L16" s="6"/>
      <c r="M16" s="6"/>
      <c r="N16" s="12"/>
      <c r="O16" s="12"/>
      <c r="P16" s="13"/>
      <c r="Q16" s="13"/>
      <c r="R16" s="13"/>
      <c r="S16" s="13"/>
      <c r="T16" s="14"/>
    </row>
    <row r="17" spans="2:20" ht="12.75" customHeight="1" x14ac:dyDescent="0.15">
      <c r="B17" s="10"/>
      <c r="C17" s="1"/>
      <c r="D17" s="1"/>
      <c r="E17" s="9"/>
      <c r="F17" s="11"/>
      <c r="G17" s="5"/>
      <c r="H17" s="6"/>
      <c r="I17" s="32"/>
      <c r="J17" s="32"/>
      <c r="K17" s="6"/>
      <c r="L17" s="6"/>
      <c r="M17" s="6"/>
      <c r="N17" s="12"/>
      <c r="O17" s="12"/>
      <c r="P17" s="24"/>
      <c r="Q17" s="24"/>
      <c r="R17" s="24"/>
      <c r="S17" s="24"/>
      <c r="T17" s="14"/>
    </row>
    <row r="18" spans="2:20" ht="12.75" customHeight="1" x14ac:dyDescent="0.15">
      <c r="B18" s="10"/>
      <c r="C18" s="23"/>
      <c r="D18" s="23"/>
      <c r="E18" s="23"/>
      <c r="F18" s="66"/>
      <c r="G18" s="5"/>
      <c r="H18" s="22"/>
      <c r="I18" s="35"/>
      <c r="J18" s="35"/>
      <c r="K18" s="22"/>
      <c r="L18" s="22"/>
      <c r="M18" s="22"/>
      <c r="N18" s="12"/>
      <c r="O18" s="12"/>
      <c r="P18" s="13"/>
      <c r="Q18" s="13"/>
      <c r="R18" s="13"/>
      <c r="S18" s="13"/>
      <c r="T18" s="14"/>
    </row>
    <row r="19" spans="2:20" ht="12.75" customHeight="1" x14ac:dyDescent="0.15">
      <c r="B19" s="10"/>
      <c r="C19" s="1"/>
      <c r="D19" s="1"/>
      <c r="E19" s="9"/>
      <c r="F19" s="11"/>
      <c r="G19" s="5"/>
      <c r="H19" s="6"/>
      <c r="I19" s="32"/>
      <c r="J19" s="32"/>
      <c r="K19" s="6"/>
      <c r="L19" s="6"/>
      <c r="M19" s="6"/>
      <c r="N19" s="12"/>
      <c r="O19" s="12"/>
      <c r="P19" s="24"/>
      <c r="Q19" s="24"/>
      <c r="R19" s="24"/>
      <c r="S19" s="24"/>
      <c r="T19" s="14"/>
    </row>
    <row r="20" spans="2:20" ht="12.75" customHeight="1" x14ac:dyDescent="0.15">
      <c r="B20" s="10"/>
      <c r="C20" s="23"/>
      <c r="D20" s="23"/>
      <c r="E20" s="23"/>
      <c r="F20" s="66"/>
      <c r="G20" s="5"/>
      <c r="H20" s="22"/>
      <c r="I20" s="35"/>
      <c r="J20" s="35"/>
      <c r="K20" s="22"/>
      <c r="L20" s="22"/>
      <c r="M20" s="22"/>
      <c r="N20" s="12"/>
      <c r="O20" s="12"/>
      <c r="P20" s="13"/>
      <c r="Q20" s="13"/>
      <c r="R20" s="13"/>
      <c r="S20" s="13"/>
      <c r="T20" s="14"/>
    </row>
    <row r="21" spans="2:20" ht="12.75" customHeight="1" x14ac:dyDescent="0.15">
      <c r="B21" s="10"/>
      <c r="C21" s="1"/>
      <c r="D21" s="1"/>
      <c r="E21" s="9"/>
      <c r="F21" s="11"/>
      <c r="G21" s="5"/>
      <c r="H21" s="6"/>
      <c r="I21" s="32"/>
      <c r="J21" s="32"/>
      <c r="K21" s="6"/>
      <c r="L21" s="6"/>
      <c r="M21" s="6"/>
      <c r="N21" s="12"/>
      <c r="O21" s="12"/>
      <c r="P21" s="24"/>
      <c r="Q21" s="24"/>
      <c r="R21" s="24"/>
      <c r="S21" s="24"/>
      <c r="T21" s="14"/>
    </row>
    <row r="22" spans="2:20" ht="12.75" customHeight="1" x14ac:dyDescent="0.15">
      <c r="B22" s="10"/>
      <c r="C22" s="23"/>
      <c r="D22" s="23"/>
      <c r="E22" s="23"/>
      <c r="F22" s="66"/>
      <c r="G22" s="5"/>
      <c r="H22" s="22"/>
      <c r="I22" s="35"/>
      <c r="J22" s="35"/>
      <c r="K22" s="22"/>
      <c r="L22" s="22"/>
      <c r="M22" s="22"/>
      <c r="N22" s="12"/>
      <c r="O22" s="12"/>
      <c r="P22" s="13"/>
      <c r="Q22" s="13"/>
      <c r="R22" s="13"/>
      <c r="S22" s="13"/>
      <c r="T22" s="14"/>
    </row>
    <row r="23" spans="2:20" ht="12.75" customHeight="1" x14ac:dyDescent="0.15">
      <c r="B23" s="10"/>
      <c r="C23" s="1"/>
      <c r="D23" s="1"/>
      <c r="E23" s="9"/>
      <c r="F23" s="11"/>
      <c r="G23" s="5"/>
      <c r="H23" s="6"/>
      <c r="I23" s="32"/>
      <c r="J23" s="32"/>
      <c r="K23" s="6"/>
      <c r="L23" s="6"/>
      <c r="M23" s="6"/>
      <c r="N23" s="12"/>
      <c r="O23" s="12"/>
      <c r="P23" s="24"/>
      <c r="Q23" s="24"/>
      <c r="R23" s="24"/>
      <c r="S23" s="24"/>
      <c r="T23" s="14"/>
    </row>
    <row r="24" spans="2:20" ht="12.75" customHeight="1" x14ac:dyDescent="0.15">
      <c r="B24" s="10"/>
      <c r="C24" s="23"/>
      <c r="D24" s="23"/>
      <c r="E24" s="23"/>
      <c r="F24" s="66"/>
      <c r="G24" s="5"/>
      <c r="H24" s="22"/>
      <c r="I24" s="35"/>
      <c r="J24" s="35"/>
      <c r="K24" s="22"/>
      <c r="L24" s="22"/>
      <c r="M24" s="22"/>
      <c r="N24" s="12"/>
      <c r="O24" s="12"/>
      <c r="P24" s="13"/>
      <c r="Q24" s="13"/>
      <c r="R24" s="13"/>
      <c r="S24" s="13"/>
      <c r="T24" s="14"/>
    </row>
    <row r="25" spans="2:20" ht="12.75" customHeight="1" x14ac:dyDescent="0.15">
      <c r="B25" s="10"/>
      <c r="C25" s="1"/>
      <c r="D25" s="1"/>
      <c r="E25" s="9"/>
      <c r="F25" s="11"/>
      <c r="G25" s="5"/>
      <c r="H25" s="6"/>
      <c r="I25" s="32"/>
      <c r="J25" s="32"/>
      <c r="K25" s="6"/>
      <c r="L25" s="6"/>
      <c r="M25" s="6"/>
      <c r="N25" s="12"/>
      <c r="O25" s="12"/>
      <c r="P25" s="24"/>
      <c r="Q25" s="24"/>
      <c r="R25" s="24"/>
      <c r="S25" s="24"/>
      <c r="T25" s="14"/>
    </row>
    <row r="26" spans="2:20" ht="12.75" customHeight="1" x14ac:dyDescent="0.15">
      <c r="B26" s="10"/>
      <c r="C26" s="23"/>
      <c r="D26" s="23"/>
      <c r="E26" s="23"/>
      <c r="F26" s="66"/>
      <c r="G26" s="22"/>
      <c r="H26" s="22"/>
      <c r="I26" s="35"/>
      <c r="J26" s="35"/>
      <c r="K26" s="22"/>
      <c r="L26" s="22"/>
      <c r="M26" s="22"/>
      <c r="N26" s="12"/>
      <c r="O26" s="12"/>
      <c r="P26" s="13"/>
      <c r="Q26" s="13"/>
      <c r="R26" s="13"/>
      <c r="S26" s="13"/>
      <c r="T26" s="14"/>
    </row>
    <row r="27" spans="2:20" ht="12.75" customHeight="1" x14ac:dyDescent="0.15">
      <c r="B27" s="10"/>
      <c r="C27" s="1"/>
      <c r="D27" s="1"/>
      <c r="E27" s="9"/>
      <c r="F27" s="11"/>
      <c r="G27" s="22"/>
      <c r="H27" s="22"/>
      <c r="I27" s="35"/>
      <c r="J27" s="35"/>
      <c r="K27" s="6"/>
      <c r="L27" s="6"/>
      <c r="M27" s="6"/>
      <c r="N27" s="12"/>
      <c r="O27" s="12"/>
      <c r="P27" s="13"/>
      <c r="Q27" s="13"/>
      <c r="R27" s="13"/>
      <c r="S27" s="13"/>
      <c r="T27" s="14"/>
    </row>
    <row r="28" spans="2:20" ht="12.75" customHeight="1" x14ac:dyDescent="0.15">
      <c r="B28" s="10"/>
      <c r="C28" s="1"/>
      <c r="D28" s="1"/>
      <c r="E28" s="9"/>
      <c r="F28" s="11"/>
      <c r="G28" s="5"/>
      <c r="H28" s="6"/>
      <c r="I28" s="32"/>
      <c r="J28" s="32"/>
      <c r="K28" s="6"/>
      <c r="L28" s="6"/>
      <c r="M28" s="6"/>
      <c r="N28" s="12"/>
      <c r="O28" s="12"/>
      <c r="P28" s="24"/>
      <c r="Q28" s="24"/>
      <c r="R28" s="24"/>
      <c r="S28" s="24"/>
      <c r="T28" s="14"/>
    </row>
    <row r="29" spans="2:20" ht="12.75" customHeight="1" x14ac:dyDescent="0.15">
      <c r="B29" s="10"/>
      <c r="C29" s="23"/>
      <c r="D29" s="23"/>
      <c r="E29" s="23"/>
      <c r="F29" s="66"/>
      <c r="G29" s="5"/>
      <c r="H29" s="22"/>
      <c r="I29" s="35"/>
      <c r="J29" s="35"/>
      <c r="K29" s="22"/>
      <c r="L29" s="22"/>
      <c r="M29" s="22"/>
      <c r="N29" s="12"/>
      <c r="O29" s="12"/>
      <c r="P29" s="13"/>
      <c r="Q29" s="13"/>
      <c r="R29" s="13"/>
      <c r="S29" s="13"/>
      <c r="T29" s="14"/>
    </row>
    <row r="30" spans="2:20" ht="12.75" customHeight="1" x14ac:dyDescent="0.15">
      <c r="B30" s="10"/>
      <c r="C30" s="1"/>
      <c r="D30" s="1"/>
      <c r="E30" s="9"/>
      <c r="F30" s="11"/>
      <c r="G30" s="5"/>
      <c r="H30" s="6"/>
      <c r="I30" s="32"/>
      <c r="J30" s="32"/>
      <c r="K30" s="6"/>
      <c r="L30" s="6"/>
      <c r="M30" s="6"/>
      <c r="N30" s="12"/>
      <c r="O30" s="12"/>
      <c r="P30" s="24"/>
      <c r="Q30" s="24"/>
      <c r="R30" s="24"/>
      <c r="S30" s="24"/>
      <c r="T30" s="14"/>
    </row>
    <row r="31" spans="2:20" ht="12.75" customHeight="1" x14ac:dyDescent="0.15">
      <c r="B31" s="10"/>
      <c r="C31" s="23"/>
      <c r="D31" s="23"/>
      <c r="E31" s="23"/>
      <c r="F31" s="66"/>
      <c r="G31" s="22"/>
      <c r="H31" s="22"/>
      <c r="I31" s="35"/>
      <c r="J31" s="35"/>
      <c r="K31" s="44"/>
      <c r="L31" s="44"/>
      <c r="M31" s="44"/>
      <c r="N31" s="12"/>
      <c r="O31" s="12"/>
      <c r="P31" s="13"/>
      <c r="Q31" s="13"/>
      <c r="R31" s="13"/>
      <c r="S31" s="13"/>
      <c r="T31" s="14"/>
    </row>
    <row r="32" spans="2:20" ht="12.75" customHeight="1" x14ac:dyDescent="0.15">
      <c r="B32" s="10"/>
      <c r="C32" s="1"/>
      <c r="D32" s="1"/>
      <c r="E32" s="9"/>
      <c r="F32" s="11"/>
      <c r="G32" s="22"/>
      <c r="H32" s="22"/>
      <c r="I32" s="35"/>
      <c r="J32" s="35"/>
      <c r="K32" s="45"/>
      <c r="L32" s="45"/>
      <c r="M32" s="45"/>
      <c r="N32" s="12"/>
      <c r="O32" s="12"/>
      <c r="P32" s="13"/>
      <c r="Q32" s="13"/>
      <c r="R32" s="13"/>
      <c r="S32" s="13"/>
      <c r="T32" s="14"/>
    </row>
    <row r="33" spans="2:20" ht="12.75" customHeight="1" x14ac:dyDescent="0.15">
      <c r="B33" s="10"/>
      <c r="C33" s="1"/>
      <c r="D33" s="1"/>
      <c r="E33" s="9"/>
      <c r="F33" s="11"/>
      <c r="G33" s="22"/>
      <c r="H33" s="22"/>
      <c r="I33" s="35"/>
      <c r="J33" s="35"/>
      <c r="K33" s="45"/>
      <c r="L33" s="45"/>
      <c r="M33" s="45"/>
      <c r="N33" s="12"/>
      <c r="O33" s="12"/>
      <c r="P33" s="13"/>
      <c r="Q33" s="13"/>
      <c r="R33" s="13"/>
      <c r="S33" s="13"/>
      <c r="T33" s="14"/>
    </row>
    <row r="34" spans="2:20" ht="12.75" customHeight="1" x14ac:dyDescent="0.15">
      <c r="B34" s="10"/>
      <c r="C34" s="1"/>
      <c r="D34" s="1"/>
      <c r="E34" s="36"/>
      <c r="F34" s="37"/>
      <c r="G34" s="22"/>
      <c r="H34" s="22"/>
      <c r="I34" s="35"/>
      <c r="J34" s="35"/>
      <c r="K34" s="45"/>
      <c r="L34" s="45"/>
      <c r="M34" s="45"/>
      <c r="N34" s="12"/>
      <c r="O34" s="12"/>
      <c r="P34" s="13"/>
      <c r="Q34" s="13"/>
      <c r="R34" s="13"/>
      <c r="S34" s="13"/>
      <c r="T34" s="14"/>
    </row>
    <row r="35" spans="2:20" ht="12.75" customHeight="1" x14ac:dyDescent="0.15">
      <c r="B35" s="10"/>
      <c r="C35" s="1"/>
      <c r="D35" s="1"/>
      <c r="E35" s="9"/>
      <c r="F35" s="11"/>
      <c r="G35" s="5"/>
      <c r="H35" s="6"/>
      <c r="I35" s="32"/>
      <c r="J35" s="32"/>
      <c r="K35" s="6"/>
      <c r="L35" s="6"/>
      <c r="M35" s="6"/>
      <c r="N35" s="12"/>
      <c r="O35" s="12"/>
      <c r="P35" s="24"/>
      <c r="Q35" s="24"/>
      <c r="R35" s="24"/>
      <c r="S35" s="24"/>
      <c r="T35" s="14"/>
    </row>
    <row r="36" spans="2:20" ht="12.75" customHeight="1" x14ac:dyDescent="0.15">
      <c r="B36" s="10"/>
      <c r="C36" s="23"/>
      <c r="D36" s="23"/>
      <c r="E36" s="23"/>
      <c r="F36" s="66"/>
      <c r="G36" s="22"/>
      <c r="H36" s="22"/>
      <c r="I36" s="35"/>
      <c r="J36" s="35"/>
      <c r="K36" s="44"/>
      <c r="L36" s="44"/>
      <c r="M36" s="44"/>
      <c r="N36" s="12"/>
      <c r="O36" s="12"/>
      <c r="P36" s="13"/>
      <c r="Q36" s="13"/>
      <c r="R36" s="13"/>
      <c r="S36" s="13"/>
      <c r="T36" s="14"/>
    </row>
    <row r="37" spans="2:20" ht="12.75" customHeight="1" x14ac:dyDescent="0.15">
      <c r="B37" s="10"/>
      <c r="C37" s="1"/>
      <c r="D37" s="1"/>
      <c r="E37" s="9"/>
      <c r="F37" s="11"/>
      <c r="G37" s="22"/>
      <c r="H37" s="22"/>
      <c r="I37" s="35"/>
      <c r="J37" s="35"/>
      <c r="K37" s="45"/>
      <c r="L37" s="45"/>
      <c r="M37" s="45"/>
      <c r="N37" s="12"/>
      <c r="O37" s="12"/>
      <c r="P37" s="13"/>
      <c r="Q37" s="13"/>
      <c r="R37" s="13"/>
      <c r="S37" s="13"/>
      <c r="T37" s="14"/>
    </row>
    <row r="38" spans="2:20" ht="12.75" customHeight="1" x14ac:dyDescent="0.15">
      <c r="B38" s="10"/>
      <c r="C38" s="1"/>
      <c r="D38" s="1"/>
      <c r="E38" s="9"/>
      <c r="F38" s="11"/>
      <c r="G38" s="22"/>
      <c r="H38" s="22"/>
      <c r="I38" s="35"/>
      <c r="J38" s="35"/>
      <c r="K38" s="45"/>
      <c r="L38" s="45"/>
      <c r="M38" s="45"/>
      <c r="N38" s="12"/>
      <c r="O38" s="12"/>
      <c r="P38" s="13"/>
      <c r="Q38" s="13"/>
      <c r="R38" s="13"/>
      <c r="S38" s="13"/>
      <c r="T38" s="14"/>
    </row>
    <row r="39" spans="2:20" ht="12.75" customHeight="1" x14ac:dyDescent="0.15">
      <c r="B39" s="10"/>
      <c r="C39" s="1"/>
      <c r="D39" s="1"/>
      <c r="E39" s="9"/>
      <c r="F39" s="11"/>
      <c r="G39" s="5"/>
      <c r="H39" s="6"/>
      <c r="I39" s="32"/>
      <c r="J39" s="32"/>
      <c r="K39" s="6"/>
      <c r="L39" s="6"/>
      <c r="M39" s="6"/>
      <c r="N39" s="12"/>
      <c r="O39" s="12"/>
      <c r="P39" s="13"/>
      <c r="Q39" s="13"/>
      <c r="R39" s="13"/>
      <c r="S39" s="13"/>
      <c r="T39" s="14"/>
    </row>
    <row r="40" spans="2:20" ht="12.75" customHeight="1" x14ac:dyDescent="0.15">
      <c r="B40" s="10"/>
      <c r="C40" s="1"/>
      <c r="D40" s="1"/>
      <c r="E40" s="9"/>
      <c r="F40" s="11"/>
      <c r="G40" s="5"/>
      <c r="H40" s="6"/>
      <c r="I40" s="32"/>
      <c r="J40" s="32"/>
      <c r="K40" s="6"/>
      <c r="L40" s="6"/>
      <c r="M40" s="6"/>
      <c r="N40" s="12"/>
      <c r="O40" s="12"/>
      <c r="P40" s="24"/>
      <c r="Q40" s="24"/>
      <c r="R40" s="24"/>
      <c r="S40" s="24"/>
      <c r="T40" s="14"/>
    </row>
    <row r="41" spans="2:20" ht="12.75" customHeight="1" x14ac:dyDescent="0.15">
      <c r="B41" s="10"/>
      <c r="C41" s="1"/>
      <c r="D41" s="1"/>
      <c r="E41" s="9"/>
      <c r="F41" s="11"/>
      <c r="G41" s="5"/>
      <c r="H41" s="22"/>
      <c r="I41" s="35"/>
      <c r="J41" s="35"/>
      <c r="K41" s="44"/>
      <c r="L41" s="44"/>
      <c r="M41" s="44"/>
      <c r="N41" s="12"/>
      <c r="O41" s="12"/>
      <c r="P41" s="13"/>
      <c r="Q41" s="13"/>
      <c r="R41" s="13"/>
      <c r="S41" s="13"/>
      <c r="T41" s="14"/>
    </row>
    <row r="42" spans="2:20" ht="12.75" customHeight="1" x14ac:dyDescent="0.15">
      <c r="B42" s="10"/>
      <c r="C42" s="1"/>
      <c r="D42" s="1"/>
      <c r="E42" s="9"/>
      <c r="F42" s="11"/>
      <c r="G42" s="22"/>
      <c r="H42" s="22"/>
      <c r="I42" s="35"/>
      <c r="J42" s="35"/>
      <c r="K42" s="45"/>
      <c r="L42" s="45"/>
      <c r="M42" s="45"/>
      <c r="N42" s="12"/>
      <c r="O42" s="12"/>
      <c r="P42" s="13"/>
      <c r="Q42" s="13"/>
      <c r="R42" s="13"/>
      <c r="S42" s="13"/>
      <c r="T42" s="14"/>
    </row>
    <row r="43" spans="2:20" ht="12.75" customHeight="1" x14ac:dyDescent="0.15">
      <c r="B43" s="10"/>
      <c r="C43" s="1"/>
      <c r="D43" s="1"/>
      <c r="E43" s="9"/>
      <c r="F43" s="11"/>
      <c r="G43" s="22"/>
      <c r="H43" s="22"/>
      <c r="I43" s="35"/>
      <c r="J43" s="35"/>
      <c r="K43" s="45"/>
      <c r="L43" s="45"/>
      <c r="M43" s="45"/>
      <c r="N43" s="12"/>
      <c r="O43" s="12"/>
      <c r="P43" s="13"/>
      <c r="Q43" s="13"/>
      <c r="R43" s="13"/>
      <c r="S43" s="13"/>
      <c r="T43" s="14"/>
    </row>
    <row r="44" spans="2:20" ht="12.75" customHeight="1" x14ac:dyDescent="0.15">
      <c r="B44" s="10"/>
      <c r="C44" s="1"/>
      <c r="D44" s="1"/>
      <c r="E44" s="9"/>
      <c r="F44" s="11"/>
      <c r="G44" s="22"/>
      <c r="H44" s="22"/>
      <c r="I44" s="35"/>
      <c r="J44" s="35"/>
      <c r="K44" s="45"/>
      <c r="L44" s="45"/>
      <c r="M44" s="45"/>
      <c r="N44" s="12"/>
      <c r="O44" s="12"/>
      <c r="P44" s="13"/>
      <c r="Q44" s="13"/>
      <c r="R44" s="13"/>
      <c r="S44" s="13"/>
      <c r="T44" s="14"/>
    </row>
    <row r="45" spans="2:20" ht="12.75" customHeight="1" x14ac:dyDescent="0.15">
      <c r="B45" s="10"/>
      <c r="C45" s="1"/>
      <c r="D45" s="1"/>
      <c r="E45" s="9"/>
      <c r="F45" s="11"/>
      <c r="G45" s="22"/>
      <c r="H45" s="22"/>
      <c r="I45" s="35"/>
      <c r="J45" s="35"/>
      <c r="K45" s="46"/>
      <c r="L45" s="46"/>
      <c r="M45" s="46"/>
      <c r="N45" s="12"/>
      <c r="O45" s="12"/>
      <c r="P45" s="13"/>
      <c r="Q45" s="13"/>
      <c r="R45" s="13"/>
      <c r="S45" s="13"/>
      <c r="T45" s="14"/>
    </row>
    <row r="46" spans="2:20" ht="12.75" customHeight="1" x14ac:dyDescent="0.15">
      <c r="B46" s="10"/>
      <c r="C46" s="1"/>
      <c r="D46" s="1"/>
      <c r="E46" s="9"/>
      <c r="F46" s="11"/>
      <c r="G46" s="22"/>
      <c r="H46" s="22"/>
      <c r="I46" s="35"/>
      <c r="J46" s="35"/>
      <c r="K46" s="46"/>
      <c r="L46" s="46"/>
      <c r="M46" s="46"/>
      <c r="N46" s="12"/>
      <c r="O46" s="12"/>
      <c r="P46" s="13"/>
      <c r="Q46" s="13"/>
      <c r="R46" s="13"/>
      <c r="S46" s="13"/>
      <c r="T46" s="14"/>
    </row>
    <row r="47" spans="2:20" ht="12.75" customHeight="1" x14ac:dyDescent="0.15">
      <c r="B47" s="10"/>
      <c r="C47" s="1"/>
      <c r="D47" s="1"/>
      <c r="E47" s="9"/>
      <c r="F47" s="11"/>
      <c r="G47" s="22"/>
      <c r="H47" s="22"/>
      <c r="I47" s="35"/>
      <c r="J47" s="35"/>
      <c r="K47" s="45"/>
      <c r="L47" s="45"/>
      <c r="M47" s="45"/>
      <c r="N47" s="12"/>
      <c r="O47" s="12"/>
      <c r="P47" s="13"/>
      <c r="Q47" s="13"/>
      <c r="R47" s="13"/>
      <c r="S47" s="13"/>
      <c r="T47" s="14"/>
    </row>
    <row r="48" spans="2:20" ht="12.75" customHeight="1" x14ac:dyDescent="0.15">
      <c r="B48" s="10"/>
      <c r="C48" s="1"/>
      <c r="D48" s="1"/>
      <c r="E48" s="9"/>
      <c r="F48" s="11"/>
      <c r="G48" s="5"/>
      <c r="H48" s="6"/>
      <c r="I48" s="32"/>
      <c r="J48" s="32"/>
      <c r="K48" s="6"/>
      <c r="L48" s="6"/>
      <c r="M48" s="6"/>
      <c r="N48" s="12"/>
      <c r="O48" s="12"/>
      <c r="P48" s="13"/>
      <c r="Q48" s="13"/>
      <c r="R48" s="13"/>
      <c r="S48" s="13"/>
      <c r="T48" s="14"/>
    </row>
    <row r="49" spans="2:20" ht="12.75" customHeight="1" x14ac:dyDescent="0.15">
      <c r="B49" s="10"/>
      <c r="C49" s="1"/>
      <c r="D49" s="1"/>
      <c r="E49" s="9"/>
      <c r="F49" s="11"/>
      <c r="G49" s="5"/>
      <c r="H49" s="6"/>
      <c r="I49" s="32"/>
      <c r="J49" s="32"/>
      <c r="K49" s="6"/>
      <c r="L49" s="6"/>
      <c r="M49" s="6"/>
      <c r="N49" s="12"/>
      <c r="O49" s="12"/>
      <c r="P49" s="13"/>
      <c r="Q49" s="13"/>
      <c r="R49" s="13"/>
      <c r="S49" s="13"/>
      <c r="T49" s="14"/>
    </row>
    <row r="50" spans="2:20" ht="12.75" customHeight="1" x14ac:dyDescent="0.15">
      <c r="B50" s="10"/>
      <c r="C50" s="1"/>
      <c r="D50" s="1"/>
      <c r="E50" s="9"/>
      <c r="F50" s="11"/>
      <c r="G50" s="5"/>
      <c r="H50" s="6"/>
      <c r="I50" s="32"/>
      <c r="J50" s="32"/>
      <c r="K50" s="6"/>
      <c r="L50" s="6"/>
      <c r="M50" s="6"/>
      <c r="N50" s="12"/>
      <c r="O50" s="12"/>
      <c r="P50" s="24"/>
      <c r="Q50" s="24"/>
      <c r="R50" s="24"/>
      <c r="S50" s="24"/>
      <c r="T50" s="14"/>
    </row>
    <row r="51" spans="2:20" ht="12.75" customHeight="1" x14ac:dyDescent="0.15">
      <c r="B51" s="10"/>
      <c r="C51" s="1"/>
      <c r="D51" s="23"/>
      <c r="E51" s="23"/>
      <c r="F51" s="66"/>
      <c r="G51" s="22"/>
      <c r="H51" s="22"/>
      <c r="I51" s="35"/>
      <c r="J51" s="35"/>
      <c r="K51" s="22"/>
      <c r="L51" s="22"/>
      <c r="M51" s="22"/>
      <c r="N51" s="12"/>
      <c r="O51" s="12"/>
      <c r="P51" s="13"/>
      <c r="Q51" s="13"/>
      <c r="R51" s="13"/>
      <c r="S51" s="13"/>
      <c r="T51" s="14"/>
    </row>
    <row r="52" spans="2:20" ht="12.75" customHeight="1" x14ac:dyDescent="0.15">
      <c r="B52" s="10"/>
      <c r="C52" s="1"/>
      <c r="D52" s="1"/>
      <c r="E52" s="9"/>
      <c r="F52" s="11"/>
      <c r="G52" s="5"/>
      <c r="H52" s="6"/>
      <c r="I52" s="32"/>
      <c r="J52" s="32"/>
      <c r="K52" s="6"/>
      <c r="L52" s="6"/>
      <c r="M52" s="6"/>
      <c r="N52" s="12"/>
      <c r="O52" s="12"/>
      <c r="P52" s="24"/>
      <c r="Q52" s="24"/>
      <c r="R52" s="24"/>
      <c r="S52" s="24"/>
      <c r="T52" s="14"/>
    </row>
    <row r="53" spans="2:20" ht="12.75" customHeight="1" x14ac:dyDescent="0.15">
      <c r="B53" s="10"/>
      <c r="C53" s="1"/>
      <c r="D53" s="23"/>
      <c r="E53" s="23"/>
      <c r="F53" s="66"/>
      <c r="G53" s="22"/>
      <c r="H53" s="22"/>
      <c r="I53" s="35"/>
      <c r="J53" s="35"/>
      <c r="K53" s="22"/>
      <c r="L53" s="22"/>
      <c r="M53" s="22"/>
      <c r="N53" s="12"/>
      <c r="O53" s="12"/>
      <c r="P53" s="13"/>
      <c r="Q53" s="13"/>
      <c r="R53" s="13"/>
      <c r="S53" s="13"/>
      <c r="T53" s="14"/>
    </row>
    <row r="54" spans="2:20" ht="12.75" customHeight="1" x14ac:dyDescent="0.15">
      <c r="B54" s="10"/>
      <c r="C54" s="1"/>
      <c r="D54" s="1"/>
      <c r="E54" s="9"/>
      <c r="F54" s="11"/>
      <c r="G54" s="5"/>
      <c r="H54" s="6"/>
      <c r="I54" s="32"/>
      <c r="J54" s="32"/>
      <c r="K54" s="6"/>
      <c r="L54" s="6"/>
      <c r="M54" s="6"/>
      <c r="N54" s="12"/>
      <c r="O54" s="12"/>
      <c r="P54" s="24"/>
      <c r="Q54" s="24"/>
      <c r="R54" s="24"/>
      <c r="S54" s="24"/>
      <c r="T54" s="14"/>
    </row>
    <row r="55" spans="2:20" ht="12.75" customHeight="1" x14ac:dyDescent="0.15">
      <c r="B55" s="10"/>
      <c r="C55" s="1"/>
      <c r="D55" s="23"/>
      <c r="E55" s="23"/>
      <c r="F55" s="66"/>
      <c r="G55" s="5"/>
      <c r="H55" s="22"/>
      <c r="I55" s="35"/>
      <c r="J55" s="35"/>
      <c r="K55" s="22"/>
      <c r="L55" s="22"/>
      <c r="M55" s="22"/>
      <c r="N55" s="12"/>
      <c r="O55" s="12"/>
      <c r="P55" s="13"/>
      <c r="Q55" s="13"/>
      <c r="R55" s="13"/>
      <c r="S55" s="13"/>
      <c r="T55" s="14"/>
    </row>
    <row r="56" spans="2:20" ht="12.75" customHeight="1" x14ac:dyDescent="0.15">
      <c r="B56" s="10"/>
      <c r="C56" s="1"/>
      <c r="D56" s="1"/>
      <c r="E56" s="9"/>
      <c r="F56" s="11"/>
      <c r="G56" s="5"/>
      <c r="H56" s="6"/>
      <c r="I56" s="32"/>
      <c r="J56" s="32"/>
      <c r="K56" s="6"/>
      <c r="L56" s="6"/>
      <c r="M56" s="6"/>
      <c r="N56" s="12"/>
      <c r="O56" s="12"/>
      <c r="P56" s="24"/>
      <c r="Q56" s="24"/>
      <c r="R56" s="24"/>
      <c r="S56" s="24"/>
      <c r="T56" s="14"/>
    </row>
    <row r="57" spans="2:20" ht="12.75" customHeight="1" x14ac:dyDescent="0.15">
      <c r="B57" s="10"/>
      <c r="C57" s="1"/>
      <c r="D57" s="23"/>
      <c r="E57" s="23"/>
      <c r="F57" s="66"/>
      <c r="G57" s="5"/>
      <c r="H57" s="22"/>
      <c r="I57" s="35"/>
      <c r="J57" s="35"/>
      <c r="K57" s="22"/>
      <c r="L57" s="22"/>
      <c r="M57" s="22"/>
      <c r="N57" s="12"/>
      <c r="O57" s="12"/>
      <c r="P57" s="13"/>
      <c r="Q57" s="13"/>
      <c r="R57" s="13"/>
      <c r="S57" s="13"/>
      <c r="T57" s="14"/>
    </row>
    <row r="58" spans="2:20" ht="12.75" customHeight="1" x14ac:dyDescent="0.15">
      <c r="B58" s="10"/>
      <c r="C58" s="1"/>
      <c r="D58" s="1"/>
      <c r="E58" s="9"/>
      <c r="F58" s="11"/>
      <c r="G58" s="5"/>
      <c r="H58" s="6"/>
      <c r="I58" s="32"/>
      <c r="J58" s="32"/>
      <c r="K58" s="6"/>
      <c r="L58" s="6"/>
      <c r="M58" s="6"/>
      <c r="N58" s="12"/>
      <c r="O58" s="12"/>
      <c r="P58" s="24"/>
      <c r="Q58" s="24"/>
      <c r="R58" s="24"/>
      <c r="S58" s="24"/>
      <c r="T58" s="14"/>
    </row>
    <row r="59" spans="2:20" ht="12.75" customHeight="1" x14ac:dyDescent="0.15">
      <c r="B59" s="10"/>
      <c r="C59" s="1"/>
      <c r="D59" s="23"/>
      <c r="E59" s="23"/>
      <c r="F59" s="66"/>
      <c r="G59" s="5"/>
      <c r="H59" s="22"/>
      <c r="I59" s="35"/>
      <c r="J59" s="35"/>
      <c r="K59" s="22"/>
      <c r="L59" s="22"/>
      <c r="M59" s="22"/>
      <c r="N59" s="12"/>
      <c r="O59" s="12"/>
      <c r="P59" s="13"/>
      <c r="Q59" s="13"/>
      <c r="R59" s="13"/>
      <c r="S59" s="13"/>
      <c r="T59" s="14"/>
    </row>
    <row r="60" spans="2:20" ht="12.75" customHeight="1" x14ac:dyDescent="0.15">
      <c r="B60" s="10"/>
      <c r="C60" s="1"/>
      <c r="D60" s="1"/>
      <c r="E60" s="9"/>
      <c r="F60" s="11"/>
      <c r="G60" s="5"/>
      <c r="H60" s="6"/>
      <c r="I60" s="32"/>
      <c r="J60" s="32"/>
      <c r="K60" s="6"/>
      <c r="L60" s="6"/>
      <c r="M60" s="6"/>
      <c r="N60" s="12"/>
      <c r="O60" s="12"/>
      <c r="P60" s="24"/>
      <c r="Q60" s="24"/>
      <c r="R60" s="24"/>
      <c r="S60" s="24"/>
      <c r="T60" s="14"/>
    </row>
    <row r="61" spans="2:20" ht="12.75" customHeight="1" x14ac:dyDescent="0.15">
      <c r="B61" s="10"/>
      <c r="C61" s="1"/>
      <c r="D61" s="23"/>
      <c r="E61" s="23"/>
      <c r="F61" s="66"/>
      <c r="G61" s="22"/>
      <c r="H61" s="22"/>
      <c r="I61" s="35"/>
      <c r="J61" s="35"/>
      <c r="K61" s="22"/>
      <c r="L61" s="22"/>
      <c r="M61" s="22"/>
      <c r="N61" s="12"/>
      <c r="O61" s="12"/>
      <c r="P61" s="13"/>
      <c r="Q61" s="13"/>
      <c r="R61" s="13"/>
      <c r="S61" s="13"/>
      <c r="T61" s="14"/>
    </row>
    <row r="62" spans="2:20" ht="12.75" customHeight="1" x14ac:dyDescent="0.15">
      <c r="B62" s="10"/>
      <c r="C62" s="1"/>
      <c r="D62" s="1"/>
      <c r="E62" s="9"/>
      <c r="F62" s="11"/>
      <c r="G62" s="5"/>
      <c r="H62" s="6"/>
      <c r="I62" s="32"/>
      <c r="J62" s="32"/>
      <c r="K62" s="6"/>
      <c r="L62" s="6"/>
      <c r="M62" s="6"/>
      <c r="N62" s="12"/>
      <c r="O62" s="12"/>
      <c r="P62" s="24"/>
      <c r="Q62" s="24"/>
      <c r="R62" s="24"/>
      <c r="S62" s="24"/>
      <c r="T62" s="14"/>
    </row>
    <row r="63" spans="2:20" ht="12.75" customHeight="1" x14ac:dyDescent="0.15">
      <c r="B63" s="10"/>
      <c r="C63" s="1"/>
      <c r="D63" s="23"/>
      <c r="E63" s="23"/>
      <c r="F63" s="66"/>
      <c r="G63" s="22"/>
      <c r="H63" s="22"/>
      <c r="I63" s="35"/>
      <c r="J63" s="35"/>
      <c r="K63" s="22"/>
      <c r="L63" s="22"/>
      <c r="M63" s="22"/>
      <c r="N63" s="12"/>
      <c r="O63" s="12"/>
      <c r="P63" s="13"/>
      <c r="Q63" s="13"/>
      <c r="R63" s="13"/>
      <c r="S63" s="13"/>
      <c r="T63" s="14"/>
    </row>
    <row r="64" spans="2:20" ht="12.75" customHeight="1" x14ac:dyDescent="0.15">
      <c r="B64" s="10"/>
      <c r="C64" s="1"/>
      <c r="D64" s="1"/>
      <c r="E64" s="9"/>
      <c r="F64" s="11"/>
      <c r="G64" s="22"/>
      <c r="H64" s="22"/>
      <c r="I64" s="35"/>
      <c r="J64" s="35"/>
      <c r="K64" s="6"/>
      <c r="L64" s="6"/>
      <c r="M64" s="6"/>
      <c r="N64" s="12"/>
      <c r="O64" s="12"/>
      <c r="P64" s="13"/>
      <c r="Q64" s="13"/>
      <c r="R64" s="13"/>
      <c r="S64" s="13"/>
      <c r="T64" s="14"/>
    </row>
    <row r="65" spans="2:20" ht="12.75" customHeight="1" x14ac:dyDescent="0.15">
      <c r="B65" s="10"/>
      <c r="C65" s="1"/>
      <c r="D65" s="1"/>
      <c r="E65" s="9"/>
      <c r="F65" s="11"/>
      <c r="G65" s="5"/>
      <c r="H65" s="6"/>
      <c r="I65" s="32"/>
      <c r="J65" s="32"/>
      <c r="K65" s="6"/>
      <c r="L65" s="6"/>
      <c r="M65" s="6"/>
      <c r="N65" s="12"/>
      <c r="O65" s="12"/>
      <c r="P65" s="24"/>
      <c r="Q65" s="24"/>
      <c r="R65" s="24"/>
      <c r="S65" s="24"/>
      <c r="T65" s="14"/>
    </row>
    <row r="66" spans="2:20" ht="12.75" customHeight="1" x14ac:dyDescent="0.15">
      <c r="B66" s="10"/>
      <c r="C66" s="1"/>
      <c r="D66" s="23"/>
      <c r="E66" s="23"/>
      <c r="F66" s="66"/>
      <c r="G66" s="5"/>
      <c r="H66" s="22"/>
      <c r="I66" s="35"/>
      <c r="J66" s="35"/>
      <c r="K66" s="22"/>
      <c r="L66" s="22"/>
      <c r="M66" s="22"/>
      <c r="N66" s="12"/>
      <c r="O66" s="12"/>
      <c r="P66" s="13"/>
      <c r="Q66" s="13"/>
      <c r="R66" s="13"/>
      <c r="S66" s="13"/>
      <c r="T66" s="14"/>
    </row>
    <row r="67" spans="2:20" ht="12.75" customHeight="1" x14ac:dyDescent="0.15">
      <c r="B67" s="10"/>
      <c r="C67" s="1"/>
      <c r="D67" s="23"/>
      <c r="E67" s="23"/>
      <c r="F67" s="66"/>
      <c r="G67" s="5"/>
      <c r="H67" s="22"/>
      <c r="I67" s="35"/>
      <c r="J67" s="35"/>
      <c r="K67" s="22"/>
      <c r="L67" s="22"/>
      <c r="M67" s="22"/>
      <c r="N67" s="12"/>
      <c r="O67" s="12"/>
      <c r="P67" s="13"/>
      <c r="Q67" s="13"/>
      <c r="R67" s="13"/>
      <c r="S67" s="13"/>
      <c r="T67" s="14"/>
    </row>
    <row r="68" spans="2:20" ht="12.75" customHeight="1" x14ac:dyDescent="0.15">
      <c r="B68" s="10"/>
      <c r="C68" s="1"/>
      <c r="D68" s="23"/>
      <c r="E68" s="23"/>
      <c r="F68" s="66"/>
      <c r="G68" s="5"/>
      <c r="H68" s="22"/>
      <c r="I68" s="35"/>
      <c r="J68" s="35"/>
      <c r="K68" s="22"/>
      <c r="L68" s="22"/>
      <c r="M68" s="22"/>
      <c r="N68" s="12"/>
      <c r="O68" s="12"/>
      <c r="P68" s="13"/>
      <c r="Q68" s="13"/>
      <c r="R68" s="13"/>
      <c r="S68" s="13"/>
      <c r="T68" s="14"/>
    </row>
    <row r="69" spans="2:20" ht="12.75" customHeight="1" x14ac:dyDescent="0.15">
      <c r="B69" s="10"/>
      <c r="C69" s="1"/>
      <c r="D69" s="1"/>
      <c r="E69" s="9"/>
      <c r="F69" s="11"/>
      <c r="G69" s="5"/>
      <c r="H69" s="6"/>
      <c r="I69" s="32"/>
      <c r="J69" s="32"/>
      <c r="K69" s="6"/>
      <c r="L69" s="6"/>
      <c r="M69" s="6"/>
      <c r="N69" s="12"/>
      <c r="O69" s="12"/>
      <c r="P69" s="24"/>
      <c r="Q69" s="24"/>
      <c r="R69" s="24"/>
      <c r="S69" s="24"/>
      <c r="T69" s="14"/>
    </row>
    <row r="70" spans="2:20" ht="12.75" customHeight="1" x14ac:dyDescent="0.15">
      <c r="B70" s="10"/>
      <c r="C70" s="1"/>
      <c r="D70" s="1"/>
      <c r="E70" s="9"/>
      <c r="F70" s="11"/>
      <c r="G70" s="22"/>
      <c r="H70" s="22"/>
      <c r="I70" s="35"/>
      <c r="J70" s="35"/>
      <c r="K70" s="45"/>
      <c r="L70" s="45"/>
      <c r="M70" s="45"/>
      <c r="N70" s="12"/>
      <c r="O70" s="12"/>
      <c r="P70" s="13"/>
      <c r="Q70" s="13"/>
      <c r="R70" s="13"/>
      <c r="S70" s="13"/>
      <c r="T70" s="14"/>
    </row>
    <row r="71" spans="2:20" ht="12.75" customHeight="1" x14ac:dyDescent="0.15">
      <c r="B71" s="10"/>
      <c r="C71" s="1"/>
      <c r="D71" s="1"/>
      <c r="E71" s="36"/>
      <c r="F71" s="37"/>
      <c r="G71" s="22"/>
      <c r="H71" s="22"/>
      <c r="I71" s="35"/>
      <c r="J71" s="35"/>
      <c r="K71" s="45"/>
      <c r="L71" s="45"/>
      <c r="M71" s="45"/>
      <c r="N71" s="12"/>
      <c r="O71" s="12"/>
      <c r="P71" s="13"/>
      <c r="Q71" s="13"/>
      <c r="R71" s="13"/>
      <c r="S71" s="13"/>
      <c r="T71" s="14"/>
    </row>
    <row r="72" spans="2:20" ht="12.75" customHeight="1" x14ac:dyDescent="0.15">
      <c r="B72" s="10"/>
      <c r="C72" s="1"/>
      <c r="D72" s="1"/>
      <c r="E72" s="36"/>
      <c r="F72" s="37"/>
      <c r="G72" s="22"/>
      <c r="H72" s="22"/>
      <c r="I72" s="35"/>
      <c r="J72" s="35"/>
      <c r="K72" s="45"/>
      <c r="L72" s="45"/>
      <c r="M72" s="45"/>
      <c r="N72" s="12"/>
      <c r="O72" s="12"/>
      <c r="P72" s="13"/>
      <c r="Q72" s="13"/>
      <c r="R72" s="13"/>
      <c r="S72" s="13"/>
      <c r="T72" s="14"/>
    </row>
    <row r="73" spans="2:20" ht="12.75" customHeight="1" x14ac:dyDescent="0.15">
      <c r="B73" s="10"/>
      <c r="C73" s="1"/>
      <c r="D73" s="1"/>
      <c r="E73" s="36"/>
      <c r="F73" s="37"/>
      <c r="G73" s="22"/>
      <c r="H73" s="22"/>
      <c r="I73" s="35"/>
      <c r="J73" s="35"/>
      <c r="K73" s="45"/>
      <c r="L73" s="45"/>
      <c r="M73" s="45"/>
      <c r="N73" s="12"/>
      <c r="O73" s="12"/>
      <c r="P73" s="13"/>
      <c r="Q73" s="13"/>
      <c r="R73" s="13"/>
      <c r="S73" s="13"/>
      <c r="T73" s="14"/>
    </row>
    <row r="74" spans="2:20" ht="12.75" customHeight="1" x14ac:dyDescent="0.15">
      <c r="B74" s="10"/>
      <c r="C74" s="1"/>
      <c r="D74" s="1"/>
      <c r="E74" s="36"/>
      <c r="F74" s="37"/>
      <c r="G74" s="22"/>
      <c r="H74" s="22"/>
      <c r="I74" s="35"/>
      <c r="J74" s="35"/>
      <c r="K74" s="45"/>
      <c r="L74" s="45"/>
      <c r="M74" s="45"/>
      <c r="N74" s="12"/>
      <c r="O74" s="12"/>
      <c r="P74" s="13"/>
      <c r="Q74" s="13"/>
      <c r="R74" s="13"/>
      <c r="S74" s="13"/>
      <c r="T74" s="14"/>
    </row>
    <row r="75" spans="2:20" ht="12.75" customHeight="1" x14ac:dyDescent="0.15">
      <c r="B75" s="10"/>
      <c r="C75" s="1"/>
      <c r="D75" s="1"/>
      <c r="E75" s="9"/>
      <c r="F75" s="11"/>
      <c r="G75" s="5"/>
      <c r="H75" s="6"/>
      <c r="I75" s="32"/>
      <c r="J75" s="32"/>
      <c r="K75" s="6"/>
      <c r="L75" s="6"/>
      <c r="M75" s="6"/>
      <c r="N75" s="12"/>
      <c r="O75" s="12"/>
      <c r="P75" s="24"/>
      <c r="Q75" s="24"/>
      <c r="R75" s="24"/>
      <c r="S75" s="24"/>
      <c r="T75" s="14"/>
    </row>
    <row r="76" spans="2:20" ht="12.75" customHeight="1" x14ac:dyDescent="0.15">
      <c r="B76" s="10"/>
      <c r="C76" s="1"/>
      <c r="D76" s="23"/>
      <c r="E76" s="23"/>
      <c r="F76" s="66"/>
      <c r="G76" s="22"/>
      <c r="H76" s="22"/>
      <c r="I76" s="35"/>
      <c r="J76" s="35"/>
      <c r="K76" s="35"/>
      <c r="L76" s="35"/>
      <c r="M76" s="35"/>
      <c r="N76" s="12"/>
      <c r="O76" s="12"/>
      <c r="P76" s="13"/>
      <c r="Q76" s="13"/>
      <c r="R76" s="13"/>
      <c r="S76" s="13"/>
      <c r="T76" s="14"/>
    </row>
    <row r="77" spans="2:20" ht="12.75" customHeight="1" x14ac:dyDescent="0.15">
      <c r="B77" s="10"/>
      <c r="C77" s="1"/>
      <c r="D77" s="23"/>
      <c r="E77" s="23"/>
      <c r="F77" s="66"/>
      <c r="G77" s="22"/>
      <c r="H77" s="22"/>
      <c r="I77" s="35"/>
      <c r="J77" s="35"/>
      <c r="K77" s="35"/>
      <c r="L77" s="35"/>
      <c r="M77" s="35"/>
      <c r="N77" s="12"/>
      <c r="O77" s="12"/>
      <c r="P77" s="13"/>
      <c r="Q77" s="13"/>
      <c r="R77" s="13"/>
      <c r="S77" s="13"/>
      <c r="T77" s="14"/>
    </row>
    <row r="78" spans="2:20" ht="12.75" customHeight="1" x14ac:dyDescent="0.15">
      <c r="B78" s="10"/>
      <c r="C78" s="1"/>
      <c r="D78" s="23"/>
      <c r="E78" s="23"/>
      <c r="F78" s="66"/>
      <c r="G78" s="22"/>
      <c r="H78" s="22"/>
      <c r="I78" s="35"/>
      <c r="J78" s="35"/>
      <c r="K78" s="35"/>
      <c r="L78" s="35"/>
      <c r="M78" s="35"/>
      <c r="N78" s="12"/>
      <c r="O78" s="12"/>
      <c r="P78" s="13"/>
      <c r="Q78" s="13"/>
      <c r="R78" s="13"/>
      <c r="S78" s="13"/>
      <c r="T78" s="14"/>
    </row>
    <row r="79" spans="2:20" ht="12.75" customHeight="1" x14ac:dyDescent="0.15">
      <c r="B79" s="10"/>
      <c r="C79" s="1"/>
      <c r="D79" s="23"/>
      <c r="E79" s="23"/>
      <c r="F79" s="66"/>
      <c r="G79" s="22"/>
      <c r="H79" s="22"/>
      <c r="I79" s="35"/>
      <c r="J79" s="35"/>
      <c r="K79" s="35"/>
      <c r="L79" s="35"/>
      <c r="M79" s="35"/>
      <c r="N79" s="12"/>
      <c r="O79" s="12"/>
      <c r="P79" s="13"/>
      <c r="Q79" s="13"/>
      <c r="R79" s="13"/>
      <c r="S79" s="13"/>
      <c r="T79" s="14"/>
    </row>
    <row r="80" spans="2:20" ht="12.75" customHeight="1" x14ac:dyDescent="0.15">
      <c r="B80" s="10"/>
      <c r="C80" s="1"/>
      <c r="D80" s="1"/>
      <c r="E80" s="9"/>
      <c r="F80" s="11"/>
      <c r="G80" s="5"/>
      <c r="H80" s="6"/>
      <c r="I80" s="32"/>
      <c r="J80" s="32"/>
      <c r="K80" s="6"/>
      <c r="L80" s="6"/>
      <c r="M80" s="6"/>
      <c r="N80" s="12"/>
      <c r="O80" s="12"/>
      <c r="P80" s="24"/>
      <c r="Q80" s="24"/>
      <c r="R80" s="24"/>
      <c r="S80" s="24"/>
      <c r="T80" s="14"/>
    </row>
    <row r="81" spans="2:20" ht="12.75" customHeight="1" x14ac:dyDescent="0.15">
      <c r="B81" s="10"/>
      <c r="C81" s="1"/>
      <c r="D81" s="23"/>
      <c r="E81" s="23"/>
      <c r="F81" s="66"/>
      <c r="G81" s="5"/>
      <c r="H81" s="22"/>
      <c r="I81" s="35"/>
      <c r="J81" s="35"/>
      <c r="K81" s="22"/>
      <c r="L81" s="22"/>
      <c r="M81" s="22"/>
      <c r="N81" s="12"/>
      <c r="O81" s="12"/>
      <c r="P81" s="13"/>
      <c r="Q81" s="13"/>
      <c r="R81" s="13"/>
      <c r="S81" s="13"/>
      <c r="T81" s="14"/>
    </row>
    <row r="82" spans="2:20" ht="12.75" customHeight="1" x14ac:dyDescent="0.15">
      <c r="B82" s="10"/>
      <c r="C82" s="1"/>
      <c r="D82" s="1"/>
      <c r="E82" s="9"/>
      <c r="F82" s="11"/>
      <c r="G82" s="5"/>
      <c r="H82" s="6"/>
      <c r="I82" s="32"/>
      <c r="J82" s="32"/>
      <c r="K82" s="6"/>
      <c r="L82" s="6"/>
      <c r="M82" s="6"/>
      <c r="N82" s="12"/>
      <c r="O82" s="12"/>
      <c r="P82" s="24"/>
      <c r="Q82" s="24"/>
      <c r="R82" s="24"/>
      <c r="S82" s="24"/>
      <c r="T82" s="14"/>
    </row>
    <row r="83" spans="2:20" ht="12.75" customHeight="1" x14ac:dyDescent="0.15">
      <c r="B83" s="10"/>
      <c r="C83" s="1"/>
      <c r="D83" s="23"/>
      <c r="E83" s="23"/>
      <c r="F83" s="66"/>
      <c r="G83" s="5"/>
      <c r="H83" s="22"/>
      <c r="I83" s="35"/>
      <c r="J83" s="35"/>
      <c r="K83" s="22"/>
      <c r="L83" s="22"/>
      <c r="M83" s="22"/>
      <c r="N83" s="12"/>
      <c r="O83" s="12"/>
      <c r="P83" s="13"/>
      <c r="Q83" s="13"/>
      <c r="R83" s="13"/>
      <c r="S83" s="13"/>
      <c r="T83" s="14"/>
    </row>
    <row r="84" spans="2:20" ht="12.75" customHeight="1" x14ac:dyDescent="0.15">
      <c r="B84" s="10"/>
      <c r="C84" s="1"/>
      <c r="D84" s="1"/>
      <c r="E84" s="9"/>
      <c r="F84" s="11"/>
      <c r="G84" s="5"/>
      <c r="H84" s="6"/>
      <c r="I84" s="32"/>
      <c r="J84" s="32"/>
      <c r="K84" s="6"/>
      <c r="L84" s="6"/>
      <c r="M84" s="6"/>
      <c r="N84" s="12"/>
      <c r="O84" s="12"/>
      <c r="P84" s="13"/>
      <c r="Q84" s="13"/>
      <c r="R84" s="13"/>
      <c r="S84" s="13"/>
      <c r="T84" s="14"/>
    </row>
    <row r="85" spans="2:20" ht="12.75" customHeight="1" x14ac:dyDescent="0.15">
      <c r="B85" s="10"/>
      <c r="C85" s="1"/>
      <c r="D85" s="1"/>
      <c r="E85" s="9"/>
      <c r="F85" s="11"/>
      <c r="G85" s="5"/>
      <c r="H85" s="6"/>
      <c r="I85" s="32"/>
      <c r="J85" s="32"/>
      <c r="K85" s="6"/>
      <c r="L85" s="6"/>
      <c r="M85" s="6"/>
      <c r="N85" s="12"/>
      <c r="O85" s="12"/>
      <c r="P85" s="24"/>
      <c r="Q85" s="24"/>
      <c r="R85" s="24"/>
      <c r="S85" s="24"/>
      <c r="T85" s="14"/>
    </row>
    <row r="86" spans="2:20" ht="12.75" customHeight="1" x14ac:dyDescent="0.15">
      <c r="B86" s="10"/>
      <c r="C86" s="1"/>
      <c r="D86" s="1"/>
      <c r="E86" s="9"/>
      <c r="F86" s="11"/>
      <c r="G86" s="5"/>
      <c r="H86" s="22"/>
      <c r="I86" s="35"/>
      <c r="J86" s="35"/>
      <c r="K86" s="44"/>
      <c r="L86" s="44"/>
      <c r="M86" s="44"/>
      <c r="N86" s="12"/>
      <c r="O86" s="12"/>
      <c r="P86" s="13"/>
      <c r="Q86" s="13"/>
      <c r="R86" s="13"/>
      <c r="S86" s="13"/>
      <c r="T86" s="14"/>
    </row>
    <row r="87" spans="2:20" ht="12.75" customHeight="1" x14ac:dyDescent="0.15">
      <c r="B87" s="10"/>
      <c r="C87" s="1"/>
      <c r="D87" s="1"/>
      <c r="E87" s="9"/>
      <c r="F87" s="11"/>
      <c r="G87" s="22"/>
      <c r="H87" s="22"/>
      <c r="I87" s="35"/>
      <c r="J87" s="35"/>
      <c r="K87" s="45"/>
      <c r="L87" s="45"/>
      <c r="M87" s="45"/>
      <c r="N87" s="12"/>
      <c r="O87" s="12"/>
      <c r="P87" s="13"/>
      <c r="Q87" s="13"/>
      <c r="R87" s="13"/>
      <c r="S87" s="13"/>
      <c r="T87" s="14"/>
    </row>
    <row r="88" spans="2:20" ht="12.75" customHeight="1" x14ac:dyDescent="0.15">
      <c r="B88" s="10"/>
      <c r="C88" s="1"/>
      <c r="D88" s="1"/>
      <c r="E88" s="9"/>
      <c r="F88" s="11"/>
      <c r="G88" s="22"/>
      <c r="H88" s="22"/>
      <c r="I88" s="35"/>
      <c r="J88" s="35"/>
      <c r="K88" s="45"/>
      <c r="L88" s="45"/>
      <c r="M88" s="45"/>
      <c r="N88" s="12"/>
      <c r="O88" s="12"/>
      <c r="P88" s="13"/>
      <c r="Q88" s="13"/>
      <c r="R88" s="13"/>
      <c r="S88" s="13"/>
      <c r="T88" s="14"/>
    </row>
    <row r="89" spans="2:20" ht="12.75" customHeight="1" x14ac:dyDescent="0.15">
      <c r="B89" s="10"/>
      <c r="C89" s="1"/>
      <c r="D89" s="1"/>
      <c r="E89" s="9"/>
      <c r="F89" s="11"/>
      <c r="G89" s="22"/>
      <c r="H89" s="22"/>
      <c r="I89" s="35"/>
      <c r="J89" s="35"/>
      <c r="K89" s="45"/>
      <c r="L89" s="45"/>
      <c r="M89" s="45"/>
      <c r="N89" s="12"/>
      <c r="O89" s="12"/>
      <c r="P89" s="13"/>
      <c r="Q89" s="13"/>
      <c r="R89" s="13"/>
      <c r="S89" s="13"/>
      <c r="T89" s="14"/>
    </row>
    <row r="90" spans="2:20" ht="12.75" customHeight="1" x14ac:dyDescent="0.15">
      <c r="B90" s="10"/>
      <c r="C90" s="1"/>
      <c r="D90" s="1"/>
      <c r="E90" s="9"/>
      <c r="F90" s="11"/>
      <c r="G90" s="22"/>
      <c r="H90" s="22"/>
      <c r="I90" s="35"/>
      <c r="J90" s="35"/>
      <c r="K90" s="45"/>
      <c r="L90" s="45"/>
      <c r="M90" s="45"/>
      <c r="N90" s="12"/>
      <c r="O90" s="12"/>
      <c r="P90" s="13"/>
      <c r="Q90" s="13"/>
      <c r="R90" s="13"/>
      <c r="S90" s="13"/>
      <c r="T90" s="22"/>
    </row>
    <row r="91" spans="2:20" ht="12.75" customHeight="1" x14ac:dyDescent="0.15">
      <c r="B91" s="10"/>
      <c r="C91" s="1"/>
      <c r="D91" s="1"/>
      <c r="E91" s="9"/>
      <c r="F91" s="11"/>
      <c r="G91" s="22"/>
      <c r="H91" s="22"/>
      <c r="I91" s="35"/>
      <c r="J91" s="35"/>
      <c r="K91" s="46"/>
      <c r="L91" s="46"/>
      <c r="M91" s="46"/>
      <c r="N91" s="12"/>
      <c r="O91" s="12"/>
      <c r="P91" s="13"/>
      <c r="Q91" s="13"/>
      <c r="R91" s="13"/>
      <c r="S91" s="13"/>
      <c r="T91" s="14"/>
    </row>
    <row r="92" spans="2:20" ht="12.75" customHeight="1" x14ac:dyDescent="0.15">
      <c r="B92" s="10"/>
      <c r="C92" s="1"/>
      <c r="D92" s="1"/>
      <c r="E92" s="9"/>
      <c r="F92" s="11"/>
      <c r="G92" s="22"/>
      <c r="H92" s="22"/>
      <c r="I92" s="35"/>
      <c r="J92" s="35"/>
      <c r="K92" s="46"/>
      <c r="L92" s="46"/>
      <c r="M92" s="46"/>
      <c r="N92" s="12"/>
      <c r="O92" s="12"/>
      <c r="P92" s="13"/>
      <c r="Q92" s="13"/>
      <c r="R92" s="13"/>
      <c r="S92" s="13"/>
      <c r="T92" s="14"/>
    </row>
    <row r="93" spans="2:20" ht="12.75" customHeight="1" x14ac:dyDescent="0.15">
      <c r="B93" s="10"/>
      <c r="C93" s="1"/>
      <c r="D93" s="1"/>
      <c r="E93" s="9"/>
      <c r="F93" s="11"/>
      <c r="G93" s="22"/>
      <c r="H93" s="22"/>
      <c r="I93" s="35"/>
      <c r="J93" s="35"/>
      <c r="K93" s="45"/>
      <c r="L93" s="45"/>
      <c r="M93" s="45"/>
      <c r="N93" s="12"/>
      <c r="O93" s="12"/>
      <c r="P93" s="13"/>
      <c r="Q93" s="13"/>
      <c r="R93" s="13"/>
      <c r="S93" s="13"/>
      <c r="T93" s="14"/>
    </row>
    <row r="94" spans="2:20" ht="12.75" customHeight="1" x14ac:dyDescent="0.15">
      <c r="B94" s="10"/>
      <c r="C94" s="1"/>
      <c r="D94" s="1"/>
      <c r="E94" s="9"/>
      <c r="F94" s="11"/>
      <c r="G94" s="5"/>
      <c r="H94" s="6"/>
      <c r="I94" s="32"/>
      <c r="J94" s="32"/>
      <c r="K94" s="6"/>
      <c r="L94" s="6"/>
      <c r="M94" s="6"/>
      <c r="N94" s="12"/>
      <c r="O94" s="12"/>
      <c r="P94" s="13"/>
      <c r="Q94" s="13"/>
      <c r="R94" s="13"/>
      <c r="S94" s="13"/>
      <c r="T94" s="14"/>
    </row>
    <row r="95" spans="2:20" ht="12.75" customHeight="1" x14ac:dyDescent="0.15">
      <c r="B95" s="10"/>
      <c r="C95" s="1"/>
      <c r="D95" s="1"/>
      <c r="E95" s="9"/>
      <c r="F95" s="11"/>
      <c r="G95" s="5"/>
      <c r="H95" s="6"/>
      <c r="I95" s="32"/>
      <c r="J95" s="32"/>
      <c r="K95" s="6"/>
      <c r="L95" s="6"/>
      <c r="M95" s="6"/>
      <c r="N95" s="12"/>
      <c r="O95" s="12"/>
      <c r="P95" s="24"/>
      <c r="Q95" s="24"/>
      <c r="R95" s="24"/>
      <c r="S95" s="24"/>
      <c r="T95" s="14"/>
    </row>
    <row r="96" spans="2:20" ht="12.75" customHeight="1" x14ac:dyDescent="0.15">
      <c r="B96" s="10"/>
      <c r="C96" s="1"/>
      <c r="D96" s="23"/>
      <c r="E96" s="23"/>
      <c r="F96" s="66"/>
      <c r="G96" s="22"/>
      <c r="H96" s="22"/>
      <c r="I96" s="35"/>
      <c r="J96" s="35"/>
      <c r="K96" s="22"/>
      <c r="L96" s="22"/>
      <c r="M96" s="22"/>
      <c r="N96" s="12"/>
      <c r="O96" s="12"/>
      <c r="P96" s="13"/>
      <c r="Q96" s="13"/>
      <c r="R96" s="13"/>
      <c r="S96" s="13"/>
      <c r="T96" s="14"/>
    </row>
    <row r="97" spans="2:20" ht="12.75" customHeight="1" x14ac:dyDescent="0.15">
      <c r="B97" s="10"/>
      <c r="C97" s="1"/>
      <c r="D97" s="1"/>
      <c r="E97" s="9"/>
      <c r="F97" s="11"/>
      <c r="G97" s="5"/>
      <c r="H97" s="6"/>
      <c r="I97" s="32"/>
      <c r="J97" s="32"/>
      <c r="K97" s="6"/>
      <c r="L97" s="6"/>
      <c r="M97" s="6"/>
      <c r="N97" s="12"/>
      <c r="O97" s="12"/>
      <c r="P97" s="24"/>
      <c r="Q97" s="24"/>
      <c r="R97" s="24"/>
      <c r="S97" s="24"/>
      <c r="T97" s="14"/>
    </row>
    <row r="98" spans="2:20" ht="12.75" customHeight="1" x14ac:dyDescent="0.15">
      <c r="B98" s="10"/>
      <c r="C98" s="1"/>
      <c r="D98" s="23"/>
      <c r="E98" s="23"/>
      <c r="F98" s="66"/>
      <c r="G98" s="22"/>
      <c r="H98" s="22"/>
      <c r="I98" s="35"/>
      <c r="J98" s="35"/>
      <c r="K98" s="22"/>
      <c r="L98" s="22"/>
      <c r="M98" s="22"/>
      <c r="N98" s="12"/>
      <c r="O98" s="12"/>
      <c r="P98" s="13"/>
      <c r="Q98" s="13"/>
      <c r="R98" s="13"/>
      <c r="S98" s="13"/>
      <c r="T98" s="14"/>
    </row>
    <row r="99" spans="2:20" ht="12.75" customHeight="1" x14ac:dyDescent="0.15">
      <c r="B99" s="10"/>
      <c r="C99" s="1"/>
      <c r="D99" s="1"/>
      <c r="E99" s="9"/>
      <c r="F99" s="11"/>
      <c r="G99" s="5"/>
      <c r="H99" s="6"/>
      <c r="I99" s="32"/>
      <c r="J99" s="32"/>
      <c r="K99" s="6"/>
      <c r="L99" s="6"/>
      <c r="M99" s="6"/>
      <c r="N99" s="12"/>
      <c r="O99" s="12"/>
      <c r="P99" s="24"/>
      <c r="Q99" s="24"/>
      <c r="R99" s="24"/>
      <c r="S99" s="24"/>
      <c r="T99" s="14"/>
    </row>
    <row r="100" spans="2:20" ht="12.75" customHeight="1" x14ac:dyDescent="0.15">
      <c r="B100" s="10"/>
      <c r="C100" s="1"/>
      <c r="D100" s="23"/>
      <c r="E100" s="23"/>
      <c r="F100" s="66"/>
      <c r="G100" s="5"/>
      <c r="H100" s="22"/>
      <c r="I100" s="35"/>
      <c r="J100" s="35"/>
      <c r="K100" s="22"/>
      <c r="L100" s="22"/>
      <c r="M100" s="22"/>
      <c r="N100" s="12"/>
      <c r="O100" s="12"/>
      <c r="P100" s="13"/>
      <c r="Q100" s="13"/>
      <c r="R100" s="13"/>
      <c r="S100" s="13"/>
      <c r="T100" s="14"/>
    </row>
    <row r="101" spans="2:20" ht="12.75" customHeight="1" x14ac:dyDescent="0.15">
      <c r="B101" s="10"/>
      <c r="C101" s="1"/>
      <c r="D101" s="1"/>
      <c r="E101" s="9"/>
      <c r="F101" s="11"/>
      <c r="G101" s="5"/>
      <c r="H101" s="6"/>
      <c r="I101" s="32"/>
      <c r="J101" s="32"/>
      <c r="K101" s="6"/>
      <c r="L101" s="6"/>
      <c r="M101" s="6"/>
      <c r="N101" s="12"/>
      <c r="O101" s="12"/>
      <c r="P101" s="24"/>
      <c r="Q101" s="24"/>
      <c r="R101" s="24"/>
      <c r="S101" s="24"/>
      <c r="T101" s="14"/>
    </row>
    <row r="102" spans="2:20" ht="12.75" customHeight="1" x14ac:dyDescent="0.15">
      <c r="B102" s="10"/>
      <c r="C102" s="1"/>
      <c r="D102" s="23"/>
      <c r="E102" s="23"/>
      <c r="F102" s="66"/>
      <c r="G102" s="5"/>
      <c r="H102" s="22"/>
      <c r="I102" s="35"/>
      <c r="J102" s="35"/>
      <c r="K102" s="22"/>
      <c r="L102" s="22"/>
      <c r="M102" s="22"/>
      <c r="N102" s="12"/>
      <c r="O102" s="12"/>
      <c r="P102" s="13"/>
      <c r="Q102" s="13"/>
      <c r="R102" s="13"/>
      <c r="S102" s="13"/>
      <c r="T102" s="14"/>
    </row>
    <row r="103" spans="2:20" ht="12.75" customHeight="1" x14ac:dyDescent="0.15">
      <c r="B103" s="10"/>
      <c r="C103" s="1"/>
      <c r="D103" s="1"/>
      <c r="E103" s="9"/>
      <c r="F103" s="11"/>
      <c r="G103" s="5"/>
      <c r="H103" s="6"/>
      <c r="I103" s="32"/>
      <c r="J103" s="32"/>
      <c r="K103" s="6"/>
      <c r="L103" s="6"/>
      <c r="M103" s="6"/>
      <c r="N103" s="12"/>
      <c r="O103" s="12"/>
      <c r="P103" s="24"/>
      <c r="Q103" s="24"/>
      <c r="R103" s="24"/>
      <c r="S103" s="24"/>
      <c r="T103" s="14"/>
    </row>
    <row r="104" spans="2:20" ht="12.75" customHeight="1" x14ac:dyDescent="0.15">
      <c r="B104" s="10"/>
      <c r="C104" s="1"/>
      <c r="D104" s="23"/>
      <c r="E104" s="23"/>
      <c r="F104" s="66"/>
      <c r="G104" s="5"/>
      <c r="H104" s="22"/>
      <c r="I104" s="35"/>
      <c r="J104" s="35"/>
      <c r="K104" s="22"/>
      <c r="L104" s="22"/>
      <c r="M104" s="22"/>
      <c r="N104" s="12"/>
      <c r="O104" s="12"/>
      <c r="P104" s="13"/>
      <c r="Q104" s="13"/>
      <c r="R104" s="13"/>
      <c r="S104" s="13"/>
      <c r="T104" s="14"/>
    </row>
    <row r="105" spans="2:20" ht="12.75" customHeight="1" x14ac:dyDescent="0.15">
      <c r="B105" s="10"/>
      <c r="C105" s="1"/>
      <c r="D105" s="1"/>
      <c r="E105" s="9"/>
      <c r="F105" s="11"/>
      <c r="G105" s="5"/>
      <c r="H105" s="6"/>
      <c r="I105" s="32"/>
      <c r="J105" s="32"/>
      <c r="K105" s="6"/>
      <c r="L105" s="6"/>
      <c r="M105" s="6"/>
      <c r="N105" s="12"/>
      <c r="O105" s="12"/>
      <c r="P105" s="24"/>
      <c r="Q105" s="24"/>
      <c r="R105" s="24"/>
      <c r="S105" s="24"/>
      <c r="T105" s="14"/>
    </row>
    <row r="106" spans="2:20" ht="12.75" customHeight="1" x14ac:dyDescent="0.15">
      <c r="B106" s="10"/>
      <c r="C106" s="1"/>
      <c r="D106" s="23"/>
      <c r="E106" s="23"/>
      <c r="F106" s="66"/>
      <c r="G106" s="22"/>
      <c r="H106" s="22"/>
      <c r="I106" s="35"/>
      <c r="J106" s="35"/>
      <c r="K106" s="22"/>
      <c r="L106" s="22"/>
      <c r="M106" s="22"/>
      <c r="N106" s="12"/>
      <c r="O106" s="12"/>
      <c r="P106" s="13"/>
      <c r="Q106" s="13"/>
      <c r="R106" s="13"/>
      <c r="S106" s="13"/>
      <c r="T106" s="14"/>
    </row>
    <row r="107" spans="2:20" ht="12.75" customHeight="1" x14ac:dyDescent="0.15">
      <c r="B107" s="10"/>
      <c r="C107" s="1"/>
      <c r="D107" s="1"/>
      <c r="E107" s="9"/>
      <c r="F107" s="11"/>
      <c r="G107" s="5"/>
      <c r="H107" s="6"/>
      <c r="I107" s="32"/>
      <c r="J107" s="32"/>
      <c r="K107" s="6"/>
      <c r="L107" s="6"/>
      <c r="M107" s="6"/>
      <c r="N107" s="12"/>
      <c r="O107" s="12"/>
      <c r="P107" s="24"/>
      <c r="Q107" s="24"/>
      <c r="R107" s="24"/>
      <c r="S107" s="24"/>
      <c r="T107" s="14"/>
    </row>
    <row r="108" spans="2:20" ht="12.75" customHeight="1" x14ac:dyDescent="0.15">
      <c r="B108" s="10"/>
      <c r="C108" s="1"/>
      <c r="D108" s="23"/>
      <c r="E108" s="23"/>
      <c r="F108" s="66"/>
      <c r="G108" s="22"/>
      <c r="H108" s="22"/>
      <c r="I108" s="35"/>
      <c r="J108" s="35"/>
      <c r="K108" s="22"/>
      <c r="L108" s="22"/>
      <c r="M108" s="22"/>
      <c r="N108" s="12"/>
      <c r="O108" s="12"/>
      <c r="P108" s="13"/>
      <c r="Q108" s="13"/>
      <c r="R108" s="13"/>
      <c r="S108" s="13"/>
      <c r="T108" s="14"/>
    </row>
    <row r="109" spans="2:20" ht="12.75" customHeight="1" x14ac:dyDescent="0.15">
      <c r="B109" s="10"/>
      <c r="C109" s="1"/>
      <c r="D109" s="1"/>
      <c r="E109" s="9"/>
      <c r="F109" s="11"/>
      <c r="G109" s="22"/>
      <c r="H109" s="22"/>
      <c r="I109" s="35"/>
      <c r="J109" s="35"/>
      <c r="K109" s="6"/>
      <c r="L109" s="6"/>
      <c r="M109" s="6"/>
      <c r="N109" s="12"/>
      <c r="O109" s="12"/>
      <c r="P109" s="13"/>
      <c r="Q109" s="13"/>
      <c r="R109" s="13"/>
      <c r="S109" s="13"/>
      <c r="T109" s="14"/>
    </row>
    <row r="110" spans="2:20" ht="12.75" customHeight="1" x14ac:dyDescent="0.15">
      <c r="B110" s="10"/>
      <c r="C110" s="1"/>
      <c r="D110" s="1"/>
      <c r="E110" s="9"/>
      <c r="F110" s="11"/>
      <c r="G110" s="5"/>
      <c r="H110" s="6"/>
      <c r="I110" s="32"/>
      <c r="J110" s="32"/>
      <c r="K110" s="6"/>
      <c r="L110" s="6"/>
      <c r="M110" s="6"/>
      <c r="N110" s="12"/>
      <c r="O110" s="12"/>
      <c r="P110" s="24"/>
      <c r="Q110" s="24"/>
      <c r="R110" s="24"/>
      <c r="S110" s="24"/>
      <c r="T110" s="14"/>
    </row>
    <row r="111" spans="2:20" ht="12.75" customHeight="1" x14ac:dyDescent="0.15">
      <c r="B111" s="10"/>
      <c r="C111" s="1"/>
      <c r="D111" s="23"/>
      <c r="E111" s="23"/>
      <c r="F111" s="66"/>
      <c r="G111" s="5"/>
      <c r="H111" s="22"/>
      <c r="I111" s="35"/>
      <c r="J111" s="35"/>
      <c r="K111" s="22"/>
      <c r="L111" s="22"/>
      <c r="M111" s="22"/>
      <c r="N111" s="12"/>
      <c r="O111" s="12"/>
      <c r="P111" s="13"/>
      <c r="Q111" s="13"/>
      <c r="R111" s="13"/>
      <c r="S111" s="13"/>
      <c r="T111" s="14"/>
    </row>
    <row r="112" spans="2:20" ht="12.75" customHeight="1" x14ac:dyDescent="0.15">
      <c r="B112" s="10"/>
      <c r="C112" s="1"/>
      <c r="D112" s="23"/>
      <c r="E112" s="23"/>
      <c r="F112" s="66"/>
      <c r="G112" s="5"/>
      <c r="H112" s="22"/>
      <c r="I112" s="35"/>
      <c r="J112" s="35"/>
      <c r="K112" s="22"/>
      <c r="L112" s="22"/>
      <c r="M112" s="22"/>
      <c r="N112" s="12"/>
      <c r="O112" s="12"/>
      <c r="P112" s="13"/>
      <c r="Q112" s="13"/>
      <c r="R112" s="13"/>
      <c r="S112" s="13"/>
      <c r="T112" s="14"/>
    </row>
    <row r="113" spans="2:20" ht="12.75" customHeight="1" x14ac:dyDescent="0.15">
      <c r="B113" s="10"/>
      <c r="C113" s="1"/>
      <c r="D113" s="23"/>
      <c r="E113" s="23"/>
      <c r="F113" s="66"/>
      <c r="G113" s="5"/>
      <c r="H113" s="22"/>
      <c r="I113" s="35"/>
      <c r="J113" s="35"/>
      <c r="K113" s="22"/>
      <c r="L113" s="22"/>
      <c r="M113" s="22"/>
      <c r="N113" s="12"/>
      <c r="O113" s="12"/>
      <c r="P113" s="13"/>
      <c r="Q113" s="13"/>
      <c r="R113" s="13"/>
      <c r="S113" s="13"/>
      <c r="T113" s="14"/>
    </row>
    <row r="114" spans="2:20" ht="12.75" customHeight="1" x14ac:dyDescent="0.15">
      <c r="B114" s="10"/>
      <c r="C114" s="1"/>
      <c r="D114" s="1"/>
      <c r="E114" s="9"/>
      <c r="F114" s="11"/>
      <c r="G114" s="5"/>
      <c r="H114" s="6"/>
      <c r="I114" s="32"/>
      <c r="J114" s="32"/>
      <c r="K114" s="6"/>
      <c r="L114" s="6"/>
      <c r="M114" s="6"/>
      <c r="N114" s="12"/>
      <c r="O114" s="12"/>
      <c r="P114" s="24"/>
      <c r="Q114" s="24"/>
      <c r="R114" s="24"/>
      <c r="S114" s="24"/>
      <c r="T114" s="14"/>
    </row>
    <row r="115" spans="2:20" ht="12.75" customHeight="1" x14ac:dyDescent="0.15">
      <c r="B115" s="10"/>
      <c r="C115" s="1"/>
      <c r="D115" s="1"/>
      <c r="E115" s="9"/>
      <c r="F115" s="11"/>
      <c r="G115" s="22"/>
      <c r="H115" s="22"/>
      <c r="I115" s="35"/>
      <c r="J115" s="35"/>
      <c r="K115" s="45"/>
      <c r="L115" s="45"/>
      <c r="M115" s="45"/>
      <c r="N115" s="12"/>
      <c r="O115" s="12"/>
      <c r="P115" s="13"/>
      <c r="Q115" s="13"/>
      <c r="R115" s="13"/>
      <c r="S115" s="13"/>
      <c r="T115" s="14"/>
    </row>
    <row r="116" spans="2:20" ht="12.75" customHeight="1" x14ac:dyDescent="0.15">
      <c r="B116" s="10"/>
      <c r="C116" s="1"/>
      <c r="D116" s="1"/>
      <c r="E116" s="36"/>
      <c r="F116" s="37"/>
      <c r="G116" s="22"/>
      <c r="H116" s="22"/>
      <c r="I116" s="35"/>
      <c r="J116" s="35"/>
      <c r="K116" s="45"/>
      <c r="L116" s="45"/>
      <c r="M116" s="45"/>
      <c r="N116" s="12"/>
      <c r="O116" s="12"/>
      <c r="P116" s="13"/>
      <c r="Q116" s="13"/>
      <c r="R116" s="13"/>
      <c r="S116" s="13"/>
      <c r="T116" s="14"/>
    </row>
    <row r="117" spans="2:20" ht="12.75" customHeight="1" x14ac:dyDescent="0.15">
      <c r="B117" s="10"/>
      <c r="C117" s="1"/>
      <c r="D117" s="1"/>
      <c r="E117" s="36"/>
      <c r="F117" s="37"/>
      <c r="G117" s="22"/>
      <c r="H117" s="22"/>
      <c r="I117" s="35"/>
      <c r="J117" s="35"/>
      <c r="K117" s="45"/>
      <c r="L117" s="45"/>
      <c r="M117" s="45"/>
      <c r="N117" s="12"/>
      <c r="O117" s="12"/>
      <c r="P117" s="13"/>
      <c r="Q117" s="13"/>
      <c r="R117" s="13"/>
      <c r="S117" s="13"/>
      <c r="T117" s="14"/>
    </row>
    <row r="118" spans="2:20" ht="12.75" customHeight="1" x14ac:dyDescent="0.15">
      <c r="B118" s="10"/>
      <c r="C118" s="1"/>
      <c r="D118" s="1"/>
      <c r="E118" s="36"/>
      <c r="F118" s="37"/>
      <c r="G118" s="22"/>
      <c r="H118" s="22"/>
      <c r="I118" s="35"/>
      <c r="J118" s="35"/>
      <c r="K118" s="45"/>
      <c r="L118" s="45"/>
      <c r="M118" s="45"/>
      <c r="N118" s="12"/>
      <c r="O118" s="12"/>
      <c r="P118" s="13"/>
      <c r="Q118" s="13"/>
      <c r="R118" s="13"/>
      <c r="S118" s="13"/>
      <c r="T118" s="14"/>
    </row>
    <row r="119" spans="2:20" ht="12.75" customHeight="1" x14ac:dyDescent="0.15">
      <c r="B119" s="10"/>
      <c r="C119" s="1"/>
      <c r="D119" s="1"/>
      <c r="E119" s="36"/>
      <c r="F119" s="37"/>
      <c r="G119" s="22"/>
      <c r="H119" s="22"/>
      <c r="I119" s="35"/>
      <c r="J119" s="35"/>
      <c r="K119" s="45"/>
      <c r="L119" s="45"/>
      <c r="M119" s="45"/>
      <c r="N119" s="12"/>
      <c r="O119" s="12"/>
      <c r="P119" s="13"/>
      <c r="Q119" s="13"/>
      <c r="R119" s="13"/>
      <c r="S119" s="13"/>
      <c r="T119" s="14"/>
    </row>
    <row r="120" spans="2:20" ht="12.75" customHeight="1" x14ac:dyDescent="0.15">
      <c r="B120" s="10"/>
      <c r="C120" s="1"/>
      <c r="D120" s="1"/>
      <c r="E120" s="36"/>
      <c r="F120" s="37"/>
      <c r="G120" s="22"/>
      <c r="H120" s="22"/>
      <c r="I120" s="35"/>
      <c r="J120" s="35"/>
      <c r="K120" s="45"/>
      <c r="L120" s="45"/>
      <c r="M120" s="45"/>
      <c r="N120" s="12"/>
      <c r="O120" s="12"/>
      <c r="P120" s="13"/>
      <c r="Q120" s="13"/>
      <c r="R120" s="13"/>
      <c r="S120" s="13"/>
      <c r="T120" s="14"/>
    </row>
    <row r="121" spans="2:20" ht="12.75" customHeight="1" x14ac:dyDescent="0.15">
      <c r="B121" s="10"/>
      <c r="C121" s="1"/>
      <c r="D121" s="1"/>
      <c r="E121" s="9"/>
      <c r="F121" s="11"/>
      <c r="G121" s="5"/>
      <c r="H121" s="6"/>
      <c r="I121" s="32"/>
      <c r="J121" s="32"/>
      <c r="K121" s="6"/>
      <c r="L121" s="6"/>
      <c r="M121" s="6"/>
      <c r="N121" s="12"/>
      <c r="O121" s="12"/>
      <c r="P121" s="24"/>
      <c r="Q121" s="24"/>
      <c r="R121" s="24"/>
      <c r="S121" s="24"/>
      <c r="T121" s="14"/>
    </row>
    <row r="122" spans="2:20" ht="12.75" customHeight="1" x14ac:dyDescent="0.15">
      <c r="B122" s="10"/>
      <c r="C122" s="1"/>
      <c r="D122" s="23"/>
      <c r="E122" s="23"/>
      <c r="F122" s="66"/>
      <c r="G122" s="22"/>
      <c r="H122" s="22"/>
      <c r="I122" s="35"/>
      <c r="J122" s="35"/>
      <c r="K122" s="35"/>
      <c r="L122" s="35"/>
      <c r="M122" s="35"/>
      <c r="N122" s="12"/>
      <c r="O122" s="12"/>
      <c r="P122" s="13"/>
      <c r="Q122" s="13"/>
      <c r="R122" s="13"/>
      <c r="S122" s="13"/>
      <c r="T122" s="14"/>
    </row>
    <row r="123" spans="2:20" ht="12.75" customHeight="1" x14ac:dyDescent="0.15">
      <c r="B123" s="10"/>
      <c r="C123" s="1"/>
      <c r="D123" s="23"/>
      <c r="E123" s="23"/>
      <c r="F123" s="66"/>
      <c r="G123" s="22"/>
      <c r="H123" s="22"/>
      <c r="I123" s="35"/>
      <c r="J123" s="35"/>
      <c r="K123" s="35"/>
      <c r="L123" s="35"/>
      <c r="M123" s="35"/>
      <c r="N123" s="12"/>
      <c r="O123" s="12"/>
      <c r="P123" s="13"/>
      <c r="Q123" s="13"/>
      <c r="R123" s="13"/>
      <c r="S123" s="13"/>
      <c r="T123" s="14"/>
    </row>
    <row r="124" spans="2:20" ht="12.75" customHeight="1" x14ac:dyDescent="0.15">
      <c r="B124" s="10"/>
      <c r="C124" s="1"/>
      <c r="D124" s="23"/>
      <c r="E124" s="23"/>
      <c r="F124" s="66"/>
      <c r="G124" s="22"/>
      <c r="H124" s="22"/>
      <c r="I124" s="35"/>
      <c r="J124" s="35"/>
      <c r="K124" s="35"/>
      <c r="L124" s="35"/>
      <c r="M124" s="35"/>
      <c r="N124" s="12"/>
      <c r="O124" s="12"/>
      <c r="P124" s="13"/>
      <c r="Q124" s="13"/>
      <c r="R124" s="13"/>
      <c r="S124" s="13"/>
      <c r="T124" s="14"/>
    </row>
    <row r="125" spans="2:20" ht="12.75" customHeight="1" x14ac:dyDescent="0.15">
      <c r="B125" s="10"/>
      <c r="C125" s="1"/>
      <c r="D125" s="23"/>
      <c r="E125" s="23"/>
      <c r="F125" s="66"/>
      <c r="G125" s="22"/>
      <c r="H125" s="22"/>
      <c r="I125" s="35"/>
      <c r="J125" s="35"/>
      <c r="K125" s="35"/>
      <c r="L125" s="35"/>
      <c r="M125" s="35"/>
      <c r="N125" s="12"/>
      <c r="O125" s="12"/>
      <c r="P125" s="13"/>
      <c r="Q125" s="13"/>
      <c r="R125" s="13"/>
      <c r="S125" s="13"/>
      <c r="T125" s="14"/>
    </row>
    <row r="126" spans="2:20" ht="12.75" customHeight="1" x14ac:dyDescent="0.15">
      <c r="B126" s="10"/>
      <c r="C126" s="1"/>
      <c r="D126" s="1"/>
      <c r="E126" s="9"/>
      <c r="F126" s="11"/>
      <c r="G126" s="5"/>
      <c r="H126" s="6"/>
      <c r="I126" s="32"/>
      <c r="J126" s="32"/>
      <c r="K126" s="6"/>
      <c r="L126" s="6"/>
      <c r="M126" s="6"/>
      <c r="N126" s="12"/>
      <c r="O126" s="12"/>
      <c r="P126" s="24"/>
      <c r="Q126" s="24"/>
      <c r="R126" s="24"/>
      <c r="S126" s="24"/>
      <c r="T126" s="14"/>
    </row>
    <row r="127" spans="2:20" ht="12.75" customHeight="1" x14ac:dyDescent="0.15">
      <c r="B127" s="10"/>
      <c r="C127" s="1"/>
      <c r="D127" s="23"/>
      <c r="E127" s="23"/>
      <c r="F127" s="66"/>
      <c r="G127" s="5"/>
      <c r="H127" s="22"/>
      <c r="I127" s="35"/>
      <c r="J127" s="35"/>
      <c r="K127" s="22"/>
      <c r="L127" s="22"/>
      <c r="M127" s="22"/>
      <c r="N127" s="12"/>
      <c r="O127" s="12"/>
      <c r="P127" s="13"/>
      <c r="Q127" s="13"/>
      <c r="R127" s="13"/>
      <c r="S127" s="13"/>
      <c r="T127" s="14"/>
    </row>
    <row r="128" spans="2:20" ht="12.75" customHeight="1" x14ac:dyDescent="0.15">
      <c r="B128" s="10"/>
      <c r="C128" s="1"/>
      <c r="D128" s="1"/>
      <c r="E128" s="9"/>
      <c r="F128" s="11"/>
      <c r="G128" s="5"/>
      <c r="H128" s="6"/>
      <c r="I128" s="32"/>
      <c r="J128" s="32"/>
      <c r="K128" s="6"/>
      <c r="L128" s="6"/>
      <c r="M128" s="6"/>
      <c r="N128" s="12"/>
      <c r="O128" s="12"/>
      <c r="P128" s="24"/>
      <c r="Q128" s="24"/>
      <c r="R128" s="24"/>
      <c r="S128" s="24"/>
      <c r="T128" s="14"/>
    </row>
    <row r="129" spans="2:20" ht="12.75" customHeight="1" x14ac:dyDescent="0.15">
      <c r="B129" s="10"/>
      <c r="C129" s="1"/>
      <c r="D129" s="23"/>
      <c r="E129" s="23"/>
      <c r="F129" s="66"/>
      <c r="G129" s="5"/>
      <c r="H129" s="22"/>
      <c r="I129" s="35"/>
      <c r="J129" s="35"/>
      <c r="K129" s="22"/>
      <c r="L129" s="22"/>
      <c r="M129" s="22"/>
      <c r="N129" s="12"/>
      <c r="O129" s="12"/>
      <c r="P129" s="13"/>
      <c r="Q129" s="13"/>
      <c r="R129" s="13"/>
      <c r="S129" s="13"/>
      <c r="T129" s="14"/>
    </row>
    <row r="130" spans="2:20" ht="12.75" customHeight="1" x14ac:dyDescent="0.15">
      <c r="B130" s="10"/>
      <c r="C130" s="1"/>
      <c r="D130" s="1"/>
      <c r="E130" s="9"/>
      <c r="F130" s="11"/>
      <c r="G130" s="5"/>
      <c r="H130" s="6"/>
      <c r="I130" s="32"/>
      <c r="J130" s="32"/>
      <c r="K130" s="6"/>
      <c r="L130" s="6"/>
      <c r="M130" s="6"/>
      <c r="N130" s="12"/>
      <c r="O130" s="12"/>
      <c r="P130" s="13"/>
      <c r="Q130" s="13"/>
      <c r="R130" s="13"/>
      <c r="S130" s="13"/>
      <c r="T130" s="14"/>
    </row>
    <row r="131" spans="2:20" ht="12.75" customHeight="1" x14ac:dyDescent="0.15">
      <c r="B131" s="10"/>
      <c r="C131" s="1"/>
      <c r="D131" s="1"/>
      <c r="E131" s="9"/>
      <c r="F131" s="11"/>
      <c r="G131" s="5"/>
      <c r="H131" s="6"/>
      <c r="I131" s="32"/>
      <c r="J131" s="32"/>
      <c r="K131" s="6"/>
      <c r="L131" s="6"/>
      <c r="M131" s="6"/>
      <c r="N131" s="12"/>
      <c r="O131" s="12"/>
      <c r="P131" s="24"/>
      <c r="Q131" s="24"/>
      <c r="R131" s="24"/>
      <c r="S131" s="24"/>
      <c r="T131" s="14"/>
    </row>
    <row r="132" spans="2:20" ht="12.75" customHeight="1" x14ac:dyDescent="0.15">
      <c r="B132" s="10"/>
      <c r="C132" s="1"/>
      <c r="D132" s="1"/>
      <c r="E132" s="9"/>
      <c r="F132" s="11"/>
      <c r="G132" s="5"/>
      <c r="H132" s="22"/>
      <c r="I132" s="35"/>
      <c r="J132" s="35"/>
      <c r="K132" s="44"/>
      <c r="L132" s="44"/>
      <c r="M132" s="44"/>
      <c r="N132" s="12"/>
      <c r="O132" s="12"/>
      <c r="P132" s="13"/>
      <c r="Q132" s="13"/>
      <c r="R132" s="13"/>
      <c r="S132" s="13"/>
      <c r="T132" s="14"/>
    </row>
    <row r="133" spans="2:20" ht="12.75" customHeight="1" x14ac:dyDescent="0.15">
      <c r="B133" s="10"/>
      <c r="C133" s="1"/>
      <c r="D133" s="1"/>
      <c r="E133" s="9"/>
      <c r="F133" s="11"/>
      <c r="G133" s="22"/>
      <c r="H133" s="22"/>
      <c r="I133" s="35"/>
      <c r="J133" s="35"/>
      <c r="K133" s="45"/>
      <c r="L133" s="45"/>
      <c r="M133" s="45"/>
      <c r="N133" s="12"/>
      <c r="O133" s="12"/>
      <c r="P133" s="13"/>
      <c r="Q133" s="13"/>
      <c r="R133" s="13"/>
      <c r="S133" s="13"/>
      <c r="T133" s="14"/>
    </row>
    <row r="134" spans="2:20" ht="12.75" customHeight="1" x14ac:dyDescent="0.15">
      <c r="B134" s="10"/>
      <c r="C134" s="1"/>
      <c r="D134" s="1"/>
      <c r="E134" s="9"/>
      <c r="F134" s="11"/>
      <c r="G134" s="22"/>
      <c r="H134" s="22"/>
      <c r="I134" s="35"/>
      <c r="J134" s="35"/>
      <c r="K134" s="45"/>
      <c r="L134" s="45"/>
      <c r="M134" s="45"/>
      <c r="N134" s="12"/>
      <c r="O134" s="12"/>
      <c r="P134" s="13"/>
      <c r="Q134" s="13"/>
      <c r="R134" s="13"/>
      <c r="S134" s="13"/>
      <c r="T134" s="14"/>
    </row>
    <row r="135" spans="2:20" ht="12.75" customHeight="1" x14ac:dyDescent="0.15">
      <c r="B135" s="10"/>
      <c r="C135" s="1"/>
      <c r="D135" s="1"/>
      <c r="E135" s="9"/>
      <c r="F135" s="11"/>
      <c r="G135" s="22"/>
      <c r="H135" s="22"/>
      <c r="I135" s="35"/>
      <c r="J135" s="35"/>
      <c r="K135" s="45"/>
      <c r="L135" s="45"/>
      <c r="M135" s="45"/>
      <c r="N135" s="12"/>
      <c r="O135" s="12"/>
      <c r="P135" s="13"/>
      <c r="Q135" s="13"/>
      <c r="R135" s="13"/>
      <c r="S135" s="13"/>
      <c r="T135" s="14"/>
    </row>
    <row r="136" spans="2:20" ht="12.75" customHeight="1" x14ac:dyDescent="0.15">
      <c r="B136" s="10"/>
      <c r="C136" s="1"/>
      <c r="D136" s="1"/>
      <c r="E136" s="9"/>
      <c r="F136" s="11"/>
      <c r="G136" s="22"/>
      <c r="H136" s="22"/>
      <c r="I136" s="35"/>
      <c r="J136" s="35"/>
      <c r="K136" s="45"/>
      <c r="L136" s="45"/>
      <c r="M136" s="45"/>
      <c r="N136" s="12"/>
      <c r="O136" s="12"/>
      <c r="P136" s="13"/>
      <c r="Q136" s="13"/>
      <c r="R136" s="13"/>
      <c r="S136" s="13"/>
      <c r="T136" s="22"/>
    </row>
    <row r="137" spans="2:20" ht="12.75" customHeight="1" x14ac:dyDescent="0.15">
      <c r="B137" s="10"/>
      <c r="C137" s="1"/>
      <c r="D137" s="1"/>
      <c r="E137" s="9"/>
      <c r="F137" s="11"/>
      <c r="G137" s="22"/>
      <c r="H137" s="22"/>
      <c r="I137" s="35"/>
      <c r="J137" s="35"/>
      <c r="K137" s="46"/>
      <c r="L137" s="46"/>
      <c r="M137" s="46"/>
      <c r="N137" s="12"/>
      <c r="O137" s="12"/>
      <c r="P137" s="13"/>
      <c r="Q137" s="13"/>
      <c r="R137" s="13"/>
      <c r="S137" s="13"/>
      <c r="T137" s="14"/>
    </row>
    <row r="138" spans="2:20" ht="12.75" customHeight="1" x14ac:dyDescent="0.15">
      <c r="B138" s="10"/>
      <c r="C138" s="1"/>
      <c r="D138" s="1"/>
      <c r="E138" s="9"/>
      <c r="F138" s="11"/>
      <c r="G138" s="22"/>
      <c r="H138" s="22"/>
      <c r="I138" s="35"/>
      <c r="J138" s="35"/>
      <c r="K138" s="46"/>
      <c r="L138" s="46"/>
      <c r="M138" s="46"/>
      <c r="N138" s="12"/>
      <c r="O138" s="12"/>
      <c r="P138" s="13"/>
      <c r="Q138" s="13"/>
      <c r="R138" s="13"/>
      <c r="S138" s="13"/>
      <c r="T138" s="14"/>
    </row>
    <row r="139" spans="2:20" ht="12.75" customHeight="1" x14ac:dyDescent="0.15">
      <c r="B139" s="10"/>
      <c r="C139" s="1"/>
      <c r="D139" s="1"/>
      <c r="E139" s="9"/>
      <c r="F139" s="11"/>
      <c r="G139" s="22"/>
      <c r="H139" s="22"/>
      <c r="I139" s="35"/>
      <c r="J139" s="35"/>
      <c r="K139" s="45"/>
      <c r="L139" s="45"/>
      <c r="M139" s="45"/>
      <c r="N139" s="12"/>
      <c r="O139" s="12"/>
      <c r="P139" s="13"/>
      <c r="Q139" s="13"/>
      <c r="R139" s="13"/>
      <c r="S139" s="13"/>
      <c r="T139" s="14"/>
    </row>
    <row r="140" spans="2:20" ht="12.75" customHeight="1" x14ac:dyDescent="0.15">
      <c r="B140" s="10"/>
      <c r="C140" s="1"/>
      <c r="D140" s="1"/>
      <c r="E140" s="9"/>
      <c r="F140" s="11"/>
      <c r="G140" s="5"/>
      <c r="H140" s="6"/>
      <c r="I140" s="32"/>
      <c r="J140" s="32"/>
      <c r="K140" s="6"/>
      <c r="L140" s="6"/>
      <c r="M140" s="6"/>
      <c r="N140" s="12"/>
      <c r="O140" s="12"/>
      <c r="P140" s="13"/>
      <c r="Q140" s="13"/>
      <c r="R140" s="13"/>
      <c r="S140" s="13"/>
      <c r="T140" s="14"/>
    </row>
    <row r="141" spans="2:20" ht="12.75" customHeight="1" x14ac:dyDescent="0.15">
      <c r="B141" s="10"/>
      <c r="C141" s="1"/>
      <c r="D141" s="1"/>
      <c r="E141" s="9"/>
      <c r="F141" s="11"/>
      <c r="G141" s="5"/>
      <c r="H141" s="6"/>
      <c r="I141" s="32"/>
      <c r="J141" s="32"/>
      <c r="K141" s="6"/>
      <c r="L141" s="6"/>
      <c r="M141" s="6"/>
      <c r="N141" s="12"/>
      <c r="O141" s="12"/>
      <c r="P141" s="13"/>
      <c r="Q141" s="13"/>
      <c r="R141" s="13"/>
      <c r="S141" s="13"/>
      <c r="T141" s="14"/>
    </row>
    <row r="142" spans="2:20" ht="12.75" customHeight="1" x14ac:dyDescent="0.15">
      <c r="B142" s="10"/>
      <c r="C142" s="1"/>
      <c r="D142" s="1"/>
      <c r="E142" s="9"/>
      <c r="F142" s="11"/>
      <c r="G142" s="5"/>
      <c r="H142" s="6"/>
      <c r="I142" s="32"/>
      <c r="J142" s="32"/>
      <c r="K142" s="6"/>
      <c r="L142" s="6"/>
      <c r="M142" s="6"/>
      <c r="N142" s="12"/>
      <c r="O142" s="12"/>
      <c r="P142" s="24"/>
      <c r="Q142" s="24"/>
      <c r="R142" s="24"/>
      <c r="S142" s="24"/>
      <c r="T142" s="14"/>
    </row>
    <row r="143" spans="2:20" ht="12.75" customHeight="1" x14ac:dyDescent="0.15">
      <c r="B143" s="10"/>
      <c r="C143" s="23"/>
      <c r="D143" s="23"/>
      <c r="E143" s="23"/>
      <c r="F143" s="66"/>
      <c r="G143" s="22"/>
      <c r="H143" s="22"/>
      <c r="I143" s="35"/>
      <c r="J143" s="35"/>
      <c r="K143" s="22"/>
      <c r="L143" s="22"/>
      <c r="M143" s="22"/>
      <c r="N143" s="12"/>
      <c r="O143" s="12"/>
      <c r="P143" s="13"/>
      <c r="Q143" s="13"/>
      <c r="R143" s="13"/>
      <c r="S143" s="13"/>
      <c r="T143" s="14"/>
    </row>
    <row r="144" spans="2:20" ht="12.75" customHeight="1" x14ac:dyDescent="0.15">
      <c r="B144" s="10"/>
      <c r="C144" s="1"/>
      <c r="D144" s="1"/>
      <c r="E144" s="9"/>
      <c r="F144" s="11"/>
      <c r="G144" s="5"/>
      <c r="H144" s="6"/>
      <c r="I144" s="32"/>
      <c r="J144" s="32"/>
      <c r="K144" s="6"/>
      <c r="L144" s="6"/>
      <c r="M144" s="6"/>
      <c r="N144" s="12"/>
      <c r="O144" s="12"/>
      <c r="P144" s="24"/>
      <c r="Q144" s="24"/>
      <c r="R144" s="24"/>
      <c r="S144" s="24"/>
      <c r="T144" s="14"/>
    </row>
    <row r="145" spans="2:20" ht="12.75" customHeight="1" x14ac:dyDescent="0.15">
      <c r="B145" s="10"/>
      <c r="C145" s="23"/>
      <c r="D145" s="23"/>
      <c r="E145" s="23"/>
      <c r="F145" s="66"/>
      <c r="G145" s="22"/>
      <c r="H145" s="22"/>
      <c r="I145" s="35"/>
      <c r="J145" s="35"/>
      <c r="K145" s="22"/>
      <c r="L145" s="22"/>
      <c r="M145" s="22"/>
      <c r="N145" s="12"/>
      <c r="O145" s="12"/>
      <c r="P145" s="13"/>
      <c r="Q145" s="13"/>
      <c r="R145" s="13"/>
      <c r="S145" s="13"/>
      <c r="T145" s="14"/>
    </row>
    <row r="146" spans="2:20" ht="12.75" customHeight="1" x14ac:dyDescent="0.15">
      <c r="B146" s="10"/>
      <c r="C146" s="1"/>
      <c r="D146" s="1"/>
      <c r="E146" s="9"/>
      <c r="F146" s="11"/>
      <c r="G146" s="5"/>
      <c r="H146" s="6"/>
      <c r="I146" s="32"/>
      <c r="J146" s="32"/>
      <c r="K146" s="6"/>
      <c r="L146" s="6"/>
      <c r="M146" s="6"/>
      <c r="N146" s="12"/>
      <c r="O146" s="12"/>
      <c r="P146" s="24"/>
      <c r="Q146" s="24"/>
      <c r="R146" s="24"/>
      <c r="S146" s="24"/>
      <c r="T146" s="14"/>
    </row>
    <row r="147" spans="2:20" ht="12.75" customHeight="1" x14ac:dyDescent="0.15">
      <c r="B147" s="10"/>
      <c r="C147" s="23"/>
      <c r="D147" s="23"/>
      <c r="E147" s="23"/>
      <c r="F147" s="66"/>
      <c r="G147" s="5"/>
      <c r="H147" s="22"/>
      <c r="I147" s="35"/>
      <c r="J147" s="35"/>
      <c r="K147" s="22"/>
      <c r="L147" s="22"/>
      <c r="M147" s="22"/>
      <c r="N147" s="12"/>
      <c r="O147" s="12"/>
      <c r="P147" s="13"/>
      <c r="Q147" s="13"/>
      <c r="R147" s="13"/>
      <c r="S147" s="13"/>
      <c r="T147" s="14"/>
    </row>
    <row r="148" spans="2:20" ht="12.75" customHeight="1" x14ac:dyDescent="0.15">
      <c r="B148" s="10"/>
      <c r="C148" s="1"/>
      <c r="D148" s="1"/>
      <c r="E148" s="9"/>
      <c r="F148" s="11"/>
      <c r="G148" s="5"/>
      <c r="H148" s="6"/>
      <c r="I148" s="32"/>
      <c r="J148" s="32"/>
      <c r="K148" s="6"/>
      <c r="L148" s="6"/>
      <c r="M148" s="6"/>
      <c r="N148" s="12"/>
      <c r="O148" s="12"/>
      <c r="P148" s="13"/>
      <c r="Q148" s="13"/>
      <c r="R148" s="13"/>
      <c r="S148" s="13"/>
      <c r="T148" s="14"/>
    </row>
    <row r="149" spans="2:20" ht="12.75" customHeight="1" x14ac:dyDescent="0.15">
      <c r="B149" s="10"/>
      <c r="C149" s="1"/>
      <c r="D149" s="1"/>
      <c r="E149" s="9"/>
      <c r="F149" s="11"/>
      <c r="G149" s="5"/>
      <c r="H149" s="6"/>
      <c r="I149" s="32"/>
      <c r="J149" s="32"/>
      <c r="K149" s="6"/>
      <c r="L149" s="6"/>
      <c r="M149" s="6"/>
      <c r="N149" s="12"/>
      <c r="O149" s="12"/>
      <c r="P149" s="24"/>
      <c r="Q149" s="24"/>
      <c r="R149" s="24"/>
      <c r="S149" s="24"/>
      <c r="T149" s="14"/>
    </row>
    <row r="150" spans="2:20" ht="12.75" customHeight="1" x14ac:dyDescent="0.15">
      <c r="B150" s="10"/>
      <c r="C150" s="23"/>
      <c r="D150" s="23"/>
      <c r="E150" s="23"/>
      <c r="F150" s="66"/>
      <c r="G150" s="22"/>
      <c r="H150" s="22"/>
      <c r="I150" s="35"/>
      <c r="J150" s="35"/>
      <c r="K150" s="22"/>
      <c r="L150" s="22"/>
      <c r="M150" s="22"/>
      <c r="N150" s="12"/>
      <c r="O150" s="12"/>
      <c r="P150" s="13"/>
      <c r="Q150" s="13"/>
      <c r="R150" s="13"/>
      <c r="S150" s="13"/>
      <c r="T150" s="14"/>
    </row>
    <row r="151" spans="2:20" ht="12.75" customHeight="1" x14ac:dyDescent="0.15">
      <c r="B151" s="10"/>
      <c r="C151" s="1"/>
      <c r="D151" s="1"/>
      <c r="E151" s="9"/>
      <c r="F151" s="11"/>
      <c r="G151" s="5"/>
      <c r="H151" s="6"/>
      <c r="I151" s="32"/>
      <c r="J151" s="32"/>
      <c r="K151" s="6"/>
      <c r="L151" s="6"/>
      <c r="M151" s="6"/>
      <c r="N151" s="12"/>
      <c r="O151" s="12"/>
      <c r="P151" s="24"/>
      <c r="Q151" s="24"/>
      <c r="R151" s="24"/>
      <c r="S151" s="24"/>
      <c r="T151" s="14"/>
    </row>
    <row r="152" spans="2:20" ht="12.75" customHeight="1" x14ac:dyDescent="0.15">
      <c r="B152" s="10"/>
      <c r="C152" s="23"/>
      <c r="D152" s="23"/>
      <c r="E152" s="23"/>
      <c r="F152" s="66"/>
      <c r="G152" s="5"/>
      <c r="H152" s="22"/>
      <c r="I152" s="35"/>
      <c r="J152" s="35"/>
      <c r="K152" s="22"/>
      <c r="L152" s="22"/>
      <c r="M152" s="22"/>
      <c r="N152" s="12"/>
      <c r="O152" s="12"/>
      <c r="P152" s="13"/>
      <c r="Q152" s="13"/>
      <c r="R152" s="13"/>
      <c r="S152" s="13"/>
      <c r="T152" s="14"/>
    </row>
    <row r="153" spans="2:20" ht="12.75" customHeight="1" x14ac:dyDescent="0.15">
      <c r="B153" s="10"/>
      <c r="C153" s="1"/>
      <c r="D153" s="1"/>
      <c r="E153" s="9"/>
      <c r="F153" s="11"/>
      <c r="G153" s="5"/>
      <c r="H153" s="6"/>
      <c r="I153" s="32"/>
      <c r="J153" s="32"/>
      <c r="K153" s="6"/>
      <c r="L153" s="6"/>
      <c r="M153" s="6"/>
      <c r="N153" s="12"/>
      <c r="O153" s="12"/>
      <c r="P153" s="24"/>
      <c r="Q153" s="24"/>
      <c r="R153" s="24"/>
      <c r="S153" s="24"/>
      <c r="T153" s="14"/>
    </row>
    <row r="154" spans="2:20" ht="12.75" customHeight="1" x14ac:dyDescent="0.15">
      <c r="B154" s="10"/>
      <c r="C154" s="23"/>
      <c r="D154" s="23"/>
      <c r="E154" s="23"/>
      <c r="F154" s="66"/>
      <c r="G154" s="5"/>
      <c r="H154" s="22"/>
      <c r="I154" s="35"/>
      <c r="J154" s="35"/>
      <c r="K154" s="22"/>
      <c r="L154" s="22"/>
      <c r="M154" s="22"/>
      <c r="N154" s="12"/>
      <c r="O154" s="12"/>
      <c r="P154" s="13"/>
      <c r="Q154" s="13"/>
      <c r="R154" s="13"/>
      <c r="S154" s="13"/>
      <c r="T154" s="14"/>
    </row>
    <row r="155" spans="2:20" ht="12.75" customHeight="1" x14ac:dyDescent="0.15">
      <c r="B155" s="10"/>
      <c r="C155" s="1"/>
      <c r="D155" s="1"/>
      <c r="E155" s="9"/>
      <c r="F155" s="11"/>
      <c r="G155" s="5"/>
      <c r="H155" s="6"/>
      <c r="I155" s="32"/>
      <c r="J155" s="32"/>
      <c r="K155" s="6"/>
      <c r="L155" s="6"/>
      <c r="M155" s="6"/>
      <c r="N155" s="12"/>
      <c r="O155" s="12"/>
      <c r="P155" s="13"/>
      <c r="Q155" s="13"/>
      <c r="R155" s="13"/>
      <c r="S155" s="13"/>
      <c r="T155" s="6"/>
    </row>
    <row r="156" spans="2:20" ht="12.75" customHeight="1" x14ac:dyDescent="0.15">
      <c r="B156" s="10"/>
      <c r="C156" s="1"/>
      <c r="D156" s="1"/>
      <c r="E156" s="9"/>
      <c r="F156" s="11"/>
      <c r="G156" s="5"/>
      <c r="H156" s="6"/>
      <c r="I156" s="32"/>
      <c r="J156" s="32"/>
      <c r="K156" s="6"/>
      <c r="L156" s="6"/>
      <c r="M156" s="6"/>
      <c r="N156" s="12"/>
      <c r="O156" s="12"/>
      <c r="P156" s="13"/>
      <c r="Q156" s="13"/>
      <c r="R156" s="13"/>
      <c r="S156" s="13"/>
      <c r="T156" s="14"/>
    </row>
    <row r="157" spans="2:20" ht="12.75" customHeight="1" x14ac:dyDescent="0.15">
      <c r="B157" s="10"/>
      <c r="C157" s="1"/>
      <c r="D157" s="1"/>
      <c r="E157" s="9"/>
      <c r="F157" s="11"/>
      <c r="G157" s="5"/>
      <c r="H157" s="6"/>
      <c r="I157" s="32"/>
      <c r="J157" s="32"/>
      <c r="K157" s="6"/>
      <c r="L157" s="6"/>
      <c r="M157" s="6"/>
      <c r="N157" s="12"/>
      <c r="O157" s="12"/>
      <c r="P157" s="24"/>
      <c r="Q157" s="24"/>
      <c r="R157" s="24"/>
      <c r="S157" s="24"/>
      <c r="T157" s="14"/>
    </row>
    <row r="158" spans="2:20" ht="12.75" customHeight="1" x14ac:dyDescent="0.15">
      <c r="B158" s="10"/>
      <c r="C158" s="23"/>
      <c r="D158" s="23"/>
      <c r="E158" s="23"/>
      <c r="F158" s="66"/>
      <c r="G158" s="5"/>
      <c r="H158" s="22"/>
      <c r="I158" s="35"/>
      <c r="J158" s="35"/>
      <c r="K158" s="22"/>
      <c r="L158" s="22"/>
      <c r="M158" s="22"/>
      <c r="N158" s="12"/>
      <c r="O158" s="12"/>
      <c r="P158" s="13"/>
      <c r="Q158" s="13"/>
      <c r="R158" s="13"/>
      <c r="S158" s="13"/>
      <c r="T158" s="14"/>
    </row>
    <row r="159" spans="2:20" ht="12.75" customHeight="1" x14ac:dyDescent="0.15">
      <c r="B159" s="10"/>
      <c r="C159" s="1"/>
      <c r="D159" s="1"/>
      <c r="E159" s="9"/>
      <c r="F159" s="11"/>
      <c r="G159" s="5"/>
      <c r="H159" s="6"/>
      <c r="I159" s="32"/>
      <c r="J159" s="32"/>
      <c r="K159" s="6"/>
      <c r="L159" s="6"/>
      <c r="M159" s="6"/>
      <c r="N159" s="12"/>
      <c r="O159" s="12"/>
      <c r="P159" s="13"/>
      <c r="Q159" s="13"/>
      <c r="R159" s="13"/>
      <c r="S159" s="13"/>
      <c r="T159" s="6"/>
    </row>
    <row r="160" spans="2:20" ht="12.75" customHeight="1" x14ac:dyDescent="0.15">
      <c r="B160" s="10"/>
      <c r="C160" s="1"/>
      <c r="D160" s="1"/>
      <c r="E160" s="9"/>
      <c r="F160" s="11"/>
      <c r="G160" s="5"/>
      <c r="H160" s="6"/>
      <c r="I160" s="32"/>
      <c r="J160" s="32"/>
      <c r="K160" s="6"/>
      <c r="L160" s="6"/>
      <c r="M160" s="6"/>
      <c r="N160" s="12"/>
      <c r="O160" s="12"/>
      <c r="P160" s="13"/>
      <c r="Q160" s="13"/>
      <c r="R160" s="13"/>
      <c r="S160" s="13"/>
      <c r="T160" s="14"/>
    </row>
    <row r="161" spans="2:20" ht="12.75" customHeight="1" x14ac:dyDescent="0.15">
      <c r="B161" s="10"/>
      <c r="C161" s="1"/>
      <c r="D161" s="1"/>
      <c r="E161" s="9"/>
      <c r="F161" s="11"/>
      <c r="G161" s="5"/>
      <c r="H161" s="6"/>
      <c r="I161" s="32"/>
      <c r="J161" s="32"/>
      <c r="K161" s="6"/>
      <c r="L161" s="6"/>
      <c r="M161" s="6"/>
      <c r="N161" s="12"/>
      <c r="O161" s="12"/>
      <c r="P161" s="13"/>
      <c r="Q161" s="13"/>
      <c r="R161" s="13"/>
      <c r="S161" s="13"/>
      <c r="T161" s="14"/>
    </row>
    <row r="162" spans="2:20" ht="12.75" customHeight="1" x14ac:dyDescent="0.15">
      <c r="B162" s="10"/>
      <c r="C162" s="1"/>
      <c r="D162" s="1"/>
      <c r="E162" s="9"/>
      <c r="F162" s="11"/>
      <c r="G162" s="5"/>
      <c r="H162" s="6"/>
      <c r="I162" s="32"/>
      <c r="J162" s="32"/>
      <c r="K162" s="6"/>
      <c r="L162" s="6"/>
      <c r="M162" s="6"/>
      <c r="N162" s="12"/>
      <c r="O162" s="12"/>
      <c r="P162" s="24"/>
      <c r="Q162" s="24"/>
      <c r="R162" s="24"/>
      <c r="S162" s="24"/>
      <c r="T162" s="14"/>
    </row>
    <row r="163" spans="2:20" ht="12.75" customHeight="1" x14ac:dyDescent="0.15">
      <c r="B163" s="10"/>
      <c r="C163" s="23"/>
      <c r="D163" s="23"/>
      <c r="E163" s="23"/>
      <c r="F163" s="66"/>
      <c r="G163" s="22"/>
      <c r="H163" s="22"/>
      <c r="I163" s="35"/>
      <c r="J163" s="35"/>
      <c r="K163" s="22"/>
      <c r="L163" s="22"/>
      <c r="M163" s="22"/>
      <c r="N163" s="12"/>
      <c r="O163" s="12"/>
      <c r="P163" s="13"/>
      <c r="Q163" s="13"/>
      <c r="R163" s="13"/>
      <c r="S163" s="13"/>
      <c r="T163" s="14"/>
    </row>
    <row r="164" spans="2:20" ht="12.75" customHeight="1" x14ac:dyDescent="0.15">
      <c r="B164" s="10"/>
      <c r="C164" s="23"/>
      <c r="D164" s="23"/>
      <c r="E164" s="23"/>
      <c r="F164" s="66"/>
      <c r="G164" s="22"/>
      <c r="H164" s="22"/>
      <c r="I164" s="35"/>
      <c r="J164" s="35"/>
      <c r="K164" s="22"/>
      <c r="L164" s="22"/>
      <c r="M164" s="22"/>
      <c r="N164" s="12"/>
      <c r="O164" s="12"/>
      <c r="P164" s="13"/>
      <c r="Q164" s="13"/>
      <c r="R164" s="13"/>
      <c r="S164" s="13"/>
      <c r="T164" s="14"/>
    </row>
    <row r="165" spans="2:20" ht="12.75" customHeight="1" x14ac:dyDescent="0.15">
      <c r="B165" s="10"/>
      <c r="C165" s="23"/>
      <c r="D165" s="23"/>
      <c r="E165" s="23"/>
      <c r="F165" s="66"/>
      <c r="G165" s="22"/>
      <c r="H165" s="22"/>
      <c r="I165" s="35"/>
      <c r="J165" s="35"/>
      <c r="K165" s="22"/>
      <c r="L165" s="22"/>
      <c r="M165" s="22"/>
      <c r="N165" s="12"/>
      <c r="O165" s="12"/>
      <c r="P165" s="13"/>
      <c r="Q165" s="13"/>
      <c r="R165" s="13"/>
      <c r="S165" s="13"/>
      <c r="T165" s="14"/>
    </row>
    <row r="166" spans="2:20" ht="12.75" customHeight="1" x14ac:dyDescent="0.15">
      <c r="B166" s="10"/>
      <c r="C166" s="23"/>
      <c r="D166" s="23"/>
      <c r="E166" s="23"/>
      <c r="F166" s="66"/>
      <c r="G166" s="22"/>
      <c r="H166" s="22"/>
      <c r="I166" s="35"/>
      <c r="J166" s="35"/>
      <c r="K166" s="22"/>
      <c r="L166" s="22"/>
      <c r="M166" s="22"/>
      <c r="N166" s="12"/>
      <c r="O166" s="12"/>
      <c r="P166" s="13"/>
      <c r="Q166" s="13"/>
      <c r="R166" s="13"/>
      <c r="S166" s="13"/>
      <c r="T166" s="14"/>
    </row>
    <row r="167" spans="2:20" ht="12.75" customHeight="1" x14ac:dyDescent="0.15">
      <c r="B167" s="10"/>
      <c r="C167" s="23"/>
      <c r="D167" s="23"/>
      <c r="E167" s="23"/>
      <c r="F167" s="66"/>
      <c r="G167" s="22"/>
      <c r="H167" s="22"/>
      <c r="I167" s="35"/>
      <c r="J167" s="35"/>
      <c r="K167" s="22"/>
      <c r="L167" s="22"/>
      <c r="M167" s="22"/>
      <c r="N167" s="12"/>
      <c r="O167" s="12"/>
      <c r="P167" s="13"/>
      <c r="Q167" s="13"/>
      <c r="R167" s="13"/>
      <c r="S167" s="13"/>
      <c r="T167" s="14"/>
    </row>
    <row r="168" spans="2:20" ht="12.75" customHeight="1" x14ac:dyDescent="0.15">
      <c r="B168" s="10"/>
      <c r="C168" s="23"/>
      <c r="D168" s="23"/>
      <c r="E168" s="23"/>
      <c r="F168" s="66"/>
      <c r="G168" s="22"/>
      <c r="H168" s="22"/>
      <c r="I168" s="35"/>
      <c r="J168" s="35"/>
      <c r="K168" s="22"/>
      <c r="L168" s="22"/>
      <c r="M168" s="22"/>
      <c r="N168" s="12"/>
      <c r="O168" s="12"/>
      <c r="P168" s="13"/>
      <c r="Q168" s="13"/>
      <c r="R168" s="13"/>
      <c r="S168" s="13"/>
      <c r="T168" s="14"/>
    </row>
    <row r="169" spans="2:20" ht="12.75" customHeight="1" x14ac:dyDescent="0.15">
      <c r="B169" s="10"/>
      <c r="C169" s="23"/>
      <c r="D169" s="23"/>
      <c r="E169" s="23"/>
      <c r="F169" s="66"/>
      <c r="G169" s="22"/>
      <c r="H169" s="22"/>
      <c r="I169" s="35"/>
      <c r="J169" s="35"/>
      <c r="K169" s="22"/>
      <c r="L169" s="22"/>
      <c r="M169" s="22"/>
      <c r="N169" s="12"/>
      <c r="O169" s="12"/>
      <c r="P169" s="13"/>
      <c r="Q169" s="13"/>
      <c r="R169" s="13"/>
      <c r="S169" s="13"/>
      <c r="T169" s="14"/>
    </row>
    <row r="170" spans="2:20" ht="12.75" customHeight="1" x14ac:dyDescent="0.15">
      <c r="B170" s="10"/>
      <c r="C170" s="1"/>
      <c r="D170" s="1"/>
      <c r="E170" s="9"/>
      <c r="F170" s="11"/>
      <c r="G170" s="5"/>
      <c r="H170" s="6"/>
      <c r="I170" s="32"/>
      <c r="J170" s="32"/>
      <c r="K170" s="6"/>
      <c r="L170" s="6"/>
      <c r="M170" s="6"/>
      <c r="N170" s="12"/>
      <c r="O170" s="12"/>
      <c r="P170" s="13"/>
      <c r="Q170" s="13"/>
      <c r="R170" s="13"/>
      <c r="S170" s="13"/>
      <c r="T170" s="14"/>
    </row>
    <row r="171" spans="2:20" ht="12.75" customHeight="1" x14ac:dyDescent="0.15">
      <c r="B171" s="10"/>
      <c r="C171" s="1"/>
      <c r="D171" s="1"/>
      <c r="E171" s="9"/>
      <c r="F171" s="11"/>
      <c r="G171" s="5"/>
      <c r="H171" s="6"/>
      <c r="I171" s="32"/>
      <c r="J171" s="32"/>
      <c r="K171" s="6"/>
      <c r="L171" s="6"/>
      <c r="M171" s="6"/>
      <c r="N171" s="12"/>
      <c r="O171" s="12"/>
      <c r="P171" s="24"/>
      <c r="Q171" s="24"/>
      <c r="R171" s="24"/>
      <c r="S171" s="24"/>
      <c r="T171" s="14"/>
    </row>
    <row r="172" spans="2:20" ht="12.75" customHeight="1" x14ac:dyDescent="0.15">
      <c r="B172" s="10"/>
      <c r="C172" s="23"/>
      <c r="D172" s="23"/>
      <c r="E172" s="23"/>
      <c r="F172" s="66"/>
      <c r="G172" s="22"/>
      <c r="H172" s="22"/>
      <c r="I172" s="35"/>
      <c r="J172" s="35"/>
      <c r="K172" s="22"/>
      <c r="L172" s="22"/>
      <c r="M172" s="22"/>
      <c r="N172" s="12"/>
      <c r="O172" s="12"/>
      <c r="P172" s="13"/>
      <c r="Q172" s="13"/>
      <c r="R172" s="13"/>
      <c r="S172" s="13"/>
      <c r="T172" s="14"/>
    </row>
    <row r="173" spans="2:20" ht="12.75" customHeight="1" x14ac:dyDescent="0.15">
      <c r="B173" s="10"/>
      <c r="C173" s="23"/>
      <c r="D173" s="23"/>
      <c r="E173" s="23"/>
      <c r="F173" s="66"/>
      <c r="G173" s="22"/>
      <c r="H173" s="22"/>
      <c r="I173" s="35"/>
      <c r="J173" s="35"/>
      <c r="K173" s="22"/>
      <c r="L173" s="22"/>
      <c r="M173" s="22"/>
      <c r="N173" s="12"/>
      <c r="O173" s="12"/>
      <c r="P173" s="13"/>
      <c r="Q173" s="13"/>
      <c r="R173" s="13"/>
      <c r="S173" s="13"/>
      <c r="T173" s="14"/>
    </row>
    <row r="174" spans="2:20" ht="12.75" customHeight="1" x14ac:dyDescent="0.15">
      <c r="B174" s="10"/>
      <c r="C174" s="1"/>
      <c r="D174" s="1"/>
      <c r="E174" s="9"/>
      <c r="F174" s="11"/>
      <c r="G174" s="5"/>
      <c r="H174" s="6"/>
      <c r="I174" s="32"/>
      <c r="J174" s="32"/>
      <c r="K174" s="6"/>
      <c r="L174" s="6"/>
      <c r="M174" s="6"/>
      <c r="N174" s="12"/>
      <c r="O174" s="12"/>
      <c r="P174" s="24"/>
      <c r="Q174" s="24"/>
      <c r="R174" s="24"/>
      <c r="S174" s="24"/>
      <c r="T174" s="14"/>
    </row>
    <row r="175" spans="2:20" ht="12.75" customHeight="1" x14ac:dyDescent="0.15">
      <c r="B175" s="10"/>
      <c r="C175" s="23"/>
      <c r="D175" s="23"/>
      <c r="E175" s="23"/>
      <c r="F175" s="66"/>
      <c r="G175" s="22"/>
      <c r="H175" s="22"/>
      <c r="I175" s="35"/>
      <c r="J175" s="35"/>
      <c r="K175" s="22"/>
      <c r="L175" s="22"/>
      <c r="M175" s="22"/>
      <c r="N175" s="12"/>
      <c r="O175" s="12"/>
      <c r="P175" s="13"/>
      <c r="Q175" s="13"/>
      <c r="R175" s="13"/>
      <c r="S175" s="13"/>
      <c r="T175" s="14"/>
    </row>
    <row r="176" spans="2:20" ht="12.75" customHeight="1" x14ac:dyDescent="0.15">
      <c r="B176" s="10"/>
      <c r="C176" s="1"/>
      <c r="D176" s="1"/>
      <c r="E176" s="9"/>
      <c r="F176" s="11"/>
      <c r="G176" s="5"/>
      <c r="H176" s="6"/>
      <c r="I176" s="32"/>
      <c r="J176" s="32"/>
      <c r="K176" s="6"/>
      <c r="L176" s="6"/>
      <c r="M176" s="6"/>
      <c r="N176" s="12"/>
      <c r="O176" s="12"/>
      <c r="P176" s="24"/>
      <c r="Q176" s="24"/>
      <c r="R176" s="24"/>
      <c r="S176" s="24"/>
      <c r="T176" s="14"/>
    </row>
    <row r="177" spans="2:22" ht="12.75" customHeight="1" x14ac:dyDescent="0.15">
      <c r="B177" s="10"/>
      <c r="C177" s="23"/>
      <c r="D177" s="23"/>
      <c r="E177" s="23"/>
      <c r="F177" s="66"/>
      <c r="G177" s="22"/>
      <c r="H177" s="22"/>
      <c r="I177" s="35"/>
      <c r="J177" s="35"/>
      <c r="K177" s="22"/>
      <c r="L177" s="22"/>
      <c r="M177" s="22"/>
      <c r="N177" s="12"/>
      <c r="O177" s="12"/>
      <c r="P177" s="13"/>
      <c r="Q177" s="13"/>
      <c r="R177" s="13"/>
      <c r="S177" s="13"/>
      <c r="T177" s="14"/>
    </row>
    <row r="178" spans="2:22" ht="12.75" customHeight="1" x14ac:dyDescent="0.15">
      <c r="B178" s="10"/>
      <c r="C178" s="1"/>
      <c r="D178" s="1"/>
      <c r="E178" s="9"/>
      <c r="F178" s="11"/>
      <c r="G178" s="22"/>
      <c r="H178" s="22"/>
      <c r="I178" s="35"/>
      <c r="J178" s="35"/>
      <c r="K178" s="22"/>
      <c r="L178" s="22"/>
      <c r="M178" s="22"/>
      <c r="N178" s="12"/>
      <c r="O178" s="12"/>
      <c r="P178" s="13"/>
      <c r="Q178" s="13"/>
      <c r="R178" s="13"/>
      <c r="S178" s="13"/>
      <c r="T178" s="14"/>
    </row>
    <row r="179" spans="2:22" ht="12.75" customHeight="1" x14ac:dyDescent="0.15">
      <c r="B179" s="10"/>
      <c r="C179" s="1"/>
      <c r="D179" s="1"/>
      <c r="E179" s="9"/>
      <c r="F179" s="11"/>
      <c r="G179" s="5"/>
      <c r="H179" s="6"/>
      <c r="I179" s="32"/>
      <c r="J179" s="32"/>
      <c r="K179" s="6"/>
      <c r="L179" s="6"/>
      <c r="M179" s="6"/>
      <c r="N179" s="12"/>
      <c r="O179" s="12"/>
      <c r="P179" s="13"/>
      <c r="Q179" s="13"/>
      <c r="R179" s="13"/>
      <c r="S179" s="13"/>
      <c r="T179" s="14"/>
    </row>
    <row r="180" spans="2:22" ht="12.75" customHeight="1" x14ac:dyDescent="0.15">
      <c r="B180" s="10"/>
      <c r="C180" s="1"/>
      <c r="D180" s="1"/>
      <c r="E180" s="9"/>
      <c r="F180" s="11"/>
      <c r="G180" s="5"/>
      <c r="H180" s="6"/>
      <c r="I180" s="32"/>
      <c r="J180" s="32"/>
      <c r="K180" s="6"/>
      <c r="L180" s="6"/>
      <c r="M180" s="6"/>
      <c r="N180" s="12"/>
      <c r="O180" s="12"/>
      <c r="P180" s="24"/>
      <c r="Q180" s="24"/>
      <c r="R180" s="24"/>
      <c r="S180" s="24"/>
      <c r="T180" s="14"/>
    </row>
    <row r="181" spans="2:22" ht="12.75" customHeight="1" x14ac:dyDescent="0.15">
      <c r="B181" s="10"/>
      <c r="C181" s="23"/>
      <c r="D181" s="23"/>
      <c r="E181" s="23"/>
      <c r="F181" s="66"/>
      <c r="G181" s="22"/>
      <c r="H181" s="22"/>
      <c r="I181" s="35"/>
      <c r="J181" s="35"/>
      <c r="K181" s="22"/>
      <c r="L181" s="22"/>
      <c r="M181" s="22"/>
      <c r="N181" s="12"/>
      <c r="O181" s="12"/>
      <c r="P181" s="13"/>
      <c r="Q181" s="13"/>
      <c r="R181" s="13"/>
      <c r="S181" s="13"/>
      <c r="T181" s="14"/>
    </row>
    <row r="182" spans="2:22" ht="12.75" customHeight="1" x14ac:dyDescent="0.15">
      <c r="B182" s="10"/>
      <c r="C182" s="1" t="s">
        <v>14</v>
      </c>
      <c r="D182" s="1"/>
      <c r="E182" s="9"/>
      <c r="F182" s="11"/>
      <c r="G182" s="2"/>
      <c r="H182" s="22"/>
      <c r="I182" s="35"/>
      <c r="J182" s="35"/>
      <c r="K182" s="6"/>
      <c r="L182" s="6"/>
      <c r="M182" s="6"/>
      <c r="N182" s="12"/>
      <c r="O182" s="12"/>
      <c r="P182" s="13"/>
      <c r="Q182" s="13"/>
      <c r="R182" s="13"/>
      <c r="S182" s="13"/>
      <c r="T182" s="14"/>
    </row>
    <row r="183" spans="2:22" ht="12.75" customHeight="1" outlineLevel="1" x14ac:dyDescent="0.15">
      <c r="B183" s="10"/>
      <c r="C183" s="1" t="s">
        <v>122</v>
      </c>
      <c r="D183" s="1"/>
      <c r="E183" s="9"/>
      <c r="F183" s="11"/>
      <c r="G183" s="2"/>
      <c r="H183" s="22"/>
      <c r="I183" s="35"/>
      <c r="J183" s="35"/>
      <c r="K183" s="6"/>
      <c r="L183" s="6"/>
      <c r="M183" s="6"/>
      <c r="N183" s="12"/>
      <c r="O183" s="12"/>
      <c r="P183" s="13"/>
      <c r="Q183" s="13"/>
      <c r="R183" s="13"/>
      <c r="S183" s="13"/>
      <c r="T183" s="14"/>
    </row>
    <row r="184" spans="2:22" ht="12.75" customHeight="1" outlineLevel="1" x14ac:dyDescent="0.15">
      <c r="B184" s="10"/>
      <c r="C184" s="1" t="s">
        <v>126</v>
      </c>
      <c r="D184" s="1"/>
      <c r="E184" s="9"/>
      <c r="F184" s="11"/>
      <c r="G184" s="2"/>
      <c r="H184" s="22"/>
      <c r="I184" s="35"/>
      <c r="J184" s="35"/>
      <c r="K184" s="6"/>
      <c r="L184" s="6"/>
      <c r="M184" s="6"/>
      <c r="N184" s="12"/>
      <c r="O184" s="12"/>
      <c r="P184" s="13"/>
      <c r="Q184" s="13"/>
      <c r="R184" s="13"/>
      <c r="S184" s="13"/>
      <c r="T184" s="14"/>
    </row>
    <row r="185" spans="2:22" ht="12.75" customHeight="1" outlineLevel="1" x14ac:dyDescent="0.15">
      <c r="B185" s="10"/>
      <c r="C185" s="1" t="s">
        <v>125</v>
      </c>
      <c r="D185" s="1"/>
      <c r="E185" s="9"/>
      <c r="F185" s="11"/>
      <c r="G185" s="2"/>
      <c r="H185" s="22"/>
      <c r="I185" s="35"/>
      <c r="J185" s="35"/>
      <c r="K185" s="6"/>
      <c r="L185" s="6"/>
      <c r="M185" s="6"/>
      <c r="N185" s="12"/>
      <c r="O185" s="12"/>
      <c r="P185" s="13"/>
      <c r="Q185" s="13"/>
      <c r="R185" s="13"/>
      <c r="S185" s="13"/>
      <c r="T185" s="14"/>
    </row>
    <row r="186" spans="2:22" ht="12.75" customHeight="1" outlineLevel="1" x14ac:dyDescent="0.15">
      <c r="B186" s="10"/>
      <c r="C186" s="1" t="s">
        <v>214</v>
      </c>
      <c r="D186" s="1"/>
      <c r="E186" s="9"/>
      <c r="F186" s="11"/>
      <c r="G186" s="2"/>
      <c r="H186" s="22"/>
      <c r="I186" s="35"/>
      <c r="J186" s="35"/>
      <c r="K186" s="6"/>
      <c r="L186" s="6"/>
      <c r="M186" s="6"/>
      <c r="N186" s="12"/>
      <c r="O186" s="12"/>
      <c r="P186" s="13"/>
      <c r="Q186" s="13"/>
      <c r="R186" s="13"/>
      <c r="S186" s="13"/>
      <c r="T186" s="14"/>
    </row>
    <row r="187" spans="2:22" ht="12.75" customHeight="1" outlineLevel="1" x14ac:dyDescent="0.15">
      <c r="B187" s="10"/>
      <c r="C187" s="1" t="s">
        <v>127</v>
      </c>
      <c r="D187" s="1"/>
      <c r="E187" s="9"/>
      <c r="F187" s="11"/>
      <c r="G187" s="2"/>
      <c r="H187" s="22"/>
      <c r="I187" s="35"/>
      <c r="J187" s="35"/>
      <c r="K187" s="6"/>
      <c r="L187" s="6"/>
      <c r="M187" s="6"/>
      <c r="N187" s="12"/>
      <c r="O187" s="12"/>
      <c r="P187" s="47"/>
      <c r="Q187" s="47"/>
      <c r="R187" s="47"/>
      <c r="S187" s="47"/>
      <c r="T187" s="69"/>
      <c r="U187" s="103"/>
      <c r="V187" s="104"/>
    </row>
    <row r="188" spans="2:22" ht="12.75" customHeight="1" outlineLevel="1" x14ac:dyDescent="0.15">
      <c r="B188" s="10"/>
      <c r="C188" s="1" t="s">
        <v>219</v>
      </c>
      <c r="D188" s="1"/>
      <c r="E188" s="9"/>
      <c r="F188" s="11"/>
      <c r="G188" s="2"/>
      <c r="H188" s="22"/>
      <c r="I188" s="35"/>
      <c r="J188" s="35"/>
      <c r="K188" s="6"/>
      <c r="L188" s="6"/>
      <c r="M188" s="6"/>
      <c r="N188" s="12"/>
      <c r="O188" s="12"/>
      <c r="P188" s="68"/>
      <c r="Q188" s="47"/>
      <c r="R188" s="47"/>
      <c r="S188" s="47"/>
      <c r="T188" s="69"/>
      <c r="U188" s="105"/>
      <c r="V188" s="106"/>
    </row>
    <row r="189" spans="2:22" ht="12.75" customHeight="1" outlineLevel="1" x14ac:dyDescent="0.15">
      <c r="B189" s="10"/>
      <c r="C189" s="1" t="s">
        <v>16</v>
      </c>
      <c r="D189" s="1"/>
      <c r="E189" s="9"/>
      <c r="F189" s="11"/>
      <c r="G189" s="2"/>
      <c r="H189" s="22"/>
      <c r="I189" s="35"/>
      <c r="J189" s="35"/>
      <c r="K189" s="6"/>
      <c r="L189" s="6"/>
      <c r="M189" s="6"/>
      <c r="N189" s="12"/>
      <c r="O189" s="12"/>
      <c r="P189" s="13"/>
      <c r="Q189" s="13"/>
      <c r="R189" s="13"/>
      <c r="S189" s="13"/>
      <c r="T189" s="48"/>
    </row>
    <row r="190" spans="2:22" ht="12.75" customHeight="1" outlineLevel="1" x14ac:dyDescent="0.15">
      <c r="B190" s="10"/>
      <c r="C190" s="1" t="s">
        <v>215</v>
      </c>
      <c r="D190" s="1"/>
      <c r="E190" s="9"/>
      <c r="F190" s="11"/>
      <c r="G190" s="2"/>
      <c r="H190" s="22"/>
      <c r="I190" s="35"/>
      <c r="J190" s="35"/>
      <c r="K190" s="6"/>
      <c r="L190" s="6"/>
      <c r="M190" s="6"/>
      <c r="N190" s="12"/>
      <c r="O190" s="12"/>
      <c r="P190" s="13"/>
      <c r="Q190" s="13"/>
      <c r="R190" s="13"/>
      <c r="S190" s="13"/>
      <c r="T190" s="48"/>
    </row>
    <row r="191" spans="2:22" ht="12.75" customHeight="1" x14ac:dyDescent="0.15">
      <c r="B191" s="10"/>
      <c r="C191" s="23" t="s">
        <v>17</v>
      </c>
      <c r="D191" s="23"/>
      <c r="E191" s="23"/>
      <c r="F191" s="66"/>
      <c r="G191" s="22"/>
      <c r="H191" s="22"/>
      <c r="I191" s="35"/>
      <c r="J191" s="35"/>
      <c r="K191" s="6"/>
      <c r="L191" s="6"/>
      <c r="M191" s="6"/>
      <c r="N191" s="12"/>
      <c r="O191" s="12"/>
      <c r="P191" s="13"/>
      <c r="Q191" s="13"/>
      <c r="R191" s="13"/>
      <c r="S191" s="13"/>
      <c r="T191" s="14"/>
    </row>
    <row r="192" spans="2:22" ht="12.75" customHeight="1" x14ac:dyDescent="0.15">
      <c r="B192" s="10"/>
      <c r="C192" s="1" t="s">
        <v>32</v>
      </c>
      <c r="D192" s="1"/>
      <c r="E192" s="9"/>
      <c r="F192" s="11"/>
      <c r="G192" s="5"/>
      <c r="H192" s="6"/>
      <c r="I192" s="32"/>
      <c r="J192" s="32"/>
      <c r="K192" s="6"/>
      <c r="L192" s="6"/>
      <c r="M192" s="6"/>
      <c r="N192" s="12"/>
      <c r="O192" s="12"/>
      <c r="P192" s="13"/>
      <c r="Q192" s="13"/>
      <c r="R192" s="13"/>
      <c r="S192" s="13"/>
      <c r="T192" s="13"/>
    </row>
    <row r="193" spans="2:22" ht="12.75" customHeight="1" outlineLevel="1" x14ac:dyDescent="0.15">
      <c r="B193" s="10"/>
      <c r="C193" s="23" t="s">
        <v>216</v>
      </c>
      <c r="D193" s="23"/>
      <c r="E193" s="23"/>
      <c r="F193" s="66"/>
      <c r="G193" s="22"/>
      <c r="H193" s="22"/>
      <c r="I193" s="35"/>
      <c r="J193" s="35"/>
      <c r="K193" s="6"/>
      <c r="L193" s="6"/>
      <c r="M193" s="6"/>
      <c r="N193" s="12"/>
      <c r="O193" s="12"/>
      <c r="P193" s="55"/>
      <c r="Q193" s="55"/>
      <c r="R193" s="55"/>
      <c r="S193" s="55"/>
      <c r="T193" s="14"/>
    </row>
    <row r="194" spans="2:22" ht="12.75" customHeight="1" outlineLevel="1" x14ac:dyDescent="0.15">
      <c r="B194" s="10"/>
      <c r="C194" s="23" t="s">
        <v>128</v>
      </c>
      <c r="D194" s="23"/>
      <c r="E194" s="23"/>
      <c r="F194" s="66"/>
      <c r="G194" s="22"/>
      <c r="H194" s="22"/>
      <c r="I194" s="35"/>
      <c r="J194" s="35"/>
      <c r="K194" s="6"/>
      <c r="L194" s="6"/>
      <c r="M194" s="6"/>
      <c r="N194" s="12"/>
      <c r="O194" s="12"/>
      <c r="P194" s="47"/>
      <c r="Q194" s="47"/>
      <c r="R194" s="47"/>
      <c r="S194" s="47"/>
      <c r="T194" s="69"/>
      <c r="U194" s="103"/>
      <c r="V194" s="104"/>
    </row>
    <row r="195" spans="2:22" ht="12.75" customHeight="1" outlineLevel="1" x14ac:dyDescent="0.15">
      <c r="B195" s="10"/>
      <c r="C195" s="23" t="s">
        <v>220</v>
      </c>
      <c r="D195" s="23"/>
      <c r="E195" s="23"/>
      <c r="F195" s="66"/>
      <c r="G195" s="22"/>
      <c r="H195" s="22"/>
      <c r="I195" s="35"/>
      <c r="J195" s="35"/>
      <c r="K195" s="6"/>
      <c r="L195" s="6"/>
      <c r="M195" s="6"/>
      <c r="N195" s="12"/>
      <c r="O195" s="12"/>
      <c r="P195" s="47"/>
      <c r="Q195" s="47"/>
      <c r="R195" s="47"/>
      <c r="S195" s="47"/>
      <c r="T195" s="69"/>
      <c r="U195" s="105"/>
      <c r="V195" s="106"/>
    </row>
    <row r="196" spans="2:22" ht="12.75" customHeight="1" x14ac:dyDescent="0.15">
      <c r="B196" s="10"/>
      <c r="C196" s="23" t="s">
        <v>18</v>
      </c>
      <c r="D196" s="23"/>
      <c r="E196" s="23"/>
      <c r="F196" s="66"/>
      <c r="G196" s="22"/>
      <c r="H196" s="22"/>
      <c r="I196" s="35"/>
      <c r="J196" s="35"/>
      <c r="K196" s="6"/>
      <c r="L196" s="6"/>
      <c r="M196" s="6"/>
      <c r="N196" s="12"/>
      <c r="O196" s="12"/>
      <c r="P196" s="13"/>
      <c r="Q196" s="13"/>
      <c r="R196" s="13"/>
      <c r="S196" s="13"/>
      <c r="T196" s="49"/>
    </row>
    <row r="197" spans="2:22" ht="12.75" customHeight="1" x14ac:dyDescent="0.15">
      <c r="B197" s="10"/>
      <c r="C197" s="23" t="s">
        <v>19</v>
      </c>
      <c r="D197" s="23"/>
      <c r="E197" s="23"/>
      <c r="F197" s="66"/>
      <c r="G197" s="22"/>
      <c r="H197" s="22"/>
      <c r="I197" s="35"/>
      <c r="J197" s="35"/>
      <c r="K197" s="6"/>
      <c r="L197" s="6"/>
      <c r="M197" s="6"/>
      <c r="N197" s="12"/>
      <c r="O197" s="12"/>
      <c r="P197" s="13"/>
      <c r="Q197" s="13"/>
      <c r="R197" s="13"/>
      <c r="S197" s="13"/>
      <c r="T197" s="50"/>
    </row>
    <row r="198" spans="2:22" ht="12.75" customHeight="1" outlineLevel="1" x14ac:dyDescent="0.15">
      <c r="B198" s="10"/>
      <c r="C198" s="23" t="s">
        <v>217</v>
      </c>
      <c r="D198" s="23"/>
      <c r="E198" s="23"/>
      <c r="F198" s="66"/>
      <c r="G198" s="22"/>
      <c r="H198" s="22"/>
      <c r="I198" s="35"/>
      <c r="J198" s="35"/>
      <c r="K198" s="6"/>
      <c r="L198" s="6"/>
      <c r="M198" s="6"/>
      <c r="N198" s="12"/>
      <c r="O198" s="12"/>
      <c r="P198" s="55"/>
      <c r="Q198" s="55"/>
      <c r="R198" s="55"/>
      <c r="S198" s="55"/>
      <c r="T198" s="49"/>
      <c r="V198" s="53"/>
    </row>
    <row r="199" spans="2:22" ht="12.75" customHeight="1" outlineLevel="1" x14ac:dyDescent="0.15">
      <c r="B199" s="10"/>
      <c r="C199" s="23" t="s">
        <v>129</v>
      </c>
      <c r="D199" s="23"/>
      <c r="E199" s="23"/>
      <c r="F199" s="66"/>
      <c r="G199" s="22"/>
      <c r="H199" s="22"/>
      <c r="I199" s="35"/>
      <c r="J199" s="35"/>
      <c r="K199" s="6"/>
      <c r="L199" s="6"/>
      <c r="M199" s="6"/>
      <c r="N199" s="12"/>
      <c r="O199" s="12"/>
      <c r="P199" s="47"/>
      <c r="Q199" s="47"/>
      <c r="R199" s="47"/>
      <c r="S199" s="47"/>
      <c r="T199" s="69"/>
      <c r="V199" s="53"/>
    </row>
    <row r="200" spans="2:22" ht="12.75" customHeight="1" outlineLevel="1" x14ac:dyDescent="0.15">
      <c r="B200" s="10"/>
      <c r="C200" s="23" t="s">
        <v>218</v>
      </c>
      <c r="D200" s="23"/>
      <c r="E200" s="23"/>
      <c r="F200" s="66"/>
      <c r="G200" s="22"/>
      <c r="H200" s="22"/>
      <c r="I200" s="35"/>
      <c r="J200" s="35"/>
      <c r="K200" s="6"/>
      <c r="L200" s="6"/>
      <c r="M200" s="6"/>
      <c r="N200" s="12"/>
      <c r="O200" s="12"/>
      <c r="P200" s="55"/>
      <c r="Q200" s="55"/>
      <c r="R200" s="55"/>
      <c r="S200" s="55"/>
      <c r="T200" s="49"/>
      <c r="V200" s="53"/>
    </row>
    <row r="201" spans="2:22" ht="12.75" customHeight="1" x14ac:dyDescent="0.15">
      <c r="B201" s="10"/>
      <c r="C201" s="23" t="s">
        <v>130</v>
      </c>
      <c r="D201" s="23"/>
      <c r="E201" s="23"/>
      <c r="F201" s="66"/>
      <c r="G201" s="22"/>
      <c r="H201" s="22"/>
      <c r="I201" s="35"/>
      <c r="J201" s="35"/>
      <c r="K201" s="6"/>
      <c r="L201" s="6"/>
      <c r="M201" s="6"/>
      <c r="N201" s="12"/>
      <c r="O201" s="12"/>
      <c r="P201" s="13"/>
      <c r="Q201" s="13"/>
      <c r="R201" s="13"/>
      <c r="S201" s="13"/>
      <c r="T201" s="14"/>
    </row>
    <row r="202" spans="2:22" ht="12.75" customHeight="1" x14ac:dyDescent="0.15">
      <c r="B202" s="10"/>
      <c r="C202" s="23" t="s">
        <v>20</v>
      </c>
      <c r="D202" s="23"/>
      <c r="E202" s="23"/>
      <c r="F202" s="66"/>
      <c r="G202" s="22"/>
      <c r="H202" s="22"/>
      <c r="I202" s="35"/>
      <c r="J202" s="35"/>
      <c r="K202" s="6"/>
      <c r="L202" s="6"/>
      <c r="M202" s="6"/>
      <c r="N202" s="12"/>
      <c r="O202" s="12"/>
      <c r="P202" s="13"/>
      <c r="Q202" s="13"/>
      <c r="R202" s="13"/>
      <c r="S202" s="13"/>
      <c r="T202" s="14"/>
    </row>
    <row r="203" spans="2:22" ht="12.75" customHeight="1" x14ac:dyDescent="0.15">
      <c r="B203" s="10"/>
      <c r="C203" s="23"/>
      <c r="D203" s="23"/>
      <c r="E203" s="23"/>
      <c r="F203" s="66"/>
      <c r="G203" s="22" t="s">
        <v>20</v>
      </c>
      <c r="H203" s="22"/>
      <c r="I203" s="35"/>
      <c r="J203" s="35"/>
      <c r="K203" s="51"/>
      <c r="L203" s="51"/>
      <c r="M203" s="51"/>
      <c r="N203" s="12"/>
      <c r="O203" s="12"/>
      <c r="P203" s="13"/>
      <c r="Q203" s="13"/>
      <c r="R203" s="13"/>
      <c r="S203" s="13"/>
      <c r="T203" s="14"/>
    </row>
    <row r="204" spans="2:22" ht="12.75" customHeight="1" x14ac:dyDescent="0.15">
      <c r="B204" s="10"/>
      <c r="C204" s="23" t="s">
        <v>22</v>
      </c>
      <c r="D204" s="23"/>
      <c r="E204" s="23"/>
      <c r="F204" s="66"/>
      <c r="G204" s="22"/>
      <c r="H204" s="22"/>
      <c r="I204" s="35"/>
      <c r="J204" s="35"/>
      <c r="K204" s="22"/>
      <c r="L204" s="22"/>
      <c r="M204" s="22"/>
      <c r="N204" s="12"/>
      <c r="O204" s="12"/>
      <c r="P204" s="13"/>
      <c r="Q204" s="13"/>
      <c r="R204" s="13"/>
      <c r="S204" s="13"/>
      <c r="T204" s="14"/>
    </row>
    <row r="205" spans="2:22" ht="12.75" customHeight="1" x14ac:dyDescent="0.15">
      <c r="B205" s="10"/>
      <c r="C205" s="23" t="s">
        <v>23</v>
      </c>
      <c r="D205" s="23"/>
      <c r="E205" s="23"/>
      <c r="F205" s="66"/>
      <c r="G205" s="22"/>
      <c r="H205" s="22"/>
      <c r="I205" s="35"/>
      <c r="J205" s="35"/>
      <c r="K205" s="22"/>
      <c r="L205" s="22"/>
      <c r="M205" s="22"/>
      <c r="N205" s="12"/>
      <c r="O205" s="12"/>
      <c r="P205" s="13"/>
      <c r="Q205" s="13"/>
      <c r="R205" s="13"/>
      <c r="S205" s="13"/>
      <c r="T205" s="14"/>
    </row>
    <row r="206" spans="2:22" ht="12.75" customHeight="1" x14ac:dyDescent="0.15">
      <c r="B206" s="10"/>
      <c r="C206" s="23" t="s">
        <v>24</v>
      </c>
      <c r="D206" s="23"/>
      <c r="E206" s="23"/>
      <c r="F206" s="66"/>
      <c r="G206" s="22"/>
      <c r="H206" s="22"/>
      <c r="I206" s="35"/>
      <c r="J206" s="35"/>
      <c r="K206" s="22"/>
      <c r="L206" s="22"/>
      <c r="M206" s="22"/>
      <c r="N206" s="12"/>
      <c r="O206" s="12"/>
      <c r="P206" s="13"/>
      <c r="Q206" s="13"/>
      <c r="R206" s="13"/>
      <c r="S206" s="13"/>
      <c r="T206" s="14"/>
    </row>
    <row r="207" spans="2:22" ht="12.75" customHeight="1" x14ac:dyDescent="0.15">
      <c r="B207" s="10"/>
      <c r="C207" s="1"/>
      <c r="D207" s="1"/>
      <c r="E207" s="9"/>
      <c r="F207" s="11"/>
      <c r="G207" s="5"/>
      <c r="H207" s="6"/>
      <c r="I207" s="32"/>
      <c r="J207" s="32"/>
      <c r="K207" s="6"/>
      <c r="L207" s="6"/>
      <c r="M207" s="6"/>
      <c r="N207" s="12"/>
      <c r="O207" s="12"/>
      <c r="P207" s="13"/>
      <c r="Q207" s="13"/>
      <c r="R207" s="13"/>
      <c r="S207" s="13"/>
      <c r="T207" s="13"/>
    </row>
    <row r="208" spans="2:22" ht="12.75" customHeight="1" x14ac:dyDescent="0.15">
      <c r="B208" s="10"/>
      <c r="C208" s="1"/>
      <c r="D208" s="1"/>
      <c r="E208" s="9"/>
      <c r="F208" s="11"/>
      <c r="G208" s="5"/>
      <c r="H208" s="6"/>
      <c r="I208" s="32"/>
      <c r="J208" s="32"/>
      <c r="K208" s="6"/>
      <c r="L208" s="6"/>
      <c r="M208" s="6"/>
      <c r="N208" s="12"/>
      <c r="O208" s="12"/>
      <c r="P208" s="13"/>
      <c r="Q208" s="13"/>
      <c r="R208" s="13"/>
      <c r="S208" s="13"/>
      <c r="T208" s="13"/>
    </row>
    <row r="210" spans="2:20" ht="12.75" customHeight="1" x14ac:dyDescent="0.15">
      <c r="B210" s="15"/>
      <c r="C210" s="56"/>
      <c r="D210" s="56"/>
      <c r="E210" s="57"/>
      <c r="F210" s="57"/>
      <c r="G210" s="58"/>
      <c r="H210" s="59"/>
      <c r="I210" s="64"/>
      <c r="J210" s="65"/>
      <c r="K210" s="59"/>
      <c r="L210" s="59"/>
      <c r="M210" s="59"/>
      <c r="N210" s="61"/>
      <c r="O210" s="62"/>
      <c r="P210" s="61"/>
      <c r="Q210" s="61"/>
      <c r="R210" s="61"/>
      <c r="S210" s="61"/>
      <c r="T210" s="61"/>
    </row>
    <row r="211" spans="2:20" ht="12.75" customHeight="1" x14ac:dyDescent="0.15">
      <c r="B211" s="15"/>
      <c r="C211" s="56"/>
      <c r="D211" s="56"/>
      <c r="E211" s="57"/>
      <c r="F211" s="57"/>
      <c r="G211" s="58"/>
      <c r="H211" s="59"/>
      <c r="I211" s="60"/>
      <c r="J211" s="60"/>
      <c r="K211" s="59"/>
      <c r="L211" s="59"/>
      <c r="M211" s="59"/>
      <c r="N211" s="61"/>
      <c r="O211" s="62"/>
      <c r="P211" s="61"/>
      <c r="Q211" s="61"/>
      <c r="R211" s="61"/>
      <c r="S211" s="61"/>
      <c r="T211" s="61"/>
    </row>
    <row r="212" spans="2:20" ht="12.75" customHeight="1" x14ac:dyDescent="0.15">
      <c r="B212" s="15"/>
      <c r="C212" s="56"/>
      <c r="D212" s="56"/>
      <c r="E212" s="57"/>
      <c r="F212" s="57"/>
      <c r="G212" s="58"/>
      <c r="H212" s="59"/>
      <c r="I212" s="62"/>
      <c r="J212" s="62"/>
      <c r="K212" s="59"/>
      <c r="L212" s="59"/>
      <c r="M212" s="59"/>
      <c r="N212" s="60"/>
      <c r="O212" s="60"/>
      <c r="P212" s="63"/>
      <c r="Q212" s="63"/>
      <c r="R212" s="63"/>
      <c r="S212" s="63"/>
      <c r="T212" s="59"/>
    </row>
    <row r="213" spans="2:20" ht="12.75" customHeight="1" x14ac:dyDescent="0.15">
      <c r="B213" s="15"/>
      <c r="C213" s="56"/>
      <c r="D213" s="15"/>
      <c r="E213" s="15"/>
      <c r="F213" s="15"/>
      <c r="G213" s="58"/>
      <c r="H213" s="18"/>
      <c r="I213" s="33"/>
      <c r="J213" s="33"/>
      <c r="K213" s="18"/>
      <c r="L213" s="18"/>
      <c r="M213" s="18"/>
      <c r="N213" s="60"/>
      <c r="O213" s="60"/>
      <c r="P213" s="63"/>
      <c r="Q213" s="63"/>
      <c r="R213" s="63"/>
      <c r="S213" s="63"/>
      <c r="T213" s="19"/>
    </row>
    <row r="214" spans="2:20" ht="12.75" customHeight="1" x14ac:dyDescent="0.15">
      <c r="B214" s="15"/>
      <c r="C214" s="56"/>
      <c r="D214" s="56"/>
      <c r="E214" s="57"/>
      <c r="F214" s="57"/>
      <c r="G214" s="58"/>
      <c r="H214" s="59"/>
      <c r="I214" s="62"/>
      <c r="J214" s="62"/>
      <c r="K214" s="59"/>
      <c r="L214" s="59"/>
      <c r="M214" s="59"/>
      <c r="N214" s="60"/>
      <c r="O214" s="60"/>
      <c r="P214" s="63"/>
      <c r="Q214" s="63"/>
      <c r="R214" s="63"/>
      <c r="S214" s="63"/>
      <c r="T214" s="19"/>
    </row>
    <row r="215" spans="2:20" ht="12.75" customHeight="1" x14ac:dyDescent="0.15">
      <c r="B215" s="15"/>
      <c r="C215" s="56"/>
      <c r="D215" s="56"/>
      <c r="E215" s="57"/>
      <c r="F215" s="57"/>
      <c r="G215" s="58"/>
      <c r="H215" s="59"/>
      <c r="I215" s="62"/>
      <c r="J215" s="62"/>
      <c r="K215" s="59"/>
      <c r="L215" s="59"/>
      <c r="M215" s="59"/>
      <c r="N215" s="60"/>
      <c r="O215" s="60"/>
      <c r="P215" s="63"/>
      <c r="Q215" s="63"/>
      <c r="R215" s="63"/>
      <c r="S215" s="63"/>
      <c r="T215" s="59"/>
    </row>
    <row r="216" spans="2:20" ht="12.75" customHeight="1" x14ac:dyDescent="0.15">
      <c r="B216" s="15"/>
      <c r="C216" s="56"/>
      <c r="D216" s="56"/>
      <c r="E216" s="57"/>
      <c r="F216" s="57"/>
      <c r="G216" s="58"/>
      <c r="H216" s="59"/>
      <c r="I216" s="62"/>
      <c r="J216" s="62"/>
      <c r="K216" s="59"/>
      <c r="L216" s="59"/>
      <c r="M216" s="59"/>
      <c r="N216" s="60"/>
      <c r="O216" s="60"/>
      <c r="P216" s="61"/>
      <c r="Q216" s="61"/>
      <c r="R216" s="61"/>
      <c r="S216" s="61"/>
      <c r="T216" s="19"/>
    </row>
    <row r="217" spans="2:20" ht="12.75" customHeight="1" x14ac:dyDescent="0.15">
      <c r="B217" s="15"/>
      <c r="C217" s="15"/>
      <c r="D217" s="15"/>
      <c r="E217" s="15"/>
      <c r="F217" s="15"/>
      <c r="G217" s="18"/>
      <c r="H217" s="18"/>
      <c r="I217" s="33"/>
      <c r="J217" s="33"/>
      <c r="K217" s="18"/>
      <c r="L217" s="18"/>
      <c r="M217" s="18"/>
      <c r="N217" s="60"/>
      <c r="O217" s="60"/>
      <c r="P217" s="63"/>
      <c r="Q217" s="63"/>
      <c r="R217" s="63"/>
      <c r="S217" s="63"/>
      <c r="T217" s="19"/>
    </row>
    <row r="218" spans="2:20" ht="12.75" customHeight="1" x14ac:dyDescent="0.15">
      <c r="B218" s="15"/>
      <c r="C218" s="56"/>
      <c r="D218" s="56"/>
      <c r="E218" s="57"/>
      <c r="F218" s="57"/>
      <c r="G218" s="58"/>
      <c r="H218" s="59"/>
      <c r="I218" s="60"/>
      <c r="J218" s="60"/>
      <c r="K218" s="59"/>
      <c r="L218" s="59"/>
      <c r="M218" s="59"/>
      <c r="N218" s="61"/>
      <c r="O218" s="62"/>
      <c r="P218" s="61"/>
      <c r="Q218" s="61"/>
      <c r="R218" s="61"/>
      <c r="S218" s="61"/>
      <c r="T218" s="61"/>
    </row>
    <row r="219" spans="2:20" ht="12.75" customHeight="1" x14ac:dyDescent="0.15">
      <c r="B219" s="15"/>
      <c r="C219" s="56"/>
      <c r="D219" s="56"/>
      <c r="E219" s="57"/>
      <c r="F219" s="57"/>
      <c r="G219" s="58"/>
      <c r="H219" s="59"/>
      <c r="I219" s="60"/>
      <c r="J219" s="60"/>
      <c r="K219" s="59"/>
      <c r="L219" s="59"/>
      <c r="M219" s="59"/>
      <c r="N219" s="61"/>
      <c r="O219" s="62"/>
      <c r="P219" s="61"/>
      <c r="Q219" s="61"/>
      <c r="R219" s="61"/>
      <c r="S219" s="61"/>
      <c r="T219" s="61"/>
    </row>
    <row r="220" spans="2:20" ht="12.75" customHeight="1" x14ac:dyDescent="0.15">
      <c r="B220" s="15"/>
      <c r="C220" s="56"/>
      <c r="D220" s="56"/>
      <c r="E220" s="57"/>
      <c r="F220" s="57"/>
      <c r="G220" s="58"/>
      <c r="H220" s="59"/>
      <c r="I220" s="62"/>
      <c r="J220" s="62"/>
      <c r="K220" s="59"/>
      <c r="L220" s="59"/>
      <c r="M220" s="59"/>
      <c r="N220" s="60"/>
      <c r="O220" s="60"/>
      <c r="P220" s="63"/>
      <c r="Q220" s="63"/>
      <c r="R220" s="63"/>
      <c r="S220" s="63"/>
      <c r="T220" s="59"/>
    </row>
    <row r="221" spans="2:20" ht="12.75" customHeight="1" x14ac:dyDescent="0.15">
      <c r="B221" s="15"/>
      <c r="C221" s="56"/>
      <c r="D221" s="15"/>
      <c r="E221" s="15"/>
      <c r="F221" s="15"/>
      <c r="G221" s="58"/>
      <c r="H221" s="18"/>
      <c r="I221" s="33"/>
      <c r="J221" s="33"/>
      <c r="K221" s="18"/>
      <c r="L221" s="18"/>
      <c r="M221" s="18"/>
      <c r="N221" s="60"/>
      <c r="O221" s="60"/>
      <c r="P221" s="63"/>
      <c r="Q221" s="63"/>
      <c r="R221" s="63"/>
      <c r="S221" s="63"/>
      <c r="T221" s="19"/>
    </row>
    <row r="222" spans="2:20" ht="12.75" customHeight="1" x14ac:dyDescent="0.15">
      <c r="B222" s="15"/>
      <c r="C222" s="56"/>
      <c r="D222" s="56"/>
      <c r="E222" s="57"/>
      <c r="F222" s="57"/>
      <c r="G222" s="58"/>
      <c r="H222" s="59"/>
      <c r="I222" s="62"/>
      <c r="J222" s="62"/>
      <c r="K222" s="59"/>
      <c r="L222" s="59"/>
      <c r="M222" s="59"/>
      <c r="N222" s="60"/>
      <c r="O222" s="60"/>
      <c r="P222" s="63"/>
      <c r="Q222" s="63"/>
      <c r="R222" s="63"/>
      <c r="S222" s="63"/>
      <c r="T222" s="19"/>
    </row>
    <row r="223" spans="2:20" ht="12.75" customHeight="1" x14ac:dyDescent="0.15">
      <c r="B223" s="15"/>
      <c r="C223" s="56"/>
      <c r="D223" s="56"/>
      <c r="E223" s="57"/>
      <c r="F223" s="57"/>
      <c r="G223" s="58"/>
      <c r="H223" s="59"/>
      <c r="I223" s="62"/>
      <c r="J223" s="62"/>
      <c r="K223" s="59"/>
      <c r="L223" s="59"/>
      <c r="M223" s="59"/>
      <c r="N223" s="60"/>
      <c r="O223" s="60"/>
      <c r="P223" s="63"/>
      <c r="Q223" s="63"/>
      <c r="R223" s="63"/>
      <c r="S223" s="63"/>
      <c r="T223" s="59"/>
    </row>
    <row r="224" spans="2:20" ht="12.75" customHeight="1" x14ac:dyDescent="0.15">
      <c r="B224" s="15"/>
      <c r="C224" s="56"/>
      <c r="D224" s="56"/>
      <c r="E224" s="57"/>
      <c r="F224" s="57"/>
      <c r="G224" s="58"/>
      <c r="H224" s="59"/>
      <c r="I224" s="62"/>
      <c r="J224" s="62"/>
      <c r="K224" s="59"/>
      <c r="L224" s="59"/>
      <c r="M224" s="59"/>
      <c r="N224" s="60"/>
      <c r="O224" s="60"/>
      <c r="P224" s="63"/>
      <c r="Q224" s="63"/>
      <c r="R224" s="63"/>
      <c r="S224" s="63"/>
      <c r="T224" s="59"/>
    </row>
    <row r="225" spans="2:20" ht="12.75" customHeight="1" x14ac:dyDescent="0.15">
      <c r="B225" s="15"/>
      <c r="C225" s="56"/>
      <c r="D225" s="56"/>
      <c r="E225" s="57"/>
      <c r="F225" s="57"/>
      <c r="G225" s="58"/>
      <c r="H225" s="59"/>
      <c r="I225" s="62"/>
      <c r="J225" s="62"/>
      <c r="K225" s="59"/>
      <c r="L225" s="59"/>
      <c r="M225" s="59"/>
      <c r="N225" s="60"/>
      <c r="O225" s="60"/>
      <c r="P225" s="61"/>
      <c r="Q225" s="61"/>
      <c r="R225" s="61"/>
      <c r="S225" s="61"/>
      <c r="T225" s="19"/>
    </row>
    <row r="226" spans="2:20" ht="12.75" customHeight="1" x14ac:dyDescent="0.15">
      <c r="B226" s="15"/>
      <c r="C226" s="15"/>
      <c r="D226" s="15"/>
      <c r="E226" s="15"/>
      <c r="F226" s="15"/>
      <c r="G226" s="18"/>
      <c r="H226" s="18"/>
      <c r="I226" s="33"/>
      <c r="J226" s="33"/>
      <c r="K226" s="18"/>
      <c r="L226" s="18"/>
      <c r="M226" s="18"/>
      <c r="N226" s="60"/>
      <c r="O226" s="60"/>
      <c r="P226" s="63"/>
      <c r="Q226" s="63"/>
      <c r="R226" s="63"/>
      <c r="S226" s="63"/>
      <c r="T226" s="19"/>
    </row>
    <row r="227" spans="2:20" ht="12.75" customHeight="1" x14ac:dyDescent="0.15">
      <c r="B227" s="15"/>
      <c r="C227" s="56"/>
      <c r="D227" s="56"/>
      <c r="E227" s="57"/>
      <c r="F227" s="57"/>
      <c r="G227" s="58"/>
      <c r="H227" s="59"/>
      <c r="I227" s="60"/>
      <c r="J227" s="60"/>
      <c r="K227" s="59"/>
      <c r="L227" s="59"/>
      <c r="M227" s="59"/>
      <c r="N227" s="61"/>
      <c r="O227" s="62"/>
      <c r="P227" s="61"/>
      <c r="Q227" s="61"/>
      <c r="R227" s="61"/>
      <c r="S227" s="61"/>
      <c r="T227" s="61"/>
    </row>
    <row r="228" spans="2:20" ht="12.75" customHeight="1" x14ac:dyDescent="0.15">
      <c r="B228" s="15"/>
      <c r="C228" s="56"/>
      <c r="D228" s="56"/>
      <c r="E228" s="57"/>
      <c r="F228" s="57"/>
      <c r="G228" s="58"/>
      <c r="H228" s="59"/>
      <c r="I228" s="62"/>
      <c r="J228" s="62"/>
      <c r="K228" s="59"/>
      <c r="L228" s="59"/>
      <c r="M228" s="59"/>
      <c r="N228" s="60"/>
      <c r="O228" s="60"/>
      <c r="P228" s="63"/>
      <c r="Q228" s="63"/>
      <c r="R228" s="63"/>
      <c r="S228" s="63"/>
      <c r="T228" s="59"/>
    </row>
    <row r="229" spans="2:20" ht="12.75" customHeight="1" x14ac:dyDescent="0.15">
      <c r="B229" s="15"/>
      <c r="C229" s="56"/>
      <c r="D229" s="15"/>
      <c r="E229" s="15"/>
      <c r="F229" s="15"/>
      <c r="G229" s="58"/>
      <c r="H229" s="18"/>
      <c r="I229" s="33"/>
      <c r="J229" s="33"/>
      <c r="K229" s="18"/>
      <c r="L229" s="18"/>
      <c r="M229" s="18"/>
      <c r="N229" s="60"/>
      <c r="O229" s="60"/>
      <c r="P229" s="63"/>
      <c r="Q229" s="63"/>
      <c r="R229" s="63"/>
      <c r="S229" s="63"/>
      <c r="T229" s="19"/>
    </row>
    <row r="230" spans="2:20" ht="12.75" customHeight="1" x14ac:dyDescent="0.15">
      <c r="B230" s="15"/>
      <c r="C230" s="56"/>
      <c r="D230" s="56"/>
      <c r="E230" s="57"/>
      <c r="F230" s="57"/>
      <c r="G230" s="58"/>
      <c r="H230" s="59"/>
      <c r="I230" s="62"/>
      <c r="J230" s="62"/>
      <c r="K230" s="59"/>
      <c r="L230" s="59"/>
      <c r="M230" s="59"/>
      <c r="N230" s="60"/>
      <c r="O230" s="60"/>
      <c r="P230" s="63"/>
      <c r="Q230" s="63"/>
      <c r="R230" s="63"/>
      <c r="S230" s="63"/>
      <c r="T230" s="19"/>
    </row>
    <row r="231" spans="2:20" ht="12.75" customHeight="1" x14ac:dyDescent="0.15">
      <c r="B231" s="15"/>
      <c r="C231" s="56"/>
      <c r="D231" s="56"/>
      <c r="E231" s="57"/>
      <c r="F231" s="57"/>
      <c r="G231" s="58"/>
      <c r="H231" s="59"/>
      <c r="I231" s="62"/>
      <c r="J231" s="62"/>
      <c r="K231" s="59"/>
      <c r="L231" s="59"/>
      <c r="M231" s="59"/>
      <c r="N231" s="60"/>
      <c r="O231" s="60"/>
      <c r="P231" s="63"/>
      <c r="Q231" s="63"/>
      <c r="R231" s="63"/>
      <c r="S231" s="63"/>
      <c r="T231" s="59"/>
    </row>
    <row r="232" spans="2:20" ht="12.75" customHeight="1" x14ac:dyDescent="0.15">
      <c r="B232" s="15"/>
      <c r="C232" s="56"/>
      <c r="D232" s="56"/>
      <c r="E232" s="57"/>
      <c r="F232" s="57"/>
      <c r="G232" s="58"/>
      <c r="H232" s="59"/>
      <c r="I232" s="62"/>
      <c r="J232" s="62"/>
      <c r="K232" s="59"/>
      <c r="L232" s="59"/>
      <c r="M232" s="59"/>
      <c r="N232" s="60"/>
      <c r="O232" s="60"/>
      <c r="P232" s="63"/>
      <c r="Q232" s="63"/>
      <c r="R232" s="63"/>
      <c r="S232" s="63"/>
      <c r="T232" s="59"/>
    </row>
    <row r="233" spans="2:20" ht="12.75" customHeight="1" x14ac:dyDescent="0.15">
      <c r="B233" s="15"/>
      <c r="C233" s="56"/>
      <c r="D233" s="56"/>
      <c r="E233" s="57"/>
      <c r="F233" s="57"/>
      <c r="G233" s="58"/>
      <c r="H233" s="59"/>
      <c r="I233" s="62"/>
      <c r="J233" s="62"/>
      <c r="K233" s="59"/>
      <c r="L233" s="59"/>
      <c r="M233" s="59"/>
      <c r="N233" s="60"/>
      <c r="O233" s="60"/>
      <c r="P233" s="61"/>
      <c r="Q233" s="61"/>
      <c r="R233" s="61"/>
      <c r="S233" s="61"/>
      <c r="T233" s="19"/>
    </row>
    <row r="242" spans="21:22" ht="12.75" customHeight="1" x14ac:dyDescent="0.15">
      <c r="V242" s="7"/>
    </row>
    <row r="245" spans="21:22" ht="12.75" customHeight="1" x14ac:dyDescent="0.15">
      <c r="U245" s="4"/>
    </row>
  </sheetData>
  <dataConsolidate/>
  <mergeCells count="29">
    <mergeCell ref="U187:V187"/>
    <mergeCell ref="U188:V188"/>
    <mergeCell ref="U194:V194"/>
    <mergeCell ref="U195:V195"/>
    <mergeCell ref="P5:P7"/>
    <mergeCell ref="Q5:Q7"/>
    <mergeCell ref="R5:R7"/>
    <mergeCell ref="S5:S7"/>
    <mergeCell ref="T3:T7"/>
    <mergeCell ref="O3:O7"/>
    <mergeCell ref="P3:Q4"/>
    <mergeCell ref="R3:S4"/>
    <mergeCell ref="J5:J7"/>
    <mergeCell ref="N3:N7"/>
    <mergeCell ref="B3:B7"/>
    <mergeCell ref="C3:G3"/>
    <mergeCell ref="H3:H7"/>
    <mergeCell ref="I3:J4"/>
    <mergeCell ref="K3:M4"/>
    <mergeCell ref="K5:K7"/>
    <mergeCell ref="L5:L7"/>
    <mergeCell ref="M5:M7"/>
    <mergeCell ref="C4:C7"/>
    <mergeCell ref="D4:G4"/>
    <mergeCell ref="D5:D7"/>
    <mergeCell ref="E5:G5"/>
    <mergeCell ref="I5:I7"/>
    <mergeCell ref="E6:E7"/>
    <mergeCell ref="F6:G6"/>
  </mergeCells>
  <phoneticPr fontId="2"/>
  <printOptions horizontalCentered="1"/>
  <pageMargins left="0.59055118110236227" right="0.19685039370078741" top="0.39370078740157483" bottom="0.19685039370078741" header="0.19685039370078741" footer="0.19685039370078741"/>
  <pageSetup paperSize="9" scale="60" fitToHeight="0" orientation="portrait" r:id="rId1"/>
  <headerFooter>
    <oddHeader>&amp;C&amp;12スライド計算根拠表</oddHeader>
  </headerFooter>
  <rowBreaks count="2" manualBreakCount="2">
    <brk id="96" max="20" man="1"/>
    <brk id="181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60"/>
  <sheetViews>
    <sheetView tabSelected="1" view="pageBreakPreview" zoomScaleNormal="85" zoomScaleSheetLayoutView="10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Z40" sqref="Z40"/>
    </sheetView>
  </sheetViews>
  <sheetFormatPr defaultColWidth="9" defaultRowHeight="12.75" customHeight="1" outlineLevelRow="1" x14ac:dyDescent="0.15"/>
  <cols>
    <col min="1" max="1" width="4.109375" style="3" customWidth="1"/>
    <col min="2" max="6" width="2.21875" style="25" customWidth="1"/>
    <col min="7" max="7" width="21.33203125" style="26" customWidth="1"/>
    <col min="8" max="8" width="18.77734375" style="26" customWidth="1"/>
    <col min="9" max="10" width="8.88671875" style="38" bestFit="1" customWidth="1"/>
    <col min="11" max="11" width="8" style="26" bestFit="1" customWidth="1"/>
    <col min="12" max="13" width="6.33203125" style="26" bestFit="1" customWidth="1"/>
    <col min="14" max="14" width="5.6640625" style="28" bestFit="1" customWidth="1"/>
    <col min="15" max="16" width="3.33203125" style="28" customWidth="1"/>
    <col min="17" max="20" width="10.109375" style="27" customWidth="1"/>
    <col min="21" max="21" width="16.33203125" style="29" customWidth="1"/>
    <col min="22" max="16384" width="9" style="3"/>
  </cols>
  <sheetData>
    <row r="1" spans="2:21" ht="12.75" customHeight="1" x14ac:dyDescent="0.15">
      <c r="B1" s="15" t="s">
        <v>221</v>
      </c>
      <c r="C1" s="15"/>
      <c r="D1" s="15"/>
      <c r="E1" s="15"/>
      <c r="F1" s="15"/>
      <c r="G1" s="16"/>
      <c r="H1" s="17"/>
      <c r="I1" s="33"/>
      <c r="J1" s="33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2:21" s="8" customFormat="1" ht="12.75" customHeight="1" x14ac:dyDescent="0.15">
      <c r="B2" s="20"/>
      <c r="C2" s="15"/>
      <c r="D2" s="20"/>
      <c r="E2" s="20"/>
      <c r="F2" s="20"/>
      <c r="G2" s="21"/>
      <c r="H2" s="17"/>
      <c r="I2" s="34"/>
      <c r="J2" s="34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</row>
    <row r="3" spans="2:21" ht="12.75" customHeight="1" x14ac:dyDescent="0.15">
      <c r="B3" s="70" t="s">
        <v>0</v>
      </c>
      <c r="C3" s="71" t="s">
        <v>1</v>
      </c>
      <c r="D3" s="72"/>
      <c r="E3" s="72"/>
      <c r="F3" s="72"/>
      <c r="G3" s="73"/>
      <c r="H3" s="74" t="s">
        <v>7</v>
      </c>
      <c r="I3" s="77" t="s">
        <v>205</v>
      </c>
      <c r="J3" s="78"/>
      <c r="K3" s="81" t="s">
        <v>208</v>
      </c>
      <c r="L3" s="82"/>
      <c r="M3" s="83"/>
      <c r="N3" s="100" t="s">
        <v>2</v>
      </c>
      <c r="O3" s="91" t="s">
        <v>123</v>
      </c>
      <c r="P3" s="91" t="s">
        <v>224</v>
      </c>
      <c r="Q3" s="94" t="s">
        <v>209</v>
      </c>
      <c r="R3" s="95"/>
      <c r="S3" s="94" t="s">
        <v>213</v>
      </c>
      <c r="T3" s="98"/>
      <c r="U3" s="100" t="s">
        <v>133</v>
      </c>
    </row>
    <row r="4" spans="2:21" ht="12.75" customHeight="1" x14ac:dyDescent="0.15">
      <c r="B4" s="70"/>
      <c r="C4" s="87"/>
      <c r="D4" s="71" t="s">
        <v>3</v>
      </c>
      <c r="E4" s="72"/>
      <c r="F4" s="72"/>
      <c r="G4" s="73"/>
      <c r="H4" s="75"/>
      <c r="I4" s="79"/>
      <c r="J4" s="80"/>
      <c r="K4" s="84"/>
      <c r="L4" s="85"/>
      <c r="M4" s="86"/>
      <c r="N4" s="101"/>
      <c r="O4" s="92"/>
      <c r="P4" s="92"/>
      <c r="Q4" s="96"/>
      <c r="R4" s="97"/>
      <c r="S4" s="96"/>
      <c r="T4" s="99"/>
      <c r="U4" s="101"/>
    </row>
    <row r="5" spans="2:21" ht="12.75" customHeight="1" x14ac:dyDescent="0.15">
      <c r="B5" s="70"/>
      <c r="C5" s="87"/>
      <c r="D5" s="87"/>
      <c r="E5" s="71" t="s">
        <v>4</v>
      </c>
      <c r="F5" s="72"/>
      <c r="G5" s="73"/>
      <c r="H5" s="75"/>
      <c r="I5" s="89" t="s">
        <v>210</v>
      </c>
      <c r="J5" s="89" t="s">
        <v>211</v>
      </c>
      <c r="K5" s="75" t="s">
        <v>212</v>
      </c>
      <c r="L5" s="75" t="s">
        <v>206</v>
      </c>
      <c r="M5" s="75" t="s">
        <v>207</v>
      </c>
      <c r="N5" s="101"/>
      <c r="O5" s="92"/>
      <c r="P5" s="92"/>
      <c r="Q5" s="75" t="s">
        <v>212</v>
      </c>
      <c r="R5" s="75" t="s">
        <v>206</v>
      </c>
      <c r="S5" s="75" t="s">
        <v>212</v>
      </c>
      <c r="T5" s="75" t="s">
        <v>207</v>
      </c>
      <c r="U5" s="101"/>
    </row>
    <row r="6" spans="2:21" ht="12.75" customHeight="1" x14ac:dyDescent="0.15">
      <c r="B6" s="70"/>
      <c r="C6" s="87"/>
      <c r="D6" s="87"/>
      <c r="E6" s="87"/>
      <c r="F6" s="71" t="s">
        <v>5</v>
      </c>
      <c r="G6" s="73"/>
      <c r="H6" s="75"/>
      <c r="I6" s="89"/>
      <c r="J6" s="89"/>
      <c r="K6" s="75"/>
      <c r="L6" s="75"/>
      <c r="M6" s="75"/>
      <c r="N6" s="101"/>
      <c r="O6" s="92"/>
      <c r="P6" s="92"/>
      <c r="Q6" s="75"/>
      <c r="R6" s="75"/>
      <c r="S6" s="75"/>
      <c r="T6" s="75"/>
      <c r="U6" s="101"/>
    </row>
    <row r="7" spans="2:21" ht="12.75" customHeight="1" x14ac:dyDescent="0.15">
      <c r="B7" s="70"/>
      <c r="C7" s="88"/>
      <c r="D7" s="88"/>
      <c r="E7" s="88"/>
      <c r="F7" s="40"/>
      <c r="G7" s="22"/>
      <c r="H7" s="76"/>
      <c r="I7" s="90"/>
      <c r="J7" s="90"/>
      <c r="K7" s="76"/>
      <c r="L7" s="76"/>
      <c r="M7" s="76"/>
      <c r="N7" s="102"/>
      <c r="O7" s="93"/>
      <c r="P7" s="93"/>
      <c r="Q7" s="76"/>
      <c r="R7" s="76"/>
      <c r="S7" s="76"/>
      <c r="T7" s="76"/>
      <c r="U7" s="102"/>
    </row>
    <row r="8" spans="2:21" ht="12.75" customHeight="1" x14ac:dyDescent="0.15">
      <c r="B8" s="10" t="s">
        <v>6</v>
      </c>
      <c r="C8" s="23"/>
      <c r="D8" s="23"/>
      <c r="E8" s="23"/>
      <c r="F8" s="39"/>
      <c r="G8" s="22"/>
      <c r="H8" s="22"/>
      <c r="I8" s="35"/>
      <c r="J8" s="35"/>
      <c r="K8" s="22"/>
      <c r="L8" s="22"/>
      <c r="M8" s="22"/>
      <c r="N8" s="12"/>
      <c r="O8" s="12"/>
      <c r="P8" s="12"/>
      <c r="Q8" s="13"/>
      <c r="R8" s="13"/>
      <c r="S8" s="13"/>
      <c r="T8" s="13"/>
      <c r="U8" s="14"/>
    </row>
    <row r="9" spans="2:21" ht="12.75" customHeight="1" x14ac:dyDescent="0.15">
      <c r="B9" s="10"/>
      <c r="C9" s="1" t="s">
        <v>13</v>
      </c>
      <c r="D9" s="1" t="s">
        <v>36</v>
      </c>
      <c r="E9" s="9"/>
      <c r="F9" s="11"/>
      <c r="G9" s="5"/>
      <c r="H9" s="6"/>
      <c r="I9" s="32"/>
      <c r="J9" s="32"/>
      <c r="K9" s="6">
        <v>1</v>
      </c>
      <c r="L9" s="6">
        <v>1</v>
      </c>
      <c r="M9" s="6">
        <v>1</v>
      </c>
      <c r="N9" s="12" t="s">
        <v>29</v>
      </c>
      <c r="O9" s="12"/>
      <c r="P9" s="12"/>
      <c r="Q9" s="13">
        <f>SUM(Q10,Q48,Q140,Q160)</f>
        <v>81925448.200000003</v>
      </c>
      <c r="R9" s="13">
        <f>SUM(R10,R48,R140,R160)</f>
        <v>4991115</v>
      </c>
      <c r="S9" s="13">
        <f t="shared" ref="S9:T9" si="0">SUM(S10,S48,S140,S160)</f>
        <v>84249096.200000003</v>
      </c>
      <c r="T9" s="13">
        <f t="shared" si="0"/>
        <v>79257981.200000003</v>
      </c>
      <c r="U9" s="14"/>
    </row>
    <row r="10" spans="2:21" ht="12.75" customHeight="1" x14ac:dyDescent="0.15">
      <c r="B10" s="10"/>
      <c r="C10" s="1"/>
      <c r="D10" s="1" t="s">
        <v>12</v>
      </c>
      <c r="E10" s="9" t="s">
        <v>37</v>
      </c>
      <c r="F10" s="11"/>
      <c r="G10" s="5"/>
      <c r="H10" s="6"/>
      <c r="I10" s="32"/>
      <c r="J10" s="32"/>
      <c r="K10" s="6">
        <v>1</v>
      </c>
      <c r="L10" s="6">
        <v>1</v>
      </c>
      <c r="M10" s="6">
        <v>1</v>
      </c>
      <c r="N10" s="12" t="s">
        <v>29</v>
      </c>
      <c r="O10" s="12"/>
      <c r="P10" s="12"/>
      <c r="Q10" s="13">
        <f>SUM(Q11,Q39)</f>
        <v>18031964.199999999</v>
      </c>
      <c r="R10" s="13">
        <f>SUM(R11,R39)</f>
        <v>889164.99999999988</v>
      </c>
      <c r="S10" s="13">
        <f t="shared" ref="S10:T10" si="1">SUM(S11,S39)</f>
        <v>18253886.199999999</v>
      </c>
      <c r="T10" s="13">
        <f t="shared" si="1"/>
        <v>17364721.199999999</v>
      </c>
      <c r="U10" s="14"/>
    </row>
    <row r="11" spans="2:21" ht="12.75" customHeight="1" x14ac:dyDescent="0.15">
      <c r="B11" s="10"/>
      <c r="C11" s="1"/>
      <c r="D11" s="1"/>
      <c r="E11" s="9" t="s">
        <v>11</v>
      </c>
      <c r="F11" s="11" t="s">
        <v>38</v>
      </c>
      <c r="G11" s="5"/>
      <c r="H11" s="6"/>
      <c r="I11" s="32"/>
      <c r="J11" s="32"/>
      <c r="K11" s="6">
        <v>1</v>
      </c>
      <c r="L11" s="6">
        <v>1</v>
      </c>
      <c r="M11" s="6">
        <v>1</v>
      </c>
      <c r="N11" s="12" t="s">
        <v>29</v>
      </c>
      <c r="O11" s="12"/>
      <c r="P11" s="12"/>
      <c r="Q11" s="13">
        <f>SUM(Q12,Q14,Q17,Q19,Q21,Q23,Q25,Q28,Q30,Q35)</f>
        <v>8238057.2000000002</v>
      </c>
      <c r="R11" s="13">
        <f t="shared" ref="R11:T11" si="2">SUM(R12,R14,R17,R19,R21,R23,R25,R28,R30,R35)</f>
        <v>0</v>
      </c>
      <c r="S11" s="13">
        <f t="shared" si="2"/>
        <v>8413603.1999999993</v>
      </c>
      <c r="T11" s="13">
        <f t="shared" si="2"/>
        <v>8413603.1999999993</v>
      </c>
      <c r="U11" s="14" t="s">
        <v>135</v>
      </c>
    </row>
    <row r="12" spans="2:21" ht="12.75" customHeight="1" x14ac:dyDescent="0.15">
      <c r="B12" s="10"/>
      <c r="C12" s="1"/>
      <c r="D12" s="1"/>
      <c r="E12" s="9"/>
      <c r="F12" s="11" t="s">
        <v>10</v>
      </c>
      <c r="G12" s="5" t="s">
        <v>39</v>
      </c>
      <c r="H12" s="6"/>
      <c r="I12" s="32"/>
      <c r="J12" s="32"/>
      <c r="K12" s="6">
        <v>1</v>
      </c>
      <c r="L12" s="6">
        <v>1</v>
      </c>
      <c r="M12" s="6">
        <v>1</v>
      </c>
      <c r="N12" s="12" t="s">
        <v>28</v>
      </c>
      <c r="O12" s="12"/>
      <c r="P12" s="12"/>
      <c r="Q12" s="24">
        <f t="shared" ref="Q12:T12" si="3">SUM(Q13:Q13)</f>
        <v>69160</v>
      </c>
      <c r="R12" s="24">
        <f t="shared" si="3"/>
        <v>0</v>
      </c>
      <c r="S12" s="24">
        <f t="shared" si="3"/>
        <v>70200</v>
      </c>
      <c r="T12" s="24">
        <f t="shared" si="3"/>
        <v>70200</v>
      </c>
      <c r="U12" s="14"/>
    </row>
    <row r="13" spans="2:21" ht="12.75" customHeight="1" x14ac:dyDescent="0.15">
      <c r="B13" s="10"/>
      <c r="C13" s="23"/>
      <c r="D13" s="23"/>
      <c r="E13" s="23"/>
      <c r="F13" s="39"/>
      <c r="G13" s="22" t="s">
        <v>39</v>
      </c>
      <c r="H13" s="22" t="s">
        <v>134</v>
      </c>
      <c r="I13" s="35">
        <v>266</v>
      </c>
      <c r="J13" s="35">
        <v>270</v>
      </c>
      <c r="K13" s="22">
        <v>260</v>
      </c>
      <c r="L13" s="22">
        <v>0</v>
      </c>
      <c r="M13" s="22">
        <v>260</v>
      </c>
      <c r="N13" s="12" t="s">
        <v>9</v>
      </c>
      <c r="O13" s="12"/>
      <c r="P13" s="12"/>
      <c r="Q13" s="13">
        <f>K13*I13</f>
        <v>69160</v>
      </c>
      <c r="R13" s="13">
        <f>L13*I13</f>
        <v>0</v>
      </c>
      <c r="S13" s="13">
        <f>K13*$J$13</f>
        <v>70200</v>
      </c>
      <c r="T13" s="13">
        <f>M13*$J$13</f>
        <v>70200</v>
      </c>
      <c r="U13" s="14"/>
    </row>
    <row r="14" spans="2:21" ht="12.75" customHeight="1" x14ac:dyDescent="0.15">
      <c r="B14" s="10"/>
      <c r="C14" s="1"/>
      <c r="D14" s="1"/>
      <c r="E14" s="9"/>
      <c r="F14" s="11" t="s">
        <v>10</v>
      </c>
      <c r="G14" s="5" t="s">
        <v>8</v>
      </c>
      <c r="H14" s="6"/>
      <c r="I14" s="32"/>
      <c r="J14" s="32"/>
      <c r="K14" s="6">
        <v>1</v>
      </c>
      <c r="L14" s="6">
        <v>1</v>
      </c>
      <c r="M14" s="6">
        <v>1</v>
      </c>
      <c r="N14" s="12" t="s">
        <v>28</v>
      </c>
      <c r="O14" s="12"/>
      <c r="P14" s="12"/>
      <c r="Q14" s="24">
        <f t="shared" ref="Q14:T14" si="4">SUM(Q15:Q16)</f>
        <v>213590</v>
      </c>
      <c r="R14" s="24">
        <f t="shared" si="4"/>
        <v>0</v>
      </c>
      <c r="S14" s="24">
        <f t="shared" si="4"/>
        <v>214630</v>
      </c>
      <c r="T14" s="24">
        <f t="shared" si="4"/>
        <v>214630</v>
      </c>
      <c r="U14" s="14"/>
    </row>
    <row r="15" spans="2:21" ht="12.75" customHeight="1" x14ac:dyDescent="0.15">
      <c r="B15" s="10"/>
      <c r="C15" s="23"/>
      <c r="D15" s="23"/>
      <c r="E15" s="23"/>
      <c r="F15" s="41"/>
      <c r="G15" s="22" t="s">
        <v>8</v>
      </c>
      <c r="H15" s="22"/>
      <c r="I15" s="35">
        <v>1643</v>
      </c>
      <c r="J15" s="35">
        <v>1651</v>
      </c>
      <c r="K15" s="22">
        <v>90</v>
      </c>
      <c r="L15" s="22">
        <v>0</v>
      </c>
      <c r="M15" s="22">
        <v>90</v>
      </c>
      <c r="N15" s="12" t="s">
        <v>9</v>
      </c>
      <c r="O15" s="12"/>
      <c r="P15" s="12"/>
      <c r="Q15" s="13">
        <f>K15*I15</f>
        <v>147870</v>
      </c>
      <c r="R15" s="13">
        <f>L15*I15</f>
        <v>0</v>
      </c>
      <c r="S15" s="13">
        <f>K15*$J$15</f>
        <v>148590</v>
      </c>
      <c r="T15" s="13">
        <f>M15*$J$15</f>
        <v>148590</v>
      </c>
      <c r="U15" s="14"/>
    </row>
    <row r="16" spans="2:21" ht="12.75" customHeight="1" x14ac:dyDescent="0.15">
      <c r="B16" s="10"/>
      <c r="C16" s="1"/>
      <c r="D16" s="1"/>
      <c r="E16" s="9"/>
      <c r="F16" s="11"/>
      <c r="G16" s="22" t="s">
        <v>8</v>
      </c>
      <c r="H16" s="22"/>
      <c r="I16" s="35">
        <v>1643</v>
      </c>
      <c r="J16" s="35">
        <v>1651</v>
      </c>
      <c r="K16" s="6">
        <v>40</v>
      </c>
      <c r="L16" s="6">
        <v>0</v>
      </c>
      <c r="M16" s="6">
        <v>40</v>
      </c>
      <c r="N16" s="12" t="s">
        <v>9</v>
      </c>
      <c r="O16" s="12"/>
      <c r="P16" s="12"/>
      <c r="Q16" s="13">
        <f>K16*I16</f>
        <v>65720</v>
      </c>
      <c r="R16" s="13">
        <f>L16*I16</f>
        <v>0</v>
      </c>
      <c r="S16" s="13">
        <f>K16*$J$16</f>
        <v>66040</v>
      </c>
      <c r="T16" s="13">
        <f>M16*$J$16</f>
        <v>66040</v>
      </c>
      <c r="U16" s="14" t="s">
        <v>136</v>
      </c>
    </row>
    <row r="17" spans="2:21" ht="12.75" customHeight="1" x14ac:dyDescent="0.15">
      <c r="B17" s="10"/>
      <c r="C17" s="1"/>
      <c r="D17" s="1"/>
      <c r="E17" s="9"/>
      <c r="F17" s="11" t="s">
        <v>10</v>
      </c>
      <c r="G17" s="5" t="s">
        <v>40</v>
      </c>
      <c r="H17" s="6"/>
      <c r="I17" s="32"/>
      <c r="J17" s="32"/>
      <c r="K17" s="6">
        <v>1</v>
      </c>
      <c r="L17" s="6">
        <v>1</v>
      </c>
      <c r="M17" s="6">
        <v>1</v>
      </c>
      <c r="N17" s="12" t="s">
        <v>28</v>
      </c>
      <c r="O17" s="12"/>
      <c r="P17" s="12"/>
      <c r="Q17" s="24">
        <f t="shared" ref="Q17:T17" si="5">SUM(Q18:Q18)</f>
        <v>20150</v>
      </c>
      <c r="R17" s="24">
        <f>SUM(R18:R18)</f>
        <v>0</v>
      </c>
      <c r="S17" s="24">
        <f t="shared" si="5"/>
        <v>20150</v>
      </c>
      <c r="T17" s="24">
        <f t="shared" si="5"/>
        <v>20150</v>
      </c>
      <c r="U17" s="14"/>
    </row>
    <row r="18" spans="2:21" ht="12.75" customHeight="1" x14ac:dyDescent="0.15">
      <c r="B18" s="10"/>
      <c r="C18" s="23"/>
      <c r="D18" s="23"/>
      <c r="E18" s="23"/>
      <c r="F18" s="42"/>
      <c r="G18" s="5" t="s">
        <v>40</v>
      </c>
      <c r="H18" s="22"/>
      <c r="I18" s="35">
        <v>403</v>
      </c>
      <c r="J18" s="35">
        <v>403</v>
      </c>
      <c r="K18" s="22">
        <v>50</v>
      </c>
      <c r="L18" s="22">
        <v>0</v>
      </c>
      <c r="M18" s="22">
        <v>50</v>
      </c>
      <c r="N18" s="12" t="s">
        <v>30</v>
      </c>
      <c r="O18" s="12"/>
      <c r="P18" s="12"/>
      <c r="Q18" s="13">
        <f>K18*I18</f>
        <v>20150</v>
      </c>
      <c r="R18" s="13">
        <f>L18*I18</f>
        <v>0</v>
      </c>
      <c r="S18" s="13">
        <f>K18*$J$18</f>
        <v>20150</v>
      </c>
      <c r="T18" s="13">
        <f>M18*$J$18</f>
        <v>20150</v>
      </c>
      <c r="U18" s="14"/>
    </row>
    <row r="19" spans="2:21" ht="12.75" customHeight="1" x14ac:dyDescent="0.15">
      <c r="B19" s="10"/>
      <c r="C19" s="1"/>
      <c r="D19" s="1"/>
      <c r="E19" s="9"/>
      <c r="F19" s="11" t="s">
        <v>10</v>
      </c>
      <c r="G19" s="5" t="s">
        <v>41</v>
      </c>
      <c r="H19" s="6"/>
      <c r="I19" s="32"/>
      <c r="J19" s="32"/>
      <c r="K19" s="6">
        <v>1</v>
      </c>
      <c r="L19" s="6">
        <v>1</v>
      </c>
      <c r="M19" s="6">
        <v>1</v>
      </c>
      <c r="N19" s="12" t="s">
        <v>28</v>
      </c>
      <c r="O19" s="12"/>
      <c r="P19" s="12"/>
      <c r="Q19" s="24">
        <f t="shared" ref="Q19:T19" si="6">SUM(Q20:Q20)</f>
        <v>237450</v>
      </c>
      <c r="R19" s="24">
        <f>SUM(R20:R20)</f>
        <v>0</v>
      </c>
      <c r="S19" s="24">
        <f t="shared" si="6"/>
        <v>241950</v>
      </c>
      <c r="T19" s="24">
        <f t="shared" si="6"/>
        <v>241950</v>
      </c>
      <c r="U19" s="14"/>
    </row>
    <row r="20" spans="2:21" ht="12.75" customHeight="1" x14ac:dyDescent="0.15">
      <c r="B20" s="10"/>
      <c r="C20" s="23"/>
      <c r="D20" s="23"/>
      <c r="E20" s="23"/>
      <c r="F20" s="42"/>
      <c r="G20" s="5" t="s">
        <v>41</v>
      </c>
      <c r="H20" s="22"/>
      <c r="I20" s="35">
        <v>1583</v>
      </c>
      <c r="J20" s="35">
        <v>1613</v>
      </c>
      <c r="K20" s="22">
        <v>150</v>
      </c>
      <c r="L20" s="22">
        <v>0</v>
      </c>
      <c r="M20" s="22">
        <v>150</v>
      </c>
      <c r="N20" s="12" t="s">
        <v>9</v>
      </c>
      <c r="O20" s="12"/>
      <c r="P20" s="12"/>
      <c r="Q20" s="13">
        <f>K20*I20</f>
        <v>237450</v>
      </c>
      <c r="R20" s="13">
        <f>L20*I20</f>
        <v>0</v>
      </c>
      <c r="S20" s="13">
        <f>K20*$J$20</f>
        <v>241950</v>
      </c>
      <c r="T20" s="13">
        <f>M20*$J$20</f>
        <v>241950</v>
      </c>
      <c r="U20" s="14" t="s">
        <v>137</v>
      </c>
    </row>
    <row r="21" spans="2:21" ht="12.75" customHeight="1" x14ac:dyDescent="0.15">
      <c r="B21" s="10"/>
      <c r="C21" s="1"/>
      <c r="D21" s="1"/>
      <c r="E21" s="9"/>
      <c r="F21" s="11" t="s">
        <v>10</v>
      </c>
      <c r="G21" s="5" t="s">
        <v>42</v>
      </c>
      <c r="H21" s="6"/>
      <c r="I21" s="32"/>
      <c r="J21" s="32"/>
      <c r="K21" s="6">
        <v>1</v>
      </c>
      <c r="L21" s="6">
        <v>1</v>
      </c>
      <c r="M21" s="6">
        <v>1</v>
      </c>
      <c r="N21" s="12" t="s">
        <v>28</v>
      </c>
      <c r="O21" s="12"/>
      <c r="P21" s="12"/>
      <c r="Q21" s="24">
        <f t="shared" ref="Q21:T21" si="7">SUM(Q22:Q22)</f>
        <v>490800</v>
      </c>
      <c r="R21" s="24">
        <f t="shared" si="7"/>
        <v>0</v>
      </c>
      <c r="S21" s="24">
        <f t="shared" si="7"/>
        <v>490800</v>
      </c>
      <c r="T21" s="24">
        <f t="shared" si="7"/>
        <v>490800</v>
      </c>
      <c r="U21" s="14"/>
    </row>
    <row r="22" spans="2:21" ht="12.75" customHeight="1" x14ac:dyDescent="0.15">
      <c r="B22" s="10"/>
      <c r="C22" s="23"/>
      <c r="D22" s="23"/>
      <c r="E22" s="23"/>
      <c r="F22" s="42"/>
      <c r="G22" s="5" t="s">
        <v>42</v>
      </c>
      <c r="H22" s="22" t="s">
        <v>138</v>
      </c>
      <c r="I22" s="35">
        <v>3272</v>
      </c>
      <c r="J22" s="35">
        <v>3272</v>
      </c>
      <c r="K22" s="22">
        <v>150</v>
      </c>
      <c r="L22" s="22">
        <v>0</v>
      </c>
      <c r="M22" s="22">
        <v>150</v>
      </c>
      <c r="N22" s="12" t="s">
        <v>9</v>
      </c>
      <c r="O22" s="12" t="s">
        <v>124</v>
      </c>
      <c r="P22" s="12"/>
      <c r="Q22" s="13">
        <f>K22*I22</f>
        <v>490800</v>
      </c>
      <c r="R22" s="13">
        <f>L22*I22</f>
        <v>0</v>
      </c>
      <c r="S22" s="13">
        <f>K22*$J$22</f>
        <v>490800</v>
      </c>
      <c r="T22" s="13">
        <f>M22*$J$22</f>
        <v>490800</v>
      </c>
      <c r="U22" s="14"/>
    </row>
    <row r="23" spans="2:21" ht="12.75" customHeight="1" x14ac:dyDescent="0.15">
      <c r="B23" s="10"/>
      <c r="C23" s="1"/>
      <c r="D23" s="1"/>
      <c r="E23" s="9"/>
      <c r="F23" s="11" t="s">
        <v>10</v>
      </c>
      <c r="G23" s="5" t="s">
        <v>43</v>
      </c>
      <c r="H23" s="6"/>
      <c r="I23" s="32"/>
      <c r="J23" s="32"/>
      <c r="K23" s="6">
        <v>1</v>
      </c>
      <c r="L23" s="6">
        <v>1</v>
      </c>
      <c r="M23" s="6">
        <v>1</v>
      </c>
      <c r="N23" s="12" t="s">
        <v>28</v>
      </c>
      <c r="O23" s="12"/>
      <c r="P23" s="12"/>
      <c r="Q23" s="24">
        <f t="shared" ref="Q23:T23" si="8">SUM(Q24:Q24)</f>
        <v>72000</v>
      </c>
      <c r="R23" s="24">
        <f>SUM(R24:R24)</f>
        <v>0</v>
      </c>
      <c r="S23" s="24">
        <f t="shared" si="8"/>
        <v>72000</v>
      </c>
      <c r="T23" s="24">
        <f t="shared" si="8"/>
        <v>72000</v>
      </c>
      <c r="U23" s="14"/>
    </row>
    <row r="24" spans="2:21" ht="12.75" customHeight="1" x14ac:dyDescent="0.15">
      <c r="B24" s="10"/>
      <c r="C24" s="23"/>
      <c r="D24" s="23"/>
      <c r="E24" s="23"/>
      <c r="F24" s="42"/>
      <c r="G24" s="5" t="s">
        <v>43</v>
      </c>
      <c r="H24" s="22" t="s">
        <v>194</v>
      </c>
      <c r="I24" s="35">
        <v>1800</v>
      </c>
      <c r="J24" s="35">
        <v>1800</v>
      </c>
      <c r="K24" s="22">
        <v>40</v>
      </c>
      <c r="L24" s="22">
        <v>0</v>
      </c>
      <c r="M24" s="22">
        <v>40</v>
      </c>
      <c r="N24" s="12" t="s">
        <v>9</v>
      </c>
      <c r="O24" s="12"/>
      <c r="P24" s="12"/>
      <c r="Q24" s="13">
        <f>K24*I24</f>
        <v>72000</v>
      </c>
      <c r="R24" s="13">
        <f>L24*I24</f>
        <v>0</v>
      </c>
      <c r="S24" s="13">
        <f>K24*$J$24</f>
        <v>72000</v>
      </c>
      <c r="T24" s="13">
        <f>M24*$J$24</f>
        <v>72000</v>
      </c>
      <c r="U24" s="14" t="s">
        <v>139</v>
      </c>
    </row>
    <row r="25" spans="2:21" ht="12.75" customHeight="1" x14ac:dyDescent="0.15">
      <c r="B25" s="10"/>
      <c r="C25" s="1"/>
      <c r="D25" s="1"/>
      <c r="E25" s="9"/>
      <c r="F25" s="11" t="s">
        <v>10</v>
      </c>
      <c r="G25" s="5" t="s">
        <v>44</v>
      </c>
      <c r="H25" s="6"/>
      <c r="I25" s="32"/>
      <c r="J25" s="32"/>
      <c r="K25" s="6">
        <v>1</v>
      </c>
      <c r="L25" s="6">
        <v>1</v>
      </c>
      <c r="M25" s="6">
        <v>1</v>
      </c>
      <c r="N25" s="12" t="s">
        <v>28</v>
      </c>
      <c r="O25" s="12"/>
      <c r="P25" s="12"/>
      <c r="Q25" s="24">
        <f t="shared" ref="Q25:T25" si="9">SUM(Q26:Q27)</f>
        <v>6265800</v>
      </c>
      <c r="R25" s="24">
        <f t="shared" si="9"/>
        <v>0</v>
      </c>
      <c r="S25" s="24">
        <f t="shared" si="9"/>
        <v>6317130</v>
      </c>
      <c r="T25" s="24">
        <f t="shared" si="9"/>
        <v>6317130</v>
      </c>
      <c r="U25" s="14"/>
    </row>
    <row r="26" spans="2:21" ht="12.75" customHeight="1" x14ac:dyDescent="0.15">
      <c r="B26" s="10"/>
      <c r="C26" s="23"/>
      <c r="D26" s="23"/>
      <c r="E26" s="23"/>
      <c r="F26" s="42"/>
      <c r="G26" s="22" t="s">
        <v>44</v>
      </c>
      <c r="H26" s="22" t="s">
        <v>140</v>
      </c>
      <c r="I26" s="35">
        <v>35400</v>
      </c>
      <c r="J26" s="35">
        <v>35690</v>
      </c>
      <c r="K26" s="22">
        <v>75</v>
      </c>
      <c r="L26" s="22">
        <v>0</v>
      </c>
      <c r="M26" s="22">
        <v>75</v>
      </c>
      <c r="N26" s="12" t="s">
        <v>9</v>
      </c>
      <c r="O26" s="12"/>
      <c r="P26" s="12"/>
      <c r="Q26" s="13">
        <f>K26*I26</f>
        <v>2655000</v>
      </c>
      <c r="R26" s="13">
        <f>L26*I26</f>
        <v>0</v>
      </c>
      <c r="S26" s="13">
        <f>K26*$J$26</f>
        <v>2676750</v>
      </c>
      <c r="T26" s="13">
        <f>M26*$J$26</f>
        <v>2676750</v>
      </c>
      <c r="U26" s="14" t="s">
        <v>49</v>
      </c>
    </row>
    <row r="27" spans="2:21" ht="12.75" customHeight="1" x14ac:dyDescent="0.15">
      <c r="B27" s="10"/>
      <c r="C27" s="1"/>
      <c r="D27" s="1"/>
      <c r="E27" s="9"/>
      <c r="F27" s="11"/>
      <c r="G27" s="22" t="s">
        <v>44</v>
      </c>
      <c r="H27" s="22" t="s">
        <v>141</v>
      </c>
      <c r="I27" s="35">
        <v>35400</v>
      </c>
      <c r="J27" s="35">
        <v>35690</v>
      </c>
      <c r="K27" s="6">
        <v>102</v>
      </c>
      <c r="L27" s="6">
        <v>0</v>
      </c>
      <c r="M27" s="6">
        <v>102</v>
      </c>
      <c r="N27" s="12" t="s">
        <v>9</v>
      </c>
      <c r="O27" s="12"/>
      <c r="P27" s="12"/>
      <c r="Q27" s="13">
        <f>K27*I27</f>
        <v>3610800</v>
      </c>
      <c r="R27" s="13">
        <f>L27*I27</f>
        <v>0</v>
      </c>
      <c r="S27" s="13">
        <f>K27*$J$27</f>
        <v>3640380</v>
      </c>
      <c r="T27" s="13">
        <f>M27*$J$27</f>
        <v>3640380</v>
      </c>
      <c r="U27" s="14" t="s">
        <v>50</v>
      </c>
    </row>
    <row r="28" spans="2:21" ht="12.75" customHeight="1" x14ac:dyDescent="0.15">
      <c r="B28" s="10"/>
      <c r="C28" s="1"/>
      <c r="D28" s="1"/>
      <c r="E28" s="9"/>
      <c r="F28" s="11" t="s">
        <v>10</v>
      </c>
      <c r="G28" s="5" t="s">
        <v>45</v>
      </c>
      <c r="H28" s="6"/>
      <c r="I28" s="32"/>
      <c r="J28" s="32"/>
      <c r="K28" s="6">
        <v>1</v>
      </c>
      <c r="L28" s="6">
        <v>1</v>
      </c>
      <c r="M28" s="6">
        <v>1</v>
      </c>
      <c r="N28" s="12" t="s">
        <v>28</v>
      </c>
      <c r="O28" s="12"/>
      <c r="P28" s="12"/>
      <c r="Q28" s="24">
        <f t="shared" ref="Q28:T28" si="10">SUM(Q29:Q29)</f>
        <v>26080</v>
      </c>
      <c r="R28" s="24">
        <f t="shared" si="10"/>
        <v>0</v>
      </c>
      <c r="S28" s="24">
        <f t="shared" si="10"/>
        <v>26100</v>
      </c>
      <c r="T28" s="24">
        <f t="shared" si="10"/>
        <v>26100</v>
      </c>
      <c r="U28" s="14"/>
    </row>
    <row r="29" spans="2:21" ht="12.75" customHeight="1" x14ac:dyDescent="0.15">
      <c r="B29" s="10"/>
      <c r="C29" s="23"/>
      <c r="D29" s="23"/>
      <c r="E29" s="23"/>
      <c r="F29" s="42"/>
      <c r="G29" s="5" t="s">
        <v>45</v>
      </c>
      <c r="H29" s="22" t="s">
        <v>140</v>
      </c>
      <c r="I29" s="35">
        <v>26080</v>
      </c>
      <c r="J29" s="35">
        <v>26100</v>
      </c>
      <c r="K29" s="22">
        <v>1</v>
      </c>
      <c r="L29" s="22">
        <v>0</v>
      </c>
      <c r="M29" s="22">
        <v>1</v>
      </c>
      <c r="N29" s="12" t="s">
        <v>9</v>
      </c>
      <c r="O29" s="12"/>
      <c r="P29" s="12"/>
      <c r="Q29" s="13">
        <f>K29*I29</f>
        <v>26080</v>
      </c>
      <c r="R29" s="13">
        <f>L29*I29</f>
        <v>0</v>
      </c>
      <c r="S29" s="13">
        <f>K29*$J$29</f>
        <v>26100</v>
      </c>
      <c r="T29" s="13">
        <f>M29*$J$29</f>
        <v>26100</v>
      </c>
      <c r="U29" s="14" t="s">
        <v>142</v>
      </c>
    </row>
    <row r="30" spans="2:21" ht="12.75" customHeight="1" x14ac:dyDescent="0.15">
      <c r="B30" s="10"/>
      <c r="C30" s="1"/>
      <c r="D30" s="1"/>
      <c r="E30" s="9"/>
      <c r="F30" s="11" t="s">
        <v>10</v>
      </c>
      <c r="G30" s="5" t="s">
        <v>46</v>
      </c>
      <c r="H30" s="6"/>
      <c r="I30" s="32"/>
      <c r="J30" s="32"/>
      <c r="K30" s="6">
        <v>1</v>
      </c>
      <c r="L30" s="6">
        <v>1</v>
      </c>
      <c r="M30" s="6">
        <v>1</v>
      </c>
      <c r="N30" s="12" t="s">
        <v>28</v>
      </c>
      <c r="O30" s="12"/>
      <c r="P30" s="12"/>
      <c r="Q30" s="24">
        <f t="shared" ref="Q30:T30" si="11">SUM(Q31:Q34)</f>
        <v>758937</v>
      </c>
      <c r="R30" s="24">
        <f t="shared" si="11"/>
        <v>0</v>
      </c>
      <c r="S30" s="24">
        <f t="shared" si="11"/>
        <v>874690</v>
      </c>
      <c r="T30" s="24">
        <f t="shared" si="11"/>
        <v>874690</v>
      </c>
      <c r="U30" s="14"/>
    </row>
    <row r="31" spans="2:21" ht="12.75" customHeight="1" x14ac:dyDescent="0.15">
      <c r="B31" s="10"/>
      <c r="C31" s="23"/>
      <c r="D31" s="23"/>
      <c r="E31" s="23"/>
      <c r="F31" s="42"/>
      <c r="G31" s="22" t="s">
        <v>47</v>
      </c>
      <c r="H31" s="22" t="s">
        <v>48</v>
      </c>
      <c r="I31" s="35">
        <v>166400</v>
      </c>
      <c r="J31" s="35">
        <v>167900</v>
      </c>
      <c r="K31" s="44">
        <v>0.01</v>
      </c>
      <c r="L31" s="44">
        <v>0</v>
      </c>
      <c r="M31" s="44">
        <v>0.01</v>
      </c>
      <c r="N31" s="12" t="s">
        <v>52</v>
      </c>
      <c r="O31" s="12"/>
      <c r="P31" s="12"/>
      <c r="Q31" s="13">
        <f>K31*I31</f>
        <v>1664</v>
      </c>
      <c r="R31" s="13">
        <f>L31*I31</f>
        <v>0</v>
      </c>
      <c r="S31" s="13">
        <f>K31*$J$31</f>
        <v>1679</v>
      </c>
      <c r="T31" s="13">
        <f>M31*$J$31</f>
        <v>1679</v>
      </c>
      <c r="U31" s="14"/>
    </row>
    <row r="32" spans="2:21" ht="12.75" customHeight="1" x14ac:dyDescent="0.15">
      <c r="B32" s="10"/>
      <c r="C32" s="1"/>
      <c r="D32" s="1"/>
      <c r="E32" s="9"/>
      <c r="F32" s="11"/>
      <c r="G32" s="22" t="s">
        <v>47</v>
      </c>
      <c r="H32" s="22" t="s">
        <v>51</v>
      </c>
      <c r="I32" s="35">
        <v>119500</v>
      </c>
      <c r="J32" s="35">
        <v>137500</v>
      </c>
      <c r="K32" s="45">
        <v>0.9</v>
      </c>
      <c r="L32" s="45">
        <v>0</v>
      </c>
      <c r="M32" s="45">
        <v>0.9</v>
      </c>
      <c r="N32" s="12" t="s">
        <v>52</v>
      </c>
      <c r="O32" s="12"/>
      <c r="P32" s="12"/>
      <c r="Q32" s="13">
        <f>K32*I32</f>
        <v>107550</v>
      </c>
      <c r="R32" s="13">
        <f>L32*I32</f>
        <v>0</v>
      </c>
      <c r="S32" s="13">
        <f>K32*$J$32</f>
        <v>123750</v>
      </c>
      <c r="T32" s="13">
        <f>M32*$J$32</f>
        <v>123750</v>
      </c>
      <c r="U32" s="14"/>
    </row>
    <row r="33" spans="2:21" ht="12.75" customHeight="1" x14ac:dyDescent="0.15">
      <c r="B33" s="10"/>
      <c r="C33" s="1"/>
      <c r="D33" s="1"/>
      <c r="E33" s="9"/>
      <c r="F33" s="11"/>
      <c r="G33" s="22" t="s">
        <v>47</v>
      </c>
      <c r="H33" s="22" t="s">
        <v>53</v>
      </c>
      <c r="I33" s="35">
        <v>117500</v>
      </c>
      <c r="J33" s="35">
        <v>135500</v>
      </c>
      <c r="K33" s="45">
        <v>5.51</v>
      </c>
      <c r="L33" s="45">
        <v>0</v>
      </c>
      <c r="M33" s="45">
        <v>5.51</v>
      </c>
      <c r="N33" s="12" t="s">
        <v>52</v>
      </c>
      <c r="O33" s="12"/>
      <c r="P33" s="12"/>
      <c r="Q33" s="13">
        <f>K33*I33</f>
        <v>647425</v>
      </c>
      <c r="R33" s="13">
        <f>L33*I33</f>
        <v>0</v>
      </c>
      <c r="S33" s="13">
        <f>K33*$J$33</f>
        <v>746605</v>
      </c>
      <c r="T33" s="13">
        <f>M33*$J$33</f>
        <v>746605</v>
      </c>
      <c r="U33" s="14"/>
    </row>
    <row r="34" spans="2:21" ht="12.75" customHeight="1" x14ac:dyDescent="0.15">
      <c r="B34" s="10"/>
      <c r="C34" s="1"/>
      <c r="D34" s="1"/>
      <c r="E34" s="36"/>
      <c r="F34" s="37"/>
      <c r="G34" s="22" t="s">
        <v>47</v>
      </c>
      <c r="H34" s="22" t="s">
        <v>55</v>
      </c>
      <c r="I34" s="35">
        <v>114900</v>
      </c>
      <c r="J34" s="35">
        <v>132800</v>
      </c>
      <c r="K34" s="45">
        <v>0.02</v>
      </c>
      <c r="L34" s="45">
        <v>0</v>
      </c>
      <c r="M34" s="45">
        <v>0.02</v>
      </c>
      <c r="N34" s="12" t="s">
        <v>52</v>
      </c>
      <c r="O34" s="12"/>
      <c r="P34" s="12"/>
      <c r="Q34" s="13">
        <f>K34*I34</f>
        <v>2298</v>
      </c>
      <c r="R34" s="13">
        <f>L34*I34</f>
        <v>0</v>
      </c>
      <c r="S34" s="13">
        <f>K34*$J$34</f>
        <v>2656</v>
      </c>
      <c r="T34" s="13">
        <f>M34*$J$34</f>
        <v>2656</v>
      </c>
      <c r="U34" s="14" t="s">
        <v>54</v>
      </c>
    </row>
    <row r="35" spans="2:21" ht="12.75" customHeight="1" x14ac:dyDescent="0.15">
      <c r="B35" s="10"/>
      <c r="C35" s="1"/>
      <c r="D35" s="1"/>
      <c r="E35" s="9"/>
      <c r="F35" s="11" t="s">
        <v>10</v>
      </c>
      <c r="G35" s="5" t="s">
        <v>26</v>
      </c>
      <c r="H35" s="6"/>
      <c r="I35" s="32"/>
      <c r="J35" s="32"/>
      <c r="K35" s="6">
        <v>1</v>
      </c>
      <c r="L35" s="6">
        <v>1</v>
      </c>
      <c r="M35" s="6">
        <v>1</v>
      </c>
      <c r="N35" s="12" t="s">
        <v>28</v>
      </c>
      <c r="O35" s="12"/>
      <c r="P35" s="12"/>
      <c r="Q35" s="24">
        <f t="shared" ref="Q35:T35" si="12">SUM(Q36:Q38)</f>
        <v>84090.2</v>
      </c>
      <c r="R35" s="24">
        <f t="shared" si="12"/>
        <v>0</v>
      </c>
      <c r="S35" s="24">
        <f t="shared" si="12"/>
        <v>85953.2</v>
      </c>
      <c r="T35" s="24">
        <f t="shared" si="12"/>
        <v>85953.2</v>
      </c>
      <c r="U35" s="14"/>
    </row>
    <row r="36" spans="2:21" ht="12.75" customHeight="1" x14ac:dyDescent="0.15">
      <c r="B36" s="10"/>
      <c r="C36" s="23"/>
      <c r="D36" s="23"/>
      <c r="E36" s="23"/>
      <c r="F36" s="42"/>
      <c r="G36" s="22" t="s">
        <v>26</v>
      </c>
      <c r="H36" s="22" t="s">
        <v>144</v>
      </c>
      <c r="I36" s="35">
        <v>8101</v>
      </c>
      <c r="J36" s="35">
        <v>8308</v>
      </c>
      <c r="K36" s="44">
        <v>9</v>
      </c>
      <c r="L36" s="44">
        <v>0</v>
      </c>
      <c r="M36" s="44">
        <v>9</v>
      </c>
      <c r="N36" s="12" t="s">
        <v>30</v>
      </c>
      <c r="O36" s="12"/>
      <c r="P36" s="12"/>
      <c r="Q36" s="13">
        <f>K36*I36</f>
        <v>72909</v>
      </c>
      <c r="R36" s="13">
        <f>L36*I36</f>
        <v>0</v>
      </c>
      <c r="S36" s="13">
        <f>K36*$J$36</f>
        <v>74772</v>
      </c>
      <c r="T36" s="13">
        <f>M36*$J$36</f>
        <v>74772</v>
      </c>
      <c r="U36" s="14" t="s">
        <v>143</v>
      </c>
    </row>
    <row r="37" spans="2:21" ht="12.75" customHeight="1" x14ac:dyDescent="0.15">
      <c r="B37" s="10"/>
      <c r="C37" s="1"/>
      <c r="D37" s="1"/>
      <c r="E37" s="9"/>
      <c r="F37" s="11"/>
      <c r="G37" s="22" t="s">
        <v>56</v>
      </c>
      <c r="H37" s="22" t="s">
        <v>146</v>
      </c>
      <c r="I37" s="35">
        <v>742</v>
      </c>
      <c r="J37" s="35">
        <v>742</v>
      </c>
      <c r="K37" s="45">
        <v>10.3</v>
      </c>
      <c r="L37" s="45">
        <v>0</v>
      </c>
      <c r="M37" s="45">
        <v>10.3</v>
      </c>
      <c r="N37" s="12" t="s">
        <v>31</v>
      </c>
      <c r="O37" s="12"/>
      <c r="P37" s="12"/>
      <c r="Q37" s="13">
        <f>ROUNDDOWN(K37*I37,0)</f>
        <v>7642</v>
      </c>
      <c r="R37" s="13">
        <f>ROUNDDOWN(L37*I37,0)</f>
        <v>0</v>
      </c>
      <c r="S37" s="13">
        <f>ROUNDDOWN(K37*$J$37,0)</f>
        <v>7642</v>
      </c>
      <c r="T37" s="13">
        <f>ROUNDDOWN(M37*$J$37,0)</f>
        <v>7642</v>
      </c>
      <c r="U37" s="14" t="s">
        <v>145</v>
      </c>
    </row>
    <row r="38" spans="2:21" ht="12.75" customHeight="1" x14ac:dyDescent="0.15">
      <c r="B38" s="10"/>
      <c r="C38" s="1"/>
      <c r="D38" s="1"/>
      <c r="E38" s="9"/>
      <c r="F38" s="11"/>
      <c r="G38" s="22" t="s">
        <v>56</v>
      </c>
      <c r="H38" s="22" t="s">
        <v>148</v>
      </c>
      <c r="I38" s="35">
        <v>632</v>
      </c>
      <c r="J38" s="35">
        <v>632</v>
      </c>
      <c r="K38" s="45">
        <v>5.6</v>
      </c>
      <c r="L38" s="45">
        <v>0</v>
      </c>
      <c r="M38" s="45">
        <v>5.6</v>
      </c>
      <c r="N38" s="12" t="s">
        <v>31</v>
      </c>
      <c r="O38" s="12"/>
      <c r="P38" s="12"/>
      <c r="Q38" s="13">
        <f>K38*I38</f>
        <v>3539.2</v>
      </c>
      <c r="R38" s="13">
        <f>ROUNDDOWN(L38*I38,0)</f>
        <v>0</v>
      </c>
      <c r="S38" s="13">
        <f>K38*$J$38</f>
        <v>3539.2</v>
      </c>
      <c r="T38" s="13">
        <f>M38*$J$38</f>
        <v>3539.2</v>
      </c>
      <c r="U38" s="14" t="s">
        <v>147</v>
      </c>
    </row>
    <row r="39" spans="2:21" ht="12.75" customHeight="1" x14ac:dyDescent="0.15">
      <c r="B39" s="10"/>
      <c r="C39" s="1"/>
      <c r="D39" s="1"/>
      <c r="E39" s="9" t="s">
        <v>11</v>
      </c>
      <c r="F39" s="11" t="s">
        <v>57</v>
      </c>
      <c r="G39" s="5"/>
      <c r="H39" s="6"/>
      <c r="I39" s="32"/>
      <c r="J39" s="32"/>
      <c r="K39" s="6">
        <v>1</v>
      </c>
      <c r="L39" s="6">
        <v>1</v>
      </c>
      <c r="M39" s="6">
        <v>1</v>
      </c>
      <c r="N39" s="12" t="s">
        <v>28</v>
      </c>
      <c r="O39" s="12"/>
      <c r="P39" s="12"/>
      <c r="Q39" s="13">
        <f t="shared" ref="Q39:T39" si="13">+Q40</f>
        <v>9793907</v>
      </c>
      <c r="R39" s="13">
        <f t="shared" si="13"/>
        <v>889164.99999999988</v>
      </c>
      <c r="S39" s="13">
        <f t="shared" si="13"/>
        <v>9840283</v>
      </c>
      <c r="T39" s="13">
        <f t="shared" si="13"/>
        <v>8951118</v>
      </c>
      <c r="U39" s="14"/>
    </row>
    <row r="40" spans="2:21" ht="12.75" customHeight="1" x14ac:dyDescent="0.15">
      <c r="B40" s="10"/>
      <c r="C40" s="1"/>
      <c r="D40" s="1"/>
      <c r="E40" s="9"/>
      <c r="F40" s="11" t="s">
        <v>10</v>
      </c>
      <c r="G40" s="5" t="s">
        <v>58</v>
      </c>
      <c r="H40" s="6"/>
      <c r="I40" s="32"/>
      <c r="J40" s="32"/>
      <c r="K40" s="6">
        <v>1</v>
      </c>
      <c r="L40" s="6">
        <v>1</v>
      </c>
      <c r="M40" s="6">
        <v>1</v>
      </c>
      <c r="N40" s="12" t="s">
        <v>28</v>
      </c>
      <c r="O40" s="12"/>
      <c r="P40" s="12"/>
      <c r="Q40" s="24">
        <f t="shared" ref="Q40:T40" si="14">SUM(Q41:Q47)</f>
        <v>9793907</v>
      </c>
      <c r="R40" s="24">
        <f t="shared" si="14"/>
        <v>889164.99999999988</v>
      </c>
      <c r="S40" s="24">
        <f t="shared" si="14"/>
        <v>9840283</v>
      </c>
      <c r="T40" s="24">
        <f t="shared" si="14"/>
        <v>8951118</v>
      </c>
      <c r="U40" s="14"/>
    </row>
    <row r="41" spans="2:21" ht="12.75" customHeight="1" x14ac:dyDescent="0.15">
      <c r="B41" s="10"/>
      <c r="C41" s="1"/>
      <c r="D41" s="1"/>
      <c r="E41" s="9"/>
      <c r="F41" s="11"/>
      <c r="G41" s="5" t="s">
        <v>59</v>
      </c>
      <c r="H41" s="22" t="s">
        <v>150</v>
      </c>
      <c r="I41" s="35">
        <v>1692000</v>
      </c>
      <c r="J41" s="35">
        <v>1698000</v>
      </c>
      <c r="K41" s="44">
        <v>5</v>
      </c>
      <c r="L41" s="44">
        <v>0</v>
      </c>
      <c r="M41" s="44">
        <v>5</v>
      </c>
      <c r="N41" s="12" t="s">
        <v>33</v>
      </c>
      <c r="O41" s="12"/>
      <c r="P41" s="12"/>
      <c r="Q41" s="13">
        <f t="shared" ref="Q41:Q47" si="15">K41*I41</f>
        <v>8460000</v>
      </c>
      <c r="R41" s="13">
        <f t="shared" ref="R41:R47" si="16">L41*I41</f>
        <v>0</v>
      </c>
      <c r="S41" s="13">
        <f>K41*$J$41</f>
        <v>8490000</v>
      </c>
      <c r="T41" s="13">
        <f>M41*$J$41</f>
        <v>8490000</v>
      </c>
      <c r="U41" s="14" t="s">
        <v>151</v>
      </c>
    </row>
    <row r="42" spans="2:21" ht="12.75" customHeight="1" x14ac:dyDescent="0.15">
      <c r="B42" s="10"/>
      <c r="C42" s="1"/>
      <c r="D42" s="1"/>
      <c r="E42" s="9"/>
      <c r="F42" s="11"/>
      <c r="G42" s="22" t="s">
        <v>47</v>
      </c>
      <c r="H42" s="22" t="s">
        <v>51</v>
      </c>
      <c r="I42" s="35">
        <v>109500</v>
      </c>
      <c r="J42" s="35">
        <v>127000</v>
      </c>
      <c r="K42" s="45">
        <v>7.0000000000000007E-2</v>
      </c>
      <c r="L42" s="45">
        <v>7.0000000000000007E-2</v>
      </c>
      <c r="M42" s="45">
        <v>0</v>
      </c>
      <c r="N42" s="12" t="s">
        <v>52</v>
      </c>
      <c r="O42" s="12"/>
      <c r="P42" s="12"/>
      <c r="Q42" s="13">
        <f t="shared" si="15"/>
        <v>7665.0000000000009</v>
      </c>
      <c r="R42" s="13">
        <f t="shared" si="16"/>
        <v>7665.0000000000009</v>
      </c>
      <c r="S42" s="13">
        <f>K42*$I$42</f>
        <v>7665.0000000000009</v>
      </c>
      <c r="T42" s="13">
        <f>M42*$J$42</f>
        <v>0</v>
      </c>
      <c r="U42" s="14"/>
    </row>
    <row r="43" spans="2:21" ht="12.75" customHeight="1" x14ac:dyDescent="0.15">
      <c r="B43" s="10"/>
      <c r="C43" s="1"/>
      <c r="D43" s="1"/>
      <c r="E43" s="9"/>
      <c r="F43" s="11"/>
      <c r="G43" s="22" t="s">
        <v>47</v>
      </c>
      <c r="H43" s="22" t="s">
        <v>53</v>
      </c>
      <c r="I43" s="35">
        <v>107500</v>
      </c>
      <c r="J43" s="35">
        <v>125000</v>
      </c>
      <c r="K43" s="45">
        <v>8.1999999999999993</v>
      </c>
      <c r="L43" s="45">
        <v>8.1999999999999993</v>
      </c>
      <c r="M43" s="45">
        <v>0</v>
      </c>
      <c r="N43" s="12" t="s">
        <v>52</v>
      </c>
      <c r="O43" s="12"/>
      <c r="P43" s="12"/>
      <c r="Q43" s="13">
        <f t="shared" si="15"/>
        <v>881499.99999999988</v>
      </c>
      <c r="R43" s="13">
        <f t="shared" si="16"/>
        <v>881499.99999999988</v>
      </c>
      <c r="S43" s="13">
        <f>K43*$I$43</f>
        <v>881499.99999999988</v>
      </c>
      <c r="T43" s="13">
        <f>M43*$J$43</f>
        <v>0</v>
      </c>
      <c r="U43" s="14"/>
    </row>
    <row r="44" spans="2:21" ht="12.75" customHeight="1" x14ac:dyDescent="0.15">
      <c r="B44" s="10"/>
      <c r="C44" s="1"/>
      <c r="D44" s="1"/>
      <c r="E44" s="9"/>
      <c r="F44" s="11"/>
      <c r="G44" s="22" t="s">
        <v>60</v>
      </c>
      <c r="H44" s="22"/>
      <c r="I44" s="35">
        <f>Q231</f>
        <v>0</v>
      </c>
      <c r="J44" s="35">
        <f>S231</f>
        <v>0</v>
      </c>
      <c r="K44" s="45">
        <v>1</v>
      </c>
      <c r="L44" s="45">
        <v>0</v>
      </c>
      <c r="M44" s="45">
        <v>1</v>
      </c>
      <c r="N44" s="12" t="s">
        <v>28</v>
      </c>
      <c r="O44" s="12"/>
      <c r="P44" s="12"/>
      <c r="Q44" s="13">
        <f>K44*I44</f>
        <v>0</v>
      </c>
      <c r="R44" s="13">
        <f t="shared" si="16"/>
        <v>0</v>
      </c>
      <c r="S44" s="13">
        <f>K44*$J$44</f>
        <v>0</v>
      </c>
      <c r="T44" s="13">
        <f>M44*$J$44</f>
        <v>0</v>
      </c>
      <c r="U44" s="14" t="s">
        <v>149</v>
      </c>
    </row>
    <row r="45" spans="2:21" ht="12.75" customHeight="1" x14ac:dyDescent="0.15">
      <c r="B45" s="10"/>
      <c r="C45" s="1"/>
      <c r="D45" s="1"/>
      <c r="E45" s="9"/>
      <c r="F45" s="11"/>
      <c r="G45" s="22" t="s">
        <v>61</v>
      </c>
      <c r="H45" s="22" t="s">
        <v>62</v>
      </c>
      <c r="I45" s="35">
        <v>680</v>
      </c>
      <c r="J45" s="35">
        <v>711</v>
      </c>
      <c r="K45" s="46">
        <v>520</v>
      </c>
      <c r="L45" s="46">
        <v>0</v>
      </c>
      <c r="M45" s="46">
        <v>520</v>
      </c>
      <c r="N45" s="12" t="s">
        <v>63</v>
      </c>
      <c r="O45" s="12"/>
      <c r="P45" s="12"/>
      <c r="Q45" s="13">
        <f t="shared" si="15"/>
        <v>353600</v>
      </c>
      <c r="R45" s="13">
        <f t="shared" si="16"/>
        <v>0</v>
      </c>
      <c r="S45" s="13">
        <f>K45*$J$45</f>
        <v>369720</v>
      </c>
      <c r="T45" s="13">
        <f>M45*$J$45</f>
        <v>369720</v>
      </c>
      <c r="U45" s="14"/>
    </row>
    <row r="46" spans="2:21" ht="12.75" customHeight="1" x14ac:dyDescent="0.15">
      <c r="B46" s="10"/>
      <c r="C46" s="1"/>
      <c r="D46" s="1"/>
      <c r="E46" s="9"/>
      <c r="F46" s="11"/>
      <c r="G46" s="22" t="s">
        <v>64</v>
      </c>
      <c r="H46" s="22"/>
      <c r="I46" s="35">
        <v>17820</v>
      </c>
      <c r="J46" s="35">
        <v>17870</v>
      </c>
      <c r="K46" s="46">
        <v>5</v>
      </c>
      <c r="L46" s="46">
        <v>0</v>
      </c>
      <c r="M46" s="46">
        <v>5</v>
      </c>
      <c r="N46" s="12" t="s">
        <v>33</v>
      </c>
      <c r="O46" s="12"/>
      <c r="P46" s="12"/>
      <c r="Q46" s="13">
        <f t="shared" si="15"/>
        <v>89100</v>
      </c>
      <c r="R46" s="13">
        <f t="shared" si="16"/>
        <v>0</v>
      </c>
      <c r="S46" s="13">
        <f>K46*$J$46</f>
        <v>89350</v>
      </c>
      <c r="T46" s="13">
        <f>M46*$J$46</f>
        <v>89350</v>
      </c>
      <c r="U46" s="14"/>
    </row>
    <row r="47" spans="2:21" ht="12.75" customHeight="1" x14ac:dyDescent="0.15">
      <c r="B47" s="10"/>
      <c r="C47" s="1"/>
      <c r="D47" s="1"/>
      <c r="E47" s="9"/>
      <c r="F47" s="11"/>
      <c r="G47" s="22" t="s">
        <v>65</v>
      </c>
      <c r="H47" s="22"/>
      <c r="I47" s="35">
        <v>1021</v>
      </c>
      <c r="J47" s="35">
        <v>1024</v>
      </c>
      <c r="K47" s="45">
        <v>2</v>
      </c>
      <c r="L47" s="45">
        <v>0</v>
      </c>
      <c r="M47" s="45">
        <v>2</v>
      </c>
      <c r="N47" s="12" t="s">
        <v>9</v>
      </c>
      <c r="O47" s="12"/>
      <c r="P47" s="12"/>
      <c r="Q47" s="13">
        <f t="shared" si="15"/>
        <v>2042</v>
      </c>
      <c r="R47" s="13">
        <f t="shared" si="16"/>
        <v>0</v>
      </c>
      <c r="S47" s="13">
        <f>K47*$J$47</f>
        <v>2048</v>
      </c>
      <c r="T47" s="13">
        <f>M47*$J$47</f>
        <v>2048</v>
      </c>
      <c r="U47" s="14" t="s">
        <v>152</v>
      </c>
    </row>
    <row r="48" spans="2:21" ht="12.75" customHeight="1" x14ac:dyDescent="0.15">
      <c r="B48" s="10"/>
      <c r="C48" s="1"/>
      <c r="D48" s="1" t="s">
        <v>12</v>
      </c>
      <c r="E48" s="9" t="s">
        <v>66</v>
      </c>
      <c r="F48" s="11"/>
      <c r="G48" s="5"/>
      <c r="H48" s="6"/>
      <c r="I48" s="32"/>
      <c r="J48" s="32"/>
      <c r="K48" s="6">
        <v>1</v>
      </c>
      <c r="L48" s="6">
        <v>1</v>
      </c>
      <c r="M48" s="6">
        <v>1</v>
      </c>
      <c r="N48" s="12" t="s">
        <v>28</v>
      </c>
      <c r="O48" s="12"/>
      <c r="P48" s="12"/>
      <c r="Q48" s="13">
        <f t="shared" ref="Q48:T48" si="17">SUM(Q49,Q84,Q94,Q130)</f>
        <v>54390443</v>
      </c>
      <c r="R48" s="13">
        <f t="shared" si="17"/>
        <v>4101950</v>
      </c>
      <c r="S48" s="13">
        <f t="shared" si="17"/>
        <v>56341259</v>
      </c>
      <c r="T48" s="13">
        <f t="shared" si="17"/>
        <v>52239309</v>
      </c>
      <c r="U48" s="14"/>
    </row>
    <row r="49" spans="2:21" ht="12.75" customHeight="1" x14ac:dyDescent="0.15">
      <c r="B49" s="10"/>
      <c r="C49" s="1"/>
      <c r="D49" s="1"/>
      <c r="E49" s="9" t="s">
        <v>11</v>
      </c>
      <c r="F49" s="11" t="s">
        <v>67</v>
      </c>
      <c r="G49" s="5"/>
      <c r="H49" s="6"/>
      <c r="I49" s="32"/>
      <c r="J49" s="32"/>
      <c r="K49" s="6">
        <v>1</v>
      </c>
      <c r="L49" s="6">
        <v>1</v>
      </c>
      <c r="M49" s="6">
        <v>1</v>
      </c>
      <c r="N49" s="12" t="s">
        <v>28</v>
      </c>
      <c r="O49" s="12"/>
      <c r="P49" s="12"/>
      <c r="Q49" s="13">
        <f t="shared" ref="Q49:T49" si="18">SUM(Q50,Q52,Q54,Q56,Q58,Q60,Q62,Q65,Q69,Q75,Q80,Q82)</f>
        <v>12378935</v>
      </c>
      <c r="R49" s="13">
        <f t="shared" si="18"/>
        <v>0</v>
      </c>
      <c r="S49" s="13">
        <f t="shared" si="18"/>
        <v>13105177</v>
      </c>
      <c r="T49" s="13">
        <f t="shared" si="18"/>
        <v>13105177</v>
      </c>
      <c r="U49" s="14" t="s">
        <v>153</v>
      </c>
    </row>
    <row r="50" spans="2:21" ht="12.75" customHeight="1" x14ac:dyDescent="0.15">
      <c r="B50" s="10"/>
      <c r="C50" s="1"/>
      <c r="D50" s="1"/>
      <c r="E50" s="9"/>
      <c r="F50" s="11" t="s">
        <v>10</v>
      </c>
      <c r="G50" s="5" t="s">
        <v>39</v>
      </c>
      <c r="H50" s="6"/>
      <c r="I50" s="32"/>
      <c r="J50" s="32"/>
      <c r="K50" s="6">
        <v>1</v>
      </c>
      <c r="L50" s="6">
        <v>1</v>
      </c>
      <c r="M50" s="6">
        <v>1</v>
      </c>
      <c r="N50" s="12" t="s">
        <v>28</v>
      </c>
      <c r="O50" s="12"/>
      <c r="P50" s="12"/>
      <c r="Q50" s="24">
        <f t="shared" ref="Q50:T50" si="19">SUM(Q51:Q51)</f>
        <v>69160</v>
      </c>
      <c r="R50" s="24">
        <f t="shared" si="19"/>
        <v>0</v>
      </c>
      <c r="S50" s="24">
        <f t="shared" si="19"/>
        <v>70200</v>
      </c>
      <c r="T50" s="24">
        <f t="shared" si="19"/>
        <v>70200</v>
      </c>
      <c r="U50" s="14"/>
    </row>
    <row r="51" spans="2:21" ht="12.75" customHeight="1" x14ac:dyDescent="0.15">
      <c r="B51" s="10"/>
      <c r="C51" s="1"/>
      <c r="D51" s="23"/>
      <c r="E51" s="23"/>
      <c r="F51" s="42"/>
      <c r="G51" s="22" t="s">
        <v>39</v>
      </c>
      <c r="H51" s="22" t="s">
        <v>134</v>
      </c>
      <c r="I51" s="35">
        <v>266</v>
      </c>
      <c r="J51" s="35">
        <v>270</v>
      </c>
      <c r="K51" s="22">
        <v>260</v>
      </c>
      <c r="L51" s="22">
        <v>0</v>
      </c>
      <c r="M51" s="22">
        <v>260</v>
      </c>
      <c r="N51" s="12" t="s">
        <v>9</v>
      </c>
      <c r="O51" s="12"/>
      <c r="P51" s="12"/>
      <c r="Q51" s="13">
        <f>K51*I51</f>
        <v>69160</v>
      </c>
      <c r="R51" s="13">
        <f>L51*I51</f>
        <v>0</v>
      </c>
      <c r="S51" s="13">
        <f>K51*$J$51</f>
        <v>70200</v>
      </c>
      <c r="T51" s="13">
        <f>M51*$J$51</f>
        <v>70200</v>
      </c>
      <c r="U51" s="14"/>
    </row>
    <row r="52" spans="2:21" ht="12.75" customHeight="1" x14ac:dyDescent="0.15">
      <c r="B52" s="10"/>
      <c r="C52" s="1"/>
      <c r="D52" s="1"/>
      <c r="E52" s="9"/>
      <c r="F52" s="11" t="s">
        <v>10</v>
      </c>
      <c r="G52" s="5" t="s">
        <v>8</v>
      </c>
      <c r="H52" s="6"/>
      <c r="I52" s="32"/>
      <c r="J52" s="32"/>
      <c r="K52" s="6">
        <v>1</v>
      </c>
      <c r="L52" s="6">
        <v>1</v>
      </c>
      <c r="M52" s="6">
        <v>1</v>
      </c>
      <c r="N52" s="12" t="s">
        <v>28</v>
      </c>
      <c r="O52" s="12"/>
      <c r="P52" s="12"/>
      <c r="Q52" s="24">
        <f t="shared" ref="Q52:T52" si="20">SUM(Q53:Q53)</f>
        <v>246450</v>
      </c>
      <c r="R52" s="24">
        <f t="shared" si="20"/>
        <v>0</v>
      </c>
      <c r="S52" s="24">
        <f t="shared" si="20"/>
        <v>247650</v>
      </c>
      <c r="T52" s="24">
        <f t="shared" si="20"/>
        <v>247650</v>
      </c>
      <c r="U52" s="14"/>
    </row>
    <row r="53" spans="2:21" ht="12.75" customHeight="1" x14ac:dyDescent="0.15">
      <c r="B53" s="10"/>
      <c r="C53" s="1"/>
      <c r="D53" s="23"/>
      <c r="E53" s="23"/>
      <c r="F53" s="42"/>
      <c r="G53" s="22" t="s">
        <v>8</v>
      </c>
      <c r="H53" s="22"/>
      <c r="I53" s="35">
        <v>1643</v>
      </c>
      <c r="J53" s="35">
        <v>1651</v>
      </c>
      <c r="K53" s="22">
        <v>150</v>
      </c>
      <c r="L53" s="22">
        <v>0</v>
      </c>
      <c r="M53" s="22">
        <v>150</v>
      </c>
      <c r="N53" s="12" t="s">
        <v>9</v>
      </c>
      <c r="O53" s="12"/>
      <c r="P53" s="12"/>
      <c r="Q53" s="13">
        <f>K53*I53</f>
        <v>246450</v>
      </c>
      <c r="R53" s="13">
        <f>L53*I53</f>
        <v>0</v>
      </c>
      <c r="S53" s="13">
        <f>K53*$J$53</f>
        <v>247650</v>
      </c>
      <c r="T53" s="13">
        <f>M53*$J$53</f>
        <v>247650</v>
      </c>
      <c r="U53" s="14"/>
    </row>
    <row r="54" spans="2:21" ht="12.75" customHeight="1" x14ac:dyDescent="0.15">
      <c r="B54" s="10"/>
      <c r="C54" s="1"/>
      <c r="D54" s="1"/>
      <c r="E54" s="9"/>
      <c r="F54" s="11" t="s">
        <v>10</v>
      </c>
      <c r="G54" s="5" t="s">
        <v>40</v>
      </c>
      <c r="H54" s="6"/>
      <c r="I54" s="32"/>
      <c r="J54" s="32"/>
      <c r="K54" s="6">
        <v>1</v>
      </c>
      <c r="L54" s="6">
        <v>1</v>
      </c>
      <c r="M54" s="6">
        <v>1</v>
      </c>
      <c r="N54" s="12" t="s">
        <v>28</v>
      </c>
      <c r="O54" s="12"/>
      <c r="P54" s="12"/>
      <c r="Q54" s="24">
        <f t="shared" ref="Q54:T54" si="21">SUM(Q55:Q55)</f>
        <v>20150</v>
      </c>
      <c r="R54" s="24">
        <f t="shared" si="21"/>
        <v>0</v>
      </c>
      <c r="S54" s="24">
        <f t="shared" si="21"/>
        <v>20150</v>
      </c>
      <c r="T54" s="24">
        <f t="shared" si="21"/>
        <v>20150</v>
      </c>
      <c r="U54" s="14"/>
    </row>
    <row r="55" spans="2:21" ht="12.75" customHeight="1" x14ac:dyDescent="0.15">
      <c r="B55" s="10"/>
      <c r="C55" s="1"/>
      <c r="D55" s="23"/>
      <c r="E55" s="23"/>
      <c r="F55" s="42"/>
      <c r="G55" s="5" t="s">
        <v>40</v>
      </c>
      <c r="H55" s="22"/>
      <c r="I55" s="35">
        <v>403</v>
      </c>
      <c r="J55" s="35">
        <v>403</v>
      </c>
      <c r="K55" s="22">
        <v>50</v>
      </c>
      <c r="L55" s="22">
        <v>0</v>
      </c>
      <c r="M55" s="22">
        <v>50</v>
      </c>
      <c r="N55" s="12" t="s">
        <v>30</v>
      </c>
      <c r="O55" s="12"/>
      <c r="P55" s="12"/>
      <c r="Q55" s="13">
        <f>K55*I55</f>
        <v>20150</v>
      </c>
      <c r="R55" s="13">
        <f>L55*I55</f>
        <v>0</v>
      </c>
      <c r="S55" s="13">
        <f>K55*$J$55</f>
        <v>20150</v>
      </c>
      <c r="T55" s="13">
        <f>M55*$J$55</f>
        <v>20150</v>
      </c>
      <c r="U55" s="14"/>
    </row>
    <row r="56" spans="2:21" ht="12.75" customHeight="1" x14ac:dyDescent="0.15">
      <c r="B56" s="10"/>
      <c r="C56" s="1"/>
      <c r="D56" s="1"/>
      <c r="E56" s="9"/>
      <c r="F56" s="11" t="s">
        <v>10</v>
      </c>
      <c r="G56" s="5" t="s">
        <v>41</v>
      </c>
      <c r="H56" s="6"/>
      <c r="I56" s="32"/>
      <c r="J56" s="32"/>
      <c r="K56" s="6">
        <v>1</v>
      </c>
      <c r="L56" s="6">
        <v>1</v>
      </c>
      <c r="M56" s="6">
        <v>1</v>
      </c>
      <c r="N56" s="12" t="s">
        <v>28</v>
      </c>
      <c r="O56" s="12"/>
      <c r="P56" s="12"/>
      <c r="Q56" s="24">
        <f t="shared" ref="Q56:T56" si="22">SUM(Q57:Q57)</f>
        <v>142470</v>
      </c>
      <c r="R56" s="24">
        <f t="shared" si="22"/>
        <v>0</v>
      </c>
      <c r="S56" s="24">
        <f t="shared" si="22"/>
        <v>145170</v>
      </c>
      <c r="T56" s="24">
        <f t="shared" si="22"/>
        <v>145170</v>
      </c>
      <c r="U56" s="14"/>
    </row>
    <row r="57" spans="2:21" ht="12.75" customHeight="1" x14ac:dyDescent="0.15">
      <c r="B57" s="10"/>
      <c r="C57" s="1"/>
      <c r="D57" s="23"/>
      <c r="E57" s="23"/>
      <c r="F57" s="42"/>
      <c r="G57" s="5" t="s">
        <v>41</v>
      </c>
      <c r="H57" s="22"/>
      <c r="I57" s="35">
        <v>1583</v>
      </c>
      <c r="J57" s="35">
        <v>1613</v>
      </c>
      <c r="K57" s="22">
        <v>90</v>
      </c>
      <c r="L57" s="22">
        <v>0</v>
      </c>
      <c r="M57" s="22">
        <v>90</v>
      </c>
      <c r="N57" s="12" t="s">
        <v>9</v>
      </c>
      <c r="O57" s="12"/>
      <c r="P57" s="12"/>
      <c r="Q57" s="13">
        <f>K57*I57</f>
        <v>142470</v>
      </c>
      <c r="R57" s="13">
        <f>L57*I57</f>
        <v>0</v>
      </c>
      <c r="S57" s="13">
        <f>K57*$J$57</f>
        <v>145170</v>
      </c>
      <c r="T57" s="13">
        <f>M57*$J$57</f>
        <v>145170</v>
      </c>
      <c r="U57" s="14" t="s">
        <v>137</v>
      </c>
    </row>
    <row r="58" spans="2:21" ht="12.75" customHeight="1" x14ac:dyDescent="0.15">
      <c r="B58" s="10"/>
      <c r="C58" s="1"/>
      <c r="D58" s="1"/>
      <c r="E58" s="9"/>
      <c r="F58" s="11" t="s">
        <v>10</v>
      </c>
      <c r="G58" s="5" t="s">
        <v>42</v>
      </c>
      <c r="H58" s="6"/>
      <c r="I58" s="32"/>
      <c r="J58" s="32"/>
      <c r="K58" s="6">
        <v>1</v>
      </c>
      <c r="L58" s="6">
        <v>1</v>
      </c>
      <c r="M58" s="6">
        <v>1</v>
      </c>
      <c r="N58" s="12" t="s">
        <v>28</v>
      </c>
      <c r="O58" s="12"/>
      <c r="P58" s="12"/>
      <c r="Q58" s="24">
        <f t="shared" ref="Q58:T58" si="23">SUM(Q59:Q59)</f>
        <v>294480</v>
      </c>
      <c r="R58" s="24">
        <f t="shared" si="23"/>
        <v>0</v>
      </c>
      <c r="S58" s="24">
        <f t="shared" si="23"/>
        <v>294480</v>
      </c>
      <c r="T58" s="24">
        <f t="shared" si="23"/>
        <v>294480</v>
      </c>
      <c r="U58" s="14"/>
    </row>
    <row r="59" spans="2:21" ht="12.75" customHeight="1" x14ac:dyDescent="0.15">
      <c r="B59" s="10"/>
      <c r="C59" s="1"/>
      <c r="D59" s="23"/>
      <c r="E59" s="23"/>
      <c r="F59" s="42"/>
      <c r="G59" s="5" t="s">
        <v>42</v>
      </c>
      <c r="H59" s="22" t="s">
        <v>138</v>
      </c>
      <c r="I59" s="35">
        <v>3272</v>
      </c>
      <c r="J59" s="35">
        <v>3272</v>
      </c>
      <c r="K59" s="22">
        <v>90</v>
      </c>
      <c r="L59" s="22">
        <v>0</v>
      </c>
      <c r="M59" s="22">
        <v>90</v>
      </c>
      <c r="N59" s="12" t="s">
        <v>9</v>
      </c>
      <c r="O59" s="12" t="s">
        <v>124</v>
      </c>
      <c r="P59" s="12"/>
      <c r="Q59" s="13">
        <f>K59*I59</f>
        <v>294480</v>
      </c>
      <c r="R59" s="13">
        <f>L59*I59</f>
        <v>0</v>
      </c>
      <c r="S59" s="13">
        <f>K59*$J$59</f>
        <v>294480</v>
      </c>
      <c r="T59" s="13">
        <f>M59*$J$59</f>
        <v>294480</v>
      </c>
      <c r="U59" s="14"/>
    </row>
    <row r="60" spans="2:21" ht="12.75" customHeight="1" x14ac:dyDescent="0.15">
      <c r="B60" s="10"/>
      <c r="C60" s="1"/>
      <c r="D60" s="1"/>
      <c r="E60" s="9"/>
      <c r="F60" s="11" t="s">
        <v>10</v>
      </c>
      <c r="G60" s="5" t="s">
        <v>80</v>
      </c>
      <c r="H60" s="6"/>
      <c r="I60" s="32"/>
      <c r="J60" s="32"/>
      <c r="K60" s="6">
        <v>1</v>
      </c>
      <c r="L60" s="6">
        <v>1</v>
      </c>
      <c r="M60" s="6">
        <v>1</v>
      </c>
      <c r="N60" s="12" t="s">
        <v>28</v>
      </c>
      <c r="O60" s="12"/>
      <c r="P60" s="12"/>
      <c r="Q60" s="24">
        <f t="shared" ref="Q60:T60" si="24">SUM(Q61)</f>
        <v>66275</v>
      </c>
      <c r="R60" s="24">
        <f t="shared" si="24"/>
        <v>0</v>
      </c>
      <c r="S60" s="24">
        <f t="shared" si="24"/>
        <v>66605</v>
      </c>
      <c r="T60" s="24">
        <f t="shared" si="24"/>
        <v>66605</v>
      </c>
      <c r="U60" s="14"/>
    </row>
    <row r="61" spans="2:21" ht="12.75" customHeight="1" x14ac:dyDescent="0.15">
      <c r="B61" s="10"/>
      <c r="C61" s="1"/>
      <c r="D61" s="23"/>
      <c r="E61" s="23"/>
      <c r="F61" s="42"/>
      <c r="G61" s="22" t="s">
        <v>25</v>
      </c>
      <c r="H61" s="22" t="s">
        <v>154</v>
      </c>
      <c r="I61" s="35">
        <v>1205</v>
      </c>
      <c r="J61" s="35">
        <v>1211</v>
      </c>
      <c r="K61" s="22">
        <v>55</v>
      </c>
      <c r="L61" s="22">
        <v>0</v>
      </c>
      <c r="M61" s="22">
        <v>55</v>
      </c>
      <c r="N61" s="12" t="s">
        <v>30</v>
      </c>
      <c r="O61" s="12"/>
      <c r="P61" s="12"/>
      <c r="Q61" s="13">
        <f>K61*I61</f>
        <v>66275</v>
      </c>
      <c r="R61" s="13">
        <f>L61*I61</f>
        <v>0</v>
      </c>
      <c r="S61" s="13">
        <f>K61*$J$61</f>
        <v>66605</v>
      </c>
      <c r="T61" s="13">
        <f>M61*$J$61</f>
        <v>66605</v>
      </c>
      <c r="U61" s="14" t="s">
        <v>166</v>
      </c>
    </row>
    <row r="62" spans="2:21" ht="12.75" customHeight="1" x14ac:dyDescent="0.15">
      <c r="B62" s="10"/>
      <c r="C62" s="1"/>
      <c r="D62" s="1"/>
      <c r="E62" s="9"/>
      <c r="F62" s="11" t="s">
        <v>10</v>
      </c>
      <c r="G62" s="5" t="s">
        <v>68</v>
      </c>
      <c r="H62" s="6"/>
      <c r="I62" s="32"/>
      <c r="J62" s="32"/>
      <c r="K62" s="6">
        <v>1</v>
      </c>
      <c r="L62" s="6">
        <v>1</v>
      </c>
      <c r="M62" s="6">
        <v>1</v>
      </c>
      <c r="N62" s="12" t="s">
        <v>28</v>
      </c>
      <c r="O62" s="12"/>
      <c r="P62" s="12"/>
      <c r="Q62" s="24">
        <f t="shared" ref="Q62:T62" si="25">SUM(Q63:Q64)</f>
        <v>176848</v>
      </c>
      <c r="R62" s="24">
        <f t="shared" si="25"/>
        <v>0</v>
      </c>
      <c r="S62" s="24">
        <f t="shared" si="25"/>
        <v>177676</v>
      </c>
      <c r="T62" s="24">
        <f t="shared" si="25"/>
        <v>177676</v>
      </c>
      <c r="U62" s="14"/>
    </row>
    <row r="63" spans="2:21" ht="12.75" customHeight="1" x14ac:dyDescent="0.15">
      <c r="B63" s="10"/>
      <c r="C63" s="1"/>
      <c r="D63" s="23"/>
      <c r="E63" s="23"/>
      <c r="F63" s="42"/>
      <c r="G63" s="22" t="s">
        <v>45</v>
      </c>
      <c r="H63" s="22" t="s">
        <v>156</v>
      </c>
      <c r="I63" s="35">
        <v>32900</v>
      </c>
      <c r="J63" s="35">
        <v>32990</v>
      </c>
      <c r="K63" s="22">
        <v>5</v>
      </c>
      <c r="L63" s="22">
        <v>0</v>
      </c>
      <c r="M63" s="22">
        <v>5</v>
      </c>
      <c r="N63" s="12" t="s">
        <v>9</v>
      </c>
      <c r="O63" s="12"/>
      <c r="P63" s="12"/>
      <c r="Q63" s="13">
        <f>K63*I63</f>
        <v>164500</v>
      </c>
      <c r="R63" s="13">
        <f>L63*I63</f>
        <v>0</v>
      </c>
      <c r="S63" s="13">
        <f>K63*$J$63</f>
        <v>164950</v>
      </c>
      <c r="T63" s="13">
        <f>M63*$J$63</f>
        <v>164950</v>
      </c>
      <c r="U63" s="14" t="s">
        <v>155</v>
      </c>
    </row>
    <row r="64" spans="2:21" ht="12.75" customHeight="1" x14ac:dyDescent="0.15">
      <c r="B64" s="10"/>
      <c r="C64" s="1"/>
      <c r="D64" s="1"/>
      <c r="E64" s="9"/>
      <c r="F64" s="11"/>
      <c r="G64" s="22" t="s">
        <v>26</v>
      </c>
      <c r="H64" s="22" t="s">
        <v>144</v>
      </c>
      <c r="I64" s="35">
        <v>4116</v>
      </c>
      <c r="J64" s="35">
        <v>4242</v>
      </c>
      <c r="K64" s="6">
        <v>3</v>
      </c>
      <c r="L64" s="6">
        <v>0</v>
      </c>
      <c r="M64" s="6">
        <v>3</v>
      </c>
      <c r="N64" s="12" t="s">
        <v>9</v>
      </c>
      <c r="O64" s="12"/>
      <c r="P64" s="12"/>
      <c r="Q64" s="13">
        <f>K64*I64</f>
        <v>12348</v>
      </c>
      <c r="R64" s="13">
        <f>L64*I64</f>
        <v>0</v>
      </c>
      <c r="S64" s="13">
        <f>K64*$J$64</f>
        <v>12726</v>
      </c>
      <c r="T64" s="13">
        <f>M64*$J$64</f>
        <v>12726</v>
      </c>
      <c r="U64" s="14" t="s">
        <v>157</v>
      </c>
    </row>
    <row r="65" spans="2:21" ht="12.75" customHeight="1" x14ac:dyDescent="0.15">
      <c r="B65" s="10"/>
      <c r="C65" s="1"/>
      <c r="D65" s="1"/>
      <c r="E65" s="9"/>
      <c r="F65" s="11" t="s">
        <v>10</v>
      </c>
      <c r="G65" s="5" t="s">
        <v>45</v>
      </c>
      <c r="H65" s="6"/>
      <c r="I65" s="32"/>
      <c r="J65" s="32"/>
      <c r="K65" s="6">
        <v>1</v>
      </c>
      <c r="L65" s="6">
        <v>1</v>
      </c>
      <c r="M65" s="6">
        <v>1</v>
      </c>
      <c r="N65" s="12" t="s">
        <v>28</v>
      </c>
      <c r="O65" s="12"/>
      <c r="P65" s="12"/>
      <c r="Q65" s="24">
        <f t="shared" ref="Q65:T65" si="26">SUM(Q66:Q68)</f>
        <v>4506280</v>
      </c>
      <c r="R65" s="24">
        <f t="shared" si="26"/>
        <v>0</v>
      </c>
      <c r="S65" s="24">
        <f t="shared" si="26"/>
        <v>4508710</v>
      </c>
      <c r="T65" s="24">
        <f t="shared" si="26"/>
        <v>4508710</v>
      </c>
      <c r="U65" s="14"/>
    </row>
    <row r="66" spans="2:21" ht="12.75" customHeight="1" x14ac:dyDescent="0.15">
      <c r="B66" s="10"/>
      <c r="C66" s="1"/>
      <c r="D66" s="23"/>
      <c r="E66" s="23"/>
      <c r="F66" s="42"/>
      <c r="G66" s="5" t="s">
        <v>45</v>
      </c>
      <c r="H66" s="22" t="s">
        <v>158</v>
      </c>
      <c r="I66" s="35">
        <v>29610</v>
      </c>
      <c r="J66" s="35">
        <v>29630</v>
      </c>
      <c r="K66" s="22">
        <v>50</v>
      </c>
      <c r="L66" s="22">
        <v>0</v>
      </c>
      <c r="M66" s="22">
        <v>50</v>
      </c>
      <c r="N66" s="12" t="s">
        <v>9</v>
      </c>
      <c r="O66" s="12"/>
      <c r="P66" s="12"/>
      <c r="Q66" s="13">
        <f>K66*I66</f>
        <v>1480500</v>
      </c>
      <c r="R66" s="13">
        <f>L66*I66</f>
        <v>0</v>
      </c>
      <c r="S66" s="13">
        <f>K66*$J$66</f>
        <v>1481500</v>
      </c>
      <c r="T66" s="13">
        <f>M66*$J$66</f>
        <v>1481500</v>
      </c>
      <c r="U66" s="14" t="s">
        <v>167</v>
      </c>
    </row>
    <row r="67" spans="2:21" ht="12.75" customHeight="1" x14ac:dyDescent="0.15">
      <c r="B67" s="10"/>
      <c r="C67" s="1"/>
      <c r="D67" s="23"/>
      <c r="E67" s="23"/>
      <c r="F67" s="42"/>
      <c r="G67" s="5" t="s">
        <v>45</v>
      </c>
      <c r="H67" s="22" t="s">
        <v>159</v>
      </c>
      <c r="I67" s="35">
        <v>26080</v>
      </c>
      <c r="J67" s="35">
        <v>26100</v>
      </c>
      <c r="K67" s="22">
        <v>16</v>
      </c>
      <c r="L67" s="22">
        <v>0</v>
      </c>
      <c r="M67" s="22">
        <v>16</v>
      </c>
      <c r="N67" s="12" t="s">
        <v>9</v>
      </c>
      <c r="O67" s="12"/>
      <c r="P67" s="12"/>
      <c r="Q67" s="13">
        <f>K67*I67</f>
        <v>417280</v>
      </c>
      <c r="R67" s="13">
        <f>L67*I67</f>
        <v>0</v>
      </c>
      <c r="S67" s="13">
        <f>K67*$J$67</f>
        <v>417600</v>
      </c>
      <c r="T67" s="13">
        <f>M67*$J$67</f>
        <v>417600</v>
      </c>
      <c r="U67" s="14" t="s">
        <v>168</v>
      </c>
    </row>
    <row r="68" spans="2:21" ht="12.75" customHeight="1" x14ac:dyDescent="0.15">
      <c r="B68" s="10"/>
      <c r="C68" s="1"/>
      <c r="D68" s="23"/>
      <c r="E68" s="23"/>
      <c r="F68" s="42"/>
      <c r="G68" s="5" t="s">
        <v>45</v>
      </c>
      <c r="H68" s="22" t="s">
        <v>160</v>
      </c>
      <c r="I68" s="35">
        <v>23500</v>
      </c>
      <c r="J68" s="35">
        <v>23510</v>
      </c>
      <c r="K68" s="22">
        <v>111</v>
      </c>
      <c r="L68" s="22">
        <v>0</v>
      </c>
      <c r="M68" s="22">
        <v>111</v>
      </c>
      <c r="N68" s="12" t="s">
        <v>9</v>
      </c>
      <c r="O68" s="12"/>
      <c r="P68" s="12"/>
      <c r="Q68" s="13">
        <f>K68*I68</f>
        <v>2608500</v>
      </c>
      <c r="R68" s="13">
        <f>L68*I68</f>
        <v>0</v>
      </c>
      <c r="S68" s="13">
        <f>K68*$J$68</f>
        <v>2609610</v>
      </c>
      <c r="T68" s="13">
        <f>M68*$J$68</f>
        <v>2609610</v>
      </c>
      <c r="U68" s="14" t="s">
        <v>169</v>
      </c>
    </row>
    <row r="69" spans="2:21" ht="12.75" customHeight="1" x14ac:dyDescent="0.15">
      <c r="B69" s="10"/>
      <c r="C69" s="1"/>
      <c r="D69" s="1"/>
      <c r="E69" s="9"/>
      <c r="F69" s="11" t="s">
        <v>10</v>
      </c>
      <c r="G69" s="5" t="s">
        <v>46</v>
      </c>
      <c r="H69" s="6"/>
      <c r="I69" s="32"/>
      <c r="J69" s="32"/>
      <c r="K69" s="6">
        <v>1</v>
      </c>
      <c r="L69" s="6">
        <v>1</v>
      </c>
      <c r="M69" s="6">
        <v>1</v>
      </c>
      <c r="N69" s="12" t="s">
        <v>28</v>
      </c>
      <c r="O69" s="12"/>
      <c r="P69" s="12"/>
      <c r="Q69" s="24">
        <f t="shared" ref="Q69:T69" si="27">SUM(Q70:Q74)</f>
        <v>3724420</v>
      </c>
      <c r="R69" s="24">
        <f t="shared" si="27"/>
        <v>0</v>
      </c>
      <c r="S69" s="24">
        <f t="shared" si="27"/>
        <v>4357374</v>
      </c>
      <c r="T69" s="24">
        <f t="shared" si="27"/>
        <v>4357374</v>
      </c>
      <c r="U69" s="14"/>
    </row>
    <row r="70" spans="2:21" ht="12.75" customHeight="1" x14ac:dyDescent="0.15">
      <c r="B70" s="10"/>
      <c r="C70" s="1"/>
      <c r="D70" s="1"/>
      <c r="E70" s="9"/>
      <c r="F70" s="11"/>
      <c r="G70" s="22" t="s">
        <v>47</v>
      </c>
      <c r="H70" s="22" t="s">
        <v>53</v>
      </c>
      <c r="I70" s="35">
        <v>101900</v>
      </c>
      <c r="J70" s="35">
        <v>119700</v>
      </c>
      <c r="K70" s="45">
        <v>9.9700000000000006</v>
      </c>
      <c r="L70" s="45">
        <v>0</v>
      </c>
      <c r="M70" s="45">
        <v>9.9700000000000006</v>
      </c>
      <c r="N70" s="12" t="s">
        <v>52</v>
      </c>
      <c r="O70" s="12"/>
      <c r="P70" s="12"/>
      <c r="Q70" s="13">
        <f>K70*I70</f>
        <v>1015943.0000000001</v>
      </c>
      <c r="R70" s="13">
        <f>L70*I70</f>
        <v>0</v>
      </c>
      <c r="S70" s="13">
        <f>K70*$J$70</f>
        <v>1193409</v>
      </c>
      <c r="T70" s="13">
        <f>M70*$J$70</f>
        <v>1193409</v>
      </c>
      <c r="U70" s="14"/>
    </row>
    <row r="71" spans="2:21" ht="12.75" customHeight="1" x14ac:dyDescent="0.15">
      <c r="B71" s="10"/>
      <c r="C71" s="1"/>
      <c r="D71" s="1"/>
      <c r="E71" s="36"/>
      <c r="F71" s="37"/>
      <c r="G71" s="22" t="s">
        <v>47</v>
      </c>
      <c r="H71" s="22" t="s">
        <v>69</v>
      </c>
      <c r="I71" s="35">
        <v>102900</v>
      </c>
      <c r="J71" s="35">
        <v>120700</v>
      </c>
      <c r="K71" s="45">
        <v>1.1000000000000001</v>
      </c>
      <c r="L71" s="45">
        <v>0</v>
      </c>
      <c r="M71" s="45">
        <v>1.1000000000000001</v>
      </c>
      <c r="N71" s="12" t="s">
        <v>52</v>
      </c>
      <c r="O71" s="12"/>
      <c r="P71" s="12"/>
      <c r="Q71" s="13">
        <f>K71*I71</f>
        <v>113190.00000000001</v>
      </c>
      <c r="R71" s="13">
        <f>L71*I71</f>
        <v>0</v>
      </c>
      <c r="S71" s="13">
        <f>K71*$J$71</f>
        <v>132770</v>
      </c>
      <c r="T71" s="13">
        <f>M71*$J$71</f>
        <v>132770</v>
      </c>
      <c r="U71" s="14"/>
    </row>
    <row r="72" spans="2:21" ht="12.75" customHeight="1" x14ac:dyDescent="0.15">
      <c r="B72" s="10"/>
      <c r="C72" s="1"/>
      <c r="D72" s="1"/>
      <c r="E72" s="36"/>
      <c r="F72" s="37"/>
      <c r="G72" s="22" t="s">
        <v>47</v>
      </c>
      <c r="H72" s="22" t="s">
        <v>70</v>
      </c>
      <c r="I72" s="35">
        <v>104900</v>
      </c>
      <c r="J72" s="35">
        <v>122800</v>
      </c>
      <c r="K72" s="45">
        <v>0.93</v>
      </c>
      <c r="L72" s="45">
        <v>0</v>
      </c>
      <c r="M72" s="45">
        <v>0.93</v>
      </c>
      <c r="N72" s="12" t="s">
        <v>52</v>
      </c>
      <c r="O72" s="12"/>
      <c r="P72" s="12"/>
      <c r="Q72" s="13">
        <f>K72*I72</f>
        <v>97557</v>
      </c>
      <c r="R72" s="13">
        <f>L72*I72</f>
        <v>0</v>
      </c>
      <c r="S72" s="13">
        <f>K72*$J$72</f>
        <v>114204</v>
      </c>
      <c r="T72" s="13">
        <f>M72*$J$72</f>
        <v>114204</v>
      </c>
      <c r="U72" s="14"/>
    </row>
    <row r="73" spans="2:21" ht="12.75" customHeight="1" x14ac:dyDescent="0.15">
      <c r="B73" s="10"/>
      <c r="C73" s="1"/>
      <c r="D73" s="1"/>
      <c r="E73" s="36"/>
      <c r="F73" s="37"/>
      <c r="G73" s="22" t="s">
        <v>47</v>
      </c>
      <c r="H73" s="22" t="s">
        <v>71</v>
      </c>
      <c r="I73" s="35">
        <v>106000</v>
      </c>
      <c r="J73" s="35">
        <v>123800</v>
      </c>
      <c r="K73" s="45">
        <v>21.05</v>
      </c>
      <c r="L73" s="45">
        <v>0</v>
      </c>
      <c r="M73" s="45">
        <v>21.05</v>
      </c>
      <c r="N73" s="12" t="s">
        <v>52</v>
      </c>
      <c r="O73" s="12"/>
      <c r="P73" s="12"/>
      <c r="Q73" s="13">
        <f>K73*I73</f>
        <v>2231300</v>
      </c>
      <c r="R73" s="13">
        <f>L73*I73</f>
        <v>0</v>
      </c>
      <c r="S73" s="13">
        <f>K73*$J$73</f>
        <v>2605990</v>
      </c>
      <c r="T73" s="13">
        <f>M73*$J$73</f>
        <v>2605990</v>
      </c>
      <c r="U73" s="14"/>
    </row>
    <row r="74" spans="2:21" ht="12.75" customHeight="1" x14ac:dyDescent="0.15">
      <c r="B74" s="10"/>
      <c r="C74" s="1"/>
      <c r="D74" s="1"/>
      <c r="E74" s="36"/>
      <c r="F74" s="37"/>
      <c r="G74" s="22" t="s">
        <v>47</v>
      </c>
      <c r="H74" s="22" t="s">
        <v>69</v>
      </c>
      <c r="I74" s="35">
        <v>107000</v>
      </c>
      <c r="J74" s="35">
        <v>124900</v>
      </c>
      <c r="K74" s="45">
        <v>2.4900000000000002</v>
      </c>
      <c r="L74" s="45">
        <v>0</v>
      </c>
      <c r="M74" s="45">
        <v>2.4900000000000002</v>
      </c>
      <c r="N74" s="12" t="s">
        <v>52</v>
      </c>
      <c r="O74" s="12"/>
      <c r="P74" s="12"/>
      <c r="Q74" s="13">
        <f>K74*I74</f>
        <v>266430</v>
      </c>
      <c r="R74" s="13">
        <f>L74*I74</f>
        <v>0</v>
      </c>
      <c r="S74" s="13">
        <f>K74*$J$74</f>
        <v>311001</v>
      </c>
      <c r="T74" s="13">
        <f>M74*$J$74</f>
        <v>311001</v>
      </c>
      <c r="U74" s="14"/>
    </row>
    <row r="75" spans="2:21" ht="12.75" customHeight="1" x14ac:dyDescent="0.15">
      <c r="B75" s="10"/>
      <c r="C75" s="1"/>
      <c r="D75" s="1"/>
      <c r="E75" s="9"/>
      <c r="F75" s="11" t="s">
        <v>10</v>
      </c>
      <c r="G75" s="5" t="s">
        <v>26</v>
      </c>
      <c r="H75" s="6"/>
      <c r="I75" s="32"/>
      <c r="J75" s="32"/>
      <c r="K75" s="6">
        <v>1</v>
      </c>
      <c r="L75" s="6">
        <v>1</v>
      </c>
      <c r="M75" s="6">
        <v>1</v>
      </c>
      <c r="N75" s="12" t="s">
        <v>28</v>
      </c>
      <c r="O75" s="12"/>
      <c r="P75" s="12"/>
      <c r="Q75" s="24">
        <f t="shared" ref="Q75:T75" si="28">SUM(Q76:Q79)</f>
        <v>2295742</v>
      </c>
      <c r="R75" s="24">
        <f t="shared" si="28"/>
        <v>0</v>
      </c>
      <c r="S75" s="24">
        <f t="shared" si="28"/>
        <v>2375782</v>
      </c>
      <c r="T75" s="24">
        <f t="shared" si="28"/>
        <v>2375782</v>
      </c>
      <c r="U75" s="14"/>
    </row>
    <row r="76" spans="2:21" ht="12.75" customHeight="1" x14ac:dyDescent="0.15">
      <c r="B76" s="10"/>
      <c r="C76" s="1"/>
      <c r="D76" s="23"/>
      <c r="E76" s="23"/>
      <c r="F76" s="42"/>
      <c r="G76" s="22" t="s">
        <v>26</v>
      </c>
      <c r="H76" s="22" t="s">
        <v>144</v>
      </c>
      <c r="I76" s="35">
        <v>8101</v>
      </c>
      <c r="J76" s="35">
        <v>8308</v>
      </c>
      <c r="K76" s="35">
        <v>100</v>
      </c>
      <c r="L76" s="35">
        <v>0</v>
      </c>
      <c r="M76" s="35">
        <v>100</v>
      </c>
      <c r="N76" s="12" t="s">
        <v>30</v>
      </c>
      <c r="O76" s="12"/>
      <c r="P76" s="12"/>
      <c r="Q76" s="13">
        <f>K76*I76</f>
        <v>810100</v>
      </c>
      <c r="R76" s="13">
        <f>L76*I76</f>
        <v>0</v>
      </c>
      <c r="S76" s="13">
        <f>K76*$J$76</f>
        <v>830800</v>
      </c>
      <c r="T76" s="13">
        <f>M76*$J$76</f>
        <v>830800</v>
      </c>
      <c r="U76" s="14"/>
    </row>
    <row r="77" spans="2:21" ht="12.75" customHeight="1" x14ac:dyDescent="0.15">
      <c r="B77" s="10"/>
      <c r="C77" s="1"/>
      <c r="D77" s="23"/>
      <c r="E77" s="23"/>
      <c r="F77" s="42"/>
      <c r="G77" s="22" t="s">
        <v>26</v>
      </c>
      <c r="H77" s="22" t="s">
        <v>72</v>
      </c>
      <c r="I77" s="35">
        <v>14890</v>
      </c>
      <c r="J77" s="35">
        <v>15240</v>
      </c>
      <c r="K77" s="35">
        <v>43</v>
      </c>
      <c r="L77" s="35">
        <v>0</v>
      </c>
      <c r="M77" s="35">
        <v>43</v>
      </c>
      <c r="N77" s="12" t="s">
        <v>30</v>
      </c>
      <c r="O77" s="12"/>
      <c r="P77" s="12"/>
      <c r="Q77" s="13">
        <f>K77*I77</f>
        <v>640270</v>
      </c>
      <c r="R77" s="13">
        <f>L77*I77</f>
        <v>0</v>
      </c>
      <c r="S77" s="13">
        <f>K77*$J$77</f>
        <v>655320</v>
      </c>
      <c r="T77" s="13">
        <f>M77*$J$77</f>
        <v>655320</v>
      </c>
      <c r="U77" s="14" t="s">
        <v>161</v>
      </c>
    </row>
    <row r="78" spans="2:21" ht="12.75" customHeight="1" x14ac:dyDescent="0.15">
      <c r="B78" s="10"/>
      <c r="C78" s="1"/>
      <c r="D78" s="23"/>
      <c r="E78" s="23"/>
      <c r="F78" s="42"/>
      <c r="G78" s="22" t="s">
        <v>73</v>
      </c>
      <c r="H78" s="22"/>
      <c r="I78" s="35">
        <v>19220</v>
      </c>
      <c r="J78" s="35">
        <v>20250</v>
      </c>
      <c r="K78" s="35">
        <v>43</v>
      </c>
      <c r="L78" s="35">
        <v>0</v>
      </c>
      <c r="M78" s="35">
        <v>43</v>
      </c>
      <c r="N78" s="12" t="s">
        <v>30</v>
      </c>
      <c r="O78" s="12"/>
      <c r="P78" s="12"/>
      <c r="Q78" s="13">
        <f>K78*I78</f>
        <v>826460</v>
      </c>
      <c r="R78" s="13">
        <f>L78*I78</f>
        <v>0</v>
      </c>
      <c r="S78" s="13">
        <f>K78*$J$78</f>
        <v>870750</v>
      </c>
      <c r="T78" s="13">
        <f>M78*$J$78</f>
        <v>870750</v>
      </c>
      <c r="U78" s="14"/>
    </row>
    <row r="79" spans="2:21" ht="12.75" customHeight="1" x14ac:dyDescent="0.15">
      <c r="B79" s="10"/>
      <c r="C79" s="1"/>
      <c r="D79" s="23"/>
      <c r="E79" s="23"/>
      <c r="F79" s="42"/>
      <c r="G79" s="22" t="s">
        <v>81</v>
      </c>
      <c r="H79" s="22"/>
      <c r="I79" s="35">
        <v>1182</v>
      </c>
      <c r="J79" s="35">
        <v>1182</v>
      </c>
      <c r="K79" s="35">
        <v>16</v>
      </c>
      <c r="L79" s="35">
        <v>0</v>
      </c>
      <c r="M79" s="35">
        <v>16</v>
      </c>
      <c r="N79" s="12" t="s">
        <v>30</v>
      </c>
      <c r="O79" s="12"/>
      <c r="P79" s="12"/>
      <c r="Q79" s="13">
        <f>K79*I79</f>
        <v>18912</v>
      </c>
      <c r="R79" s="13">
        <f>L79*I79</f>
        <v>0</v>
      </c>
      <c r="S79" s="13">
        <f>K79*$J$79</f>
        <v>18912</v>
      </c>
      <c r="T79" s="13">
        <f>M79*$J$79</f>
        <v>18912</v>
      </c>
      <c r="U79" s="14" t="s">
        <v>162</v>
      </c>
    </row>
    <row r="80" spans="2:21" ht="12.75" customHeight="1" x14ac:dyDescent="0.15">
      <c r="B80" s="10"/>
      <c r="C80" s="1"/>
      <c r="D80" s="1"/>
      <c r="E80" s="9"/>
      <c r="F80" s="11" t="s">
        <v>10</v>
      </c>
      <c r="G80" s="5" t="s">
        <v>74</v>
      </c>
      <c r="H80" s="6"/>
      <c r="I80" s="32"/>
      <c r="J80" s="32"/>
      <c r="K80" s="6">
        <v>1</v>
      </c>
      <c r="L80" s="6">
        <v>1</v>
      </c>
      <c r="M80" s="6">
        <v>1</v>
      </c>
      <c r="N80" s="12" t="s">
        <v>28</v>
      </c>
      <c r="O80" s="12"/>
      <c r="P80" s="12"/>
      <c r="Q80" s="24">
        <f t="shared" ref="Q80:T80" si="29">SUM(Q81:Q81)</f>
        <v>273720</v>
      </c>
      <c r="R80" s="24">
        <f t="shared" si="29"/>
        <v>0</v>
      </c>
      <c r="S80" s="24">
        <f t="shared" si="29"/>
        <v>278160</v>
      </c>
      <c r="T80" s="24">
        <f t="shared" si="29"/>
        <v>278160</v>
      </c>
      <c r="U80" s="14"/>
    </row>
    <row r="81" spans="2:21" ht="12.75" customHeight="1" x14ac:dyDescent="0.15">
      <c r="B81" s="10"/>
      <c r="C81" s="1"/>
      <c r="D81" s="23"/>
      <c r="E81" s="23"/>
      <c r="F81" s="42"/>
      <c r="G81" s="5" t="s">
        <v>170</v>
      </c>
      <c r="H81" s="22"/>
      <c r="I81" s="35">
        <v>6843</v>
      </c>
      <c r="J81" s="35">
        <v>6954</v>
      </c>
      <c r="K81" s="22">
        <v>40</v>
      </c>
      <c r="L81" s="22">
        <v>0</v>
      </c>
      <c r="M81" s="22">
        <v>40</v>
      </c>
      <c r="N81" s="12" t="s">
        <v>75</v>
      </c>
      <c r="O81" s="12"/>
      <c r="P81" s="12"/>
      <c r="Q81" s="13">
        <f>K81*I81</f>
        <v>273720</v>
      </c>
      <c r="R81" s="13">
        <f>L81*I81</f>
        <v>0</v>
      </c>
      <c r="S81" s="13">
        <f>K81*$J$81</f>
        <v>278160</v>
      </c>
      <c r="T81" s="13">
        <f>M81*$J$81</f>
        <v>278160</v>
      </c>
      <c r="U81" s="14"/>
    </row>
    <row r="82" spans="2:21" ht="12.75" customHeight="1" x14ac:dyDescent="0.15">
      <c r="B82" s="10"/>
      <c r="C82" s="1"/>
      <c r="D82" s="1"/>
      <c r="E82" s="9"/>
      <c r="F82" s="11" t="s">
        <v>10</v>
      </c>
      <c r="G82" s="5" t="s">
        <v>76</v>
      </c>
      <c r="H82" s="6"/>
      <c r="I82" s="32"/>
      <c r="J82" s="32"/>
      <c r="K82" s="6">
        <v>1</v>
      </c>
      <c r="L82" s="6">
        <v>1</v>
      </c>
      <c r="M82" s="6">
        <v>1</v>
      </c>
      <c r="N82" s="12" t="s">
        <v>28</v>
      </c>
      <c r="O82" s="12"/>
      <c r="P82" s="12"/>
      <c r="Q82" s="24">
        <f t="shared" ref="Q82:T82" si="30">SUM(Q83:Q83)</f>
        <v>562940</v>
      </c>
      <c r="R82" s="24">
        <f t="shared" si="30"/>
        <v>0</v>
      </c>
      <c r="S82" s="24">
        <f t="shared" si="30"/>
        <v>563220</v>
      </c>
      <c r="T82" s="24">
        <f t="shared" si="30"/>
        <v>563220</v>
      </c>
      <c r="U82" s="14"/>
    </row>
    <row r="83" spans="2:21" ht="12.75" customHeight="1" x14ac:dyDescent="0.15">
      <c r="B83" s="10"/>
      <c r="C83" s="1"/>
      <c r="D83" s="23"/>
      <c r="E83" s="23"/>
      <c r="F83" s="42"/>
      <c r="G83" s="5" t="s">
        <v>77</v>
      </c>
      <c r="H83" s="22"/>
      <c r="I83" s="35">
        <v>4021</v>
      </c>
      <c r="J83" s="35">
        <v>4023</v>
      </c>
      <c r="K83" s="22">
        <v>140</v>
      </c>
      <c r="L83" s="22">
        <v>0</v>
      </c>
      <c r="M83" s="22">
        <v>140</v>
      </c>
      <c r="N83" s="12" t="s">
        <v>78</v>
      </c>
      <c r="O83" s="12"/>
      <c r="P83" s="12"/>
      <c r="Q83" s="13">
        <f>K83*I83</f>
        <v>562940</v>
      </c>
      <c r="R83" s="13">
        <f>L83*I83</f>
        <v>0</v>
      </c>
      <c r="S83" s="13">
        <f>K83*$J$83</f>
        <v>563220</v>
      </c>
      <c r="T83" s="13">
        <f>M83*$J$83</f>
        <v>563220</v>
      </c>
      <c r="U83" s="14"/>
    </row>
    <row r="84" spans="2:21" ht="12.75" customHeight="1" x14ac:dyDescent="0.15">
      <c r="B84" s="10"/>
      <c r="C84" s="1"/>
      <c r="D84" s="1"/>
      <c r="E84" s="9" t="s">
        <v>11</v>
      </c>
      <c r="F84" s="11" t="s">
        <v>57</v>
      </c>
      <c r="G84" s="5"/>
      <c r="H84" s="6"/>
      <c r="I84" s="32"/>
      <c r="J84" s="32"/>
      <c r="K84" s="6">
        <v>1</v>
      </c>
      <c r="L84" s="6">
        <v>1</v>
      </c>
      <c r="M84" s="6">
        <v>1</v>
      </c>
      <c r="N84" s="12" t="s">
        <v>28</v>
      </c>
      <c r="O84" s="12"/>
      <c r="P84" s="12"/>
      <c r="Q84" s="13">
        <f t="shared" ref="Q84:T84" si="31">+Q85</f>
        <v>12959523</v>
      </c>
      <c r="R84" s="13">
        <f t="shared" si="31"/>
        <v>2219760</v>
      </c>
      <c r="S84" s="13">
        <f t="shared" si="31"/>
        <v>12991764</v>
      </c>
      <c r="T84" s="13">
        <f t="shared" si="31"/>
        <v>10772004</v>
      </c>
      <c r="U84" s="14"/>
    </row>
    <row r="85" spans="2:21" ht="12.75" customHeight="1" x14ac:dyDescent="0.15">
      <c r="B85" s="10"/>
      <c r="C85" s="1"/>
      <c r="D85" s="1"/>
      <c r="E85" s="9"/>
      <c r="F85" s="11" t="s">
        <v>10</v>
      </c>
      <c r="G85" s="5" t="s">
        <v>58</v>
      </c>
      <c r="H85" s="6"/>
      <c r="I85" s="32"/>
      <c r="J85" s="32"/>
      <c r="K85" s="6">
        <v>1</v>
      </c>
      <c r="L85" s="6">
        <v>1</v>
      </c>
      <c r="M85" s="6">
        <v>1</v>
      </c>
      <c r="N85" s="12" t="s">
        <v>28</v>
      </c>
      <c r="O85" s="12"/>
      <c r="P85" s="12"/>
      <c r="Q85" s="24">
        <f t="shared" ref="Q85:T85" si="32">SUM(Q86:Q93)</f>
        <v>12959523</v>
      </c>
      <c r="R85" s="24">
        <f t="shared" si="32"/>
        <v>2219760</v>
      </c>
      <c r="S85" s="24">
        <f t="shared" si="32"/>
        <v>12991764</v>
      </c>
      <c r="T85" s="24">
        <f t="shared" si="32"/>
        <v>10772004</v>
      </c>
      <c r="U85" s="14"/>
    </row>
    <row r="86" spans="2:21" ht="12.75" customHeight="1" x14ac:dyDescent="0.15">
      <c r="B86" s="10"/>
      <c r="C86" s="1"/>
      <c r="D86" s="1"/>
      <c r="E86" s="9"/>
      <c r="F86" s="11"/>
      <c r="G86" s="5" t="s">
        <v>59</v>
      </c>
      <c r="H86" s="22" t="s">
        <v>163</v>
      </c>
      <c r="I86" s="35">
        <v>1761000</v>
      </c>
      <c r="J86" s="35">
        <v>1766000</v>
      </c>
      <c r="K86" s="44">
        <v>6</v>
      </c>
      <c r="L86" s="44">
        <v>0</v>
      </c>
      <c r="M86" s="44">
        <v>6</v>
      </c>
      <c r="N86" s="12" t="s">
        <v>33</v>
      </c>
      <c r="O86" s="12"/>
      <c r="P86" s="12"/>
      <c r="Q86" s="13">
        <f t="shared" ref="Q86:Q93" si="33">K86*I86</f>
        <v>10566000</v>
      </c>
      <c r="R86" s="13">
        <f t="shared" ref="R86:R93" si="34">L86*I86</f>
        <v>0</v>
      </c>
      <c r="S86" s="13">
        <f>K86*$J$86</f>
        <v>10596000</v>
      </c>
      <c r="T86" s="13">
        <f>M86*$J$86</f>
        <v>10596000</v>
      </c>
      <c r="U86" s="14" t="s">
        <v>164</v>
      </c>
    </row>
    <row r="87" spans="2:21" ht="12.75" customHeight="1" x14ac:dyDescent="0.15">
      <c r="B87" s="10"/>
      <c r="C87" s="1"/>
      <c r="D87" s="1"/>
      <c r="E87" s="9"/>
      <c r="F87" s="11"/>
      <c r="G87" s="22" t="s">
        <v>47</v>
      </c>
      <c r="H87" s="22" t="s">
        <v>51</v>
      </c>
      <c r="I87" s="35">
        <v>109500</v>
      </c>
      <c r="J87" s="35">
        <v>127000</v>
      </c>
      <c r="K87" s="45">
        <v>7.0000000000000007E-2</v>
      </c>
      <c r="L87" s="45">
        <v>7.0000000000000007E-2</v>
      </c>
      <c r="M87" s="45">
        <v>0</v>
      </c>
      <c r="N87" s="12" t="s">
        <v>52</v>
      </c>
      <c r="O87" s="12"/>
      <c r="P87" s="12"/>
      <c r="Q87" s="13">
        <f t="shared" si="33"/>
        <v>7665.0000000000009</v>
      </c>
      <c r="R87" s="13">
        <f t="shared" si="34"/>
        <v>7665.0000000000009</v>
      </c>
      <c r="S87" s="13">
        <f>K87*$I$87</f>
        <v>7665.0000000000009</v>
      </c>
      <c r="T87" s="13">
        <f>M87*$J$87</f>
        <v>0</v>
      </c>
      <c r="U87" s="14"/>
    </row>
    <row r="88" spans="2:21" ht="12.75" customHeight="1" x14ac:dyDescent="0.15">
      <c r="B88" s="10"/>
      <c r="C88" s="1"/>
      <c r="D88" s="1"/>
      <c r="E88" s="9"/>
      <c r="F88" s="11"/>
      <c r="G88" s="22" t="s">
        <v>47</v>
      </c>
      <c r="H88" s="22" t="s">
        <v>53</v>
      </c>
      <c r="I88" s="35">
        <v>107500</v>
      </c>
      <c r="J88" s="35">
        <v>125000</v>
      </c>
      <c r="K88" s="45">
        <v>11.07</v>
      </c>
      <c r="L88" s="45">
        <v>11.07</v>
      </c>
      <c r="M88" s="45">
        <v>0</v>
      </c>
      <c r="N88" s="12" t="s">
        <v>52</v>
      </c>
      <c r="O88" s="12"/>
      <c r="P88" s="12"/>
      <c r="Q88" s="13">
        <f t="shared" si="33"/>
        <v>1190025</v>
      </c>
      <c r="R88" s="13">
        <f t="shared" si="34"/>
        <v>1190025</v>
      </c>
      <c r="S88" s="13">
        <f>K88*$I$88</f>
        <v>1190025</v>
      </c>
      <c r="T88" s="13">
        <f>M88*$J$88</f>
        <v>0</v>
      </c>
      <c r="U88" s="14"/>
    </row>
    <row r="89" spans="2:21" ht="12.75" customHeight="1" x14ac:dyDescent="0.15">
      <c r="B89" s="10"/>
      <c r="C89" s="1"/>
      <c r="D89" s="1"/>
      <c r="E89" s="9"/>
      <c r="F89" s="11"/>
      <c r="G89" s="22" t="s">
        <v>47</v>
      </c>
      <c r="H89" s="22" t="s">
        <v>69</v>
      </c>
      <c r="I89" s="35">
        <v>108500</v>
      </c>
      <c r="J89" s="35">
        <v>126000</v>
      </c>
      <c r="K89" s="45">
        <v>9.42</v>
      </c>
      <c r="L89" s="45">
        <v>9.42</v>
      </c>
      <c r="M89" s="45">
        <v>0</v>
      </c>
      <c r="N89" s="12" t="s">
        <v>52</v>
      </c>
      <c r="O89" s="12"/>
      <c r="P89" s="12"/>
      <c r="Q89" s="13">
        <f t="shared" si="33"/>
        <v>1022070</v>
      </c>
      <c r="R89" s="13">
        <f t="shared" si="34"/>
        <v>1022070</v>
      </c>
      <c r="S89" s="13">
        <f>K89*$I$89</f>
        <v>1022070</v>
      </c>
      <c r="T89" s="13">
        <f>M89*$J$89</f>
        <v>0</v>
      </c>
      <c r="U89" s="14"/>
    </row>
    <row r="90" spans="2:21" ht="12.75" customHeight="1" x14ac:dyDescent="0.15">
      <c r="B90" s="10"/>
      <c r="C90" s="1"/>
      <c r="D90" s="1"/>
      <c r="E90" s="9"/>
      <c r="F90" s="11"/>
      <c r="G90" s="22" t="s">
        <v>60</v>
      </c>
      <c r="H90" s="22"/>
      <c r="I90" s="35">
        <f>Q240</f>
        <v>0</v>
      </c>
      <c r="J90" s="35">
        <f>S240</f>
        <v>0</v>
      </c>
      <c r="K90" s="45">
        <v>1</v>
      </c>
      <c r="L90" s="45">
        <v>0</v>
      </c>
      <c r="M90" s="45">
        <v>1</v>
      </c>
      <c r="N90" s="12" t="s">
        <v>28</v>
      </c>
      <c r="O90" s="12"/>
      <c r="P90" s="12"/>
      <c r="Q90" s="13">
        <f t="shared" si="33"/>
        <v>0</v>
      </c>
      <c r="R90" s="13">
        <f t="shared" si="34"/>
        <v>0</v>
      </c>
      <c r="S90" s="13">
        <f>K90*$J$90</f>
        <v>0</v>
      </c>
      <c r="T90" s="13">
        <f>M90*$J$90</f>
        <v>0</v>
      </c>
      <c r="U90" s="22" t="s">
        <v>131</v>
      </c>
    </row>
    <row r="91" spans="2:21" ht="12.75" customHeight="1" x14ac:dyDescent="0.15">
      <c r="B91" s="10"/>
      <c r="C91" s="1"/>
      <c r="D91" s="1"/>
      <c r="E91" s="9"/>
      <c r="F91" s="11"/>
      <c r="G91" s="22" t="s">
        <v>61</v>
      </c>
      <c r="H91" s="22" t="s">
        <v>79</v>
      </c>
      <c r="I91" s="35">
        <v>860</v>
      </c>
      <c r="J91" s="35">
        <v>899</v>
      </c>
      <c r="K91" s="46">
        <v>48</v>
      </c>
      <c r="L91" s="46">
        <v>0</v>
      </c>
      <c r="M91" s="46">
        <v>48</v>
      </c>
      <c r="N91" s="12" t="s">
        <v>63</v>
      </c>
      <c r="O91" s="12"/>
      <c r="P91" s="12"/>
      <c r="Q91" s="13">
        <f t="shared" si="33"/>
        <v>41280</v>
      </c>
      <c r="R91" s="13">
        <f t="shared" si="34"/>
        <v>0</v>
      </c>
      <c r="S91" s="13">
        <f>K91*$J$91</f>
        <v>43152</v>
      </c>
      <c r="T91" s="13">
        <f>M91*$J$91</f>
        <v>43152</v>
      </c>
      <c r="U91" s="14"/>
    </row>
    <row r="92" spans="2:21" ht="12.75" customHeight="1" x14ac:dyDescent="0.15">
      <c r="B92" s="10"/>
      <c r="C92" s="1"/>
      <c r="D92" s="1"/>
      <c r="E92" s="9"/>
      <c r="F92" s="11"/>
      <c r="G92" s="22" t="s">
        <v>64</v>
      </c>
      <c r="H92" s="22"/>
      <c r="I92" s="35">
        <v>21570</v>
      </c>
      <c r="J92" s="35">
        <v>21630</v>
      </c>
      <c r="K92" s="46">
        <v>6</v>
      </c>
      <c r="L92" s="46">
        <v>0</v>
      </c>
      <c r="M92" s="46">
        <v>6</v>
      </c>
      <c r="N92" s="12" t="s">
        <v>33</v>
      </c>
      <c r="O92" s="12"/>
      <c r="P92" s="12"/>
      <c r="Q92" s="13">
        <f t="shared" si="33"/>
        <v>129420</v>
      </c>
      <c r="R92" s="13">
        <f t="shared" si="34"/>
        <v>0</v>
      </c>
      <c r="S92" s="13">
        <f>K92*$J$92</f>
        <v>129780</v>
      </c>
      <c r="T92" s="13">
        <f>M92*$J$92</f>
        <v>129780</v>
      </c>
      <c r="U92" s="14"/>
    </row>
    <row r="93" spans="2:21" ht="12.75" customHeight="1" x14ac:dyDescent="0.15">
      <c r="B93" s="10"/>
      <c r="C93" s="1"/>
      <c r="D93" s="1"/>
      <c r="E93" s="9"/>
      <c r="F93" s="11"/>
      <c r="G93" s="22" t="s">
        <v>65</v>
      </c>
      <c r="H93" s="22"/>
      <c r="I93" s="35">
        <v>1021</v>
      </c>
      <c r="J93" s="35">
        <v>1024</v>
      </c>
      <c r="K93" s="45">
        <v>3</v>
      </c>
      <c r="L93" s="45">
        <v>0</v>
      </c>
      <c r="M93" s="45">
        <v>3</v>
      </c>
      <c r="N93" s="12" t="s">
        <v>9</v>
      </c>
      <c r="O93" s="12"/>
      <c r="P93" s="12"/>
      <c r="Q93" s="13">
        <f t="shared" si="33"/>
        <v>3063</v>
      </c>
      <c r="R93" s="13">
        <f t="shared" si="34"/>
        <v>0</v>
      </c>
      <c r="S93" s="13">
        <f>K93*$J$93</f>
        <v>3072</v>
      </c>
      <c r="T93" s="13">
        <f>M93*$J$93</f>
        <v>3072</v>
      </c>
      <c r="U93" s="14" t="s">
        <v>152</v>
      </c>
    </row>
    <row r="94" spans="2:21" ht="12.75" customHeight="1" x14ac:dyDescent="0.15">
      <c r="B94" s="10"/>
      <c r="C94" s="1"/>
      <c r="D94" s="1"/>
      <c r="E94" s="9" t="s">
        <v>11</v>
      </c>
      <c r="F94" s="11" t="s">
        <v>67</v>
      </c>
      <c r="G94" s="5"/>
      <c r="H94" s="6"/>
      <c r="I94" s="32"/>
      <c r="J94" s="32"/>
      <c r="K94" s="6">
        <v>1</v>
      </c>
      <c r="L94" s="6">
        <v>1</v>
      </c>
      <c r="M94" s="6">
        <v>1</v>
      </c>
      <c r="N94" s="12" t="s">
        <v>28</v>
      </c>
      <c r="O94" s="12"/>
      <c r="P94" s="12"/>
      <c r="Q94" s="13">
        <f t="shared" ref="Q94:T94" si="35">SUM(Q95,Q97,Q99,Q101,Q103,Q105,Q107,Q110,Q114,Q121,Q126,Q128)</f>
        <v>16274032</v>
      </c>
      <c r="R94" s="13">
        <f t="shared" si="35"/>
        <v>0</v>
      </c>
      <c r="S94" s="13">
        <f t="shared" si="35"/>
        <v>17428124</v>
      </c>
      <c r="T94" s="13">
        <f t="shared" si="35"/>
        <v>17428124</v>
      </c>
      <c r="U94" s="14" t="s">
        <v>195</v>
      </c>
    </row>
    <row r="95" spans="2:21" ht="12.75" customHeight="1" x14ac:dyDescent="0.15">
      <c r="B95" s="10"/>
      <c r="C95" s="1"/>
      <c r="D95" s="1"/>
      <c r="E95" s="9"/>
      <c r="F95" s="11" t="s">
        <v>10</v>
      </c>
      <c r="G95" s="5" t="s">
        <v>39</v>
      </c>
      <c r="H95" s="6"/>
      <c r="I95" s="32"/>
      <c r="J95" s="32"/>
      <c r="K95" s="6">
        <v>1</v>
      </c>
      <c r="L95" s="6">
        <v>1</v>
      </c>
      <c r="M95" s="6">
        <v>1</v>
      </c>
      <c r="N95" s="12" t="s">
        <v>28</v>
      </c>
      <c r="O95" s="12"/>
      <c r="P95" s="12"/>
      <c r="Q95" s="24">
        <f t="shared" ref="Q95:T95" si="36">SUM(Q96:Q96)</f>
        <v>69160</v>
      </c>
      <c r="R95" s="24">
        <f t="shared" si="36"/>
        <v>0</v>
      </c>
      <c r="S95" s="24">
        <f t="shared" si="36"/>
        <v>70200</v>
      </c>
      <c r="T95" s="24">
        <f t="shared" si="36"/>
        <v>70200</v>
      </c>
      <c r="U95" s="14"/>
    </row>
    <row r="96" spans="2:21" ht="12.75" customHeight="1" x14ac:dyDescent="0.15">
      <c r="B96" s="10"/>
      <c r="C96" s="1"/>
      <c r="D96" s="23"/>
      <c r="E96" s="23"/>
      <c r="F96" s="42"/>
      <c r="G96" s="22" t="s">
        <v>39</v>
      </c>
      <c r="H96" s="22" t="s">
        <v>134</v>
      </c>
      <c r="I96" s="35">
        <v>266</v>
      </c>
      <c r="J96" s="35">
        <v>270</v>
      </c>
      <c r="K96" s="22">
        <v>260</v>
      </c>
      <c r="L96" s="22">
        <v>0</v>
      </c>
      <c r="M96" s="22">
        <v>260</v>
      </c>
      <c r="N96" s="12" t="s">
        <v>9</v>
      </c>
      <c r="O96" s="12"/>
      <c r="P96" s="12"/>
      <c r="Q96" s="13">
        <f>K96*I96</f>
        <v>69160</v>
      </c>
      <c r="R96" s="13">
        <f>L96*I96</f>
        <v>0</v>
      </c>
      <c r="S96" s="13">
        <f>K96*$J$96</f>
        <v>70200</v>
      </c>
      <c r="T96" s="13">
        <f>M96*$J$96</f>
        <v>70200</v>
      </c>
      <c r="U96" s="14"/>
    </row>
    <row r="97" spans="2:21" ht="12.75" customHeight="1" x14ac:dyDescent="0.15">
      <c r="B97" s="10"/>
      <c r="C97" s="1"/>
      <c r="D97" s="1"/>
      <c r="E97" s="9"/>
      <c r="F97" s="11" t="s">
        <v>10</v>
      </c>
      <c r="G97" s="5" t="s">
        <v>8</v>
      </c>
      <c r="H97" s="6"/>
      <c r="I97" s="32"/>
      <c r="J97" s="32"/>
      <c r="K97" s="6">
        <v>1</v>
      </c>
      <c r="L97" s="6">
        <v>1</v>
      </c>
      <c r="M97" s="6">
        <v>1</v>
      </c>
      <c r="N97" s="12" t="s">
        <v>28</v>
      </c>
      <c r="O97" s="12"/>
      <c r="P97" s="12"/>
      <c r="Q97" s="24">
        <f t="shared" ref="Q97:T97" si="37">SUM(Q98:Q98)</f>
        <v>246450</v>
      </c>
      <c r="R97" s="24">
        <f t="shared" si="37"/>
        <v>0</v>
      </c>
      <c r="S97" s="24">
        <f t="shared" si="37"/>
        <v>247650</v>
      </c>
      <c r="T97" s="24">
        <f t="shared" si="37"/>
        <v>247650</v>
      </c>
      <c r="U97" s="14"/>
    </row>
    <row r="98" spans="2:21" ht="12.75" customHeight="1" x14ac:dyDescent="0.15">
      <c r="B98" s="10"/>
      <c r="C98" s="1"/>
      <c r="D98" s="23"/>
      <c r="E98" s="23"/>
      <c r="F98" s="42"/>
      <c r="G98" s="22" t="s">
        <v>8</v>
      </c>
      <c r="H98" s="22"/>
      <c r="I98" s="35">
        <v>1643</v>
      </c>
      <c r="J98" s="35">
        <v>1651</v>
      </c>
      <c r="K98" s="22">
        <v>150</v>
      </c>
      <c r="L98" s="22">
        <v>0</v>
      </c>
      <c r="M98" s="22">
        <v>150</v>
      </c>
      <c r="N98" s="12" t="s">
        <v>9</v>
      </c>
      <c r="O98" s="12"/>
      <c r="P98" s="12"/>
      <c r="Q98" s="13">
        <f>K98*I98</f>
        <v>246450</v>
      </c>
      <c r="R98" s="13">
        <f>L98*I98</f>
        <v>0</v>
      </c>
      <c r="S98" s="13">
        <f>K98*$J$98</f>
        <v>247650</v>
      </c>
      <c r="T98" s="13">
        <f>M98*$J$98</f>
        <v>247650</v>
      </c>
      <c r="U98" s="14"/>
    </row>
    <row r="99" spans="2:21" ht="12.75" customHeight="1" x14ac:dyDescent="0.15">
      <c r="B99" s="10"/>
      <c r="C99" s="1"/>
      <c r="D99" s="1"/>
      <c r="E99" s="9"/>
      <c r="F99" s="11" t="s">
        <v>10</v>
      </c>
      <c r="G99" s="5" t="s">
        <v>40</v>
      </c>
      <c r="H99" s="6"/>
      <c r="I99" s="32"/>
      <c r="J99" s="32"/>
      <c r="K99" s="6">
        <v>1</v>
      </c>
      <c r="L99" s="6">
        <v>1</v>
      </c>
      <c r="M99" s="6">
        <v>1</v>
      </c>
      <c r="N99" s="12" t="s">
        <v>28</v>
      </c>
      <c r="O99" s="12"/>
      <c r="P99" s="12"/>
      <c r="Q99" s="24">
        <f t="shared" ref="Q99:T99" si="38">SUM(Q100:Q100)</f>
        <v>20150</v>
      </c>
      <c r="R99" s="24">
        <f t="shared" si="38"/>
        <v>0</v>
      </c>
      <c r="S99" s="24">
        <f t="shared" si="38"/>
        <v>20150</v>
      </c>
      <c r="T99" s="24">
        <f t="shared" si="38"/>
        <v>20150</v>
      </c>
      <c r="U99" s="14"/>
    </row>
    <row r="100" spans="2:21" ht="12.75" customHeight="1" x14ac:dyDescent="0.15">
      <c r="B100" s="10"/>
      <c r="C100" s="1"/>
      <c r="D100" s="23"/>
      <c r="E100" s="23"/>
      <c r="F100" s="42"/>
      <c r="G100" s="5" t="s">
        <v>40</v>
      </c>
      <c r="H100" s="22"/>
      <c r="I100" s="35">
        <v>403</v>
      </c>
      <c r="J100" s="35">
        <v>403</v>
      </c>
      <c r="K100" s="22">
        <v>50</v>
      </c>
      <c r="L100" s="22">
        <v>0</v>
      </c>
      <c r="M100" s="22">
        <v>50</v>
      </c>
      <c r="N100" s="12" t="s">
        <v>30</v>
      </c>
      <c r="O100" s="12"/>
      <c r="P100" s="12"/>
      <c r="Q100" s="13">
        <f>K100*I100</f>
        <v>20150</v>
      </c>
      <c r="R100" s="13">
        <f>L100*I100</f>
        <v>0</v>
      </c>
      <c r="S100" s="13">
        <f>K100*$J$100</f>
        <v>20150</v>
      </c>
      <c r="T100" s="13">
        <f>M100*$J$100</f>
        <v>20150</v>
      </c>
      <c r="U100" s="14"/>
    </row>
    <row r="101" spans="2:21" ht="12.75" customHeight="1" x14ac:dyDescent="0.15">
      <c r="B101" s="10"/>
      <c r="C101" s="1"/>
      <c r="D101" s="1"/>
      <c r="E101" s="9"/>
      <c r="F101" s="11" t="s">
        <v>10</v>
      </c>
      <c r="G101" s="5" t="s">
        <v>41</v>
      </c>
      <c r="H101" s="6"/>
      <c r="I101" s="32"/>
      <c r="J101" s="32"/>
      <c r="K101" s="6">
        <v>1</v>
      </c>
      <c r="L101" s="6">
        <v>1</v>
      </c>
      <c r="M101" s="6">
        <v>1</v>
      </c>
      <c r="N101" s="12" t="s">
        <v>28</v>
      </c>
      <c r="O101" s="12"/>
      <c r="P101" s="12"/>
      <c r="Q101" s="24">
        <f t="shared" ref="Q101:T101" si="39">SUM(Q102:Q102)</f>
        <v>142470</v>
      </c>
      <c r="R101" s="24">
        <f t="shared" si="39"/>
        <v>0</v>
      </c>
      <c r="S101" s="24">
        <f t="shared" si="39"/>
        <v>145170</v>
      </c>
      <c r="T101" s="24">
        <f t="shared" si="39"/>
        <v>145170</v>
      </c>
      <c r="U101" s="14"/>
    </row>
    <row r="102" spans="2:21" ht="12.75" customHeight="1" x14ac:dyDescent="0.15">
      <c r="B102" s="10"/>
      <c r="C102" s="1"/>
      <c r="D102" s="23"/>
      <c r="E102" s="23"/>
      <c r="F102" s="42"/>
      <c r="G102" s="5" t="s">
        <v>41</v>
      </c>
      <c r="H102" s="22"/>
      <c r="I102" s="35">
        <v>1583</v>
      </c>
      <c r="J102" s="35">
        <v>1613</v>
      </c>
      <c r="K102" s="22">
        <v>90</v>
      </c>
      <c r="L102" s="22">
        <v>0</v>
      </c>
      <c r="M102" s="22">
        <v>90</v>
      </c>
      <c r="N102" s="12" t="s">
        <v>9</v>
      </c>
      <c r="O102" s="12"/>
      <c r="P102" s="12"/>
      <c r="Q102" s="13">
        <f>K102*I102</f>
        <v>142470</v>
      </c>
      <c r="R102" s="13">
        <f>L102*I102</f>
        <v>0</v>
      </c>
      <c r="S102" s="13">
        <f>K102*$J$102</f>
        <v>145170</v>
      </c>
      <c r="T102" s="13">
        <f>M102*$J$102</f>
        <v>145170</v>
      </c>
      <c r="U102" s="14" t="s">
        <v>137</v>
      </c>
    </row>
    <row r="103" spans="2:21" ht="12.75" customHeight="1" x14ac:dyDescent="0.15">
      <c r="B103" s="10"/>
      <c r="C103" s="1"/>
      <c r="D103" s="1"/>
      <c r="E103" s="9"/>
      <c r="F103" s="11" t="s">
        <v>10</v>
      </c>
      <c r="G103" s="5" t="s">
        <v>42</v>
      </c>
      <c r="H103" s="6"/>
      <c r="I103" s="32"/>
      <c r="J103" s="32"/>
      <c r="K103" s="6">
        <v>1</v>
      </c>
      <c r="L103" s="6">
        <v>1</v>
      </c>
      <c r="M103" s="6">
        <v>1</v>
      </c>
      <c r="N103" s="12" t="s">
        <v>28</v>
      </c>
      <c r="O103" s="12"/>
      <c r="P103" s="12"/>
      <c r="Q103" s="24">
        <f t="shared" ref="Q103:T103" si="40">SUM(Q104:Q104)</f>
        <v>294480</v>
      </c>
      <c r="R103" s="24">
        <f t="shared" si="40"/>
        <v>0</v>
      </c>
      <c r="S103" s="24">
        <f t="shared" si="40"/>
        <v>294480</v>
      </c>
      <c r="T103" s="24">
        <f t="shared" si="40"/>
        <v>294480</v>
      </c>
      <c r="U103" s="14"/>
    </row>
    <row r="104" spans="2:21" ht="12.75" customHeight="1" x14ac:dyDescent="0.15">
      <c r="B104" s="10"/>
      <c r="C104" s="1"/>
      <c r="D104" s="23"/>
      <c r="E104" s="23"/>
      <c r="F104" s="42"/>
      <c r="G104" s="5" t="s">
        <v>42</v>
      </c>
      <c r="H104" s="22" t="s">
        <v>138</v>
      </c>
      <c r="I104" s="35">
        <v>3272</v>
      </c>
      <c r="J104" s="35">
        <v>3272</v>
      </c>
      <c r="K104" s="22">
        <v>90</v>
      </c>
      <c r="L104" s="22">
        <v>0</v>
      </c>
      <c r="M104" s="22">
        <v>90</v>
      </c>
      <c r="N104" s="12" t="s">
        <v>9</v>
      </c>
      <c r="O104" s="12" t="s">
        <v>124</v>
      </c>
      <c r="P104" s="12"/>
      <c r="Q104" s="13">
        <f>K104*I104</f>
        <v>294480</v>
      </c>
      <c r="R104" s="13">
        <f>L104*I104</f>
        <v>0</v>
      </c>
      <c r="S104" s="13">
        <f>K104*$J$104</f>
        <v>294480</v>
      </c>
      <c r="T104" s="13">
        <f>M104*$J$104</f>
        <v>294480</v>
      </c>
      <c r="U104" s="14"/>
    </row>
    <row r="105" spans="2:21" ht="12.75" customHeight="1" x14ac:dyDescent="0.15">
      <c r="B105" s="10"/>
      <c r="C105" s="1"/>
      <c r="D105" s="1"/>
      <c r="E105" s="9"/>
      <c r="F105" s="11" t="s">
        <v>10</v>
      </c>
      <c r="G105" s="5" t="s">
        <v>80</v>
      </c>
      <c r="H105" s="6"/>
      <c r="I105" s="32"/>
      <c r="J105" s="32"/>
      <c r="K105" s="6">
        <v>1</v>
      </c>
      <c r="L105" s="6">
        <v>1</v>
      </c>
      <c r="M105" s="6">
        <v>1</v>
      </c>
      <c r="N105" s="12" t="s">
        <v>28</v>
      </c>
      <c r="O105" s="12"/>
      <c r="P105" s="12"/>
      <c r="Q105" s="24">
        <f t="shared" ref="Q105:T105" si="41">SUM(Q106)</f>
        <v>66275</v>
      </c>
      <c r="R105" s="24">
        <f t="shared" si="41"/>
        <v>0</v>
      </c>
      <c r="S105" s="24">
        <f t="shared" si="41"/>
        <v>66605</v>
      </c>
      <c r="T105" s="24">
        <f t="shared" si="41"/>
        <v>66605</v>
      </c>
      <c r="U105" s="14"/>
    </row>
    <row r="106" spans="2:21" ht="12.75" customHeight="1" x14ac:dyDescent="0.15">
      <c r="B106" s="10"/>
      <c r="C106" s="1"/>
      <c r="D106" s="23"/>
      <c r="E106" s="23"/>
      <c r="F106" s="42"/>
      <c r="G106" s="22" t="s">
        <v>25</v>
      </c>
      <c r="H106" s="22" t="s">
        <v>154</v>
      </c>
      <c r="I106" s="35">
        <v>1205</v>
      </c>
      <c r="J106" s="35">
        <v>1211</v>
      </c>
      <c r="K106" s="22">
        <v>55</v>
      </c>
      <c r="L106" s="22">
        <v>0</v>
      </c>
      <c r="M106" s="22">
        <v>55</v>
      </c>
      <c r="N106" s="12" t="s">
        <v>30</v>
      </c>
      <c r="O106" s="12"/>
      <c r="P106" s="12"/>
      <c r="Q106" s="13">
        <f>K106*I106</f>
        <v>66275</v>
      </c>
      <c r="R106" s="13">
        <f>L106*I106</f>
        <v>0</v>
      </c>
      <c r="S106" s="13">
        <f>K106*$J$106</f>
        <v>66605</v>
      </c>
      <c r="T106" s="13">
        <f>M106*$J$106</f>
        <v>66605</v>
      </c>
      <c r="U106" s="14" t="s">
        <v>165</v>
      </c>
    </row>
    <row r="107" spans="2:21" ht="12.75" customHeight="1" x14ac:dyDescent="0.15">
      <c r="B107" s="10"/>
      <c r="C107" s="1"/>
      <c r="D107" s="1"/>
      <c r="E107" s="9"/>
      <c r="F107" s="11" t="s">
        <v>10</v>
      </c>
      <c r="G107" s="5" t="s">
        <v>68</v>
      </c>
      <c r="H107" s="6"/>
      <c r="I107" s="32"/>
      <c r="J107" s="32"/>
      <c r="K107" s="6">
        <v>1</v>
      </c>
      <c r="L107" s="6">
        <v>1</v>
      </c>
      <c r="M107" s="6">
        <v>1</v>
      </c>
      <c r="N107" s="12" t="s">
        <v>28</v>
      </c>
      <c r="O107" s="12"/>
      <c r="P107" s="12"/>
      <c r="Q107" s="24">
        <f t="shared" ref="Q107:T107" si="42">SUM(Q108:Q109)</f>
        <v>176848</v>
      </c>
      <c r="R107" s="24">
        <f t="shared" si="42"/>
        <v>0</v>
      </c>
      <c r="S107" s="24">
        <f t="shared" si="42"/>
        <v>177676</v>
      </c>
      <c r="T107" s="24">
        <f t="shared" si="42"/>
        <v>177676</v>
      </c>
      <c r="U107" s="14"/>
    </row>
    <row r="108" spans="2:21" ht="12.75" customHeight="1" x14ac:dyDescent="0.15">
      <c r="B108" s="10"/>
      <c r="C108" s="1"/>
      <c r="D108" s="23"/>
      <c r="E108" s="23"/>
      <c r="F108" s="42"/>
      <c r="G108" s="22" t="s">
        <v>45</v>
      </c>
      <c r="H108" s="22" t="s">
        <v>156</v>
      </c>
      <c r="I108" s="35">
        <v>32900</v>
      </c>
      <c r="J108" s="35">
        <v>32990</v>
      </c>
      <c r="K108" s="22">
        <v>5</v>
      </c>
      <c r="L108" s="22">
        <v>0</v>
      </c>
      <c r="M108" s="22">
        <v>5</v>
      </c>
      <c r="N108" s="12" t="s">
        <v>9</v>
      </c>
      <c r="O108" s="12"/>
      <c r="P108" s="12"/>
      <c r="Q108" s="13">
        <f>K108*I108</f>
        <v>164500</v>
      </c>
      <c r="R108" s="13">
        <f>L108*I108</f>
        <v>0</v>
      </c>
      <c r="S108" s="13">
        <f>K108*$J$108</f>
        <v>164950</v>
      </c>
      <c r="T108" s="13">
        <f>M108*$J$108</f>
        <v>164950</v>
      </c>
      <c r="U108" s="14" t="s">
        <v>155</v>
      </c>
    </row>
    <row r="109" spans="2:21" ht="12.75" customHeight="1" x14ac:dyDescent="0.15">
      <c r="B109" s="10"/>
      <c r="C109" s="1"/>
      <c r="D109" s="1"/>
      <c r="E109" s="9"/>
      <c r="F109" s="11"/>
      <c r="G109" s="22" t="s">
        <v>26</v>
      </c>
      <c r="H109" s="22" t="s">
        <v>144</v>
      </c>
      <c r="I109" s="35">
        <v>4116</v>
      </c>
      <c r="J109" s="35">
        <v>4242</v>
      </c>
      <c r="K109" s="6">
        <v>3</v>
      </c>
      <c r="L109" s="6">
        <v>0</v>
      </c>
      <c r="M109" s="6">
        <v>3</v>
      </c>
      <c r="N109" s="12" t="s">
        <v>9</v>
      </c>
      <c r="O109" s="12"/>
      <c r="P109" s="12"/>
      <c r="Q109" s="13">
        <f>K109*I109</f>
        <v>12348</v>
      </c>
      <c r="R109" s="13">
        <f>L109*I109</f>
        <v>0</v>
      </c>
      <c r="S109" s="13">
        <f>K109*$J$109</f>
        <v>12726</v>
      </c>
      <c r="T109" s="13">
        <f>M109*$J$109</f>
        <v>12726</v>
      </c>
      <c r="U109" s="14" t="s">
        <v>157</v>
      </c>
    </row>
    <row r="110" spans="2:21" ht="12.75" customHeight="1" x14ac:dyDescent="0.15">
      <c r="B110" s="10"/>
      <c r="C110" s="1"/>
      <c r="D110" s="1"/>
      <c r="E110" s="9"/>
      <c r="F110" s="11" t="s">
        <v>10</v>
      </c>
      <c r="G110" s="5" t="s">
        <v>45</v>
      </c>
      <c r="H110" s="6"/>
      <c r="I110" s="32"/>
      <c r="J110" s="32"/>
      <c r="K110" s="6">
        <v>1</v>
      </c>
      <c r="L110" s="6">
        <v>1</v>
      </c>
      <c r="M110" s="6">
        <v>1</v>
      </c>
      <c r="N110" s="12" t="s">
        <v>28</v>
      </c>
      <c r="O110" s="12"/>
      <c r="P110" s="12"/>
      <c r="Q110" s="24">
        <f t="shared" ref="Q110:T110" si="43">SUM(Q111:Q113)</f>
        <v>5132200</v>
      </c>
      <c r="R110" s="24">
        <f t="shared" si="43"/>
        <v>0</v>
      </c>
      <c r="S110" s="24">
        <f t="shared" si="43"/>
        <v>5135110</v>
      </c>
      <c r="T110" s="24">
        <f t="shared" si="43"/>
        <v>5135110</v>
      </c>
      <c r="U110" s="14"/>
    </row>
    <row r="111" spans="2:21" ht="12.75" customHeight="1" x14ac:dyDescent="0.15">
      <c r="B111" s="10"/>
      <c r="C111" s="1"/>
      <c r="D111" s="23"/>
      <c r="E111" s="23"/>
      <c r="F111" s="42"/>
      <c r="G111" s="5" t="s">
        <v>45</v>
      </c>
      <c r="H111" s="22" t="s">
        <v>158</v>
      </c>
      <c r="I111" s="35">
        <v>29610</v>
      </c>
      <c r="J111" s="35">
        <v>29630</v>
      </c>
      <c r="K111" s="22">
        <v>50</v>
      </c>
      <c r="L111" s="22">
        <v>0</v>
      </c>
      <c r="M111" s="22">
        <v>50</v>
      </c>
      <c r="N111" s="12" t="s">
        <v>9</v>
      </c>
      <c r="O111" s="12"/>
      <c r="P111" s="12"/>
      <c r="Q111" s="13">
        <f>K111*I111</f>
        <v>1480500</v>
      </c>
      <c r="R111" s="13">
        <f>L111*I111</f>
        <v>0</v>
      </c>
      <c r="S111" s="13">
        <f>K111*$J$111</f>
        <v>1481500</v>
      </c>
      <c r="T111" s="13">
        <f>M111*$J$111</f>
        <v>1481500</v>
      </c>
      <c r="U111" s="14" t="s">
        <v>167</v>
      </c>
    </row>
    <row r="112" spans="2:21" ht="12.75" customHeight="1" x14ac:dyDescent="0.15">
      <c r="B112" s="10"/>
      <c r="C112" s="1"/>
      <c r="D112" s="23"/>
      <c r="E112" s="23"/>
      <c r="F112" s="42"/>
      <c r="G112" s="5" t="s">
        <v>45</v>
      </c>
      <c r="H112" s="22" t="s">
        <v>159</v>
      </c>
      <c r="I112" s="35">
        <v>26080</v>
      </c>
      <c r="J112" s="35">
        <v>26100</v>
      </c>
      <c r="K112" s="22">
        <v>40</v>
      </c>
      <c r="L112" s="22">
        <v>0</v>
      </c>
      <c r="M112" s="22">
        <v>40</v>
      </c>
      <c r="N112" s="12" t="s">
        <v>9</v>
      </c>
      <c r="O112" s="12"/>
      <c r="P112" s="12"/>
      <c r="Q112" s="13">
        <f>K112*I112</f>
        <v>1043200</v>
      </c>
      <c r="R112" s="13">
        <f>L112*I112</f>
        <v>0</v>
      </c>
      <c r="S112" s="13">
        <f>K112*$J$112</f>
        <v>1044000</v>
      </c>
      <c r="T112" s="13">
        <f>M112*$J$112</f>
        <v>1044000</v>
      </c>
      <c r="U112" s="14" t="s">
        <v>168</v>
      </c>
    </row>
    <row r="113" spans="2:21" ht="12.75" customHeight="1" x14ac:dyDescent="0.15">
      <c r="B113" s="10"/>
      <c r="C113" s="1"/>
      <c r="D113" s="23"/>
      <c r="E113" s="23"/>
      <c r="F113" s="42"/>
      <c r="G113" s="5" t="s">
        <v>45</v>
      </c>
      <c r="H113" s="22" t="s">
        <v>160</v>
      </c>
      <c r="I113" s="35">
        <v>23500</v>
      </c>
      <c r="J113" s="35">
        <v>23510</v>
      </c>
      <c r="K113" s="22">
        <v>111</v>
      </c>
      <c r="L113" s="22">
        <v>0</v>
      </c>
      <c r="M113" s="22">
        <v>111</v>
      </c>
      <c r="N113" s="12" t="s">
        <v>9</v>
      </c>
      <c r="O113" s="12"/>
      <c r="P113" s="12"/>
      <c r="Q113" s="13">
        <f>K113*I113</f>
        <v>2608500</v>
      </c>
      <c r="R113" s="13">
        <f>L113*I113</f>
        <v>0</v>
      </c>
      <c r="S113" s="13">
        <f>K113*$J$113</f>
        <v>2609610</v>
      </c>
      <c r="T113" s="13">
        <f>M113*$J$113</f>
        <v>2609610</v>
      </c>
      <c r="U113" s="14" t="s">
        <v>169</v>
      </c>
    </row>
    <row r="114" spans="2:21" ht="12.75" customHeight="1" x14ac:dyDescent="0.15">
      <c r="B114" s="10"/>
      <c r="C114" s="1"/>
      <c r="D114" s="1"/>
      <c r="E114" s="9"/>
      <c r="F114" s="11" t="s">
        <v>10</v>
      </c>
      <c r="G114" s="5" t="s">
        <v>46</v>
      </c>
      <c r="H114" s="6"/>
      <c r="I114" s="32"/>
      <c r="J114" s="32"/>
      <c r="K114" s="6">
        <v>1</v>
      </c>
      <c r="L114" s="6">
        <v>1</v>
      </c>
      <c r="M114" s="6">
        <v>1</v>
      </c>
      <c r="N114" s="12" t="s">
        <v>28</v>
      </c>
      <c r="O114" s="12"/>
      <c r="P114" s="12"/>
      <c r="Q114" s="24">
        <f t="shared" ref="Q114:T114" si="44">SUM(Q115:Q120)</f>
        <v>5572757</v>
      </c>
      <c r="R114" s="24">
        <f t="shared" si="44"/>
        <v>0</v>
      </c>
      <c r="S114" s="24">
        <f t="shared" si="44"/>
        <v>6590401</v>
      </c>
      <c r="T114" s="24">
        <f t="shared" si="44"/>
        <v>6590401</v>
      </c>
      <c r="U114" s="14"/>
    </row>
    <row r="115" spans="2:21" ht="12.75" customHeight="1" x14ac:dyDescent="0.15">
      <c r="B115" s="10"/>
      <c r="C115" s="1"/>
      <c r="D115" s="1"/>
      <c r="E115" s="9"/>
      <c r="F115" s="11"/>
      <c r="G115" s="22" t="s">
        <v>47</v>
      </c>
      <c r="H115" s="22" t="s">
        <v>53</v>
      </c>
      <c r="I115" s="35">
        <v>101900</v>
      </c>
      <c r="J115" s="35">
        <v>119700</v>
      </c>
      <c r="K115" s="45">
        <v>16.690000000000001</v>
      </c>
      <c r="L115" s="45">
        <v>0</v>
      </c>
      <c r="M115" s="45">
        <v>16.690000000000001</v>
      </c>
      <c r="N115" s="12" t="s">
        <v>52</v>
      </c>
      <c r="O115" s="12"/>
      <c r="P115" s="12"/>
      <c r="Q115" s="13">
        <f t="shared" ref="Q115:Q120" si="45">K115*I115</f>
        <v>1700711.0000000002</v>
      </c>
      <c r="R115" s="13">
        <f t="shared" ref="R115:R120" si="46">L115*I115</f>
        <v>0</v>
      </c>
      <c r="S115" s="13">
        <f>K115*$J$115</f>
        <v>1997793.0000000002</v>
      </c>
      <c r="T115" s="13">
        <f>M115*$J$115</f>
        <v>1997793.0000000002</v>
      </c>
      <c r="U115" s="14"/>
    </row>
    <row r="116" spans="2:21" ht="12.75" customHeight="1" x14ac:dyDescent="0.15">
      <c r="B116" s="10"/>
      <c r="C116" s="1"/>
      <c r="D116" s="1"/>
      <c r="E116" s="36"/>
      <c r="F116" s="37"/>
      <c r="G116" s="22" t="s">
        <v>47</v>
      </c>
      <c r="H116" s="22" t="s">
        <v>69</v>
      </c>
      <c r="I116" s="35">
        <v>102900</v>
      </c>
      <c r="J116" s="35">
        <v>120700</v>
      </c>
      <c r="K116" s="45">
        <v>2.99</v>
      </c>
      <c r="L116" s="45">
        <v>0</v>
      </c>
      <c r="M116" s="45">
        <v>2.99</v>
      </c>
      <c r="N116" s="12" t="s">
        <v>52</v>
      </c>
      <c r="O116" s="12"/>
      <c r="P116" s="12"/>
      <c r="Q116" s="13">
        <f t="shared" si="45"/>
        <v>307671</v>
      </c>
      <c r="R116" s="13">
        <f t="shared" si="46"/>
        <v>0</v>
      </c>
      <c r="S116" s="13">
        <f>K116*$J$116</f>
        <v>360893</v>
      </c>
      <c r="T116" s="13">
        <f>M116*$J$116</f>
        <v>360893</v>
      </c>
      <c r="U116" s="14"/>
    </row>
    <row r="117" spans="2:21" ht="12.75" customHeight="1" x14ac:dyDescent="0.15">
      <c r="B117" s="10"/>
      <c r="C117" s="1"/>
      <c r="D117" s="1"/>
      <c r="E117" s="36"/>
      <c r="F117" s="37"/>
      <c r="G117" s="22" t="s">
        <v>47</v>
      </c>
      <c r="H117" s="22" t="s">
        <v>70</v>
      </c>
      <c r="I117" s="35">
        <v>104900</v>
      </c>
      <c r="J117" s="35">
        <v>122800</v>
      </c>
      <c r="K117" s="45">
        <v>9.25</v>
      </c>
      <c r="L117" s="45">
        <v>0</v>
      </c>
      <c r="M117" s="45">
        <v>9.25</v>
      </c>
      <c r="N117" s="12" t="s">
        <v>52</v>
      </c>
      <c r="O117" s="12"/>
      <c r="P117" s="12"/>
      <c r="Q117" s="13">
        <f t="shared" si="45"/>
        <v>970325</v>
      </c>
      <c r="R117" s="13">
        <f t="shared" si="46"/>
        <v>0</v>
      </c>
      <c r="S117" s="13">
        <f>K117*$J$117</f>
        <v>1135900</v>
      </c>
      <c r="T117" s="13">
        <f>M117*$J$117</f>
        <v>1135900</v>
      </c>
      <c r="U117" s="14"/>
    </row>
    <row r="118" spans="2:21" ht="12.75" customHeight="1" x14ac:dyDescent="0.15">
      <c r="B118" s="10"/>
      <c r="C118" s="1"/>
      <c r="D118" s="1"/>
      <c r="E118" s="36"/>
      <c r="F118" s="37"/>
      <c r="G118" s="22" t="s">
        <v>47</v>
      </c>
      <c r="H118" s="22" t="s">
        <v>71</v>
      </c>
      <c r="I118" s="35">
        <v>106000</v>
      </c>
      <c r="J118" s="35">
        <v>123800</v>
      </c>
      <c r="K118" s="45">
        <v>2.2400000000000002</v>
      </c>
      <c r="L118" s="45">
        <v>0</v>
      </c>
      <c r="M118" s="45">
        <v>2.2400000000000002</v>
      </c>
      <c r="N118" s="12" t="s">
        <v>52</v>
      </c>
      <c r="O118" s="12"/>
      <c r="P118" s="12"/>
      <c r="Q118" s="13">
        <f t="shared" si="45"/>
        <v>237440.00000000003</v>
      </c>
      <c r="R118" s="13">
        <f t="shared" si="46"/>
        <v>0</v>
      </c>
      <c r="S118" s="13">
        <f>K118*$J$118</f>
        <v>277312</v>
      </c>
      <c r="T118" s="13">
        <f>M118*$J$118</f>
        <v>277312</v>
      </c>
      <c r="U118" s="14"/>
    </row>
    <row r="119" spans="2:21" ht="12.75" customHeight="1" x14ac:dyDescent="0.15">
      <c r="B119" s="10"/>
      <c r="C119" s="1"/>
      <c r="D119" s="1"/>
      <c r="E119" s="36"/>
      <c r="F119" s="37"/>
      <c r="G119" s="22" t="s">
        <v>47</v>
      </c>
      <c r="H119" s="22" t="s">
        <v>69</v>
      </c>
      <c r="I119" s="35">
        <v>107000</v>
      </c>
      <c r="J119" s="35">
        <v>124900</v>
      </c>
      <c r="K119" s="45">
        <v>5.07</v>
      </c>
      <c r="L119" s="45">
        <v>0</v>
      </c>
      <c r="M119" s="45">
        <v>5.07</v>
      </c>
      <c r="N119" s="12" t="s">
        <v>52</v>
      </c>
      <c r="O119" s="12"/>
      <c r="P119" s="12"/>
      <c r="Q119" s="13">
        <f t="shared" si="45"/>
        <v>542490</v>
      </c>
      <c r="R119" s="13">
        <f t="shared" si="46"/>
        <v>0</v>
      </c>
      <c r="S119" s="13">
        <f>K119*$J$119</f>
        <v>633243</v>
      </c>
      <c r="T119" s="13">
        <f>M119*$J$119</f>
        <v>633243</v>
      </c>
      <c r="U119" s="14"/>
    </row>
    <row r="120" spans="2:21" ht="12.75" customHeight="1" x14ac:dyDescent="0.15">
      <c r="B120" s="10"/>
      <c r="C120" s="1"/>
      <c r="D120" s="1"/>
      <c r="E120" s="36"/>
      <c r="F120" s="37"/>
      <c r="G120" s="22" t="s">
        <v>47</v>
      </c>
      <c r="H120" s="22" t="s">
        <v>82</v>
      </c>
      <c r="I120" s="35">
        <v>117800</v>
      </c>
      <c r="J120" s="35">
        <v>141900</v>
      </c>
      <c r="K120" s="45">
        <v>15.4</v>
      </c>
      <c r="L120" s="45">
        <v>0</v>
      </c>
      <c r="M120" s="45">
        <v>15.4</v>
      </c>
      <c r="N120" s="12" t="s">
        <v>52</v>
      </c>
      <c r="O120" s="12"/>
      <c r="P120" s="12"/>
      <c r="Q120" s="13">
        <f t="shared" si="45"/>
        <v>1814120</v>
      </c>
      <c r="R120" s="13">
        <f t="shared" si="46"/>
        <v>0</v>
      </c>
      <c r="S120" s="13">
        <f>K120*$J$120</f>
        <v>2185260</v>
      </c>
      <c r="T120" s="13">
        <f>M120*$J$120</f>
        <v>2185260</v>
      </c>
      <c r="U120" s="14"/>
    </row>
    <row r="121" spans="2:21" ht="12.75" customHeight="1" x14ac:dyDescent="0.15">
      <c r="B121" s="10"/>
      <c r="C121" s="1"/>
      <c r="D121" s="1"/>
      <c r="E121" s="9"/>
      <c r="F121" s="11" t="s">
        <v>10</v>
      </c>
      <c r="G121" s="5" t="s">
        <v>26</v>
      </c>
      <c r="H121" s="6"/>
      <c r="I121" s="32"/>
      <c r="J121" s="32"/>
      <c r="K121" s="6">
        <v>1</v>
      </c>
      <c r="L121" s="6">
        <v>1</v>
      </c>
      <c r="M121" s="6">
        <v>1</v>
      </c>
      <c r="N121" s="12" t="s">
        <v>28</v>
      </c>
      <c r="O121" s="12"/>
      <c r="P121" s="12"/>
      <c r="Q121" s="24">
        <f t="shared" ref="Q121:T121" si="47">SUM(Q122:Q125)</f>
        <v>3387262</v>
      </c>
      <c r="R121" s="24">
        <f t="shared" si="47"/>
        <v>0</v>
      </c>
      <c r="S121" s="24">
        <f t="shared" si="47"/>
        <v>3511462</v>
      </c>
      <c r="T121" s="24">
        <f t="shared" si="47"/>
        <v>3511462</v>
      </c>
      <c r="U121" s="14"/>
    </row>
    <row r="122" spans="2:21" ht="12.75" customHeight="1" x14ac:dyDescent="0.15">
      <c r="B122" s="10"/>
      <c r="C122" s="1"/>
      <c r="D122" s="23"/>
      <c r="E122" s="23"/>
      <c r="F122" s="42"/>
      <c r="G122" s="22" t="s">
        <v>26</v>
      </c>
      <c r="H122" s="22" t="s">
        <v>144</v>
      </c>
      <c r="I122" s="35">
        <v>8101</v>
      </c>
      <c r="J122" s="35">
        <v>8308</v>
      </c>
      <c r="K122" s="35">
        <v>100</v>
      </c>
      <c r="L122" s="35">
        <v>0</v>
      </c>
      <c r="M122" s="35">
        <v>100</v>
      </c>
      <c r="N122" s="12" t="s">
        <v>30</v>
      </c>
      <c r="O122" s="12"/>
      <c r="P122" s="12"/>
      <c r="Q122" s="13">
        <f>K122*I122</f>
        <v>810100</v>
      </c>
      <c r="R122" s="13">
        <f>L122*I122</f>
        <v>0</v>
      </c>
      <c r="S122" s="13">
        <f>K122*$J$122</f>
        <v>830800</v>
      </c>
      <c r="T122" s="13">
        <f>M122*$J$122</f>
        <v>830800</v>
      </c>
      <c r="U122" s="14"/>
    </row>
    <row r="123" spans="2:21" ht="12.75" customHeight="1" x14ac:dyDescent="0.15">
      <c r="B123" s="10"/>
      <c r="C123" s="1"/>
      <c r="D123" s="23"/>
      <c r="E123" s="23"/>
      <c r="F123" s="42"/>
      <c r="G123" s="22" t="s">
        <v>26</v>
      </c>
      <c r="H123" s="22" t="s">
        <v>72</v>
      </c>
      <c r="I123" s="35">
        <v>14890</v>
      </c>
      <c r="J123" s="35">
        <v>15240</v>
      </c>
      <c r="K123" s="35">
        <v>75</v>
      </c>
      <c r="L123" s="35">
        <v>0</v>
      </c>
      <c r="M123" s="35">
        <v>75</v>
      </c>
      <c r="N123" s="12" t="s">
        <v>30</v>
      </c>
      <c r="O123" s="12"/>
      <c r="P123" s="12"/>
      <c r="Q123" s="13">
        <f>K123*I123</f>
        <v>1116750</v>
      </c>
      <c r="R123" s="13">
        <f>L123*I123</f>
        <v>0</v>
      </c>
      <c r="S123" s="13">
        <f>K123*$J$123</f>
        <v>1143000</v>
      </c>
      <c r="T123" s="13">
        <f>M123*$J$123</f>
        <v>1143000</v>
      </c>
      <c r="U123" s="14" t="s">
        <v>161</v>
      </c>
    </row>
    <row r="124" spans="2:21" ht="12.75" customHeight="1" x14ac:dyDescent="0.15">
      <c r="B124" s="10"/>
      <c r="C124" s="1"/>
      <c r="D124" s="23"/>
      <c r="E124" s="23"/>
      <c r="F124" s="42"/>
      <c r="G124" s="22" t="s">
        <v>73</v>
      </c>
      <c r="H124" s="22"/>
      <c r="I124" s="35">
        <v>19220</v>
      </c>
      <c r="J124" s="35">
        <v>20250</v>
      </c>
      <c r="K124" s="35">
        <v>75</v>
      </c>
      <c r="L124" s="35">
        <v>0</v>
      </c>
      <c r="M124" s="35">
        <v>75</v>
      </c>
      <c r="N124" s="12" t="s">
        <v>30</v>
      </c>
      <c r="O124" s="12"/>
      <c r="P124" s="12"/>
      <c r="Q124" s="13">
        <f>K124*I124</f>
        <v>1441500</v>
      </c>
      <c r="R124" s="13">
        <f>L124*I124</f>
        <v>0</v>
      </c>
      <c r="S124" s="13">
        <f>K124*$J$124</f>
        <v>1518750</v>
      </c>
      <c r="T124" s="13">
        <f>M124*$J$124</f>
        <v>1518750</v>
      </c>
      <c r="U124" s="14"/>
    </row>
    <row r="125" spans="2:21" ht="12.75" customHeight="1" x14ac:dyDescent="0.15">
      <c r="B125" s="10"/>
      <c r="C125" s="1"/>
      <c r="D125" s="23"/>
      <c r="E125" s="23"/>
      <c r="F125" s="42"/>
      <c r="G125" s="22" t="s">
        <v>81</v>
      </c>
      <c r="H125" s="22"/>
      <c r="I125" s="35">
        <v>1182</v>
      </c>
      <c r="J125" s="35">
        <v>1182</v>
      </c>
      <c r="K125" s="35">
        <v>16</v>
      </c>
      <c r="L125" s="35">
        <v>0</v>
      </c>
      <c r="M125" s="35">
        <v>16</v>
      </c>
      <c r="N125" s="12" t="s">
        <v>30</v>
      </c>
      <c r="O125" s="12"/>
      <c r="P125" s="12"/>
      <c r="Q125" s="13">
        <f>K125*I125</f>
        <v>18912</v>
      </c>
      <c r="R125" s="13">
        <f>L125*I125</f>
        <v>0</v>
      </c>
      <c r="S125" s="13">
        <f>K125*$J$125</f>
        <v>18912</v>
      </c>
      <c r="T125" s="13">
        <f>M125*$J$125</f>
        <v>18912</v>
      </c>
      <c r="U125" s="14" t="s">
        <v>162</v>
      </c>
    </row>
    <row r="126" spans="2:21" ht="12.75" customHeight="1" x14ac:dyDescent="0.15">
      <c r="B126" s="10"/>
      <c r="C126" s="1"/>
      <c r="D126" s="1"/>
      <c r="E126" s="9"/>
      <c r="F126" s="11" t="s">
        <v>10</v>
      </c>
      <c r="G126" s="5" t="s">
        <v>74</v>
      </c>
      <c r="H126" s="6"/>
      <c r="I126" s="32"/>
      <c r="J126" s="32"/>
      <c r="K126" s="6">
        <v>1</v>
      </c>
      <c r="L126" s="6">
        <v>1</v>
      </c>
      <c r="M126" s="6">
        <v>1</v>
      </c>
      <c r="N126" s="12" t="s">
        <v>28</v>
      </c>
      <c r="O126" s="12"/>
      <c r="P126" s="12"/>
      <c r="Q126" s="24">
        <f t="shared" ref="Q126:T126" si="48">SUM(Q127:Q127)</f>
        <v>363860</v>
      </c>
      <c r="R126" s="24">
        <f t="shared" si="48"/>
        <v>0</v>
      </c>
      <c r="S126" s="24">
        <f t="shared" si="48"/>
        <v>366660</v>
      </c>
      <c r="T126" s="24">
        <f t="shared" si="48"/>
        <v>366660</v>
      </c>
      <c r="U126" s="14"/>
    </row>
    <row r="127" spans="2:21" ht="12.75" customHeight="1" x14ac:dyDescent="0.15">
      <c r="B127" s="10"/>
      <c r="C127" s="1"/>
      <c r="D127" s="23"/>
      <c r="E127" s="23"/>
      <c r="F127" s="42"/>
      <c r="G127" s="5" t="s">
        <v>170</v>
      </c>
      <c r="H127" s="22"/>
      <c r="I127" s="35">
        <v>5198</v>
      </c>
      <c r="J127" s="35">
        <v>5238</v>
      </c>
      <c r="K127" s="22">
        <v>70</v>
      </c>
      <c r="L127" s="22">
        <v>0</v>
      </c>
      <c r="M127" s="22">
        <v>70</v>
      </c>
      <c r="N127" s="12" t="s">
        <v>75</v>
      </c>
      <c r="O127" s="12"/>
      <c r="P127" s="12"/>
      <c r="Q127" s="13">
        <f>K127*I127</f>
        <v>363860</v>
      </c>
      <c r="R127" s="13">
        <f>L127*I127</f>
        <v>0</v>
      </c>
      <c r="S127" s="13">
        <f>K127*$J$127</f>
        <v>366660</v>
      </c>
      <c r="T127" s="13">
        <f>M127*$J$127</f>
        <v>366660</v>
      </c>
      <c r="U127" s="14"/>
    </row>
    <row r="128" spans="2:21" ht="12.75" customHeight="1" x14ac:dyDescent="0.15">
      <c r="B128" s="10"/>
      <c r="C128" s="1"/>
      <c r="D128" s="1"/>
      <c r="E128" s="9"/>
      <c r="F128" s="11" t="s">
        <v>10</v>
      </c>
      <c r="G128" s="5" t="s">
        <v>76</v>
      </c>
      <c r="H128" s="6"/>
      <c r="I128" s="32"/>
      <c r="J128" s="32"/>
      <c r="K128" s="6">
        <v>1</v>
      </c>
      <c r="L128" s="6">
        <v>1</v>
      </c>
      <c r="M128" s="6">
        <v>1</v>
      </c>
      <c r="N128" s="12" t="s">
        <v>28</v>
      </c>
      <c r="O128" s="12"/>
      <c r="P128" s="12"/>
      <c r="Q128" s="24">
        <f t="shared" ref="Q128:T128" si="49">SUM(Q129:Q129)</f>
        <v>802120</v>
      </c>
      <c r="R128" s="24">
        <f t="shared" si="49"/>
        <v>0</v>
      </c>
      <c r="S128" s="24">
        <f t="shared" si="49"/>
        <v>802560</v>
      </c>
      <c r="T128" s="24">
        <f t="shared" si="49"/>
        <v>802560</v>
      </c>
      <c r="U128" s="14"/>
    </row>
    <row r="129" spans="2:21" ht="12.75" customHeight="1" x14ac:dyDescent="0.15">
      <c r="B129" s="10"/>
      <c r="C129" s="1"/>
      <c r="D129" s="23"/>
      <c r="E129" s="23"/>
      <c r="F129" s="42"/>
      <c r="G129" s="5" t="s">
        <v>77</v>
      </c>
      <c r="H129" s="22"/>
      <c r="I129" s="35">
        <v>3646</v>
      </c>
      <c r="J129" s="35">
        <v>3648</v>
      </c>
      <c r="K129" s="22">
        <v>220</v>
      </c>
      <c r="L129" s="22">
        <v>0</v>
      </c>
      <c r="M129" s="22">
        <v>220</v>
      </c>
      <c r="N129" s="12" t="s">
        <v>78</v>
      </c>
      <c r="O129" s="12"/>
      <c r="P129" s="12"/>
      <c r="Q129" s="13">
        <f>K129*I129</f>
        <v>802120</v>
      </c>
      <c r="R129" s="13">
        <f>L129*I129</f>
        <v>0</v>
      </c>
      <c r="S129" s="13">
        <f>K129*$J$129</f>
        <v>802560</v>
      </c>
      <c r="T129" s="13">
        <f>M129*$J$129</f>
        <v>802560</v>
      </c>
      <c r="U129" s="14"/>
    </row>
    <row r="130" spans="2:21" ht="12.75" customHeight="1" x14ac:dyDescent="0.15">
      <c r="B130" s="10"/>
      <c r="C130" s="1"/>
      <c r="D130" s="1"/>
      <c r="E130" s="9" t="s">
        <v>11</v>
      </c>
      <c r="F130" s="11" t="s">
        <v>57</v>
      </c>
      <c r="G130" s="5"/>
      <c r="H130" s="6"/>
      <c r="I130" s="32"/>
      <c r="J130" s="32"/>
      <c r="K130" s="6">
        <v>1</v>
      </c>
      <c r="L130" s="6">
        <v>1</v>
      </c>
      <c r="M130" s="6">
        <v>1</v>
      </c>
      <c r="N130" s="12" t="s">
        <v>28</v>
      </c>
      <c r="O130" s="12"/>
      <c r="P130" s="12"/>
      <c r="Q130" s="13">
        <f t="shared" ref="Q130:T130" si="50">+Q131</f>
        <v>12777953</v>
      </c>
      <c r="R130" s="13">
        <f t="shared" si="50"/>
        <v>1882190</v>
      </c>
      <c r="S130" s="13">
        <f t="shared" si="50"/>
        <v>12816194</v>
      </c>
      <c r="T130" s="13">
        <f t="shared" si="50"/>
        <v>10934004</v>
      </c>
      <c r="U130" s="14"/>
    </row>
    <row r="131" spans="2:21" ht="12.75" customHeight="1" x14ac:dyDescent="0.15">
      <c r="B131" s="10"/>
      <c r="C131" s="1"/>
      <c r="D131" s="1"/>
      <c r="E131" s="9"/>
      <c r="F131" s="11" t="s">
        <v>10</v>
      </c>
      <c r="G131" s="5" t="s">
        <v>58</v>
      </c>
      <c r="H131" s="6"/>
      <c r="I131" s="32"/>
      <c r="J131" s="32"/>
      <c r="K131" s="6">
        <v>1</v>
      </c>
      <c r="L131" s="6">
        <v>1</v>
      </c>
      <c r="M131" s="6">
        <v>1</v>
      </c>
      <c r="N131" s="12" t="s">
        <v>28</v>
      </c>
      <c r="O131" s="12"/>
      <c r="P131" s="12"/>
      <c r="Q131" s="24">
        <f t="shared" ref="Q131:T131" si="51">SUM(Q132:Q139)</f>
        <v>12777953</v>
      </c>
      <c r="R131" s="24">
        <f t="shared" si="51"/>
        <v>1882190</v>
      </c>
      <c r="S131" s="24">
        <f t="shared" si="51"/>
        <v>12816194</v>
      </c>
      <c r="T131" s="24">
        <f t="shared" si="51"/>
        <v>10934004</v>
      </c>
      <c r="U131" s="14"/>
    </row>
    <row r="132" spans="2:21" ht="12.75" customHeight="1" x14ac:dyDescent="0.15">
      <c r="B132" s="10"/>
      <c r="C132" s="1"/>
      <c r="D132" s="1"/>
      <c r="E132" s="9"/>
      <c r="F132" s="11"/>
      <c r="G132" s="5" t="s">
        <v>59</v>
      </c>
      <c r="H132" s="22" t="s">
        <v>163</v>
      </c>
      <c r="I132" s="35">
        <v>1787000</v>
      </c>
      <c r="J132" s="35">
        <v>1793000</v>
      </c>
      <c r="K132" s="44">
        <v>6</v>
      </c>
      <c r="L132" s="44">
        <v>0</v>
      </c>
      <c r="M132" s="44">
        <v>6</v>
      </c>
      <c r="N132" s="12" t="s">
        <v>33</v>
      </c>
      <c r="O132" s="12"/>
      <c r="P132" s="12"/>
      <c r="Q132" s="13">
        <f t="shared" ref="Q132:Q139" si="52">K132*I132</f>
        <v>10722000</v>
      </c>
      <c r="R132" s="13">
        <f t="shared" ref="R132:R139" si="53">L132*I132</f>
        <v>0</v>
      </c>
      <c r="S132" s="13">
        <f>K132*$J$132</f>
        <v>10758000</v>
      </c>
      <c r="T132" s="13">
        <f>M132*$J$132</f>
        <v>10758000</v>
      </c>
      <c r="U132" s="14" t="s">
        <v>171</v>
      </c>
    </row>
    <row r="133" spans="2:21" ht="12.75" customHeight="1" x14ac:dyDescent="0.15">
      <c r="B133" s="10"/>
      <c r="C133" s="1"/>
      <c r="D133" s="1"/>
      <c r="E133" s="9"/>
      <c r="F133" s="11"/>
      <c r="G133" s="22" t="s">
        <v>47</v>
      </c>
      <c r="H133" s="22" t="s">
        <v>51</v>
      </c>
      <c r="I133" s="35">
        <v>109500</v>
      </c>
      <c r="J133" s="35">
        <v>127000</v>
      </c>
      <c r="K133" s="45">
        <v>7.0000000000000007E-2</v>
      </c>
      <c r="L133" s="45">
        <v>7.0000000000000007E-2</v>
      </c>
      <c r="M133" s="45">
        <v>0</v>
      </c>
      <c r="N133" s="12" t="s">
        <v>52</v>
      </c>
      <c r="O133" s="12"/>
      <c r="P133" s="12"/>
      <c r="Q133" s="13">
        <f t="shared" si="52"/>
        <v>7665.0000000000009</v>
      </c>
      <c r="R133" s="13">
        <f t="shared" si="53"/>
        <v>7665.0000000000009</v>
      </c>
      <c r="S133" s="13">
        <f>K133*$I$133</f>
        <v>7665.0000000000009</v>
      </c>
      <c r="T133" s="13">
        <f>M133*$J$133</f>
        <v>0</v>
      </c>
      <c r="U133" s="14"/>
    </row>
    <row r="134" spans="2:21" ht="12.75" customHeight="1" x14ac:dyDescent="0.15">
      <c r="B134" s="10"/>
      <c r="C134" s="1"/>
      <c r="D134" s="1"/>
      <c r="E134" s="9"/>
      <c r="F134" s="11"/>
      <c r="G134" s="22" t="s">
        <v>47</v>
      </c>
      <c r="H134" s="22" t="s">
        <v>53</v>
      </c>
      <c r="I134" s="35">
        <v>107500</v>
      </c>
      <c r="J134" s="35">
        <v>125000</v>
      </c>
      <c r="K134" s="45">
        <v>10.119999999999999</v>
      </c>
      <c r="L134" s="45">
        <v>10.119999999999999</v>
      </c>
      <c r="M134" s="45">
        <v>0</v>
      </c>
      <c r="N134" s="12" t="s">
        <v>52</v>
      </c>
      <c r="O134" s="12"/>
      <c r="P134" s="12"/>
      <c r="Q134" s="13">
        <f t="shared" si="52"/>
        <v>1087900</v>
      </c>
      <c r="R134" s="13">
        <f t="shared" si="53"/>
        <v>1087900</v>
      </c>
      <c r="S134" s="13">
        <f>K134*$I$134</f>
        <v>1087900</v>
      </c>
      <c r="T134" s="13">
        <f>M134*$J$134</f>
        <v>0</v>
      </c>
      <c r="U134" s="14"/>
    </row>
    <row r="135" spans="2:21" ht="12.75" customHeight="1" x14ac:dyDescent="0.15">
      <c r="B135" s="10"/>
      <c r="C135" s="1"/>
      <c r="D135" s="1"/>
      <c r="E135" s="9"/>
      <c r="F135" s="11"/>
      <c r="G135" s="22" t="s">
        <v>47</v>
      </c>
      <c r="H135" s="22" t="s">
        <v>69</v>
      </c>
      <c r="I135" s="35">
        <v>108500</v>
      </c>
      <c r="J135" s="35">
        <v>126000</v>
      </c>
      <c r="K135" s="45">
        <v>7.25</v>
      </c>
      <c r="L135" s="45">
        <v>7.25</v>
      </c>
      <c r="M135" s="45">
        <v>0</v>
      </c>
      <c r="N135" s="12" t="s">
        <v>52</v>
      </c>
      <c r="O135" s="12"/>
      <c r="P135" s="12"/>
      <c r="Q135" s="13">
        <f t="shared" si="52"/>
        <v>786625</v>
      </c>
      <c r="R135" s="13">
        <f t="shared" si="53"/>
        <v>786625</v>
      </c>
      <c r="S135" s="13">
        <f>K135*$I$135</f>
        <v>786625</v>
      </c>
      <c r="T135" s="13">
        <f>M135*$J$135</f>
        <v>0</v>
      </c>
      <c r="U135" s="14"/>
    </row>
    <row r="136" spans="2:21" ht="12.75" customHeight="1" x14ac:dyDescent="0.15">
      <c r="B136" s="10"/>
      <c r="C136" s="1"/>
      <c r="D136" s="1"/>
      <c r="E136" s="9"/>
      <c r="F136" s="11"/>
      <c r="G136" s="22" t="s">
        <v>60</v>
      </c>
      <c r="H136" s="22"/>
      <c r="I136" s="35">
        <f>Q248</f>
        <v>0</v>
      </c>
      <c r="J136" s="35">
        <f>S248</f>
        <v>0</v>
      </c>
      <c r="K136" s="45">
        <v>1</v>
      </c>
      <c r="L136" s="45">
        <v>0</v>
      </c>
      <c r="M136" s="45">
        <v>1</v>
      </c>
      <c r="N136" s="12" t="s">
        <v>28</v>
      </c>
      <c r="O136" s="12"/>
      <c r="P136" s="12"/>
      <c r="Q136" s="13">
        <f t="shared" si="52"/>
        <v>0</v>
      </c>
      <c r="R136" s="13">
        <f t="shared" si="53"/>
        <v>0</v>
      </c>
      <c r="S136" s="13">
        <f>K136*$J$136</f>
        <v>0</v>
      </c>
      <c r="T136" s="13">
        <f>M136*$J$136</f>
        <v>0</v>
      </c>
      <c r="U136" s="22" t="s">
        <v>132</v>
      </c>
    </row>
    <row r="137" spans="2:21" ht="12.75" customHeight="1" x14ac:dyDescent="0.15">
      <c r="B137" s="10"/>
      <c r="C137" s="1"/>
      <c r="D137" s="1"/>
      <c r="E137" s="9"/>
      <c r="F137" s="11"/>
      <c r="G137" s="22" t="s">
        <v>61</v>
      </c>
      <c r="H137" s="22" t="s">
        <v>79</v>
      </c>
      <c r="I137" s="35">
        <v>860</v>
      </c>
      <c r="J137" s="35">
        <v>899</v>
      </c>
      <c r="K137" s="46">
        <v>48</v>
      </c>
      <c r="L137" s="46">
        <v>0</v>
      </c>
      <c r="M137" s="46">
        <v>48</v>
      </c>
      <c r="N137" s="12" t="s">
        <v>63</v>
      </c>
      <c r="O137" s="12"/>
      <c r="P137" s="12"/>
      <c r="Q137" s="13">
        <f t="shared" si="52"/>
        <v>41280</v>
      </c>
      <c r="R137" s="13">
        <f t="shared" si="53"/>
        <v>0</v>
      </c>
      <c r="S137" s="13">
        <f>K137*$J$137</f>
        <v>43152</v>
      </c>
      <c r="T137" s="13">
        <f>M137*$J$137</f>
        <v>43152</v>
      </c>
      <c r="U137" s="14"/>
    </row>
    <row r="138" spans="2:21" ht="12.75" customHeight="1" x14ac:dyDescent="0.15">
      <c r="B138" s="10"/>
      <c r="C138" s="1"/>
      <c r="D138" s="1"/>
      <c r="E138" s="9"/>
      <c r="F138" s="11"/>
      <c r="G138" s="22" t="s">
        <v>64</v>
      </c>
      <c r="H138" s="22"/>
      <c r="I138" s="35">
        <v>21570</v>
      </c>
      <c r="J138" s="35">
        <v>21630</v>
      </c>
      <c r="K138" s="46">
        <v>6</v>
      </c>
      <c r="L138" s="46">
        <v>0</v>
      </c>
      <c r="M138" s="46">
        <v>6</v>
      </c>
      <c r="N138" s="12" t="s">
        <v>33</v>
      </c>
      <c r="O138" s="12"/>
      <c r="P138" s="12"/>
      <c r="Q138" s="13">
        <f t="shared" si="52"/>
        <v>129420</v>
      </c>
      <c r="R138" s="13">
        <f t="shared" si="53"/>
        <v>0</v>
      </c>
      <c r="S138" s="13">
        <f>K138*$J$138</f>
        <v>129780</v>
      </c>
      <c r="T138" s="13">
        <f>M138*$J$138</f>
        <v>129780</v>
      </c>
      <c r="U138" s="14"/>
    </row>
    <row r="139" spans="2:21" ht="12.75" customHeight="1" x14ac:dyDescent="0.15">
      <c r="B139" s="10"/>
      <c r="C139" s="1"/>
      <c r="D139" s="1"/>
      <c r="E139" s="9"/>
      <c r="F139" s="11"/>
      <c r="G139" s="22" t="s">
        <v>65</v>
      </c>
      <c r="H139" s="22"/>
      <c r="I139" s="35">
        <v>1021</v>
      </c>
      <c r="J139" s="35">
        <v>1024</v>
      </c>
      <c r="K139" s="45">
        <v>3</v>
      </c>
      <c r="L139" s="45">
        <v>0</v>
      </c>
      <c r="M139" s="45">
        <v>3</v>
      </c>
      <c r="N139" s="12" t="s">
        <v>9</v>
      </c>
      <c r="O139" s="12"/>
      <c r="P139" s="12"/>
      <c r="Q139" s="13">
        <f t="shared" si="52"/>
        <v>3063</v>
      </c>
      <c r="R139" s="13">
        <f t="shared" si="53"/>
        <v>0</v>
      </c>
      <c r="S139" s="13">
        <f>K139*$J$139</f>
        <v>3072</v>
      </c>
      <c r="T139" s="13">
        <f>M139*$J$139</f>
        <v>3072</v>
      </c>
      <c r="U139" s="14" t="s">
        <v>152</v>
      </c>
    </row>
    <row r="140" spans="2:21" ht="12.75" customHeight="1" x14ac:dyDescent="0.15">
      <c r="B140" s="10"/>
      <c r="C140" s="1"/>
      <c r="D140" s="1" t="s">
        <v>12</v>
      </c>
      <c r="E140" s="9" t="s">
        <v>83</v>
      </c>
      <c r="F140" s="11"/>
      <c r="G140" s="5"/>
      <c r="H140" s="6"/>
      <c r="I140" s="32"/>
      <c r="J140" s="32"/>
      <c r="K140" s="6">
        <v>1</v>
      </c>
      <c r="L140" s="6">
        <v>1</v>
      </c>
      <c r="M140" s="6">
        <v>1</v>
      </c>
      <c r="N140" s="12" t="s">
        <v>28</v>
      </c>
      <c r="O140" s="12"/>
      <c r="P140" s="12"/>
      <c r="Q140" s="13">
        <f t="shared" ref="Q140:T140" si="54">SUM(Q141,Q148)</f>
        <v>2637427</v>
      </c>
      <c r="R140" s="13">
        <f t="shared" si="54"/>
        <v>0</v>
      </c>
      <c r="S140" s="13">
        <f t="shared" si="54"/>
        <v>2705086</v>
      </c>
      <c r="T140" s="13">
        <f t="shared" si="54"/>
        <v>2705086</v>
      </c>
      <c r="U140" s="14"/>
    </row>
    <row r="141" spans="2:21" ht="12.75" customHeight="1" x14ac:dyDescent="0.15">
      <c r="B141" s="10"/>
      <c r="C141" s="1"/>
      <c r="D141" s="1"/>
      <c r="E141" s="9" t="s">
        <v>11</v>
      </c>
      <c r="F141" s="11" t="s">
        <v>83</v>
      </c>
      <c r="G141" s="5"/>
      <c r="H141" s="6"/>
      <c r="I141" s="32"/>
      <c r="J141" s="32"/>
      <c r="K141" s="6">
        <v>1</v>
      </c>
      <c r="L141" s="6">
        <v>1</v>
      </c>
      <c r="M141" s="6">
        <v>1</v>
      </c>
      <c r="N141" s="12" t="s">
        <v>28</v>
      </c>
      <c r="O141" s="12"/>
      <c r="P141" s="12"/>
      <c r="Q141" s="13">
        <f t="shared" ref="Q141:T141" si="55">SUM(Q142,Q144,Q146)</f>
        <v>251988</v>
      </c>
      <c r="R141" s="13">
        <f t="shared" si="55"/>
        <v>0</v>
      </c>
      <c r="S141" s="13">
        <f t="shared" si="55"/>
        <v>252444</v>
      </c>
      <c r="T141" s="13">
        <f t="shared" si="55"/>
        <v>252444</v>
      </c>
      <c r="U141" s="14"/>
    </row>
    <row r="142" spans="2:21" ht="12.75" customHeight="1" x14ac:dyDescent="0.15">
      <c r="B142" s="10"/>
      <c r="C142" s="1"/>
      <c r="D142" s="1"/>
      <c r="E142" s="9"/>
      <c r="F142" s="11" t="s">
        <v>10</v>
      </c>
      <c r="G142" s="5" t="s">
        <v>84</v>
      </c>
      <c r="H142" s="6"/>
      <c r="I142" s="32"/>
      <c r="J142" s="32"/>
      <c r="K142" s="6">
        <v>1</v>
      </c>
      <c r="L142" s="6">
        <v>1</v>
      </c>
      <c r="M142" s="6">
        <v>1</v>
      </c>
      <c r="N142" s="12" t="s">
        <v>28</v>
      </c>
      <c r="O142" s="12"/>
      <c r="P142" s="12"/>
      <c r="Q142" s="24">
        <f t="shared" ref="Q142:T142" si="56">SUM(Q143:Q143)</f>
        <v>117810</v>
      </c>
      <c r="R142" s="24">
        <f t="shared" si="56"/>
        <v>0</v>
      </c>
      <c r="S142" s="24">
        <f t="shared" si="56"/>
        <v>117810</v>
      </c>
      <c r="T142" s="24">
        <f t="shared" si="56"/>
        <v>117810</v>
      </c>
      <c r="U142" s="14"/>
    </row>
    <row r="143" spans="2:21" ht="12.75" customHeight="1" x14ac:dyDescent="0.15">
      <c r="B143" s="10"/>
      <c r="C143" s="23"/>
      <c r="D143" s="23"/>
      <c r="E143" s="23"/>
      <c r="F143" s="42"/>
      <c r="G143" s="22" t="s">
        <v>85</v>
      </c>
      <c r="H143" s="22" t="s">
        <v>172</v>
      </c>
      <c r="I143" s="35">
        <v>1683</v>
      </c>
      <c r="J143" s="35">
        <v>1683</v>
      </c>
      <c r="K143" s="22">
        <v>70</v>
      </c>
      <c r="L143" s="22">
        <v>0</v>
      </c>
      <c r="M143" s="22">
        <v>70</v>
      </c>
      <c r="N143" s="12" t="s">
        <v>31</v>
      </c>
      <c r="O143" s="12"/>
      <c r="P143" s="12"/>
      <c r="Q143" s="13">
        <f>K143*I143</f>
        <v>117810</v>
      </c>
      <c r="R143" s="13">
        <f>L143*I143</f>
        <v>0</v>
      </c>
      <c r="S143" s="13">
        <f>K143*$J$143</f>
        <v>117810</v>
      </c>
      <c r="T143" s="13">
        <f>M143*$J$143</f>
        <v>117810</v>
      </c>
      <c r="U143" s="14"/>
    </row>
    <row r="144" spans="2:21" ht="12.75" customHeight="1" x14ac:dyDescent="0.15">
      <c r="B144" s="10"/>
      <c r="C144" s="1"/>
      <c r="D144" s="1"/>
      <c r="E144" s="9"/>
      <c r="F144" s="11" t="s">
        <v>10</v>
      </c>
      <c r="G144" s="5" t="s">
        <v>86</v>
      </c>
      <c r="H144" s="6"/>
      <c r="I144" s="32"/>
      <c r="J144" s="32"/>
      <c r="K144" s="6">
        <v>1</v>
      </c>
      <c r="L144" s="6">
        <v>1</v>
      </c>
      <c r="M144" s="6">
        <v>1</v>
      </c>
      <c r="N144" s="12" t="s">
        <v>28</v>
      </c>
      <c r="O144" s="12"/>
      <c r="P144" s="12"/>
      <c r="Q144" s="24">
        <f t="shared" ref="Q144:T144" si="57">SUM(Q145:Q145)</f>
        <v>134178</v>
      </c>
      <c r="R144" s="24">
        <f t="shared" si="57"/>
        <v>0</v>
      </c>
      <c r="S144" s="24">
        <f t="shared" si="57"/>
        <v>134634</v>
      </c>
      <c r="T144" s="24">
        <f t="shared" si="57"/>
        <v>134634</v>
      </c>
      <c r="U144" s="14"/>
    </row>
    <row r="145" spans="2:21" ht="12.75" customHeight="1" x14ac:dyDescent="0.15">
      <c r="B145" s="10"/>
      <c r="C145" s="23"/>
      <c r="D145" s="23"/>
      <c r="E145" s="23"/>
      <c r="F145" s="42"/>
      <c r="G145" s="22" t="s">
        <v>87</v>
      </c>
      <c r="H145" s="22" t="s">
        <v>173</v>
      </c>
      <c r="I145" s="35">
        <v>7062</v>
      </c>
      <c r="J145" s="35">
        <v>7086</v>
      </c>
      <c r="K145" s="22">
        <v>19</v>
      </c>
      <c r="L145" s="22">
        <v>0</v>
      </c>
      <c r="M145" s="22">
        <v>19</v>
      </c>
      <c r="N145" s="12" t="s">
        <v>9</v>
      </c>
      <c r="O145" s="12"/>
      <c r="P145" s="12"/>
      <c r="Q145" s="13">
        <f>K145*I145</f>
        <v>134178</v>
      </c>
      <c r="R145" s="13">
        <f>L145*I145</f>
        <v>0</v>
      </c>
      <c r="S145" s="13">
        <f>K145*$J$145</f>
        <v>134634</v>
      </c>
      <c r="T145" s="13">
        <f>M145*$J$145</f>
        <v>134634</v>
      </c>
      <c r="U145" s="14"/>
    </row>
    <row r="146" spans="2:21" ht="12.75" customHeight="1" x14ac:dyDescent="0.15">
      <c r="B146" s="10"/>
      <c r="C146" s="1"/>
      <c r="D146" s="1"/>
      <c r="E146" s="9"/>
      <c r="F146" s="11" t="s">
        <v>10</v>
      </c>
      <c r="G146" s="5" t="s">
        <v>88</v>
      </c>
      <c r="H146" s="6"/>
      <c r="I146" s="32"/>
      <c r="J146" s="32"/>
      <c r="K146" s="6">
        <v>1</v>
      </c>
      <c r="L146" s="6">
        <v>1</v>
      </c>
      <c r="M146" s="6">
        <v>1</v>
      </c>
      <c r="N146" s="12" t="s">
        <v>28</v>
      </c>
      <c r="O146" s="12"/>
      <c r="P146" s="12"/>
      <c r="Q146" s="24">
        <f t="shared" ref="Q146:T146" si="58">SUM(Q147:Q147)</f>
        <v>0</v>
      </c>
      <c r="R146" s="24">
        <f t="shared" si="58"/>
        <v>0</v>
      </c>
      <c r="S146" s="24">
        <f t="shared" si="58"/>
        <v>0</v>
      </c>
      <c r="T146" s="24">
        <f t="shared" si="58"/>
        <v>0</v>
      </c>
      <c r="U146" s="14"/>
    </row>
    <row r="147" spans="2:21" ht="12.75" customHeight="1" x14ac:dyDescent="0.15">
      <c r="B147" s="10"/>
      <c r="C147" s="23"/>
      <c r="D147" s="23"/>
      <c r="E147" s="23"/>
      <c r="F147" s="42"/>
      <c r="G147" s="5" t="s">
        <v>88</v>
      </c>
      <c r="H147" s="22" t="s">
        <v>174</v>
      </c>
      <c r="I147" s="35">
        <v>629</v>
      </c>
      <c r="J147" s="35">
        <v>632</v>
      </c>
      <c r="K147" s="22">
        <v>0</v>
      </c>
      <c r="L147" s="22">
        <v>0</v>
      </c>
      <c r="M147" s="22">
        <v>0</v>
      </c>
      <c r="N147" s="12" t="s">
        <v>31</v>
      </c>
      <c r="O147" s="12"/>
      <c r="P147" s="12"/>
      <c r="Q147" s="13">
        <f>K147*I147</f>
        <v>0</v>
      </c>
      <c r="R147" s="13">
        <f>L147*I147</f>
        <v>0</v>
      </c>
      <c r="S147" s="13">
        <f>K147*$J$147</f>
        <v>0</v>
      </c>
      <c r="T147" s="13">
        <f>M147*$J$147</f>
        <v>0</v>
      </c>
      <c r="U147" s="14"/>
    </row>
    <row r="148" spans="2:21" ht="12.75" customHeight="1" x14ac:dyDescent="0.15">
      <c r="B148" s="10"/>
      <c r="C148" s="1"/>
      <c r="D148" s="1"/>
      <c r="E148" s="9" t="s">
        <v>11</v>
      </c>
      <c r="F148" s="11" t="s">
        <v>89</v>
      </c>
      <c r="G148" s="5"/>
      <c r="H148" s="6"/>
      <c r="I148" s="32"/>
      <c r="J148" s="32"/>
      <c r="K148" s="6">
        <v>1</v>
      </c>
      <c r="L148" s="6">
        <v>1</v>
      </c>
      <c r="M148" s="6">
        <v>1</v>
      </c>
      <c r="N148" s="12" t="s">
        <v>28</v>
      </c>
      <c r="O148" s="12"/>
      <c r="P148" s="12"/>
      <c r="Q148" s="13">
        <f t="shared" ref="Q148:T148" si="59">SUM(Q149,Q151,Q153,Q157)</f>
        <v>2385439</v>
      </c>
      <c r="R148" s="13">
        <f t="shared" si="59"/>
        <v>0</v>
      </c>
      <c r="S148" s="13">
        <f t="shared" si="59"/>
        <v>2452642</v>
      </c>
      <c r="T148" s="13">
        <f t="shared" si="59"/>
        <v>2452642</v>
      </c>
      <c r="U148" s="14"/>
    </row>
    <row r="149" spans="2:21" ht="12.75" customHeight="1" x14ac:dyDescent="0.15">
      <c r="B149" s="10"/>
      <c r="C149" s="1"/>
      <c r="D149" s="1"/>
      <c r="E149" s="9"/>
      <c r="F149" s="11" t="s">
        <v>10</v>
      </c>
      <c r="G149" s="5" t="s">
        <v>41</v>
      </c>
      <c r="H149" s="6"/>
      <c r="I149" s="32"/>
      <c r="J149" s="32"/>
      <c r="K149" s="6">
        <v>1</v>
      </c>
      <c r="L149" s="6">
        <v>1</v>
      </c>
      <c r="M149" s="6">
        <v>1</v>
      </c>
      <c r="N149" s="12" t="s">
        <v>28</v>
      </c>
      <c r="O149" s="12"/>
      <c r="P149" s="12"/>
      <c r="Q149" s="24">
        <f t="shared" ref="Q149:T149" si="60">SUM(Q150:Q150)</f>
        <v>712350</v>
      </c>
      <c r="R149" s="24">
        <f t="shared" si="60"/>
        <v>0</v>
      </c>
      <c r="S149" s="24">
        <f t="shared" si="60"/>
        <v>725850</v>
      </c>
      <c r="T149" s="24">
        <f t="shared" si="60"/>
        <v>725850</v>
      </c>
      <c r="U149" s="14"/>
    </row>
    <row r="150" spans="2:21" ht="12.75" customHeight="1" x14ac:dyDescent="0.15">
      <c r="B150" s="10"/>
      <c r="C150" s="23"/>
      <c r="D150" s="23"/>
      <c r="E150" s="23"/>
      <c r="F150" s="42"/>
      <c r="G150" s="22" t="s">
        <v>41</v>
      </c>
      <c r="H150" s="22"/>
      <c r="I150" s="35">
        <v>1583</v>
      </c>
      <c r="J150" s="35">
        <v>1613</v>
      </c>
      <c r="K150" s="22">
        <v>450</v>
      </c>
      <c r="L150" s="22">
        <v>0</v>
      </c>
      <c r="M150" s="22">
        <v>450</v>
      </c>
      <c r="N150" s="12" t="s">
        <v>9</v>
      </c>
      <c r="O150" s="12"/>
      <c r="P150" s="12"/>
      <c r="Q150" s="13">
        <f>K150*I150</f>
        <v>712350</v>
      </c>
      <c r="R150" s="13">
        <f>L150*I150</f>
        <v>0</v>
      </c>
      <c r="S150" s="13">
        <f>K150*$J$150</f>
        <v>725850</v>
      </c>
      <c r="T150" s="13">
        <f>M150*$J$150</f>
        <v>725850</v>
      </c>
      <c r="U150" s="14" t="s">
        <v>175</v>
      </c>
    </row>
    <row r="151" spans="2:21" ht="12.75" customHeight="1" x14ac:dyDescent="0.15">
      <c r="B151" s="10"/>
      <c r="C151" s="1"/>
      <c r="D151" s="1"/>
      <c r="E151" s="9"/>
      <c r="F151" s="11" t="s">
        <v>10</v>
      </c>
      <c r="G151" s="5" t="s">
        <v>42</v>
      </c>
      <c r="H151" s="6"/>
      <c r="I151" s="32"/>
      <c r="J151" s="32"/>
      <c r="K151" s="6">
        <v>1</v>
      </c>
      <c r="L151" s="6">
        <v>1</v>
      </c>
      <c r="M151" s="6">
        <v>1</v>
      </c>
      <c r="N151" s="12" t="s">
        <v>28</v>
      </c>
      <c r="O151" s="12"/>
      <c r="P151" s="12"/>
      <c r="Q151" s="24">
        <f t="shared" ref="Q151:T151" si="61">SUM(Q152:Q152)</f>
        <v>1472400</v>
      </c>
      <c r="R151" s="24">
        <f t="shared" si="61"/>
        <v>0</v>
      </c>
      <c r="S151" s="24">
        <f t="shared" si="61"/>
        <v>1472400</v>
      </c>
      <c r="T151" s="24">
        <f t="shared" si="61"/>
        <v>1472400</v>
      </c>
      <c r="U151" s="14"/>
    </row>
    <row r="152" spans="2:21" ht="12.75" customHeight="1" x14ac:dyDescent="0.15">
      <c r="B152" s="10"/>
      <c r="C152" s="23"/>
      <c r="D152" s="23"/>
      <c r="E152" s="23"/>
      <c r="F152" s="42"/>
      <c r="G152" s="5" t="s">
        <v>42</v>
      </c>
      <c r="H152" s="22" t="s">
        <v>138</v>
      </c>
      <c r="I152" s="35">
        <v>3272</v>
      </c>
      <c r="J152" s="35">
        <v>3272</v>
      </c>
      <c r="K152" s="22">
        <v>450</v>
      </c>
      <c r="L152" s="22">
        <v>0</v>
      </c>
      <c r="M152" s="22">
        <v>450</v>
      </c>
      <c r="N152" s="12" t="s">
        <v>9</v>
      </c>
      <c r="O152" s="12" t="s">
        <v>124</v>
      </c>
      <c r="P152" s="12"/>
      <c r="Q152" s="13">
        <f>K152*I152</f>
        <v>1472400</v>
      </c>
      <c r="R152" s="13">
        <f>L152*I152</f>
        <v>0</v>
      </c>
      <c r="S152" s="13">
        <f>K152*$J$152</f>
        <v>1472400</v>
      </c>
      <c r="T152" s="13">
        <f>M152*$J$152</f>
        <v>1472400</v>
      </c>
      <c r="U152" s="14" t="s">
        <v>176</v>
      </c>
    </row>
    <row r="153" spans="2:21" ht="12.75" customHeight="1" x14ac:dyDescent="0.15">
      <c r="B153" s="10"/>
      <c r="C153" s="1"/>
      <c r="D153" s="1"/>
      <c r="E153" s="9"/>
      <c r="F153" s="11" t="s">
        <v>10</v>
      </c>
      <c r="G153" s="5" t="s">
        <v>90</v>
      </c>
      <c r="H153" s="6"/>
      <c r="I153" s="32"/>
      <c r="J153" s="32"/>
      <c r="K153" s="6">
        <v>1</v>
      </c>
      <c r="L153" s="6">
        <v>1</v>
      </c>
      <c r="M153" s="6">
        <v>1</v>
      </c>
      <c r="N153" s="12" t="s">
        <v>28</v>
      </c>
      <c r="O153" s="12"/>
      <c r="P153" s="12"/>
      <c r="Q153" s="24">
        <f t="shared" ref="Q153:T153" si="62">SUM(Q154:Q156)</f>
        <v>61089</v>
      </c>
      <c r="R153" s="24">
        <f t="shared" si="62"/>
        <v>0</v>
      </c>
      <c r="S153" s="24">
        <f t="shared" si="62"/>
        <v>62152</v>
      </c>
      <c r="T153" s="24">
        <f t="shared" si="62"/>
        <v>62152</v>
      </c>
      <c r="U153" s="14"/>
    </row>
    <row r="154" spans="2:21" ht="12.75" customHeight="1" x14ac:dyDescent="0.15">
      <c r="B154" s="10"/>
      <c r="C154" s="23"/>
      <c r="D154" s="23"/>
      <c r="E154" s="23"/>
      <c r="F154" s="42"/>
      <c r="G154" s="5" t="s">
        <v>90</v>
      </c>
      <c r="H154" s="22" t="s">
        <v>177</v>
      </c>
      <c r="I154" s="35">
        <v>1793</v>
      </c>
      <c r="J154" s="35">
        <v>1827</v>
      </c>
      <c r="K154" s="22">
        <v>28</v>
      </c>
      <c r="L154" s="22">
        <v>0</v>
      </c>
      <c r="M154" s="22">
        <v>28</v>
      </c>
      <c r="N154" s="12" t="s">
        <v>9</v>
      </c>
      <c r="O154" s="12"/>
      <c r="P154" s="12"/>
      <c r="Q154" s="13">
        <f>K154*I154</f>
        <v>50204</v>
      </c>
      <c r="R154" s="13">
        <f>L154*I154</f>
        <v>0</v>
      </c>
      <c r="S154" s="13">
        <f>K154*$J$154</f>
        <v>51156</v>
      </c>
      <c r="T154" s="13">
        <f>M154*$J$154</f>
        <v>51156</v>
      </c>
      <c r="U154" s="14" t="s">
        <v>178</v>
      </c>
    </row>
    <row r="155" spans="2:21" ht="12.75" customHeight="1" x14ac:dyDescent="0.15">
      <c r="B155" s="10"/>
      <c r="C155" s="1"/>
      <c r="D155" s="1"/>
      <c r="E155" s="9"/>
      <c r="F155" s="11"/>
      <c r="G155" s="5" t="s">
        <v>91</v>
      </c>
      <c r="H155" s="6"/>
      <c r="I155" s="32">
        <v>4795</v>
      </c>
      <c r="J155" s="32">
        <v>4844</v>
      </c>
      <c r="K155" s="6">
        <v>1</v>
      </c>
      <c r="L155" s="6">
        <v>0</v>
      </c>
      <c r="M155" s="6">
        <v>1</v>
      </c>
      <c r="N155" s="12" t="s">
        <v>92</v>
      </c>
      <c r="O155" s="12"/>
      <c r="P155" s="12"/>
      <c r="Q155" s="13">
        <f>K155*I155</f>
        <v>4795</v>
      </c>
      <c r="R155" s="13">
        <f>L155*I155</f>
        <v>0</v>
      </c>
      <c r="S155" s="13">
        <f>K155*$J$155</f>
        <v>4844</v>
      </c>
      <c r="T155" s="13">
        <f>M155*$J$155</f>
        <v>4844</v>
      </c>
      <c r="U155" s="6" t="s">
        <v>179</v>
      </c>
    </row>
    <row r="156" spans="2:21" ht="12.75" customHeight="1" x14ac:dyDescent="0.15">
      <c r="B156" s="10"/>
      <c r="C156" s="1"/>
      <c r="D156" s="1"/>
      <c r="E156" s="9"/>
      <c r="F156" s="11"/>
      <c r="G156" s="5" t="s">
        <v>91</v>
      </c>
      <c r="H156" s="6"/>
      <c r="I156" s="32">
        <v>6090</v>
      </c>
      <c r="J156" s="32">
        <v>6152</v>
      </c>
      <c r="K156" s="6">
        <v>1</v>
      </c>
      <c r="L156" s="6">
        <v>0</v>
      </c>
      <c r="M156" s="6">
        <v>1</v>
      </c>
      <c r="N156" s="12" t="s">
        <v>92</v>
      </c>
      <c r="O156" s="12"/>
      <c r="P156" s="12"/>
      <c r="Q156" s="13">
        <f>K156*I156</f>
        <v>6090</v>
      </c>
      <c r="R156" s="13">
        <f>L156*I156</f>
        <v>0</v>
      </c>
      <c r="S156" s="13">
        <f>K156*$J$156</f>
        <v>6152</v>
      </c>
      <c r="T156" s="13">
        <f>M156*$J$156</f>
        <v>6152</v>
      </c>
      <c r="U156" s="14" t="s">
        <v>180</v>
      </c>
    </row>
    <row r="157" spans="2:21" ht="12.75" customHeight="1" x14ac:dyDescent="0.15">
      <c r="B157" s="10"/>
      <c r="C157" s="1"/>
      <c r="D157" s="1"/>
      <c r="E157" s="9"/>
      <c r="F157" s="11" t="s">
        <v>10</v>
      </c>
      <c r="G157" s="5" t="s">
        <v>93</v>
      </c>
      <c r="H157" s="6"/>
      <c r="I157" s="32"/>
      <c r="J157" s="32"/>
      <c r="K157" s="6">
        <v>1</v>
      </c>
      <c r="L157" s="6">
        <v>1</v>
      </c>
      <c r="M157" s="6">
        <v>1</v>
      </c>
      <c r="N157" s="12" t="s">
        <v>28</v>
      </c>
      <c r="O157" s="12"/>
      <c r="P157" s="12"/>
      <c r="Q157" s="24">
        <f t="shared" ref="Q157:T157" si="63">SUM(Q158:Q159)</f>
        <v>139600</v>
      </c>
      <c r="R157" s="24">
        <f t="shared" si="63"/>
        <v>0</v>
      </c>
      <c r="S157" s="24">
        <f t="shared" si="63"/>
        <v>192240</v>
      </c>
      <c r="T157" s="24">
        <f t="shared" si="63"/>
        <v>192240</v>
      </c>
      <c r="U157" s="14"/>
    </row>
    <row r="158" spans="2:21" ht="12.75" customHeight="1" x14ac:dyDescent="0.15">
      <c r="B158" s="10"/>
      <c r="C158" s="23"/>
      <c r="D158" s="23"/>
      <c r="E158" s="23"/>
      <c r="F158" s="42"/>
      <c r="G158" s="5" t="s">
        <v>94</v>
      </c>
      <c r="H158" s="22" t="s">
        <v>181</v>
      </c>
      <c r="I158" s="35">
        <v>4700</v>
      </c>
      <c r="J158" s="35">
        <v>6580</v>
      </c>
      <c r="K158" s="22">
        <v>28</v>
      </c>
      <c r="L158" s="22">
        <v>0</v>
      </c>
      <c r="M158" s="22">
        <v>28</v>
      </c>
      <c r="N158" s="12" t="s">
        <v>9</v>
      </c>
      <c r="O158" s="12" t="s">
        <v>124</v>
      </c>
      <c r="P158" s="12"/>
      <c r="Q158" s="13">
        <f>K158*I158</f>
        <v>131600</v>
      </c>
      <c r="R158" s="13">
        <f>L158*I158</f>
        <v>0</v>
      </c>
      <c r="S158" s="13">
        <f>K158*$J$158</f>
        <v>184240</v>
      </c>
      <c r="T158" s="13">
        <f>M158*$J$158</f>
        <v>184240</v>
      </c>
      <c r="U158" s="14"/>
    </row>
    <row r="159" spans="2:21" ht="12.75" customHeight="1" x14ac:dyDescent="0.15">
      <c r="B159" s="10"/>
      <c r="C159" s="1"/>
      <c r="D159" s="1"/>
      <c r="E159" s="9"/>
      <c r="F159" s="11"/>
      <c r="G159" s="5" t="s">
        <v>95</v>
      </c>
      <c r="H159" s="6" t="s">
        <v>182</v>
      </c>
      <c r="I159" s="32">
        <v>40000</v>
      </c>
      <c r="J159" s="32">
        <v>40000</v>
      </c>
      <c r="K159" s="6">
        <v>0.2</v>
      </c>
      <c r="L159" s="6">
        <v>0</v>
      </c>
      <c r="M159" s="6">
        <v>0.2</v>
      </c>
      <c r="N159" s="12" t="s">
        <v>52</v>
      </c>
      <c r="O159" s="12" t="s">
        <v>124</v>
      </c>
      <c r="P159" s="12"/>
      <c r="Q159" s="13">
        <f>K159*I159</f>
        <v>8000</v>
      </c>
      <c r="R159" s="13">
        <f>L159*I159</f>
        <v>0</v>
      </c>
      <c r="S159" s="13">
        <f>K159*$J$159</f>
        <v>8000</v>
      </c>
      <c r="T159" s="13">
        <f>M159*$J$159</f>
        <v>8000</v>
      </c>
      <c r="U159" s="6" t="s">
        <v>72</v>
      </c>
    </row>
    <row r="160" spans="2:21" ht="12.75" customHeight="1" x14ac:dyDescent="0.15">
      <c r="B160" s="10"/>
      <c r="C160" s="1"/>
      <c r="D160" s="1" t="s">
        <v>12</v>
      </c>
      <c r="E160" s="9" t="s">
        <v>96</v>
      </c>
      <c r="F160" s="11"/>
      <c r="G160" s="5"/>
      <c r="H160" s="6"/>
      <c r="I160" s="32"/>
      <c r="J160" s="32"/>
      <c r="K160" s="6">
        <v>1</v>
      </c>
      <c r="L160" s="6">
        <v>1</v>
      </c>
      <c r="M160" s="6">
        <v>1</v>
      </c>
      <c r="N160" s="12" t="s">
        <v>28</v>
      </c>
      <c r="O160" s="12"/>
      <c r="P160" s="12"/>
      <c r="Q160" s="13">
        <f t="shared" ref="Q160:T160" si="64">SUM(Q161,Q170,Q179)</f>
        <v>6865614</v>
      </c>
      <c r="R160" s="13">
        <f t="shared" si="64"/>
        <v>0</v>
      </c>
      <c r="S160" s="13">
        <f t="shared" si="64"/>
        <v>6948865</v>
      </c>
      <c r="T160" s="13">
        <f t="shared" si="64"/>
        <v>6948865</v>
      </c>
      <c r="U160" s="14"/>
    </row>
    <row r="161" spans="2:21" ht="12.75" customHeight="1" x14ac:dyDescent="0.15">
      <c r="B161" s="10"/>
      <c r="C161" s="1"/>
      <c r="D161" s="1"/>
      <c r="E161" s="9" t="s">
        <v>11</v>
      </c>
      <c r="F161" s="11" t="s">
        <v>97</v>
      </c>
      <c r="G161" s="5"/>
      <c r="H161" s="6"/>
      <c r="I161" s="32"/>
      <c r="J161" s="32"/>
      <c r="K161" s="6">
        <v>1</v>
      </c>
      <c r="L161" s="6">
        <v>1</v>
      </c>
      <c r="M161" s="6">
        <v>1</v>
      </c>
      <c r="N161" s="12" t="s">
        <v>28</v>
      </c>
      <c r="O161" s="12"/>
      <c r="P161" s="12"/>
      <c r="Q161" s="13">
        <f t="shared" ref="Q161:T161" si="65">SUM(Q162)</f>
        <v>1402790</v>
      </c>
      <c r="R161" s="13">
        <f t="shared" si="65"/>
        <v>0</v>
      </c>
      <c r="S161" s="13">
        <f t="shared" si="65"/>
        <v>1410878</v>
      </c>
      <c r="T161" s="13">
        <f t="shared" si="65"/>
        <v>1410878</v>
      </c>
      <c r="U161" s="14"/>
    </row>
    <row r="162" spans="2:21" ht="12.75" customHeight="1" x14ac:dyDescent="0.15">
      <c r="B162" s="10"/>
      <c r="C162" s="1"/>
      <c r="D162" s="1"/>
      <c r="E162" s="9"/>
      <c r="F162" s="11" t="s">
        <v>10</v>
      </c>
      <c r="G162" s="5" t="s">
        <v>98</v>
      </c>
      <c r="H162" s="6"/>
      <c r="I162" s="32"/>
      <c r="J162" s="32"/>
      <c r="K162" s="6">
        <v>1</v>
      </c>
      <c r="L162" s="6">
        <v>1</v>
      </c>
      <c r="M162" s="6">
        <v>1</v>
      </c>
      <c r="N162" s="12" t="s">
        <v>28</v>
      </c>
      <c r="O162" s="12"/>
      <c r="P162" s="12"/>
      <c r="Q162" s="24">
        <f t="shared" ref="Q162:T162" si="66">SUM(Q163:Q169)</f>
        <v>1402790</v>
      </c>
      <c r="R162" s="24">
        <f t="shared" si="66"/>
        <v>0</v>
      </c>
      <c r="S162" s="24">
        <f t="shared" si="66"/>
        <v>1410878</v>
      </c>
      <c r="T162" s="24">
        <f t="shared" si="66"/>
        <v>1410878</v>
      </c>
      <c r="U162" s="14"/>
    </row>
    <row r="163" spans="2:21" ht="12.75" customHeight="1" x14ac:dyDescent="0.15">
      <c r="B163" s="10"/>
      <c r="C163" s="23"/>
      <c r="D163" s="23"/>
      <c r="E163" s="23"/>
      <c r="F163" s="42"/>
      <c r="G163" s="22" t="s">
        <v>98</v>
      </c>
      <c r="H163" s="22" t="s">
        <v>183</v>
      </c>
      <c r="I163" s="35">
        <v>2033</v>
      </c>
      <c r="J163" s="35">
        <v>2040</v>
      </c>
      <c r="K163" s="22">
        <v>114</v>
      </c>
      <c r="L163" s="22">
        <v>0</v>
      </c>
      <c r="M163" s="22">
        <v>114</v>
      </c>
      <c r="N163" s="12" t="s">
        <v>30</v>
      </c>
      <c r="O163" s="12"/>
      <c r="P163" s="12"/>
      <c r="Q163" s="13">
        <f t="shared" ref="Q163:Q169" si="67">K163*I163</f>
        <v>231762</v>
      </c>
      <c r="R163" s="13">
        <f t="shared" ref="R163:R169" si="68">L163*I163</f>
        <v>0</v>
      </c>
      <c r="S163" s="13">
        <f>K163*$J$163</f>
        <v>232560</v>
      </c>
      <c r="T163" s="13">
        <f>M163*$J$163</f>
        <v>232560</v>
      </c>
      <c r="U163" s="14" t="s">
        <v>196</v>
      </c>
    </row>
    <row r="164" spans="2:21" ht="12.75" customHeight="1" x14ac:dyDescent="0.15">
      <c r="B164" s="10"/>
      <c r="C164" s="23"/>
      <c r="D164" s="23"/>
      <c r="E164" s="23"/>
      <c r="F164" s="52"/>
      <c r="G164" s="22" t="s">
        <v>98</v>
      </c>
      <c r="H164" s="22" t="s">
        <v>183</v>
      </c>
      <c r="I164" s="35">
        <v>1092</v>
      </c>
      <c r="J164" s="35">
        <v>1099</v>
      </c>
      <c r="K164" s="22">
        <v>126</v>
      </c>
      <c r="L164" s="22">
        <v>0</v>
      </c>
      <c r="M164" s="22">
        <v>126</v>
      </c>
      <c r="N164" s="12" t="s">
        <v>30</v>
      </c>
      <c r="O164" s="12"/>
      <c r="P164" s="12"/>
      <c r="Q164" s="13">
        <f t="shared" si="67"/>
        <v>137592</v>
      </c>
      <c r="R164" s="13">
        <f t="shared" si="68"/>
        <v>0</v>
      </c>
      <c r="S164" s="13">
        <f>K164*$J$164</f>
        <v>138474</v>
      </c>
      <c r="T164" s="13">
        <f>M164*$J$164</f>
        <v>138474</v>
      </c>
      <c r="U164" s="14" t="s">
        <v>197</v>
      </c>
    </row>
    <row r="165" spans="2:21" ht="12.75" customHeight="1" x14ac:dyDescent="0.15">
      <c r="B165" s="10"/>
      <c r="C165" s="23"/>
      <c r="D165" s="23"/>
      <c r="E165" s="23"/>
      <c r="F165" s="52"/>
      <c r="G165" s="22" t="s">
        <v>98</v>
      </c>
      <c r="H165" s="22" t="s">
        <v>183</v>
      </c>
      <c r="I165" s="35">
        <v>2447</v>
      </c>
      <c r="J165" s="35">
        <v>2461</v>
      </c>
      <c r="K165" s="22">
        <v>130</v>
      </c>
      <c r="L165" s="22">
        <v>0</v>
      </c>
      <c r="M165" s="22">
        <v>130</v>
      </c>
      <c r="N165" s="12" t="s">
        <v>30</v>
      </c>
      <c r="O165" s="12"/>
      <c r="P165" s="12"/>
      <c r="Q165" s="13">
        <f t="shared" si="67"/>
        <v>318110</v>
      </c>
      <c r="R165" s="13">
        <f t="shared" si="68"/>
        <v>0</v>
      </c>
      <c r="S165" s="13">
        <f>K165*$J$165</f>
        <v>319930</v>
      </c>
      <c r="T165" s="13">
        <f>M165*$J$165</f>
        <v>319930</v>
      </c>
      <c r="U165" s="14" t="s">
        <v>198</v>
      </c>
    </row>
    <row r="166" spans="2:21" ht="12.75" customHeight="1" x14ac:dyDescent="0.15">
      <c r="B166" s="10"/>
      <c r="C166" s="23"/>
      <c r="D166" s="23"/>
      <c r="E166" s="23"/>
      <c r="F166" s="52"/>
      <c r="G166" s="22" t="s">
        <v>98</v>
      </c>
      <c r="H166" s="22" t="s">
        <v>183</v>
      </c>
      <c r="I166" s="35">
        <v>1151</v>
      </c>
      <c r="J166" s="35">
        <v>1159</v>
      </c>
      <c r="K166" s="22">
        <v>148</v>
      </c>
      <c r="L166" s="22">
        <v>0</v>
      </c>
      <c r="M166" s="22">
        <v>148</v>
      </c>
      <c r="N166" s="12" t="s">
        <v>30</v>
      </c>
      <c r="O166" s="12"/>
      <c r="P166" s="12"/>
      <c r="Q166" s="13">
        <f t="shared" si="67"/>
        <v>170348</v>
      </c>
      <c r="R166" s="13">
        <f t="shared" si="68"/>
        <v>0</v>
      </c>
      <c r="S166" s="13">
        <f>K166*$J$166</f>
        <v>171532</v>
      </c>
      <c r="T166" s="13">
        <f>M166*$J$166</f>
        <v>171532</v>
      </c>
      <c r="U166" s="14" t="s">
        <v>199</v>
      </c>
    </row>
    <row r="167" spans="2:21" ht="12.75" customHeight="1" x14ac:dyDescent="0.15">
      <c r="B167" s="10"/>
      <c r="C167" s="23"/>
      <c r="D167" s="23"/>
      <c r="E167" s="23"/>
      <c r="F167" s="52"/>
      <c r="G167" s="22" t="s">
        <v>98</v>
      </c>
      <c r="H167" s="22" t="s">
        <v>183</v>
      </c>
      <c r="I167" s="35">
        <v>1568</v>
      </c>
      <c r="J167" s="35">
        <v>1576</v>
      </c>
      <c r="K167" s="22">
        <v>107</v>
      </c>
      <c r="L167" s="22">
        <v>0</v>
      </c>
      <c r="M167" s="22">
        <v>107</v>
      </c>
      <c r="N167" s="12" t="s">
        <v>30</v>
      </c>
      <c r="O167" s="12"/>
      <c r="P167" s="12"/>
      <c r="Q167" s="13">
        <f t="shared" si="67"/>
        <v>167776</v>
      </c>
      <c r="R167" s="13">
        <f t="shared" si="68"/>
        <v>0</v>
      </c>
      <c r="S167" s="13">
        <f>K167*$J$167</f>
        <v>168632</v>
      </c>
      <c r="T167" s="13">
        <f>M167*$J$167</f>
        <v>168632</v>
      </c>
      <c r="U167" s="14" t="s">
        <v>200</v>
      </c>
    </row>
    <row r="168" spans="2:21" ht="12.75" customHeight="1" x14ac:dyDescent="0.15">
      <c r="B168" s="10"/>
      <c r="C168" s="23"/>
      <c r="D168" s="23"/>
      <c r="E168" s="23"/>
      <c r="F168" s="52"/>
      <c r="G168" s="22" t="s">
        <v>98</v>
      </c>
      <c r="H168" s="22" t="s">
        <v>183</v>
      </c>
      <c r="I168" s="35">
        <v>1270</v>
      </c>
      <c r="J168" s="35">
        <v>1278</v>
      </c>
      <c r="K168" s="22">
        <v>147</v>
      </c>
      <c r="L168" s="22">
        <v>0</v>
      </c>
      <c r="M168" s="22">
        <v>147</v>
      </c>
      <c r="N168" s="12" t="s">
        <v>30</v>
      </c>
      <c r="O168" s="12"/>
      <c r="P168" s="12"/>
      <c r="Q168" s="13">
        <f t="shared" si="67"/>
        <v>186690</v>
      </c>
      <c r="R168" s="13">
        <f t="shared" si="68"/>
        <v>0</v>
      </c>
      <c r="S168" s="13">
        <f>K168*$J$168</f>
        <v>187866</v>
      </c>
      <c r="T168" s="13">
        <f>M168*$J$168</f>
        <v>187866</v>
      </c>
      <c r="U168" s="14" t="s">
        <v>201</v>
      </c>
    </row>
    <row r="169" spans="2:21" ht="12.75" customHeight="1" x14ac:dyDescent="0.15">
      <c r="B169" s="10"/>
      <c r="C169" s="23"/>
      <c r="D169" s="23"/>
      <c r="E169" s="23"/>
      <c r="F169" s="52"/>
      <c r="G169" s="22" t="s">
        <v>98</v>
      </c>
      <c r="H169" s="22" t="s">
        <v>183</v>
      </c>
      <c r="I169" s="35">
        <v>972</v>
      </c>
      <c r="J169" s="35">
        <v>979</v>
      </c>
      <c r="K169" s="22">
        <v>196</v>
      </c>
      <c r="L169" s="22">
        <v>0</v>
      </c>
      <c r="M169" s="22">
        <v>196</v>
      </c>
      <c r="N169" s="12" t="s">
        <v>30</v>
      </c>
      <c r="O169" s="12"/>
      <c r="P169" s="12"/>
      <c r="Q169" s="13">
        <f t="shared" si="67"/>
        <v>190512</v>
      </c>
      <c r="R169" s="13">
        <f t="shared" si="68"/>
        <v>0</v>
      </c>
      <c r="S169" s="13">
        <f>K169*$J$169</f>
        <v>191884</v>
      </c>
      <c r="T169" s="13">
        <f>M169*$J$169</f>
        <v>191884</v>
      </c>
      <c r="U169" s="14" t="s">
        <v>202</v>
      </c>
    </row>
    <row r="170" spans="2:21" ht="12.75" customHeight="1" x14ac:dyDescent="0.15">
      <c r="B170" s="10"/>
      <c r="C170" s="1"/>
      <c r="D170" s="1"/>
      <c r="E170" s="9" t="s">
        <v>11</v>
      </c>
      <c r="F170" s="11" t="s">
        <v>99</v>
      </c>
      <c r="G170" s="5"/>
      <c r="H170" s="6"/>
      <c r="I170" s="32"/>
      <c r="J170" s="32"/>
      <c r="K170" s="6">
        <v>1</v>
      </c>
      <c r="L170" s="6">
        <v>1</v>
      </c>
      <c r="M170" s="6">
        <v>1</v>
      </c>
      <c r="N170" s="12" t="s">
        <v>28</v>
      </c>
      <c r="O170" s="12"/>
      <c r="P170" s="12"/>
      <c r="Q170" s="13">
        <f t="shared" ref="Q170:T170" si="69">SUM(Q171,Q174,Q176)</f>
        <v>1284584</v>
      </c>
      <c r="R170" s="13">
        <f t="shared" si="69"/>
        <v>0</v>
      </c>
      <c r="S170" s="13">
        <f t="shared" si="69"/>
        <v>1285827</v>
      </c>
      <c r="T170" s="13">
        <f t="shared" si="69"/>
        <v>1285827</v>
      </c>
      <c r="U170" s="14"/>
    </row>
    <row r="171" spans="2:21" ht="12.75" customHeight="1" x14ac:dyDescent="0.15">
      <c r="B171" s="10"/>
      <c r="C171" s="1"/>
      <c r="D171" s="1"/>
      <c r="E171" s="9"/>
      <c r="F171" s="11" t="s">
        <v>10</v>
      </c>
      <c r="G171" s="5" t="s">
        <v>100</v>
      </c>
      <c r="H171" s="6"/>
      <c r="I171" s="32"/>
      <c r="J171" s="32"/>
      <c r="K171" s="6">
        <v>1</v>
      </c>
      <c r="L171" s="6">
        <v>1</v>
      </c>
      <c r="M171" s="6">
        <v>1</v>
      </c>
      <c r="N171" s="12" t="s">
        <v>28</v>
      </c>
      <c r="O171" s="12"/>
      <c r="P171" s="12"/>
      <c r="Q171" s="24">
        <f t="shared" ref="Q171:T171" si="70">SUM(Q172:Q173)</f>
        <v>99300</v>
      </c>
      <c r="R171" s="24">
        <f t="shared" si="70"/>
        <v>0</v>
      </c>
      <c r="S171" s="24">
        <f t="shared" si="70"/>
        <v>99450</v>
      </c>
      <c r="T171" s="24">
        <f t="shared" si="70"/>
        <v>99450</v>
      </c>
      <c r="U171" s="14"/>
    </row>
    <row r="172" spans="2:21" ht="12.75" customHeight="1" x14ac:dyDescent="0.15">
      <c r="B172" s="10"/>
      <c r="C172" s="23"/>
      <c r="D172" s="23"/>
      <c r="E172" s="23"/>
      <c r="F172" s="42"/>
      <c r="G172" s="22" t="s">
        <v>43</v>
      </c>
      <c r="H172" s="22" t="s">
        <v>203</v>
      </c>
      <c r="I172" s="35">
        <v>1800</v>
      </c>
      <c r="J172" s="35">
        <v>1800</v>
      </c>
      <c r="K172" s="22">
        <v>50</v>
      </c>
      <c r="L172" s="22">
        <v>0</v>
      </c>
      <c r="M172" s="22">
        <v>50</v>
      </c>
      <c r="N172" s="12" t="s">
        <v>9</v>
      </c>
      <c r="O172" s="12"/>
      <c r="P172" s="12"/>
      <c r="Q172" s="13">
        <f>K172*I172</f>
        <v>90000</v>
      </c>
      <c r="R172" s="13">
        <f>L172*I172</f>
        <v>0</v>
      </c>
      <c r="S172" s="13">
        <f>K172*$J$172</f>
        <v>90000</v>
      </c>
      <c r="T172" s="13">
        <f>M172*$J$172</f>
        <v>90000</v>
      </c>
      <c r="U172" s="14"/>
    </row>
    <row r="173" spans="2:21" ht="12.75" customHeight="1" x14ac:dyDescent="0.15">
      <c r="B173" s="10"/>
      <c r="C173" s="23"/>
      <c r="D173" s="23"/>
      <c r="E173" s="23"/>
      <c r="F173" s="42"/>
      <c r="G173" s="22" t="s">
        <v>101</v>
      </c>
      <c r="H173" s="22"/>
      <c r="I173" s="35">
        <v>186</v>
      </c>
      <c r="J173" s="35">
        <v>189</v>
      </c>
      <c r="K173" s="22">
        <v>50</v>
      </c>
      <c r="L173" s="22">
        <v>0</v>
      </c>
      <c r="M173" s="22">
        <v>50</v>
      </c>
      <c r="N173" s="12" t="s">
        <v>9</v>
      </c>
      <c r="O173" s="12"/>
      <c r="P173" s="12"/>
      <c r="Q173" s="13">
        <f>K173*I173</f>
        <v>9300</v>
      </c>
      <c r="R173" s="13">
        <f>L173*I173</f>
        <v>0</v>
      </c>
      <c r="S173" s="13">
        <f>K173*$J$173</f>
        <v>9450</v>
      </c>
      <c r="T173" s="13">
        <f>M173*$J$173</f>
        <v>9450</v>
      </c>
      <c r="U173" s="14"/>
    </row>
    <row r="174" spans="2:21" ht="12.75" customHeight="1" x14ac:dyDescent="0.15">
      <c r="B174" s="10"/>
      <c r="C174" s="1"/>
      <c r="D174" s="1"/>
      <c r="E174" s="9"/>
      <c r="F174" s="11" t="s">
        <v>10</v>
      </c>
      <c r="G174" s="5" t="s">
        <v>102</v>
      </c>
      <c r="H174" s="6"/>
      <c r="I174" s="32"/>
      <c r="J174" s="32"/>
      <c r="K174" s="6">
        <v>1</v>
      </c>
      <c r="L174" s="6">
        <v>1</v>
      </c>
      <c r="M174" s="6">
        <v>1</v>
      </c>
      <c r="N174" s="12" t="s">
        <v>28</v>
      </c>
      <c r="O174" s="12"/>
      <c r="P174" s="12"/>
      <c r="Q174" s="24">
        <f t="shared" ref="Q174:T174" si="71">SUM(Q175:Q175)</f>
        <v>522681</v>
      </c>
      <c r="R174" s="24">
        <f t="shared" si="71"/>
        <v>0</v>
      </c>
      <c r="S174" s="24">
        <f t="shared" si="71"/>
        <v>523035</v>
      </c>
      <c r="T174" s="24">
        <f t="shared" si="71"/>
        <v>523035</v>
      </c>
      <c r="U174" s="14"/>
    </row>
    <row r="175" spans="2:21" ht="12.75" customHeight="1" x14ac:dyDescent="0.15">
      <c r="B175" s="10"/>
      <c r="C175" s="23"/>
      <c r="D175" s="23"/>
      <c r="E175" s="23"/>
      <c r="F175" s="42"/>
      <c r="G175" s="22" t="s">
        <v>103</v>
      </c>
      <c r="H175" s="22" t="s">
        <v>184</v>
      </c>
      <c r="I175" s="35">
        <v>8859</v>
      </c>
      <c r="J175" s="35">
        <v>8865</v>
      </c>
      <c r="K175" s="22">
        <v>59</v>
      </c>
      <c r="L175" s="22">
        <v>0</v>
      </c>
      <c r="M175" s="22">
        <v>59</v>
      </c>
      <c r="N175" s="12" t="s">
        <v>31</v>
      </c>
      <c r="O175" s="12"/>
      <c r="P175" s="12"/>
      <c r="Q175" s="13">
        <f>K175*I175</f>
        <v>522681</v>
      </c>
      <c r="R175" s="13">
        <f>L175*I175</f>
        <v>0</v>
      </c>
      <c r="S175" s="13">
        <f>K175*$J$175</f>
        <v>523035</v>
      </c>
      <c r="T175" s="13">
        <f>M175*$J$175</f>
        <v>523035</v>
      </c>
      <c r="U175" s="14"/>
    </row>
    <row r="176" spans="2:21" ht="12.75" customHeight="1" x14ac:dyDescent="0.15">
      <c r="B176" s="10"/>
      <c r="C176" s="1"/>
      <c r="D176" s="1"/>
      <c r="E176" s="9"/>
      <c r="F176" s="11" t="s">
        <v>10</v>
      </c>
      <c r="G176" s="5" t="s">
        <v>104</v>
      </c>
      <c r="H176" s="6"/>
      <c r="I176" s="32"/>
      <c r="J176" s="32"/>
      <c r="K176" s="6">
        <v>1</v>
      </c>
      <c r="L176" s="6">
        <v>1</v>
      </c>
      <c r="M176" s="6">
        <v>1</v>
      </c>
      <c r="N176" s="12" t="s">
        <v>28</v>
      </c>
      <c r="O176" s="12"/>
      <c r="P176" s="12"/>
      <c r="Q176" s="24">
        <f t="shared" ref="Q176:T176" si="72">SUM(Q177:Q178)</f>
        <v>662603</v>
      </c>
      <c r="R176" s="24">
        <f t="shared" si="72"/>
        <v>0</v>
      </c>
      <c r="S176" s="24">
        <f t="shared" si="72"/>
        <v>663342</v>
      </c>
      <c r="T176" s="24">
        <f t="shared" si="72"/>
        <v>663342</v>
      </c>
      <c r="U176" s="14"/>
    </row>
    <row r="177" spans="2:21" ht="12.75" customHeight="1" x14ac:dyDescent="0.15">
      <c r="B177" s="10"/>
      <c r="C177" s="23"/>
      <c r="D177" s="23"/>
      <c r="E177" s="23"/>
      <c r="F177" s="42"/>
      <c r="G177" s="22" t="s">
        <v>105</v>
      </c>
      <c r="H177" s="22" t="s">
        <v>172</v>
      </c>
      <c r="I177" s="35">
        <v>7929</v>
      </c>
      <c r="J177" s="35">
        <v>7938</v>
      </c>
      <c r="K177" s="22">
        <v>59</v>
      </c>
      <c r="L177" s="22">
        <v>0</v>
      </c>
      <c r="M177" s="22">
        <v>59</v>
      </c>
      <c r="N177" s="12" t="s">
        <v>31</v>
      </c>
      <c r="O177" s="12"/>
      <c r="P177" s="12"/>
      <c r="Q177" s="13">
        <f>K177*I177</f>
        <v>467811</v>
      </c>
      <c r="R177" s="13">
        <f>L177*I177</f>
        <v>0</v>
      </c>
      <c r="S177" s="13">
        <f>K177*$J$177</f>
        <v>468342</v>
      </c>
      <c r="T177" s="13">
        <f>M177*$J$177</f>
        <v>468342</v>
      </c>
      <c r="U177" s="14" t="s">
        <v>185</v>
      </c>
    </row>
    <row r="178" spans="2:21" ht="12.75" customHeight="1" x14ac:dyDescent="0.15">
      <c r="B178" s="10"/>
      <c r="C178" s="1"/>
      <c r="D178" s="1"/>
      <c r="E178" s="9"/>
      <c r="F178" s="11"/>
      <c r="G178" s="22" t="s">
        <v>106</v>
      </c>
      <c r="H178" s="22" t="s">
        <v>186</v>
      </c>
      <c r="I178" s="35">
        <v>7492</v>
      </c>
      <c r="J178" s="35">
        <v>7500</v>
      </c>
      <c r="K178" s="22">
        <v>26</v>
      </c>
      <c r="L178" s="22">
        <v>0</v>
      </c>
      <c r="M178" s="22">
        <v>26</v>
      </c>
      <c r="N178" s="12" t="s">
        <v>31</v>
      </c>
      <c r="O178" s="12"/>
      <c r="P178" s="12"/>
      <c r="Q178" s="13">
        <f>K178*I178</f>
        <v>194792</v>
      </c>
      <c r="R178" s="13">
        <f>L178*I178</f>
        <v>0</v>
      </c>
      <c r="S178" s="13">
        <f>K178*$J$178</f>
        <v>195000</v>
      </c>
      <c r="T178" s="13">
        <f>M178*$J$178</f>
        <v>195000</v>
      </c>
      <c r="U178" s="14" t="s">
        <v>185</v>
      </c>
    </row>
    <row r="179" spans="2:21" ht="12.75" customHeight="1" x14ac:dyDescent="0.15">
      <c r="B179" s="10"/>
      <c r="C179" s="1"/>
      <c r="D179" s="1"/>
      <c r="E179" s="9" t="s">
        <v>11</v>
      </c>
      <c r="F179" s="11" t="s">
        <v>107</v>
      </c>
      <c r="G179" s="5"/>
      <c r="H179" s="6"/>
      <c r="I179" s="32"/>
      <c r="J179" s="32"/>
      <c r="K179" s="6">
        <v>1</v>
      </c>
      <c r="L179" s="6">
        <v>1</v>
      </c>
      <c r="M179" s="6">
        <v>1</v>
      </c>
      <c r="N179" s="12" t="s">
        <v>28</v>
      </c>
      <c r="O179" s="12"/>
      <c r="P179" s="12"/>
      <c r="Q179" s="13">
        <f t="shared" ref="Q179:T179" si="73">SUM(Q180)</f>
        <v>4178240</v>
      </c>
      <c r="R179" s="13">
        <f t="shared" si="73"/>
        <v>0</v>
      </c>
      <c r="S179" s="13">
        <f t="shared" si="73"/>
        <v>4252160</v>
      </c>
      <c r="T179" s="13">
        <f t="shared" si="73"/>
        <v>4252160</v>
      </c>
      <c r="U179" s="14"/>
    </row>
    <row r="180" spans="2:21" ht="12.75" customHeight="1" x14ac:dyDescent="0.15">
      <c r="B180" s="10"/>
      <c r="C180" s="1"/>
      <c r="D180" s="1"/>
      <c r="E180" s="9"/>
      <c r="F180" s="11" t="s">
        <v>10</v>
      </c>
      <c r="G180" s="5" t="s">
        <v>108</v>
      </c>
      <c r="H180" s="6"/>
      <c r="I180" s="32"/>
      <c r="J180" s="32"/>
      <c r="K180" s="6">
        <v>1</v>
      </c>
      <c r="L180" s="6">
        <v>1</v>
      </c>
      <c r="M180" s="6">
        <v>1</v>
      </c>
      <c r="N180" s="12" t="s">
        <v>28</v>
      </c>
      <c r="O180" s="12"/>
      <c r="P180" s="12"/>
      <c r="Q180" s="24">
        <f t="shared" ref="Q180:T180" si="74">SUM(Q181:Q181)</f>
        <v>4178240</v>
      </c>
      <c r="R180" s="24">
        <f t="shared" si="74"/>
        <v>0</v>
      </c>
      <c r="S180" s="24">
        <f t="shared" si="74"/>
        <v>4252160</v>
      </c>
      <c r="T180" s="24">
        <f t="shared" si="74"/>
        <v>4252160</v>
      </c>
      <c r="U180" s="14"/>
    </row>
    <row r="181" spans="2:21" ht="12.75" customHeight="1" x14ac:dyDescent="0.15">
      <c r="B181" s="10"/>
      <c r="C181" s="23"/>
      <c r="D181" s="23"/>
      <c r="E181" s="23"/>
      <c r="F181" s="42"/>
      <c r="G181" s="22" t="s">
        <v>109</v>
      </c>
      <c r="H181" s="22"/>
      <c r="I181" s="35">
        <v>11870</v>
      </c>
      <c r="J181" s="35">
        <v>12080</v>
      </c>
      <c r="K181" s="22">
        <v>352</v>
      </c>
      <c r="L181" s="22">
        <v>0</v>
      </c>
      <c r="M181" s="22">
        <v>352</v>
      </c>
      <c r="N181" s="12" t="s">
        <v>110</v>
      </c>
      <c r="O181" s="12"/>
      <c r="P181" s="12"/>
      <c r="Q181" s="13">
        <f>K181*I181</f>
        <v>4178240</v>
      </c>
      <c r="R181" s="13">
        <f>L181*I181</f>
        <v>0</v>
      </c>
      <c r="S181" s="13">
        <f>K181*$J$181</f>
        <v>4252160</v>
      </c>
      <c r="T181" s="13">
        <f>M181*$J$181</f>
        <v>4252160</v>
      </c>
      <c r="U181" s="14"/>
    </row>
    <row r="182" spans="2:21" ht="12.75" customHeight="1" x14ac:dyDescent="0.15">
      <c r="B182" s="10"/>
      <c r="C182" s="1" t="s">
        <v>14</v>
      </c>
      <c r="D182" s="1"/>
      <c r="E182" s="9"/>
      <c r="F182" s="11"/>
      <c r="G182" s="2"/>
      <c r="H182" s="22"/>
      <c r="I182" s="35"/>
      <c r="J182" s="35"/>
      <c r="K182" s="6">
        <v>1</v>
      </c>
      <c r="L182" s="6">
        <v>1</v>
      </c>
      <c r="M182" s="6">
        <v>1</v>
      </c>
      <c r="N182" s="12" t="s">
        <v>28</v>
      </c>
      <c r="O182" s="12"/>
      <c r="P182" s="12"/>
      <c r="Q182" s="13">
        <f>Q9</f>
        <v>81925448.200000003</v>
      </c>
      <c r="R182" s="13">
        <f>R9</f>
        <v>4991115</v>
      </c>
      <c r="S182" s="13">
        <f>S9</f>
        <v>84249096.200000003</v>
      </c>
      <c r="T182" s="13">
        <f>T9</f>
        <v>79257981.200000003</v>
      </c>
      <c r="U182" s="14"/>
    </row>
    <row r="183" spans="2:21" ht="12.75" customHeight="1" x14ac:dyDescent="0.15">
      <c r="B183" s="10"/>
      <c r="C183" s="1" t="s">
        <v>111</v>
      </c>
      <c r="D183" s="1"/>
      <c r="E183" s="9"/>
      <c r="F183" s="11"/>
      <c r="G183" s="2"/>
      <c r="H183" s="22"/>
      <c r="I183" s="35"/>
      <c r="J183" s="35"/>
      <c r="K183" s="6">
        <v>1</v>
      </c>
      <c r="L183" s="6">
        <v>1</v>
      </c>
      <c r="M183" s="6">
        <v>1</v>
      </c>
      <c r="N183" s="12" t="s">
        <v>28</v>
      </c>
      <c r="O183" s="12"/>
      <c r="P183" s="12"/>
      <c r="Q183" s="13">
        <f>SUM(Q184)</f>
        <v>2783600</v>
      </c>
      <c r="R183" s="13">
        <f t="shared" ref="R183:T183" si="75">SUM(R184)</f>
        <v>0</v>
      </c>
      <c r="S183" s="13">
        <f t="shared" si="75"/>
        <v>2798400</v>
      </c>
      <c r="T183" s="13">
        <f t="shared" si="75"/>
        <v>2798400</v>
      </c>
      <c r="U183" s="14"/>
    </row>
    <row r="184" spans="2:21" ht="12.75" customHeight="1" x14ac:dyDescent="0.15">
      <c r="B184" s="10"/>
      <c r="C184" s="1"/>
      <c r="D184" s="1" t="s">
        <v>12</v>
      </c>
      <c r="E184" s="9" t="s">
        <v>112</v>
      </c>
      <c r="F184" s="11"/>
      <c r="G184" s="5"/>
      <c r="H184" s="6"/>
      <c r="I184" s="32"/>
      <c r="J184" s="32"/>
      <c r="K184" s="6">
        <v>1</v>
      </c>
      <c r="L184" s="6">
        <v>1</v>
      </c>
      <c r="M184" s="6">
        <v>1</v>
      </c>
      <c r="N184" s="12" t="s">
        <v>28</v>
      </c>
      <c r="O184" s="12"/>
      <c r="P184" s="12"/>
      <c r="Q184" s="13">
        <f t="shared" ref="Q184:T184" si="76">SUM(Q185:Q186)</f>
        <v>2783600</v>
      </c>
      <c r="R184" s="13">
        <f t="shared" si="76"/>
        <v>0</v>
      </c>
      <c r="S184" s="13">
        <f t="shared" si="76"/>
        <v>2798400</v>
      </c>
      <c r="T184" s="13">
        <f t="shared" si="76"/>
        <v>2798400</v>
      </c>
      <c r="U184" s="14"/>
    </row>
    <row r="185" spans="2:21" ht="12.75" customHeight="1" x14ac:dyDescent="0.15">
      <c r="B185" s="10"/>
      <c r="C185" s="1"/>
      <c r="D185" s="1"/>
      <c r="E185" s="9"/>
      <c r="F185" s="11"/>
      <c r="G185" s="2" t="s">
        <v>112</v>
      </c>
      <c r="H185" s="22" t="s">
        <v>187</v>
      </c>
      <c r="I185" s="35">
        <v>828600</v>
      </c>
      <c r="J185" s="35">
        <v>831400</v>
      </c>
      <c r="K185" s="6">
        <v>1</v>
      </c>
      <c r="L185" s="6">
        <v>0</v>
      </c>
      <c r="M185" s="6">
        <v>1</v>
      </c>
      <c r="N185" s="12" t="s">
        <v>92</v>
      </c>
      <c r="O185" s="12"/>
      <c r="P185" s="12"/>
      <c r="Q185" s="13">
        <f>K185*I185</f>
        <v>828600</v>
      </c>
      <c r="R185" s="13">
        <f>L185*I185</f>
        <v>0</v>
      </c>
      <c r="S185" s="13">
        <f>K185*$J$185</f>
        <v>831400</v>
      </c>
      <c r="T185" s="13">
        <f>M185*$J$185</f>
        <v>831400</v>
      </c>
      <c r="U185" s="14"/>
    </row>
    <row r="186" spans="2:21" ht="12.75" customHeight="1" x14ac:dyDescent="0.15">
      <c r="B186" s="10"/>
      <c r="C186" s="1"/>
      <c r="D186" s="1"/>
      <c r="E186" s="9"/>
      <c r="F186" s="11"/>
      <c r="G186" s="2" t="s">
        <v>112</v>
      </c>
      <c r="H186" s="22" t="s">
        <v>188</v>
      </c>
      <c r="I186" s="35">
        <v>1955000</v>
      </c>
      <c r="J186" s="35">
        <v>1967000</v>
      </c>
      <c r="K186" s="6">
        <v>1</v>
      </c>
      <c r="L186" s="6">
        <v>0</v>
      </c>
      <c r="M186" s="6">
        <v>1</v>
      </c>
      <c r="N186" s="12" t="s">
        <v>92</v>
      </c>
      <c r="O186" s="12"/>
      <c r="P186" s="12"/>
      <c r="Q186" s="13">
        <f>K186*I186</f>
        <v>1955000</v>
      </c>
      <c r="R186" s="13">
        <f>L186*I186</f>
        <v>0</v>
      </c>
      <c r="S186" s="13">
        <f>K186*$J$186</f>
        <v>1967000</v>
      </c>
      <c r="T186" s="13">
        <f>M186*$J$186</f>
        <v>1967000</v>
      </c>
      <c r="U186" s="14"/>
    </row>
    <row r="187" spans="2:21" ht="12.75" customHeight="1" x14ac:dyDescent="0.15">
      <c r="B187" s="10"/>
      <c r="C187" s="1" t="s">
        <v>15</v>
      </c>
      <c r="D187" s="1"/>
      <c r="E187" s="9"/>
      <c r="F187" s="11"/>
      <c r="G187" s="2"/>
      <c r="H187" s="22"/>
      <c r="I187" s="35"/>
      <c r="J187" s="35"/>
      <c r="K187" s="6">
        <v>1</v>
      </c>
      <c r="L187" s="6">
        <v>1</v>
      </c>
      <c r="M187" s="6">
        <v>1</v>
      </c>
      <c r="N187" s="12" t="s">
        <v>28</v>
      </c>
      <c r="O187" s="12"/>
      <c r="P187" s="12"/>
      <c r="Q187" s="13">
        <f t="shared" ref="Q187:T187" si="77">SUM(Q188)</f>
        <v>344660</v>
      </c>
      <c r="R187" s="13">
        <f t="shared" si="77"/>
        <v>0</v>
      </c>
      <c r="S187" s="13">
        <f t="shared" si="77"/>
        <v>349750</v>
      </c>
      <c r="T187" s="13">
        <f t="shared" si="77"/>
        <v>349750</v>
      </c>
      <c r="U187" s="14"/>
    </row>
    <row r="188" spans="2:21" ht="12.75" customHeight="1" x14ac:dyDescent="0.15">
      <c r="B188" s="10"/>
      <c r="C188" s="1"/>
      <c r="D188" s="1" t="s">
        <v>12</v>
      </c>
      <c r="E188" s="9" t="s">
        <v>113</v>
      </c>
      <c r="F188" s="11"/>
      <c r="G188" s="5"/>
      <c r="H188" s="6"/>
      <c r="I188" s="32"/>
      <c r="J188" s="32"/>
      <c r="K188" s="6">
        <v>1</v>
      </c>
      <c r="L188" s="6">
        <v>1</v>
      </c>
      <c r="M188" s="6">
        <v>1</v>
      </c>
      <c r="N188" s="12" t="s">
        <v>28</v>
      </c>
      <c r="O188" s="12"/>
      <c r="P188" s="12"/>
      <c r="Q188" s="13">
        <f t="shared" ref="Q188:T188" si="78">SUM(Q189:Q193)</f>
        <v>344660</v>
      </c>
      <c r="R188" s="13">
        <f t="shared" si="78"/>
        <v>0</v>
      </c>
      <c r="S188" s="13">
        <f t="shared" si="78"/>
        <v>349750</v>
      </c>
      <c r="T188" s="13">
        <f t="shared" si="78"/>
        <v>349750</v>
      </c>
      <c r="U188" s="14"/>
    </row>
    <row r="189" spans="2:21" ht="12.75" customHeight="1" x14ac:dyDescent="0.15">
      <c r="B189" s="10"/>
      <c r="C189" s="1"/>
      <c r="D189" s="1"/>
      <c r="E189" s="9"/>
      <c r="F189" s="11"/>
      <c r="G189" s="2" t="s">
        <v>114</v>
      </c>
      <c r="H189" s="22" t="s">
        <v>189</v>
      </c>
      <c r="I189" s="35">
        <v>75485</v>
      </c>
      <c r="J189" s="35">
        <v>77750</v>
      </c>
      <c r="K189" s="6">
        <v>2</v>
      </c>
      <c r="L189" s="6">
        <v>0</v>
      </c>
      <c r="M189" s="6">
        <v>2</v>
      </c>
      <c r="N189" s="12" t="s">
        <v>33</v>
      </c>
      <c r="O189" s="12"/>
      <c r="P189" s="12"/>
      <c r="Q189" s="13">
        <f>K189*I189</f>
        <v>150970</v>
      </c>
      <c r="R189" s="13">
        <f>L189*I189</f>
        <v>0</v>
      </c>
      <c r="S189" s="13">
        <f>K189*$J$189</f>
        <v>155500</v>
      </c>
      <c r="T189" s="13">
        <f>M189*$J$189</f>
        <v>155500</v>
      </c>
      <c r="U189" s="14" t="s">
        <v>190</v>
      </c>
    </row>
    <row r="190" spans="2:21" ht="12.75" customHeight="1" x14ac:dyDescent="0.15">
      <c r="B190" s="10"/>
      <c r="C190" s="1"/>
      <c r="D190" s="1"/>
      <c r="E190" s="9"/>
      <c r="F190" s="11"/>
      <c r="G190" s="2" t="s">
        <v>27</v>
      </c>
      <c r="H190" s="22" t="s">
        <v>115</v>
      </c>
      <c r="I190" s="35">
        <v>16000</v>
      </c>
      <c r="J190" s="35">
        <v>16000</v>
      </c>
      <c r="K190" s="6">
        <v>5.09</v>
      </c>
      <c r="L190" s="6">
        <v>0</v>
      </c>
      <c r="M190" s="6">
        <v>5.09</v>
      </c>
      <c r="N190" s="12" t="s">
        <v>52</v>
      </c>
      <c r="O190" s="12" t="s">
        <v>124</v>
      </c>
      <c r="P190" s="12"/>
      <c r="Q190" s="13">
        <f>K190*I190</f>
        <v>81440</v>
      </c>
      <c r="R190" s="13">
        <f>L190*I190</f>
        <v>0</v>
      </c>
      <c r="S190" s="13">
        <f>K190*$J$190</f>
        <v>81440</v>
      </c>
      <c r="T190" s="13">
        <f>M190*$J$190</f>
        <v>81440</v>
      </c>
      <c r="U190" s="14"/>
    </row>
    <row r="191" spans="2:21" ht="12.75" customHeight="1" x14ac:dyDescent="0.15">
      <c r="B191" s="10"/>
      <c r="C191" s="1"/>
      <c r="D191" s="1"/>
      <c r="E191" s="9"/>
      <c r="F191" s="11"/>
      <c r="G191" s="2" t="s">
        <v>27</v>
      </c>
      <c r="H191" s="22" t="s">
        <v>116</v>
      </c>
      <c r="I191" s="35">
        <v>10000</v>
      </c>
      <c r="J191" s="35">
        <v>10000</v>
      </c>
      <c r="K191" s="6">
        <v>4.0599999999999996</v>
      </c>
      <c r="L191" s="6">
        <v>0</v>
      </c>
      <c r="M191" s="6">
        <v>4.0599999999999996</v>
      </c>
      <c r="N191" s="12" t="s">
        <v>52</v>
      </c>
      <c r="O191" s="12" t="s">
        <v>124</v>
      </c>
      <c r="P191" s="12"/>
      <c r="Q191" s="13">
        <f>K191*I191</f>
        <v>40599.999999999993</v>
      </c>
      <c r="R191" s="13">
        <f>L191*I191</f>
        <v>0</v>
      </c>
      <c r="S191" s="13">
        <f>K191*$J$191</f>
        <v>40599.999999999993</v>
      </c>
      <c r="T191" s="13">
        <f>M191*$J$191</f>
        <v>40599.999999999993</v>
      </c>
      <c r="U191" s="14"/>
    </row>
    <row r="192" spans="2:21" ht="12.75" customHeight="1" x14ac:dyDescent="0.15">
      <c r="B192" s="10"/>
      <c r="C192" s="1"/>
      <c r="D192" s="1"/>
      <c r="E192" s="9"/>
      <c r="F192" s="11"/>
      <c r="G192" s="2" t="s">
        <v>27</v>
      </c>
      <c r="H192" s="22" t="s">
        <v>117</v>
      </c>
      <c r="I192" s="35">
        <v>23000</v>
      </c>
      <c r="J192" s="35">
        <v>23000</v>
      </c>
      <c r="K192" s="6">
        <v>0.79</v>
      </c>
      <c r="L192" s="6">
        <v>0</v>
      </c>
      <c r="M192" s="6">
        <v>0.79</v>
      </c>
      <c r="N192" s="12" t="s">
        <v>52</v>
      </c>
      <c r="O192" s="12" t="s">
        <v>124</v>
      </c>
      <c r="P192" s="12"/>
      <c r="Q192" s="13">
        <f>K192*I192</f>
        <v>18170</v>
      </c>
      <c r="R192" s="13">
        <f>L192*I192</f>
        <v>0</v>
      </c>
      <c r="S192" s="13">
        <f>K192*$J$192</f>
        <v>18170</v>
      </c>
      <c r="T192" s="13">
        <f>M192*$J$192</f>
        <v>18170</v>
      </c>
      <c r="U192" s="14"/>
    </row>
    <row r="193" spans="2:23" ht="12.75" customHeight="1" x14ac:dyDescent="0.15">
      <c r="B193" s="10"/>
      <c r="C193" s="1"/>
      <c r="D193" s="1"/>
      <c r="E193" s="9"/>
      <c r="F193" s="11"/>
      <c r="G193" s="2" t="s">
        <v>91</v>
      </c>
      <c r="H193" s="22"/>
      <c r="I193" s="35">
        <v>13370</v>
      </c>
      <c r="J193" s="35">
        <v>13510</v>
      </c>
      <c r="K193" s="6">
        <v>4</v>
      </c>
      <c r="L193" s="6">
        <v>0</v>
      </c>
      <c r="M193" s="6">
        <v>4</v>
      </c>
      <c r="N193" s="12" t="s">
        <v>92</v>
      </c>
      <c r="O193" s="12"/>
      <c r="P193" s="12"/>
      <c r="Q193" s="13">
        <f>K193*I193</f>
        <v>53480</v>
      </c>
      <c r="R193" s="13">
        <f>L193*I193</f>
        <v>0</v>
      </c>
      <c r="S193" s="13">
        <f>K193*$J$193</f>
        <v>54040</v>
      </c>
      <c r="T193" s="13">
        <f>M193*$J$193</f>
        <v>54040</v>
      </c>
      <c r="U193" s="14" t="s">
        <v>191</v>
      </c>
    </row>
    <row r="194" spans="2:23" ht="12.75" customHeight="1" x14ac:dyDescent="0.15">
      <c r="B194" s="10"/>
      <c r="C194" s="1" t="s">
        <v>35</v>
      </c>
      <c r="D194" s="1"/>
      <c r="E194" s="9"/>
      <c r="F194" s="11"/>
      <c r="G194" s="2"/>
      <c r="H194" s="22"/>
      <c r="I194" s="35"/>
      <c r="J194" s="35"/>
      <c r="K194" s="6">
        <v>1</v>
      </c>
      <c r="L194" s="6">
        <v>1</v>
      </c>
      <c r="M194" s="6">
        <v>1</v>
      </c>
      <c r="N194" s="12" t="s">
        <v>28</v>
      </c>
      <c r="O194" s="12"/>
      <c r="P194" s="12"/>
      <c r="Q194" s="13">
        <f t="shared" ref="Q194:T194" si="79">Q195</f>
        <v>53100</v>
      </c>
      <c r="R194" s="13">
        <f t="shared" si="79"/>
        <v>0</v>
      </c>
      <c r="S194" s="13">
        <f t="shared" si="79"/>
        <v>53100</v>
      </c>
      <c r="T194" s="13">
        <f t="shared" si="79"/>
        <v>53100</v>
      </c>
      <c r="U194" s="14"/>
    </row>
    <row r="195" spans="2:23" ht="12.75" customHeight="1" x14ac:dyDescent="0.15">
      <c r="B195" s="10"/>
      <c r="C195" s="1"/>
      <c r="D195" s="1" t="s">
        <v>12</v>
      </c>
      <c r="E195" s="9" t="s">
        <v>118</v>
      </c>
      <c r="F195" s="11"/>
      <c r="G195" s="5"/>
      <c r="H195" s="6"/>
      <c r="I195" s="32"/>
      <c r="J195" s="32"/>
      <c r="K195" s="6">
        <v>1</v>
      </c>
      <c r="L195" s="6">
        <v>1</v>
      </c>
      <c r="M195" s="6">
        <v>1</v>
      </c>
      <c r="N195" s="12" t="s">
        <v>28</v>
      </c>
      <c r="O195" s="12"/>
      <c r="P195" s="12"/>
      <c r="Q195" s="13">
        <f t="shared" ref="Q195:T195" si="80">SUM(Q196:Q197)</f>
        <v>53100</v>
      </c>
      <c r="R195" s="13">
        <f t="shared" si="80"/>
        <v>0</v>
      </c>
      <c r="S195" s="13">
        <f t="shared" si="80"/>
        <v>53100</v>
      </c>
      <c r="T195" s="13">
        <f t="shared" si="80"/>
        <v>53100</v>
      </c>
      <c r="U195" s="14"/>
    </row>
    <row r="196" spans="2:23" ht="12.75" customHeight="1" x14ac:dyDescent="0.15">
      <c r="B196" s="10"/>
      <c r="C196" s="1"/>
      <c r="D196" s="1"/>
      <c r="E196" s="9"/>
      <c r="F196" s="11"/>
      <c r="G196" s="2" t="s">
        <v>119</v>
      </c>
      <c r="H196" s="22"/>
      <c r="I196" s="35">
        <v>10400</v>
      </c>
      <c r="J196" s="35">
        <v>10400</v>
      </c>
      <c r="K196" s="6">
        <v>3</v>
      </c>
      <c r="L196" s="6">
        <v>0</v>
      </c>
      <c r="M196" s="6">
        <v>3</v>
      </c>
      <c r="N196" s="12" t="s">
        <v>121</v>
      </c>
      <c r="O196" s="12"/>
      <c r="P196" s="12"/>
      <c r="Q196" s="13">
        <f>K196*I196</f>
        <v>31200</v>
      </c>
      <c r="R196" s="13">
        <f>L196*I196</f>
        <v>0</v>
      </c>
      <c r="S196" s="13">
        <f>K196*$J$196</f>
        <v>31200</v>
      </c>
      <c r="T196" s="13">
        <f>M196*$J$196</f>
        <v>31200</v>
      </c>
      <c r="U196" s="14" t="s">
        <v>192</v>
      </c>
    </row>
    <row r="197" spans="2:23" ht="12.75" customHeight="1" x14ac:dyDescent="0.15">
      <c r="B197" s="10"/>
      <c r="C197" s="1"/>
      <c r="D197" s="1"/>
      <c r="E197" s="9"/>
      <c r="F197" s="11"/>
      <c r="G197" s="2" t="s">
        <v>120</v>
      </c>
      <c r="H197" s="22"/>
      <c r="I197" s="35">
        <v>7300</v>
      </c>
      <c r="J197" s="35">
        <v>7300</v>
      </c>
      <c r="K197" s="6">
        <v>3</v>
      </c>
      <c r="L197" s="6">
        <v>0</v>
      </c>
      <c r="M197" s="6">
        <v>3</v>
      </c>
      <c r="N197" s="12" t="s">
        <v>204</v>
      </c>
      <c r="O197" s="12"/>
      <c r="P197" s="12"/>
      <c r="Q197" s="13">
        <f>K197*I197</f>
        <v>21900</v>
      </c>
      <c r="R197" s="13">
        <f>L197*I197</f>
        <v>0</v>
      </c>
      <c r="S197" s="13">
        <f>K197*$J$197</f>
        <v>21900</v>
      </c>
      <c r="T197" s="13">
        <f>M197*$J$197</f>
        <v>21900</v>
      </c>
      <c r="U197" s="14" t="s">
        <v>193</v>
      </c>
    </row>
    <row r="198" spans="2:23" ht="12.75" customHeight="1" outlineLevel="1" x14ac:dyDescent="0.15">
      <c r="B198" s="10"/>
      <c r="C198" s="1" t="s">
        <v>122</v>
      </c>
      <c r="D198" s="1"/>
      <c r="E198" s="9"/>
      <c r="F198" s="11"/>
      <c r="G198" s="2"/>
      <c r="H198" s="22"/>
      <c r="I198" s="35"/>
      <c r="J198" s="35"/>
      <c r="K198" s="6">
        <v>1</v>
      </c>
      <c r="L198" s="6">
        <v>1</v>
      </c>
      <c r="M198" s="6">
        <v>1</v>
      </c>
      <c r="N198" s="12" t="s">
        <v>28</v>
      </c>
      <c r="O198" s="12"/>
      <c r="P198" s="12"/>
      <c r="Q198" s="13">
        <f>SUMIF(O8:O197,"〇",Q8:Q197)</f>
        <v>2831970</v>
      </c>
      <c r="R198" s="13">
        <f>SUMIF(O8:O198,"〇",R8:R198)</f>
        <v>0</v>
      </c>
      <c r="S198" s="13">
        <f>SUMIF(O8:O197,"〇",S8:S197)</f>
        <v>2884610</v>
      </c>
      <c r="T198" s="13">
        <f>SUMIF(O8:O197,"〇",T8:T197)</f>
        <v>2884610</v>
      </c>
      <c r="U198" s="14"/>
    </row>
    <row r="199" spans="2:23" ht="12.75" customHeight="1" outlineLevel="1" x14ac:dyDescent="0.15">
      <c r="B199" s="10"/>
      <c r="C199" s="1" t="s">
        <v>126</v>
      </c>
      <c r="D199" s="1"/>
      <c r="E199" s="9"/>
      <c r="F199" s="11"/>
      <c r="G199" s="2"/>
      <c r="H199" s="22"/>
      <c r="I199" s="35"/>
      <c r="J199" s="35"/>
      <c r="K199" s="6">
        <v>1</v>
      </c>
      <c r="L199" s="6">
        <v>1</v>
      </c>
      <c r="M199" s="6">
        <v>1</v>
      </c>
      <c r="N199" s="12" t="s">
        <v>28</v>
      </c>
      <c r="O199" s="12"/>
      <c r="P199" s="12"/>
      <c r="Q199" s="13">
        <f>Q182+SUMIF(O189:O193,"〇",Q189:Q193)-Q194</f>
        <v>82012558.200000003</v>
      </c>
      <c r="R199" s="13">
        <f>R182+SUMIF(O189:O193,"〇",R189:R193)-R194</f>
        <v>4991115</v>
      </c>
      <c r="S199" s="13">
        <f>S182+SUMIF(O189:O193,"〇",S189:S193)-S194</f>
        <v>84336206.200000003</v>
      </c>
      <c r="T199" s="13">
        <f>T182+SUMIF(O189:O193,"〇",T189:T193)-T194</f>
        <v>79345091.200000003</v>
      </c>
      <c r="U199" s="14"/>
    </row>
    <row r="200" spans="2:23" ht="12.75" customHeight="1" outlineLevel="1" x14ac:dyDescent="0.15">
      <c r="B200" s="10"/>
      <c r="C200" s="1" t="s">
        <v>125</v>
      </c>
      <c r="D200" s="1"/>
      <c r="E200" s="9"/>
      <c r="F200" s="11"/>
      <c r="G200" s="2"/>
      <c r="H200" s="22"/>
      <c r="I200" s="35"/>
      <c r="J200" s="35"/>
      <c r="K200" s="6">
        <v>1</v>
      </c>
      <c r="L200" s="6">
        <v>1</v>
      </c>
      <c r="M200" s="6">
        <v>1</v>
      </c>
      <c r="N200" s="12" t="s">
        <v>28</v>
      </c>
      <c r="O200" s="12"/>
      <c r="P200" s="12"/>
      <c r="Q200" s="13">
        <f>IF(Q198-Q199*0.03&gt;0,Q198-Q199*0.03,0)</f>
        <v>371593.25400000019</v>
      </c>
      <c r="R200" s="13">
        <f>IF(R198-R199*0.03&gt;0,R198-R199*0.03,0)</f>
        <v>0</v>
      </c>
      <c r="S200" s="13">
        <f>IF(S198-S199*0.03&gt;0,S198-S199*0.03,0)</f>
        <v>354523.81399999978</v>
      </c>
      <c r="T200" s="13">
        <f>S200</f>
        <v>354523.81399999978</v>
      </c>
      <c r="U200" s="14"/>
    </row>
    <row r="201" spans="2:23" ht="12.75" customHeight="1" outlineLevel="1" x14ac:dyDescent="0.15">
      <c r="B201" s="10"/>
      <c r="C201" s="1" t="s">
        <v>214</v>
      </c>
      <c r="D201" s="1"/>
      <c r="E201" s="9"/>
      <c r="F201" s="11"/>
      <c r="G201" s="2"/>
      <c r="H201" s="22"/>
      <c r="I201" s="35"/>
      <c r="J201" s="35"/>
      <c r="K201" s="6">
        <v>1</v>
      </c>
      <c r="L201" s="6">
        <v>1</v>
      </c>
      <c r="M201" s="6">
        <v>1</v>
      </c>
      <c r="N201" s="12" t="s">
        <v>28</v>
      </c>
      <c r="O201" s="12"/>
      <c r="P201" s="12"/>
      <c r="Q201" s="13">
        <f>Q199-Q200</f>
        <v>81640964.94600001</v>
      </c>
      <c r="R201" s="13">
        <f>R199-R200</f>
        <v>4991115</v>
      </c>
      <c r="S201" s="13">
        <f>S199-S200</f>
        <v>83981682.386000007</v>
      </c>
      <c r="T201" s="13">
        <f>T199-T200</f>
        <v>78990567.386000007</v>
      </c>
      <c r="U201" s="14"/>
    </row>
    <row r="202" spans="2:23" ht="12.75" customHeight="1" outlineLevel="1" x14ac:dyDescent="0.15">
      <c r="B202" s="10"/>
      <c r="C202" s="1" t="s">
        <v>127</v>
      </c>
      <c r="D202" s="1"/>
      <c r="E202" s="9"/>
      <c r="F202" s="11"/>
      <c r="G202" s="2"/>
      <c r="H202" s="22"/>
      <c r="I202" s="35"/>
      <c r="J202" s="35"/>
      <c r="K202" s="6">
        <v>1</v>
      </c>
      <c r="L202" s="6">
        <v>1</v>
      </c>
      <c r="M202" s="6">
        <v>1</v>
      </c>
      <c r="N202" s="12" t="s">
        <v>28</v>
      </c>
      <c r="O202" s="12"/>
      <c r="P202" s="12"/>
      <c r="Q202" s="47">
        <f>ROUND(1228.3*(Q199-Q200)^(-0.2614),2)</f>
        <v>10.5</v>
      </c>
      <c r="R202" s="47">
        <f>Q202</f>
        <v>10.5</v>
      </c>
      <c r="S202" s="47">
        <f>ROUND(1228.3*(S199-S200)^(-0.2614),2)</f>
        <v>10.42</v>
      </c>
      <c r="T202" s="47">
        <f>S202</f>
        <v>10.42</v>
      </c>
      <c r="U202" s="69"/>
      <c r="V202" s="103" t="s">
        <v>223</v>
      </c>
      <c r="W202" s="104"/>
    </row>
    <row r="203" spans="2:23" ht="12.75" customHeight="1" outlineLevel="1" x14ac:dyDescent="0.15">
      <c r="B203" s="10"/>
      <c r="C203" s="1" t="s">
        <v>219</v>
      </c>
      <c r="D203" s="1"/>
      <c r="E203" s="9"/>
      <c r="F203" s="11"/>
      <c r="G203" s="2"/>
      <c r="H203" s="22"/>
      <c r="I203" s="35"/>
      <c r="J203" s="35"/>
      <c r="K203" s="6">
        <v>1</v>
      </c>
      <c r="L203" s="6">
        <v>1</v>
      </c>
      <c r="M203" s="6">
        <v>1</v>
      </c>
      <c r="N203" s="12" t="s">
        <v>28</v>
      </c>
      <c r="O203" s="12"/>
      <c r="P203" s="60"/>
      <c r="Q203" s="68">
        <f>ROUND(ROUND(Q202*1.2,2)*1.04,2)</f>
        <v>13.1</v>
      </c>
      <c r="R203" s="47">
        <f>Q203</f>
        <v>13.1</v>
      </c>
      <c r="S203" s="47">
        <f>ROUND(ROUND(S202*1.2,2)*1.04,2)</f>
        <v>13</v>
      </c>
      <c r="T203" s="47">
        <f>ROUND(ROUND(T202*1.2,2)*1.04,2)</f>
        <v>13</v>
      </c>
      <c r="U203" s="69"/>
      <c r="V203" s="105" t="s">
        <v>222</v>
      </c>
      <c r="W203" s="106"/>
    </row>
    <row r="204" spans="2:23" ht="12.75" customHeight="1" outlineLevel="1" x14ac:dyDescent="0.15">
      <c r="B204" s="10"/>
      <c r="C204" s="1" t="s">
        <v>16</v>
      </c>
      <c r="D204" s="1"/>
      <c r="E204" s="9"/>
      <c r="F204" s="11"/>
      <c r="G204" s="2"/>
      <c r="H204" s="22"/>
      <c r="I204" s="35"/>
      <c r="J204" s="35"/>
      <c r="K204" s="6">
        <v>1</v>
      </c>
      <c r="L204" s="6">
        <v>1</v>
      </c>
      <c r="M204" s="6">
        <v>1</v>
      </c>
      <c r="N204" s="12" t="s">
        <v>28</v>
      </c>
      <c r="O204" s="12"/>
      <c r="P204" s="12"/>
      <c r="Q204" s="13">
        <f>ROUNDDOWN(Q201*(Q203/100),-3)</f>
        <v>10694000</v>
      </c>
      <c r="R204" s="13">
        <f>ROUNDDOWN(R201*(R203/100),-3)</f>
        <v>653000</v>
      </c>
      <c r="S204" s="13">
        <f>ROUNDDOWN(S201*(S203/100),-3)</f>
        <v>10917000</v>
      </c>
      <c r="T204" s="13">
        <v>10424000</v>
      </c>
      <c r="U204" s="48"/>
    </row>
    <row r="205" spans="2:23" ht="12.75" customHeight="1" outlineLevel="1" x14ac:dyDescent="0.15">
      <c r="B205" s="10"/>
      <c r="C205" s="1" t="s">
        <v>215</v>
      </c>
      <c r="D205" s="1"/>
      <c r="E205" s="9"/>
      <c r="F205" s="11"/>
      <c r="G205" s="2"/>
      <c r="H205" s="22"/>
      <c r="I205" s="35"/>
      <c r="J205" s="35"/>
      <c r="K205" s="6">
        <v>1</v>
      </c>
      <c r="L205" s="6">
        <v>1</v>
      </c>
      <c r="M205" s="6">
        <v>1</v>
      </c>
      <c r="N205" s="12" t="s">
        <v>28</v>
      </c>
      <c r="O205" s="12"/>
      <c r="P205" s="12"/>
      <c r="Q205" s="13">
        <f>Q183+Q187+Q194</f>
        <v>3181360</v>
      </c>
      <c r="R205" s="13">
        <f>R183+R187+R194</f>
        <v>0</v>
      </c>
      <c r="S205" s="13">
        <f>S183+S187+S194</f>
        <v>3201250</v>
      </c>
      <c r="T205" s="13">
        <f>T183+T187+T194</f>
        <v>3201250</v>
      </c>
      <c r="U205" s="48"/>
    </row>
    <row r="206" spans="2:23" ht="12.75" customHeight="1" x14ac:dyDescent="0.15">
      <c r="B206" s="10"/>
      <c r="C206" s="23" t="s">
        <v>17</v>
      </c>
      <c r="D206" s="23"/>
      <c r="E206" s="23"/>
      <c r="F206" s="39"/>
      <c r="G206" s="22"/>
      <c r="H206" s="22"/>
      <c r="I206" s="35"/>
      <c r="J206" s="35"/>
      <c r="K206" s="6">
        <v>1</v>
      </c>
      <c r="L206" s="6">
        <v>1</v>
      </c>
      <c r="M206" s="6">
        <v>1</v>
      </c>
      <c r="N206" s="12" t="s">
        <v>28</v>
      </c>
      <c r="O206" s="12"/>
      <c r="P206" s="12"/>
      <c r="Q206" s="13">
        <f>Q204+Q183+Q187+Q194</f>
        <v>13875360</v>
      </c>
      <c r="R206" s="13">
        <f>R204+R183+R187+R194</f>
        <v>653000</v>
      </c>
      <c r="S206" s="13">
        <f>S204+S183+S187+S194</f>
        <v>14118250</v>
      </c>
      <c r="T206" s="13">
        <f>T204+T183+T187+T194</f>
        <v>13625250</v>
      </c>
      <c r="U206" s="14"/>
    </row>
    <row r="207" spans="2:23" ht="12.75" customHeight="1" x14ac:dyDescent="0.15">
      <c r="B207" s="10"/>
      <c r="C207" s="1" t="s">
        <v>32</v>
      </c>
      <c r="D207" s="1"/>
      <c r="E207" s="9"/>
      <c r="F207" s="11"/>
      <c r="G207" s="5"/>
      <c r="H207" s="6"/>
      <c r="I207" s="32"/>
      <c r="J207" s="32"/>
      <c r="K207" s="6">
        <v>1</v>
      </c>
      <c r="L207" s="6">
        <v>1</v>
      </c>
      <c r="M207" s="6">
        <v>1</v>
      </c>
      <c r="N207" s="12" t="s">
        <v>28</v>
      </c>
      <c r="O207" s="12"/>
      <c r="P207" s="12"/>
      <c r="Q207" s="13">
        <f>Q182+Q206</f>
        <v>95800808.200000003</v>
      </c>
      <c r="R207" s="13">
        <f t="shared" ref="R207" si="81">R182+R206</f>
        <v>5644115</v>
      </c>
      <c r="S207" s="13">
        <f>S182+S206</f>
        <v>98367346.200000003</v>
      </c>
      <c r="T207" s="13">
        <f>T182+T206</f>
        <v>92883231.200000003</v>
      </c>
      <c r="U207" s="13"/>
    </row>
    <row r="208" spans="2:23" ht="12.75" customHeight="1" outlineLevel="1" x14ac:dyDescent="0.15">
      <c r="B208" s="10"/>
      <c r="C208" s="23" t="s">
        <v>216</v>
      </c>
      <c r="D208" s="23"/>
      <c r="E208" s="23"/>
      <c r="F208" s="54"/>
      <c r="G208" s="22"/>
      <c r="H208" s="22"/>
      <c r="I208" s="35"/>
      <c r="J208" s="35"/>
      <c r="K208" s="6">
        <v>1</v>
      </c>
      <c r="L208" s="6">
        <v>1</v>
      </c>
      <c r="M208" s="6">
        <v>1</v>
      </c>
      <c r="N208" s="12" t="s">
        <v>28</v>
      </c>
      <c r="O208" s="12"/>
      <c r="P208" s="12"/>
      <c r="Q208" s="55">
        <f>ROUNDDOWN(Q207-Q200-Q194,0)</f>
        <v>95376114</v>
      </c>
      <c r="R208" s="55">
        <f>ROUNDDOWN(R207-R200-R194,0)</f>
        <v>5644115</v>
      </c>
      <c r="S208" s="55">
        <f>ROUNDDOWN(S207-S200-S194,0)</f>
        <v>97959722</v>
      </c>
      <c r="T208" s="55">
        <f>ROUNDDOWN(T207-T200-T194,0)</f>
        <v>92475607</v>
      </c>
      <c r="U208" s="14"/>
    </row>
    <row r="209" spans="2:23" ht="12.75" customHeight="1" outlineLevel="1" x14ac:dyDescent="0.15">
      <c r="B209" s="10"/>
      <c r="C209" s="23" t="s">
        <v>128</v>
      </c>
      <c r="D209" s="23"/>
      <c r="E209" s="23"/>
      <c r="F209" s="43"/>
      <c r="G209" s="22"/>
      <c r="H209" s="22"/>
      <c r="I209" s="35"/>
      <c r="J209" s="35"/>
      <c r="K209" s="6">
        <v>1</v>
      </c>
      <c r="L209" s="6">
        <v>1</v>
      </c>
      <c r="M209" s="6">
        <v>1</v>
      </c>
      <c r="N209" s="12" t="s">
        <v>28</v>
      </c>
      <c r="O209" s="12"/>
      <c r="P209" s="12"/>
      <c r="Q209" s="47">
        <f>ROUND(458.2*(Q207-Q200-Q194)^(-0.1508),2)</f>
        <v>28.69</v>
      </c>
      <c r="R209" s="47">
        <f>Q209</f>
        <v>28.69</v>
      </c>
      <c r="S209" s="47">
        <f>ROUND(458.2*(S207-S200-S194)^(-0.1508),2)</f>
        <v>28.58</v>
      </c>
      <c r="T209" s="47">
        <f>S209</f>
        <v>28.58</v>
      </c>
      <c r="U209" s="69"/>
      <c r="V209" s="103" t="s">
        <v>223</v>
      </c>
      <c r="W209" s="104"/>
    </row>
    <row r="210" spans="2:23" ht="12.75" customHeight="1" outlineLevel="1" x14ac:dyDescent="0.15">
      <c r="B210" s="10"/>
      <c r="C210" s="23" t="s">
        <v>220</v>
      </c>
      <c r="D210" s="23"/>
      <c r="E210" s="23"/>
      <c r="F210" s="54"/>
      <c r="G210" s="22"/>
      <c r="H210" s="22"/>
      <c r="I210" s="35"/>
      <c r="J210" s="35"/>
      <c r="K210" s="6">
        <v>1</v>
      </c>
      <c r="L210" s="6">
        <v>1</v>
      </c>
      <c r="M210" s="6">
        <v>1</v>
      </c>
      <c r="N210" s="12" t="s">
        <v>28</v>
      </c>
      <c r="O210" s="12"/>
      <c r="P210" s="12"/>
      <c r="Q210" s="47">
        <f>ROUND(ROUND(Q209*1.1,2)*1.06,2)</f>
        <v>33.450000000000003</v>
      </c>
      <c r="R210" s="47">
        <f>Q210</f>
        <v>33.450000000000003</v>
      </c>
      <c r="S210" s="47">
        <f>ROUND(ROUND(S209*1.1,2)*1.06,2)</f>
        <v>33.33</v>
      </c>
      <c r="T210" s="47">
        <f>S210</f>
        <v>33.33</v>
      </c>
      <c r="U210" s="69"/>
      <c r="V210" s="105" t="s">
        <v>222</v>
      </c>
      <c r="W210" s="106"/>
    </row>
    <row r="211" spans="2:23" ht="12.75" customHeight="1" x14ac:dyDescent="0.15">
      <c r="B211" s="10"/>
      <c r="C211" s="23" t="s">
        <v>18</v>
      </c>
      <c r="D211" s="23"/>
      <c r="E211" s="23"/>
      <c r="F211" s="39"/>
      <c r="G211" s="22"/>
      <c r="H211" s="22"/>
      <c r="I211" s="35"/>
      <c r="J211" s="35"/>
      <c r="K211" s="6">
        <v>1</v>
      </c>
      <c r="L211" s="6">
        <v>1</v>
      </c>
      <c r="M211" s="6">
        <v>1</v>
      </c>
      <c r="N211" s="12" t="s">
        <v>28</v>
      </c>
      <c r="O211" s="12"/>
      <c r="P211" s="12"/>
      <c r="Q211" s="13">
        <f>ROUNDDOWN(Q208*(Q210/100),-3)</f>
        <v>31903000</v>
      </c>
      <c r="R211" s="13">
        <f>ROUNDDOWN(R208*(R210/100),-3)</f>
        <v>1887000</v>
      </c>
      <c r="S211" s="13">
        <f>ROUNDDOWN(S208*(S210/100),-3)</f>
        <v>32649000</v>
      </c>
      <c r="T211" s="13">
        <f>ROUNDDOWN(T208*(T210/100),-3)</f>
        <v>30822000</v>
      </c>
      <c r="U211" s="49"/>
    </row>
    <row r="212" spans="2:23" ht="12.75" customHeight="1" x14ac:dyDescent="0.15">
      <c r="B212" s="10"/>
      <c r="C212" s="23" t="s">
        <v>19</v>
      </c>
      <c r="D212" s="23"/>
      <c r="E212" s="23"/>
      <c r="F212" s="39"/>
      <c r="G212" s="22"/>
      <c r="H212" s="22"/>
      <c r="I212" s="35"/>
      <c r="J212" s="35"/>
      <c r="K212" s="6">
        <v>1</v>
      </c>
      <c r="L212" s="6">
        <v>1</v>
      </c>
      <c r="M212" s="6">
        <v>1</v>
      </c>
      <c r="N212" s="12" t="s">
        <v>28</v>
      </c>
      <c r="O212" s="12"/>
      <c r="P212" s="12"/>
      <c r="Q212" s="13">
        <f>Q207+Q211</f>
        <v>127703808.2</v>
      </c>
      <c r="R212" s="13">
        <f>R207+R211</f>
        <v>7531115</v>
      </c>
      <c r="S212" s="13">
        <f>S207+S211</f>
        <v>131016346.2</v>
      </c>
      <c r="T212" s="13">
        <f>T207+T211</f>
        <v>123705231.2</v>
      </c>
      <c r="U212" s="50"/>
    </row>
    <row r="213" spans="2:23" ht="12.75" customHeight="1" outlineLevel="1" x14ac:dyDescent="0.15">
      <c r="B213" s="10"/>
      <c r="C213" s="23" t="s">
        <v>217</v>
      </c>
      <c r="D213" s="23"/>
      <c r="E213" s="23"/>
      <c r="F213" s="54"/>
      <c r="G213" s="22"/>
      <c r="H213" s="22"/>
      <c r="I213" s="35"/>
      <c r="J213" s="35"/>
      <c r="K213" s="6">
        <v>1</v>
      </c>
      <c r="L213" s="6">
        <v>1</v>
      </c>
      <c r="M213" s="6">
        <v>1</v>
      </c>
      <c r="N213" s="12" t="s">
        <v>28</v>
      </c>
      <c r="O213" s="12"/>
      <c r="P213" s="12"/>
      <c r="Q213" s="55">
        <f>ROUNDDOWN(Q212-Q200-Q194,0)</f>
        <v>127279114</v>
      </c>
      <c r="R213" s="55">
        <f>ROUNDDOWN(R212-R200-R194,0)</f>
        <v>7531115</v>
      </c>
      <c r="S213" s="55">
        <f>ROUNDDOWN(S212-S200-S194,0)</f>
        <v>130608722</v>
      </c>
      <c r="T213" s="55">
        <f>ROUNDDOWN(T212-T200-T194,0)</f>
        <v>123297607</v>
      </c>
      <c r="U213" s="49"/>
      <c r="W213" s="53"/>
    </row>
    <row r="214" spans="2:23" ht="12.75" customHeight="1" outlineLevel="1" x14ac:dyDescent="0.15">
      <c r="B214" s="10"/>
      <c r="C214" s="23" t="s">
        <v>129</v>
      </c>
      <c r="D214" s="23"/>
      <c r="E214" s="23"/>
      <c r="F214" s="43"/>
      <c r="G214" s="22"/>
      <c r="H214" s="22"/>
      <c r="I214" s="35"/>
      <c r="J214" s="35"/>
      <c r="K214" s="6">
        <v>1</v>
      </c>
      <c r="L214" s="6">
        <v>1</v>
      </c>
      <c r="M214" s="6">
        <v>1</v>
      </c>
      <c r="N214" s="12" t="s">
        <v>28</v>
      </c>
      <c r="O214" s="12"/>
      <c r="P214" s="12"/>
      <c r="Q214" s="47">
        <f>ROUND(-5.48972*LOG10((Q212-Q200-Q194))+59.4977,2)</f>
        <v>15</v>
      </c>
      <c r="R214" s="47">
        <f>Q214</f>
        <v>15</v>
      </c>
      <c r="S214" s="47">
        <f>ROUND(-5.48972*LOG10((S212-S200-S194))+59.4977,2)</f>
        <v>14.94</v>
      </c>
      <c r="T214" s="47">
        <f>S214</f>
        <v>14.94</v>
      </c>
      <c r="U214" s="69"/>
      <c r="W214" s="53"/>
    </row>
    <row r="215" spans="2:23" ht="12.75" customHeight="1" outlineLevel="1" x14ac:dyDescent="0.15">
      <c r="B215" s="10"/>
      <c r="C215" s="23" t="s">
        <v>218</v>
      </c>
      <c r="D215" s="23"/>
      <c r="E215" s="23"/>
      <c r="F215" s="54"/>
      <c r="G215" s="22"/>
      <c r="H215" s="22"/>
      <c r="I215" s="35"/>
      <c r="J215" s="35"/>
      <c r="K215" s="6">
        <v>1</v>
      </c>
      <c r="L215" s="6">
        <v>1</v>
      </c>
      <c r="M215" s="6">
        <v>1</v>
      </c>
      <c r="N215" s="12" t="s">
        <v>28</v>
      </c>
      <c r="O215" s="12"/>
      <c r="P215" s="12"/>
      <c r="Q215" s="55">
        <f>ROUNDDOWN(Q213*0.0004,0)</f>
        <v>50911</v>
      </c>
      <c r="R215" s="55">
        <f>Q215</f>
        <v>50911</v>
      </c>
      <c r="S215" s="55">
        <f>ROUNDDOWN(S213*0.0004,0)</f>
        <v>52243</v>
      </c>
      <c r="T215" s="55">
        <f>S215</f>
        <v>52243</v>
      </c>
      <c r="U215" s="49"/>
      <c r="W215" s="53"/>
    </row>
    <row r="216" spans="2:23" ht="12.75" customHeight="1" x14ac:dyDescent="0.15">
      <c r="B216" s="10"/>
      <c r="C216" s="23" t="s">
        <v>130</v>
      </c>
      <c r="D216" s="23"/>
      <c r="E216" s="23"/>
      <c r="F216" s="39"/>
      <c r="G216" s="22"/>
      <c r="H216" s="22"/>
      <c r="I216" s="35"/>
      <c r="J216" s="35"/>
      <c r="K216" s="6">
        <v>1</v>
      </c>
      <c r="L216" s="6">
        <v>1</v>
      </c>
      <c r="M216" s="6">
        <v>1</v>
      </c>
      <c r="N216" s="12" t="s">
        <v>28</v>
      </c>
      <c r="O216" s="12"/>
      <c r="P216" s="12"/>
      <c r="Q216" s="13">
        <f>Q213*(Q214/100)*1+Q215</f>
        <v>19142778.099999998</v>
      </c>
      <c r="R216" s="13">
        <f>R213*(R214/100)*1+R215</f>
        <v>1180578.25</v>
      </c>
      <c r="S216" s="13">
        <f>S213*(S214/100)*1+S215</f>
        <v>19565186.066800002</v>
      </c>
      <c r="T216" s="13">
        <f>T213*(T214/100)*1+T215</f>
        <v>18472905.485800002</v>
      </c>
      <c r="U216" s="14"/>
    </row>
    <row r="217" spans="2:23" ht="12.75" customHeight="1" x14ac:dyDescent="0.15">
      <c r="B217" s="10"/>
      <c r="C217" s="23" t="s">
        <v>20</v>
      </c>
      <c r="D217" s="23"/>
      <c r="E217" s="23"/>
      <c r="F217" s="39"/>
      <c r="G217" s="22"/>
      <c r="H217" s="22"/>
      <c r="I217" s="35"/>
      <c r="J217" s="35"/>
      <c r="K217" s="6">
        <v>1</v>
      </c>
      <c r="L217" s="6">
        <v>1</v>
      </c>
      <c r="M217" s="6">
        <v>1</v>
      </c>
      <c r="N217" s="12" t="s">
        <v>28</v>
      </c>
      <c r="O217" s="12"/>
      <c r="P217" s="12"/>
      <c r="Q217" s="13">
        <f>ROUNDDOWN(SUM(Q218),-3)</f>
        <v>-18000</v>
      </c>
      <c r="R217" s="13">
        <f>ROUNDDOWN(SUM(R218),-3)</f>
        <v>0</v>
      </c>
      <c r="S217" s="13">
        <f>ROUNDDOWN(SUM(S218),-3)</f>
        <v>-45000</v>
      </c>
      <c r="T217" s="13">
        <f>ROUNDDOWN(SUM(T218),-3)</f>
        <v>-45000</v>
      </c>
      <c r="U217" s="14"/>
    </row>
    <row r="218" spans="2:23" ht="12.75" customHeight="1" x14ac:dyDescent="0.15">
      <c r="B218" s="10"/>
      <c r="C218" s="23"/>
      <c r="D218" s="23"/>
      <c r="E218" s="23"/>
      <c r="F218" s="39"/>
      <c r="G218" s="22" t="s">
        <v>21</v>
      </c>
      <c r="H218" s="22"/>
      <c r="I218" s="35">
        <v>9500</v>
      </c>
      <c r="J218" s="35">
        <v>23500</v>
      </c>
      <c r="K218" s="51">
        <v>-1.93</v>
      </c>
      <c r="L218" s="51">
        <v>0</v>
      </c>
      <c r="M218" s="51">
        <v>-1.93</v>
      </c>
      <c r="N218" s="12" t="s">
        <v>34</v>
      </c>
      <c r="O218" s="12"/>
      <c r="P218" s="12"/>
      <c r="Q218" s="13">
        <f>K218*I218</f>
        <v>-18335</v>
      </c>
      <c r="R218" s="13">
        <f>L218*I218</f>
        <v>0</v>
      </c>
      <c r="S218" s="13">
        <f>M218*J218</f>
        <v>-45355</v>
      </c>
      <c r="T218" s="13">
        <f>M218*$J$218</f>
        <v>-45355</v>
      </c>
      <c r="U218" s="14"/>
    </row>
    <row r="219" spans="2:23" ht="12.75" customHeight="1" x14ac:dyDescent="0.15">
      <c r="B219" s="10"/>
      <c r="C219" s="23" t="s">
        <v>22</v>
      </c>
      <c r="D219" s="23"/>
      <c r="E219" s="23"/>
      <c r="F219" s="39"/>
      <c r="G219" s="22"/>
      <c r="H219" s="22"/>
      <c r="I219" s="35"/>
      <c r="J219" s="35"/>
      <c r="K219" s="22"/>
      <c r="L219" s="22"/>
      <c r="M219" s="22"/>
      <c r="N219" s="12"/>
      <c r="O219" s="12"/>
      <c r="P219" s="12"/>
      <c r="Q219" s="13">
        <f>ROUNDDOWN(Q212+Q216+Q217,-3)</f>
        <v>146828000</v>
      </c>
      <c r="R219" s="13">
        <f>ROUNDDOWN(R212+R216+R217,-3)</f>
        <v>8711000</v>
      </c>
      <c r="S219" s="13">
        <f>ROUNDDOWN(S212+S216+S217,-3)</f>
        <v>150536000</v>
      </c>
      <c r="T219" s="13">
        <f>ROUNDDOWN(T212+T216+T217,-3)</f>
        <v>142133000</v>
      </c>
      <c r="U219" s="14"/>
    </row>
    <row r="220" spans="2:23" ht="12.75" customHeight="1" x14ac:dyDescent="0.15">
      <c r="B220" s="10"/>
      <c r="C220" s="23" t="s">
        <v>23</v>
      </c>
      <c r="D220" s="23"/>
      <c r="E220" s="23"/>
      <c r="F220" s="39"/>
      <c r="G220" s="22"/>
      <c r="H220" s="22"/>
      <c r="I220" s="35"/>
      <c r="J220" s="35"/>
      <c r="K220" s="22"/>
      <c r="L220" s="22"/>
      <c r="M220" s="22"/>
      <c r="N220" s="12"/>
      <c r="O220" s="12"/>
      <c r="P220" s="12"/>
      <c r="Q220" s="13">
        <f>ROUNDDOWN(Q219*0.1,-1)</f>
        <v>14682800</v>
      </c>
      <c r="R220" s="13">
        <f>ROUNDDOWN(R219*0.1,-1)</f>
        <v>871100</v>
      </c>
      <c r="S220" s="13">
        <f>ROUNDDOWN(S219*0.1,-1)</f>
        <v>15053600</v>
      </c>
      <c r="T220" s="13">
        <f>ROUNDDOWN(T219*0.1,-1)</f>
        <v>14213300</v>
      </c>
      <c r="U220" s="14"/>
    </row>
    <row r="221" spans="2:23" ht="12.75" customHeight="1" x14ac:dyDescent="0.15">
      <c r="B221" s="10"/>
      <c r="C221" s="23" t="s">
        <v>24</v>
      </c>
      <c r="D221" s="23"/>
      <c r="E221" s="23"/>
      <c r="F221" s="39"/>
      <c r="G221" s="22"/>
      <c r="H221" s="22"/>
      <c r="I221" s="35"/>
      <c r="J221" s="35"/>
      <c r="K221" s="22"/>
      <c r="L221" s="22"/>
      <c r="M221" s="22"/>
      <c r="N221" s="12"/>
      <c r="O221" s="12"/>
      <c r="P221" s="12"/>
      <c r="Q221" s="13">
        <f>ROUNDDOWN(Q219+Q220,-1)</f>
        <v>161510800</v>
      </c>
      <c r="R221" s="13">
        <f>ROUNDDOWN(R219+R220,-1)</f>
        <v>9582100</v>
      </c>
      <c r="S221" s="13">
        <f>ROUNDDOWN(S219+S220,-1)</f>
        <v>165589600</v>
      </c>
      <c r="T221" s="13">
        <f>ROUNDDOWN(T219+T220,-1)</f>
        <v>156346300</v>
      </c>
      <c r="U221" s="14"/>
    </row>
    <row r="222" spans="2:23" ht="12.75" customHeight="1" x14ac:dyDescent="0.15">
      <c r="B222" s="10"/>
      <c r="C222" s="1"/>
      <c r="D222" s="1"/>
      <c r="E222" s="9"/>
      <c r="F222" s="11"/>
      <c r="G222" s="5"/>
      <c r="H222" s="6"/>
      <c r="I222" s="32"/>
      <c r="J222" s="32"/>
      <c r="K222" s="6"/>
      <c r="L222" s="6"/>
      <c r="M222" s="6"/>
      <c r="N222" s="12"/>
      <c r="O222" s="12"/>
      <c r="P222" s="12"/>
      <c r="Q222" s="13"/>
      <c r="R222" s="13"/>
      <c r="S222" s="13"/>
      <c r="T222" s="13"/>
      <c r="U222" s="13"/>
    </row>
    <row r="223" spans="2:23" ht="12.75" customHeight="1" x14ac:dyDescent="0.15">
      <c r="B223" s="10"/>
      <c r="C223" s="1"/>
      <c r="D223" s="1"/>
      <c r="E223" s="9"/>
      <c r="F223" s="11"/>
      <c r="G223" s="5"/>
      <c r="H223" s="6"/>
      <c r="I223" s="32"/>
      <c r="J223" s="32"/>
      <c r="K223" s="6"/>
      <c r="L223" s="6"/>
      <c r="M223" s="6"/>
      <c r="N223" s="12"/>
      <c r="O223" s="12"/>
      <c r="P223" s="12"/>
      <c r="Q223" s="13"/>
      <c r="R223" s="13"/>
      <c r="S223" s="13"/>
      <c r="T223" s="13"/>
      <c r="U223" s="13"/>
    </row>
    <row r="225" spans="2:21" ht="12.75" customHeight="1" x14ac:dyDescent="0.15">
      <c r="B225" s="15"/>
      <c r="C225" s="56"/>
      <c r="D225" s="56"/>
      <c r="E225" s="57"/>
      <c r="F225" s="57"/>
      <c r="G225" s="58"/>
      <c r="H225" s="59"/>
      <c r="I225" s="64"/>
      <c r="J225" s="65"/>
      <c r="K225" s="59"/>
      <c r="L225" s="59"/>
      <c r="M225" s="59"/>
      <c r="N225" s="61"/>
      <c r="O225" s="62"/>
      <c r="P225" s="62"/>
      <c r="Q225" s="61"/>
      <c r="R225" s="61"/>
      <c r="S225" s="61"/>
      <c r="T225" s="61"/>
      <c r="U225" s="61"/>
    </row>
    <row r="226" spans="2:21" ht="12.75" customHeight="1" x14ac:dyDescent="0.15">
      <c r="B226" s="15"/>
      <c r="C226" s="56"/>
      <c r="D226" s="56"/>
      <c r="E226" s="57"/>
      <c r="F226" s="57"/>
      <c r="G226" s="58"/>
      <c r="H226" s="59"/>
      <c r="I226" s="60"/>
      <c r="J226" s="60"/>
      <c r="K226" s="59"/>
      <c r="L226" s="59"/>
      <c r="M226" s="59"/>
      <c r="N226" s="61"/>
      <c r="O226" s="62"/>
      <c r="P226" s="62"/>
      <c r="Q226" s="61"/>
      <c r="R226" s="61"/>
      <c r="S226" s="61"/>
      <c r="T226" s="61"/>
      <c r="U226" s="61"/>
    </row>
    <row r="227" spans="2:21" ht="12.75" customHeight="1" x14ac:dyDescent="0.15">
      <c r="B227" s="15"/>
      <c r="C227" s="56"/>
      <c r="D227" s="56"/>
      <c r="E227" s="57"/>
      <c r="F227" s="57"/>
      <c r="G227" s="58"/>
      <c r="H227" s="59"/>
      <c r="I227" s="62"/>
      <c r="J227" s="62"/>
      <c r="K227" s="59"/>
      <c r="L227" s="59"/>
      <c r="M227" s="59"/>
      <c r="N227" s="60"/>
      <c r="O227" s="60"/>
      <c r="P227" s="60"/>
      <c r="Q227" s="63"/>
      <c r="R227" s="63"/>
      <c r="S227" s="63"/>
      <c r="T227" s="63"/>
      <c r="U227" s="59"/>
    </row>
    <row r="228" spans="2:21" ht="12.75" customHeight="1" x14ac:dyDescent="0.15">
      <c r="B228" s="15"/>
      <c r="C228" s="56"/>
      <c r="D228" s="15"/>
      <c r="E228" s="15"/>
      <c r="F228" s="15"/>
      <c r="G228" s="58"/>
      <c r="H228" s="18"/>
      <c r="I228" s="33"/>
      <c r="J228" s="33"/>
      <c r="K228" s="18"/>
      <c r="L228" s="18"/>
      <c r="M228" s="18"/>
      <c r="N228" s="60"/>
      <c r="O228" s="60"/>
      <c r="P228" s="60"/>
      <c r="Q228" s="63"/>
      <c r="R228" s="63"/>
      <c r="S228" s="63"/>
      <c r="T228" s="63"/>
      <c r="U228" s="19"/>
    </row>
    <row r="229" spans="2:21" ht="12.75" customHeight="1" x14ac:dyDescent="0.15">
      <c r="B229" s="15"/>
      <c r="C229" s="56"/>
      <c r="D229" s="56"/>
      <c r="E229" s="57"/>
      <c r="F229" s="57"/>
      <c r="G229" s="58"/>
      <c r="H229" s="59"/>
      <c r="I229" s="62"/>
      <c r="J229" s="62"/>
      <c r="K229" s="59"/>
      <c r="L229" s="59"/>
      <c r="M229" s="59"/>
      <c r="N229" s="60"/>
      <c r="O229" s="60"/>
      <c r="P229" s="60"/>
      <c r="Q229" s="63"/>
      <c r="R229" s="63"/>
      <c r="S229" s="63"/>
      <c r="T229" s="63"/>
      <c r="U229" s="19"/>
    </row>
    <row r="230" spans="2:21" ht="12.75" customHeight="1" x14ac:dyDescent="0.15">
      <c r="B230" s="15"/>
      <c r="C230" s="56"/>
      <c r="D230" s="56"/>
      <c r="E230" s="57"/>
      <c r="F230" s="57"/>
      <c r="G230" s="58"/>
      <c r="H230" s="59"/>
      <c r="I230" s="62"/>
      <c r="J230" s="62"/>
      <c r="K230" s="59"/>
      <c r="L230" s="59"/>
      <c r="M230" s="59"/>
      <c r="N230" s="60"/>
      <c r="O230" s="60"/>
      <c r="P230" s="60"/>
      <c r="Q230" s="63"/>
      <c r="R230" s="63"/>
      <c r="S230" s="63"/>
      <c r="T230" s="63"/>
      <c r="U230" s="59"/>
    </row>
    <row r="231" spans="2:21" ht="12.75" customHeight="1" x14ac:dyDescent="0.15">
      <c r="B231" s="15"/>
      <c r="C231" s="56"/>
      <c r="D231" s="56"/>
      <c r="E231" s="57"/>
      <c r="F231" s="57"/>
      <c r="G231" s="58"/>
      <c r="H231" s="59"/>
      <c r="I231" s="62"/>
      <c r="J231" s="62"/>
      <c r="K231" s="59"/>
      <c r="L231" s="59"/>
      <c r="M231" s="59"/>
      <c r="N231" s="60"/>
      <c r="O231" s="60"/>
      <c r="P231" s="60"/>
      <c r="Q231" s="61"/>
      <c r="R231" s="61"/>
      <c r="S231" s="61"/>
      <c r="T231" s="61"/>
      <c r="U231" s="19"/>
    </row>
    <row r="232" spans="2:21" ht="12.75" customHeight="1" x14ac:dyDescent="0.15">
      <c r="B232" s="15"/>
      <c r="C232" s="15"/>
      <c r="D232" s="15"/>
      <c r="E232" s="15"/>
      <c r="F232" s="15"/>
      <c r="G232" s="18"/>
      <c r="H232" s="18"/>
      <c r="I232" s="33"/>
      <c r="J232" s="33"/>
      <c r="K232" s="18"/>
      <c r="L232" s="18"/>
      <c r="M232" s="18"/>
      <c r="N232" s="60"/>
      <c r="O232" s="60"/>
      <c r="P232" s="60"/>
      <c r="Q232" s="63"/>
      <c r="R232" s="63"/>
      <c r="S232" s="63"/>
      <c r="T232" s="63"/>
      <c r="U232" s="19"/>
    </row>
    <row r="233" spans="2:21" ht="12.75" customHeight="1" x14ac:dyDescent="0.15">
      <c r="B233" s="15"/>
      <c r="C233" s="56"/>
      <c r="D233" s="56"/>
      <c r="E233" s="57"/>
      <c r="F233" s="57"/>
      <c r="G233" s="58"/>
      <c r="H233" s="59"/>
      <c r="I233" s="60"/>
      <c r="J233" s="60"/>
      <c r="K233" s="59"/>
      <c r="L233" s="59"/>
      <c r="M233" s="59"/>
      <c r="N233" s="61"/>
      <c r="O233" s="62"/>
      <c r="P233" s="62"/>
      <c r="Q233" s="61"/>
      <c r="R233" s="61"/>
      <c r="S233" s="61"/>
      <c r="T233" s="61"/>
      <c r="U233" s="61"/>
    </row>
    <row r="234" spans="2:21" ht="12.75" customHeight="1" x14ac:dyDescent="0.15">
      <c r="B234" s="15"/>
      <c r="C234" s="56"/>
      <c r="D234" s="56"/>
      <c r="E234" s="57"/>
      <c r="F234" s="57"/>
      <c r="G234" s="58"/>
      <c r="H234" s="59"/>
      <c r="I234" s="60"/>
      <c r="J234" s="60"/>
      <c r="K234" s="59"/>
      <c r="L234" s="59"/>
      <c r="M234" s="59"/>
      <c r="N234" s="61"/>
      <c r="O234" s="62"/>
      <c r="P234" s="62"/>
      <c r="Q234" s="61"/>
      <c r="R234" s="61"/>
      <c r="S234" s="61"/>
      <c r="T234" s="61"/>
      <c r="U234" s="61"/>
    </row>
    <row r="235" spans="2:21" ht="12.75" customHeight="1" x14ac:dyDescent="0.15">
      <c r="B235" s="15"/>
      <c r="C235" s="56"/>
      <c r="D235" s="56"/>
      <c r="E235" s="57"/>
      <c r="F235" s="57"/>
      <c r="G235" s="58"/>
      <c r="H235" s="59"/>
      <c r="I235" s="62"/>
      <c r="J235" s="62"/>
      <c r="K235" s="59"/>
      <c r="L235" s="59"/>
      <c r="M235" s="59"/>
      <c r="N235" s="60"/>
      <c r="O235" s="60"/>
      <c r="P235" s="60"/>
      <c r="Q235" s="63"/>
      <c r="R235" s="63"/>
      <c r="S235" s="63"/>
      <c r="T235" s="63"/>
      <c r="U235" s="59"/>
    </row>
    <row r="236" spans="2:21" ht="12.75" customHeight="1" x14ac:dyDescent="0.15">
      <c r="B236" s="15"/>
      <c r="C236" s="56"/>
      <c r="D236" s="15"/>
      <c r="E236" s="15"/>
      <c r="F236" s="15"/>
      <c r="G236" s="58"/>
      <c r="H236" s="18"/>
      <c r="I236" s="33"/>
      <c r="J236" s="33"/>
      <c r="K236" s="18"/>
      <c r="L236" s="18"/>
      <c r="M236" s="18"/>
      <c r="N236" s="60"/>
      <c r="O236" s="60"/>
      <c r="P236" s="60"/>
      <c r="Q236" s="63"/>
      <c r="R236" s="63"/>
      <c r="S236" s="63"/>
      <c r="T236" s="63"/>
      <c r="U236" s="19"/>
    </row>
    <row r="237" spans="2:21" ht="12.75" customHeight="1" x14ac:dyDescent="0.15">
      <c r="B237" s="15"/>
      <c r="C237" s="56"/>
      <c r="D237" s="56"/>
      <c r="E237" s="57"/>
      <c r="F237" s="57"/>
      <c r="G237" s="58"/>
      <c r="H237" s="59"/>
      <c r="I237" s="62"/>
      <c r="J237" s="62"/>
      <c r="K237" s="59"/>
      <c r="L237" s="59"/>
      <c r="M237" s="59"/>
      <c r="N237" s="60"/>
      <c r="O237" s="60"/>
      <c r="P237" s="60"/>
      <c r="Q237" s="63"/>
      <c r="R237" s="63"/>
      <c r="S237" s="63"/>
      <c r="T237" s="63"/>
      <c r="U237" s="19"/>
    </row>
    <row r="238" spans="2:21" ht="12.75" customHeight="1" x14ac:dyDescent="0.15">
      <c r="B238" s="15"/>
      <c r="C238" s="56"/>
      <c r="D238" s="56"/>
      <c r="E238" s="57"/>
      <c r="F238" s="57"/>
      <c r="G238" s="58"/>
      <c r="H238" s="59"/>
      <c r="I238" s="62"/>
      <c r="J238" s="62"/>
      <c r="K238" s="59"/>
      <c r="L238" s="59"/>
      <c r="M238" s="59"/>
      <c r="N238" s="60"/>
      <c r="O238" s="60"/>
      <c r="P238" s="60"/>
      <c r="Q238" s="63"/>
      <c r="R238" s="63"/>
      <c r="S238" s="63"/>
      <c r="T238" s="63"/>
      <c r="U238" s="59"/>
    </row>
    <row r="239" spans="2:21" ht="12.75" customHeight="1" x14ac:dyDescent="0.15">
      <c r="B239" s="15"/>
      <c r="C239" s="56"/>
      <c r="D239" s="56"/>
      <c r="E239" s="57"/>
      <c r="F239" s="57"/>
      <c r="G239" s="58"/>
      <c r="H239" s="59"/>
      <c r="I239" s="62"/>
      <c r="J239" s="62"/>
      <c r="K239" s="59"/>
      <c r="L239" s="59"/>
      <c r="M239" s="59"/>
      <c r="N239" s="60"/>
      <c r="O239" s="60"/>
      <c r="P239" s="60"/>
      <c r="Q239" s="63"/>
      <c r="R239" s="63"/>
      <c r="S239" s="63"/>
      <c r="T239" s="63"/>
      <c r="U239" s="59"/>
    </row>
    <row r="240" spans="2:21" ht="12.75" customHeight="1" x14ac:dyDescent="0.15">
      <c r="B240" s="15"/>
      <c r="C240" s="56"/>
      <c r="D240" s="56"/>
      <c r="E240" s="57"/>
      <c r="F240" s="57"/>
      <c r="G240" s="58"/>
      <c r="H240" s="59"/>
      <c r="I240" s="62"/>
      <c r="J240" s="62"/>
      <c r="K240" s="59"/>
      <c r="L240" s="59"/>
      <c r="M240" s="59"/>
      <c r="N240" s="60"/>
      <c r="O240" s="60"/>
      <c r="P240" s="60"/>
      <c r="Q240" s="61"/>
      <c r="R240" s="61"/>
      <c r="S240" s="61"/>
      <c r="T240" s="61"/>
      <c r="U240" s="19"/>
    </row>
    <row r="241" spans="2:21" ht="12.75" customHeight="1" x14ac:dyDescent="0.15">
      <c r="B241" s="15"/>
      <c r="C241" s="15"/>
      <c r="D241" s="15"/>
      <c r="E241" s="15"/>
      <c r="F241" s="15"/>
      <c r="G241" s="18"/>
      <c r="H241" s="18"/>
      <c r="I241" s="33"/>
      <c r="J241" s="33"/>
      <c r="K241" s="18"/>
      <c r="L241" s="18"/>
      <c r="M241" s="18"/>
      <c r="N241" s="60"/>
      <c r="O241" s="60"/>
      <c r="P241" s="60"/>
      <c r="Q241" s="63"/>
      <c r="R241" s="63"/>
      <c r="S241" s="63"/>
      <c r="T241" s="63"/>
      <c r="U241" s="19"/>
    </row>
    <row r="242" spans="2:21" ht="12.75" customHeight="1" x14ac:dyDescent="0.15">
      <c r="B242" s="15"/>
      <c r="C242" s="56"/>
      <c r="D242" s="56"/>
      <c r="E242" s="57"/>
      <c r="F242" s="57"/>
      <c r="G242" s="58"/>
      <c r="H242" s="59"/>
      <c r="I242" s="60"/>
      <c r="J242" s="60"/>
      <c r="K242" s="59"/>
      <c r="L242" s="59"/>
      <c r="M242" s="59"/>
      <c r="N242" s="61"/>
      <c r="O242" s="62"/>
      <c r="P242" s="62"/>
      <c r="Q242" s="61"/>
      <c r="R242" s="61"/>
      <c r="S242" s="61"/>
      <c r="T242" s="61"/>
      <c r="U242" s="61"/>
    </row>
    <row r="243" spans="2:21" ht="12.75" customHeight="1" x14ac:dyDescent="0.15">
      <c r="B243" s="15"/>
      <c r="C243" s="56"/>
      <c r="D243" s="56"/>
      <c r="E243" s="57"/>
      <c r="F243" s="57"/>
      <c r="G243" s="58"/>
      <c r="H243" s="59"/>
      <c r="I243" s="62"/>
      <c r="J243" s="62"/>
      <c r="K243" s="59"/>
      <c r="L243" s="59"/>
      <c r="M243" s="59"/>
      <c r="N243" s="60"/>
      <c r="O243" s="60"/>
      <c r="P243" s="60"/>
      <c r="Q243" s="63"/>
      <c r="R243" s="63"/>
      <c r="S243" s="63"/>
      <c r="T243" s="63"/>
      <c r="U243" s="59"/>
    </row>
    <row r="244" spans="2:21" ht="12.75" customHeight="1" x14ac:dyDescent="0.15">
      <c r="B244" s="15"/>
      <c r="C244" s="56"/>
      <c r="D244" s="15"/>
      <c r="E244" s="15"/>
      <c r="F244" s="15"/>
      <c r="G244" s="58"/>
      <c r="H244" s="18"/>
      <c r="I244" s="33"/>
      <c r="J244" s="33"/>
      <c r="K244" s="18"/>
      <c r="L244" s="18"/>
      <c r="M244" s="18"/>
      <c r="N244" s="60"/>
      <c r="O244" s="60"/>
      <c r="P244" s="60"/>
      <c r="Q244" s="63"/>
      <c r="R244" s="63"/>
      <c r="S244" s="63"/>
      <c r="T244" s="63"/>
      <c r="U244" s="19"/>
    </row>
    <row r="245" spans="2:21" ht="12.75" customHeight="1" x14ac:dyDescent="0.15">
      <c r="B245" s="15"/>
      <c r="C245" s="56"/>
      <c r="D245" s="56"/>
      <c r="E245" s="57"/>
      <c r="F245" s="57"/>
      <c r="G245" s="58"/>
      <c r="H245" s="59"/>
      <c r="I245" s="62"/>
      <c r="J245" s="62"/>
      <c r="K245" s="59"/>
      <c r="L245" s="59"/>
      <c r="M245" s="59"/>
      <c r="N245" s="60"/>
      <c r="O245" s="60"/>
      <c r="P245" s="60"/>
      <c r="Q245" s="63"/>
      <c r="R245" s="63"/>
      <c r="S245" s="63"/>
      <c r="T245" s="63"/>
      <c r="U245" s="19"/>
    </row>
    <row r="246" spans="2:21" ht="12.75" customHeight="1" x14ac:dyDescent="0.15">
      <c r="B246" s="15"/>
      <c r="C246" s="56"/>
      <c r="D246" s="56"/>
      <c r="E246" s="57"/>
      <c r="F246" s="57"/>
      <c r="G246" s="58"/>
      <c r="H246" s="59"/>
      <c r="I246" s="62"/>
      <c r="J246" s="62"/>
      <c r="K246" s="59"/>
      <c r="L246" s="59"/>
      <c r="M246" s="59"/>
      <c r="N246" s="60"/>
      <c r="O246" s="60"/>
      <c r="P246" s="60"/>
      <c r="Q246" s="63"/>
      <c r="R246" s="63"/>
      <c r="S246" s="63"/>
      <c r="T246" s="63"/>
      <c r="U246" s="59"/>
    </row>
    <row r="247" spans="2:21" ht="12.75" customHeight="1" x14ac:dyDescent="0.15">
      <c r="B247" s="15"/>
      <c r="C247" s="56"/>
      <c r="D247" s="56"/>
      <c r="E247" s="57"/>
      <c r="F247" s="57"/>
      <c r="G247" s="58"/>
      <c r="H247" s="59"/>
      <c r="I247" s="62"/>
      <c r="J247" s="62"/>
      <c r="K247" s="59"/>
      <c r="L247" s="59"/>
      <c r="M247" s="59"/>
      <c r="N247" s="60"/>
      <c r="O247" s="60"/>
      <c r="P247" s="60"/>
      <c r="Q247" s="63"/>
      <c r="R247" s="63"/>
      <c r="S247" s="63"/>
      <c r="T247" s="63"/>
      <c r="U247" s="59"/>
    </row>
    <row r="248" spans="2:21" ht="12.75" customHeight="1" x14ac:dyDescent="0.15">
      <c r="B248" s="15"/>
      <c r="C248" s="56"/>
      <c r="D248" s="56"/>
      <c r="E248" s="57"/>
      <c r="F248" s="57"/>
      <c r="G248" s="58"/>
      <c r="H248" s="59"/>
      <c r="I248" s="62"/>
      <c r="J248" s="62"/>
      <c r="K248" s="59"/>
      <c r="L248" s="59"/>
      <c r="M248" s="59"/>
      <c r="N248" s="60"/>
      <c r="O248" s="60"/>
      <c r="P248" s="60"/>
      <c r="Q248" s="61"/>
      <c r="R248" s="61"/>
      <c r="S248" s="61"/>
      <c r="T248" s="61"/>
      <c r="U248" s="19"/>
    </row>
    <row r="257" spans="22:23" ht="12.75" customHeight="1" x14ac:dyDescent="0.15">
      <c r="W257" s="7"/>
    </row>
    <row r="260" spans="22:23" ht="12.75" customHeight="1" x14ac:dyDescent="0.15">
      <c r="V260" s="4"/>
    </row>
  </sheetData>
  <dataConsolidate/>
  <mergeCells count="30">
    <mergeCell ref="V203:W203"/>
    <mergeCell ref="Q3:R4"/>
    <mergeCell ref="Q5:Q7"/>
    <mergeCell ref="R5:R7"/>
    <mergeCell ref="S3:T4"/>
    <mergeCell ref="U3:U7"/>
    <mergeCell ref="V202:W202"/>
    <mergeCell ref="L5:L7"/>
    <mergeCell ref="M5:M7"/>
    <mergeCell ref="K5:K7"/>
    <mergeCell ref="S5:S7"/>
    <mergeCell ref="T5:T7"/>
    <mergeCell ref="O3:O7"/>
    <mergeCell ref="P3:P7"/>
    <mergeCell ref="V209:W209"/>
    <mergeCell ref="V210:W210"/>
    <mergeCell ref="B3:B7"/>
    <mergeCell ref="C3:G3"/>
    <mergeCell ref="H3:H7"/>
    <mergeCell ref="N3:N7"/>
    <mergeCell ref="C4:C7"/>
    <mergeCell ref="D4:G4"/>
    <mergeCell ref="D5:D7"/>
    <mergeCell ref="E5:G5"/>
    <mergeCell ref="E6:E7"/>
    <mergeCell ref="F6:G6"/>
    <mergeCell ref="I3:J4"/>
    <mergeCell ref="K3:M4"/>
    <mergeCell ref="I5:I7"/>
    <mergeCell ref="J5:J7"/>
  </mergeCells>
  <phoneticPr fontId="2"/>
  <printOptions horizontalCentered="1"/>
  <pageMargins left="0.59055118110236227" right="0.19685039370078741" top="0.39370078740157483" bottom="0.19685039370078741" header="0.19685039370078741" footer="0.19685039370078741"/>
  <pageSetup paperSize="9" scale="60" fitToHeight="0" orientation="portrait" r:id="rId1"/>
  <headerFooter>
    <oddHeader>&amp;C&amp;12スライド計算根拠表</oddHeader>
  </headerFooter>
  <rowBreaks count="2" manualBreakCount="2">
    <brk id="96" max="20" man="1"/>
    <brk id="181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○○○○○○○工事</vt:lpstr>
      <vt:lpstr>例）○○○○○○○工事</vt:lpstr>
      <vt:lpstr>○○○○○○○工事!Print_Area</vt:lpstr>
      <vt:lpstr>'例）○○○○○○○工事'!Print_Area</vt:lpstr>
      <vt:lpstr>○○○○○○○工事!Print_Titles</vt:lpstr>
      <vt:lpstr>'例）○○○○○○○工事'!Print_Titles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2026-09-16T08:31:08Z</dcterms:modified>
</cp:coreProperties>
</file>
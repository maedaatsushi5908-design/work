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282\Desktop\東白川特2高層配水池揚水管取替工事\【当初設計これをさわっていく】00成果品\数量計算書\"/>
    </mc:Choice>
  </mc:AlternateContent>
  <bookViews>
    <workbookView xWindow="-108" yWindow="-108" windowWidth="23256" windowHeight="12576"/>
  </bookViews>
  <sheets>
    <sheet name="舗装集計" sheetId="6" r:id="rId1"/>
  </sheets>
  <definedNames>
    <definedName name="_xlnm.Print_Area" localSheetId="0">舗装集計!$A$1:$Y$63</definedName>
  </definedNames>
  <calcPr calcId="162913"/>
</workbook>
</file>

<file path=xl/calcChain.xml><?xml version="1.0" encoding="utf-8"?>
<calcChain xmlns="http://schemas.openxmlformats.org/spreadsheetml/2006/main">
  <c r="Y35" i="6" l="1"/>
  <c r="Y40" i="6"/>
  <c r="Y62" i="6" l="1"/>
  <c r="Y61" i="6"/>
  <c r="Y25" i="6"/>
  <c r="Y57" i="6"/>
  <c r="Y59" i="6"/>
  <c r="Y60" i="6"/>
  <c r="Y58" i="6"/>
  <c r="Y23" i="6"/>
  <c r="Y21" i="6" l="1"/>
  <c r="Y19" i="6"/>
  <c r="Y15" i="6"/>
  <c r="Y56" i="6"/>
  <c r="Y63" i="6"/>
  <c r="Y55" i="6"/>
  <c r="Y42" i="6"/>
  <c r="Y29" i="6"/>
  <c r="Y17" i="6"/>
  <c r="Y13" i="6"/>
  <c r="Y11" i="6"/>
  <c r="Y9" i="6"/>
  <c r="Y7" i="6"/>
  <c r="Y44" i="6"/>
  <c r="Y50" i="6" l="1"/>
  <c r="Y51" i="6"/>
  <c r="Y47" i="6" l="1"/>
  <c r="Y46" i="6"/>
  <c r="Y45" i="6"/>
  <c r="Y43" i="6"/>
  <c r="Y41" i="6"/>
  <c r="Y39" i="6"/>
  <c r="Y38" i="6"/>
  <c r="Y37" i="6"/>
  <c r="Y31" i="6" l="1"/>
</calcChain>
</file>

<file path=xl/sharedStrings.xml><?xml version="1.0" encoding="utf-8"?>
<sst xmlns="http://schemas.openxmlformats.org/spreadsheetml/2006/main" count="43" uniqueCount="43">
  <si>
    <t>種　　　別</t>
    <rPh sb="0" eb="1">
      <t>タネ</t>
    </rPh>
    <rPh sb="4" eb="5">
      <t>ベツ</t>
    </rPh>
    <phoneticPr fontId="1"/>
  </si>
  <si>
    <t>算　　　式</t>
    <rPh sb="0" eb="1">
      <t>サン</t>
    </rPh>
    <rPh sb="4" eb="5">
      <t>シキ</t>
    </rPh>
    <phoneticPr fontId="1"/>
  </si>
  <si>
    <t>合計</t>
    <rPh sb="0" eb="2">
      <t>ゴウケイケイ</t>
    </rPh>
    <phoneticPr fontId="1"/>
  </si>
  <si>
    <t>復旧面積集計</t>
    <rPh sb="0" eb="2">
      <t>フッキュウ</t>
    </rPh>
    <rPh sb="2" eb="4">
      <t>メンセキ</t>
    </rPh>
    <rPh sb="4" eb="6">
      <t>シュウケイ</t>
    </rPh>
    <phoneticPr fontId="1"/>
  </si>
  <si>
    <t>舗装切断集計</t>
    <rPh sb="0" eb="2">
      <t>ホソウ</t>
    </rPh>
    <rPh sb="2" eb="4">
      <t>セツダン</t>
    </rPh>
    <rPh sb="4" eb="6">
      <t>シュウケイ</t>
    </rPh>
    <phoneticPr fontId="1"/>
  </si>
  <si>
    <t>区画線集計</t>
    <rPh sb="0" eb="3">
      <t>クカクセン</t>
    </rPh>
    <rPh sb="3" eb="5">
      <t>シュウケイ</t>
    </rPh>
    <phoneticPr fontId="1"/>
  </si>
  <si>
    <t>As t≦15cm</t>
    <phoneticPr fontId="1"/>
  </si>
  <si>
    <t>Co t≦15cm</t>
    <phoneticPr fontId="1"/>
  </si>
  <si>
    <t>実線(15cm) 白色</t>
    <rPh sb="0" eb="2">
      <t>ジッセン</t>
    </rPh>
    <rPh sb="9" eb="11">
      <t>シロイロ</t>
    </rPh>
    <phoneticPr fontId="1"/>
  </si>
  <si>
    <t>実線(20cm) 黄色</t>
    <rPh sb="0" eb="2">
      <t>ジッセン</t>
    </rPh>
    <rPh sb="9" eb="11">
      <t>キイロ</t>
    </rPh>
    <phoneticPr fontId="1"/>
  </si>
  <si>
    <t>実線(30cm) 白色</t>
    <rPh sb="0" eb="2">
      <t>ジッセン</t>
    </rPh>
    <rPh sb="9" eb="11">
      <t>シロイロ</t>
    </rPh>
    <phoneticPr fontId="1"/>
  </si>
  <si>
    <t>破線(15cm) 白色</t>
    <rPh sb="0" eb="2">
      <t>ハセン</t>
    </rPh>
    <rPh sb="9" eb="11">
      <t>シロイロ</t>
    </rPh>
    <phoneticPr fontId="1"/>
  </si>
  <si>
    <t>点字ブロック集計</t>
    <rPh sb="0" eb="2">
      <t>テンジ</t>
    </rPh>
    <rPh sb="6" eb="8">
      <t>シュウケイ</t>
    </rPh>
    <phoneticPr fontId="1"/>
  </si>
  <si>
    <t>点字ブロック面積</t>
    <rPh sb="0" eb="2">
      <t>テンジ</t>
    </rPh>
    <rPh sb="6" eb="8">
      <t>メンセキ</t>
    </rPh>
    <phoneticPr fontId="1"/>
  </si>
  <si>
    <t>点字ブロック枚数</t>
    <rPh sb="0" eb="2">
      <t>テンジ</t>
    </rPh>
    <rPh sb="6" eb="8">
      <t>マイスウ</t>
    </rPh>
    <phoneticPr fontId="1"/>
  </si>
  <si>
    <t>記号 横断歩道予告(ダイヤ) 白色</t>
    <rPh sb="0" eb="2">
      <t>キゴウ</t>
    </rPh>
    <rPh sb="3" eb="5">
      <t>オウダン</t>
    </rPh>
    <rPh sb="5" eb="7">
      <t>ホドウ</t>
    </rPh>
    <rPh sb="7" eb="9">
      <t>ヨコク</t>
    </rPh>
    <rPh sb="15" eb="17">
      <t>シロイロ</t>
    </rPh>
    <phoneticPr fontId="1"/>
  </si>
  <si>
    <t>文字 『れ』</t>
    <rPh sb="0" eb="2">
      <t>モジ</t>
    </rPh>
    <phoneticPr fontId="1"/>
  </si>
  <si>
    <t>実線(45cm) 白色</t>
    <rPh sb="0" eb="2">
      <t>ジッセン</t>
    </rPh>
    <rPh sb="9" eb="11">
      <t>シロイロ</t>
    </rPh>
    <phoneticPr fontId="1"/>
  </si>
  <si>
    <t>ゼブラ(45cm)</t>
    <phoneticPr fontId="1"/>
  </si>
  <si>
    <t>構造物取壊し工集計</t>
    <rPh sb="0" eb="2">
      <t>コウゾウ</t>
    </rPh>
    <rPh sb="2" eb="3">
      <t>ブツ</t>
    </rPh>
    <rPh sb="3" eb="5">
      <t>トリコワ</t>
    </rPh>
    <rPh sb="6" eb="7">
      <t>コウ</t>
    </rPh>
    <rPh sb="7" eb="9">
      <t>シュウケイ</t>
    </rPh>
    <phoneticPr fontId="7"/>
  </si>
  <si>
    <t>NG-L-LB</t>
    <phoneticPr fontId="1"/>
  </si>
  <si>
    <t>市道10号工</t>
    <rPh sb="0" eb="2">
      <t>シドウ</t>
    </rPh>
    <rPh sb="4" eb="5">
      <t>ゴウ</t>
    </rPh>
    <rPh sb="5" eb="6">
      <t>コウ</t>
    </rPh>
    <phoneticPr fontId="1"/>
  </si>
  <si>
    <t>破線(30cm) 白色</t>
    <rPh sb="0" eb="2">
      <t>ハセン</t>
    </rPh>
    <rPh sb="9" eb="11">
      <t>シロイロ</t>
    </rPh>
    <phoneticPr fontId="1"/>
  </si>
  <si>
    <t>市道3号工</t>
    <rPh sb="0" eb="2">
      <t>シドウ</t>
    </rPh>
    <rPh sb="3" eb="4">
      <t>ゴウ</t>
    </rPh>
    <rPh sb="4" eb="5">
      <t>コウ</t>
    </rPh>
    <phoneticPr fontId="1"/>
  </si>
  <si>
    <t>市道7号工</t>
    <rPh sb="0" eb="2">
      <t>シドウ</t>
    </rPh>
    <rPh sb="3" eb="4">
      <t>ゴウ</t>
    </rPh>
    <rPh sb="4" eb="5">
      <t>コウ</t>
    </rPh>
    <phoneticPr fontId="1"/>
  </si>
  <si>
    <t>市道10-1号工</t>
    <rPh sb="0" eb="2">
      <t>シドウ</t>
    </rPh>
    <rPh sb="6" eb="7">
      <t>ゴウ</t>
    </rPh>
    <rPh sb="7" eb="8">
      <t>コウ</t>
    </rPh>
    <phoneticPr fontId="1"/>
  </si>
  <si>
    <t>市道10-1号工乗入部</t>
    <rPh sb="0" eb="2">
      <t>シドウ</t>
    </rPh>
    <rPh sb="6" eb="7">
      <t>ゴウ</t>
    </rPh>
    <rPh sb="7" eb="8">
      <t>コウ</t>
    </rPh>
    <rPh sb="8" eb="9">
      <t>ノ</t>
    </rPh>
    <rPh sb="9" eb="10">
      <t>イ</t>
    </rPh>
    <rPh sb="10" eb="11">
      <t>ブ</t>
    </rPh>
    <phoneticPr fontId="1"/>
  </si>
  <si>
    <t>記号 自転車</t>
    <rPh sb="0" eb="2">
      <t>キゴウ</t>
    </rPh>
    <rPh sb="3" eb="6">
      <t>ジテンシャ</t>
    </rPh>
    <phoneticPr fontId="1"/>
  </si>
  <si>
    <t>路側工(ﾀｲﾌﾟ1)歩車道境界ﾌﾞﾛｯｸB</t>
    <phoneticPr fontId="1"/>
  </si>
  <si>
    <t>NG-L-B3</t>
    <phoneticPr fontId="1"/>
  </si>
  <si>
    <t>舗装復旧面積他集計表</t>
    <rPh sb="0" eb="2">
      <t>ホソウ</t>
    </rPh>
    <rPh sb="2" eb="4">
      <t>フッキュウ</t>
    </rPh>
    <rPh sb="4" eb="6">
      <t>メンセキ</t>
    </rPh>
    <rPh sb="6" eb="7">
      <t>ホカ</t>
    </rPh>
    <rPh sb="7" eb="9">
      <t>シュウケイ</t>
    </rPh>
    <rPh sb="9" eb="10">
      <t>ヒョウ</t>
    </rPh>
    <phoneticPr fontId="1"/>
  </si>
  <si>
    <t>NG-L-FA</t>
    <phoneticPr fontId="1"/>
  </si>
  <si>
    <t>文字 『止』</t>
    <rPh sb="0" eb="2">
      <t>モジ</t>
    </rPh>
    <rPh sb="4" eb="5">
      <t>ト</t>
    </rPh>
    <phoneticPr fontId="1"/>
  </si>
  <si>
    <t>文字 『ま』</t>
    <rPh sb="0" eb="2">
      <t>モジ</t>
    </rPh>
    <phoneticPr fontId="1"/>
  </si>
  <si>
    <t>交差点用乱横断防止柵</t>
    <rPh sb="0" eb="4">
      <t>コウサテンヨウ</t>
    </rPh>
    <rPh sb="4" eb="10">
      <t>ランオウダンボウシサク</t>
    </rPh>
    <phoneticPr fontId="1"/>
  </si>
  <si>
    <t>交差点用乱横断防止柵基礎工</t>
    <rPh sb="0" eb="4">
      <t>コウサテンヨウ</t>
    </rPh>
    <rPh sb="4" eb="10">
      <t>ランオウダンボウシサク</t>
    </rPh>
    <rPh sb="10" eb="13">
      <t>キソコウ</t>
    </rPh>
    <phoneticPr fontId="1"/>
  </si>
  <si>
    <t>ガ－ドレ－ル</t>
    <phoneticPr fontId="1"/>
  </si>
  <si>
    <t>アスカ－ブ</t>
    <phoneticPr fontId="1"/>
  </si>
  <si>
    <t>市道2-2号工</t>
    <rPh sb="0" eb="2">
      <t>シドウ</t>
    </rPh>
    <rPh sb="5" eb="6">
      <t>ゴウ</t>
    </rPh>
    <rPh sb="6" eb="7">
      <t>コウ</t>
    </rPh>
    <phoneticPr fontId="1"/>
  </si>
  <si>
    <t>8号工</t>
    <rPh sb="1" eb="3">
      <t>ゴウコウ</t>
    </rPh>
    <phoneticPr fontId="1"/>
  </si>
  <si>
    <t>市道10号工→市道10-1号工</t>
    <rPh sb="0" eb="2">
      <t>シドウ</t>
    </rPh>
    <rPh sb="4" eb="5">
      <t>ゴウ</t>
    </rPh>
    <rPh sb="5" eb="6">
      <t>コウ</t>
    </rPh>
    <rPh sb="13" eb="15">
      <t>ゴウコウ</t>
    </rPh>
    <phoneticPr fontId="1"/>
  </si>
  <si>
    <t>市道10号工乗→市道10-1号工乗</t>
    <rPh sb="0" eb="2">
      <t>シドウ</t>
    </rPh>
    <rPh sb="4" eb="5">
      <t>ゴウ</t>
    </rPh>
    <rPh sb="5" eb="6">
      <t>コウ</t>
    </rPh>
    <rPh sb="6" eb="7">
      <t>ノリ</t>
    </rPh>
    <rPh sb="14" eb="15">
      <t>ゴウ</t>
    </rPh>
    <rPh sb="16" eb="17">
      <t>ノリ</t>
    </rPh>
    <phoneticPr fontId="1"/>
  </si>
  <si>
    <t>黄色部は排水性舗装に施工</t>
    <rPh sb="0" eb="2">
      <t>キイロ</t>
    </rPh>
    <rPh sb="2" eb="3">
      <t>ブ</t>
    </rPh>
    <rPh sb="4" eb="7">
      <t>ハイスイセイ</t>
    </rPh>
    <rPh sb="7" eb="9">
      <t>ホソウ</t>
    </rPh>
    <rPh sb="10" eb="12">
      <t>セコウ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</si>
</sst>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"/>
    <numFmt numFmtId="177" formatCode="0.0_);[Red]\(0.0\)"/>
    <numFmt numFmtId="178" formatCode="0.00;;"/>
    <numFmt numFmtId="179" formatCode="0.0;;"/>
    <numFmt numFmtId="180" formatCode="0.00_);[Red]\(0.00\)"/>
    <numFmt numFmtId="181" formatCode="#,##0.0_);[Red]\(#,##0.0\)"/>
    <numFmt numFmtId="182" formatCode="#,##0.00_);[Red]\(#,##0.00\)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 shrinkToFit="1"/>
    </xf>
    <xf numFmtId="179" fontId="2" fillId="0" borderId="15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180" fontId="2" fillId="0" borderId="26" xfId="0" applyNumberFormat="1" applyFont="1" applyBorder="1" applyAlignment="1">
      <alignment horizontal="center" vertical="center" shrinkToFit="1"/>
    </xf>
    <xf numFmtId="180" fontId="2" fillId="0" borderId="27" xfId="0" applyNumberFormat="1" applyFont="1" applyBorder="1" applyAlignment="1">
      <alignment horizontal="center" vertical="center" shrinkToFit="1"/>
    </xf>
    <xf numFmtId="178" fontId="2" fillId="0" borderId="27" xfId="0" applyNumberFormat="1" applyFont="1" applyBorder="1" applyAlignment="1">
      <alignment horizontal="center" vertical="center" shrinkToFit="1"/>
    </xf>
    <xf numFmtId="178" fontId="2" fillId="0" borderId="28" xfId="0" applyNumberFormat="1" applyFont="1" applyBorder="1" applyAlignment="1">
      <alignment horizontal="center" vertical="center" shrinkToFit="1"/>
    </xf>
    <xf numFmtId="180" fontId="2" fillId="0" borderId="33" xfId="0" applyNumberFormat="1" applyFont="1" applyBorder="1" applyAlignment="1">
      <alignment horizontal="center" vertical="center" shrinkToFit="1"/>
    </xf>
    <xf numFmtId="180" fontId="2" fillId="0" borderId="34" xfId="0" applyNumberFormat="1" applyFont="1" applyBorder="1" applyAlignment="1">
      <alignment horizontal="center" vertical="center" shrinkToFit="1"/>
    </xf>
    <xf numFmtId="178" fontId="2" fillId="0" borderId="34" xfId="0" applyNumberFormat="1" applyFont="1" applyBorder="1" applyAlignment="1">
      <alignment horizontal="center" vertical="center" shrinkToFit="1"/>
    </xf>
    <xf numFmtId="178" fontId="2" fillId="0" borderId="35" xfId="0" applyNumberFormat="1" applyFont="1" applyBorder="1" applyAlignment="1">
      <alignment horizontal="center" vertical="center" shrinkToFit="1"/>
    </xf>
    <xf numFmtId="180" fontId="2" fillId="0" borderId="8" xfId="0" applyNumberFormat="1" applyFont="1" applyBorder="1" applyAlignment="1">
      <alignment horizontal="center" vertical="center" shrinkToFit="1"/>
    </xf>
    <xf numFmtId="180" fontId="2" fillId="0" borderId="9" xfId="0" applyNumberFormat="1" applyFont="1" applyBorder="1" applyAlignment="1">
      <alignment horizontal="center" vertical="center" shrinkToFit="1"/>
    </xf>
    <xf numFmtId="178" fontId="2" fillId="0" borderId="9" xfId="0" applyNumberFormat="1" applyFont="1" applyBorder="1" applyAlignment="1">
      <alignment horizontal="center" vertical="center" shrinkToFit="1"/>
    </xf>
    <xf numFmtId="178" fontId="2" fillId="0" borderId="10" xfId="0" applyNumberFormat="1" applyFont="1" applyBorder="1" applyAlignment="1">
      <alignment horizontal="center" vertical="center" shrinkToFit="1"/>
    </xf>
    <xf numFmtId="178" fontId="2" fillId="0" borderId="26" xfId="0" applyNumberFormat="1" applyFont="1" applyBorder="1" applyAlignment="1">
      <alignment horizontal="center" vertical="center" shrinkToFit="1"/>
    </xf>
    <xf numFmtId="178" fontId="2" fillId="0" borderId="8" xfId="0" applyNumberFormat="1" applyFont="1" applyBorder="1" applyAlignment="1">
      <alignment horizontal="center" vertical="center" shrinkToFit="1"/>
    </xf>
    <xf numFmtId="177" fontId="2" fillId="0" borderId="24" xfId="0" applyNumberFormat="1" applyFont="1" applyBorder="1" applyAlignment="1">
      <alignment horizontal="center" vertical="center" shrinkToFit="1"/>
    </xf>
    <xf numFmtId="176" fontId="2" fillId="0" borderId="40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 shrinkToFit="1"/>
    </xf>
    <xf numFmtId="176" fontId="2" fillId="0" borderId="39" xfId="0" applyNumberFormat="1" applyFont="1" applyBorder="1" applyAlignment="1">
      <alignment horizontal="center" vertical="center" shrinkToFit="1"/>
    </xf>
    <xf numFmtId="180" fontId="2" fillId="0" borderId="43" xfId="0" applyNumberFormat="1" applyFont="1" applyBorder="1" applyAlignment="1">
      <alignment horizontal="center" vertical="center" shrinkToFit="1"/>
    </xf>
    <xf numFmtId="180" fontId="2" fillId="0" borderId="41" xfId="0" applyNumberFormat="1" applyFont="1" applyBorder="1" applyAlignment="1">
      <alignment horizontal="center" vertical="center" shrinkToFit="1"/>
    </xf>
    <xf numFmtId="180" fontId="2" fillId="0" borderId="42" xfId="0" applyNumberFormat="1" applyFont="1" applyBorder="1" applyAlignment="1">
      <alignment horizontal="center" vertical="center" shrinkToFit="1"/>
    </xf>
    <xf numFmtId="178" fontId="2" fillId="0" borderId="42" xfId="0" applyNumberFormat="1" applyFont="1" applyBorder="1" applyAlignment="1">
      <alignment horizontal="center" vertical="center" shrinkToFit="1"/>
    </xf>
    <xf numFmtId="178" fontId="2" fillId="0" borderId="33" xfId="0" applyNumberFormat="1" applyFont="1" applyBorder="1" applyAlignment="1">
      <alignment horizontal="center" vertical="center" shrinkToFit="1"/>
    </xf>
    <xf numFmtId="2" fontId="6" fillId="0" borderId="0" xfId="0" applyNumberFormat="1" applyFont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shrinkToFit="1"/>
    </xf>
    <xf numFmtId="179" fontId="2" fillId="0" borderId="2" xfId="0" applyNumberFormat="1" applyFont="1" applyBorder="1" applyAlignment="1">
      <alignment horizontal="center" vertical="center" shrinkToFit="1"/>
    </xf>
    <xf numFmtId="179" fontId="2" fillId="0" borderId="3" xfId="0" applyNumberFormat="1" applyFont="1" applyBorder="1" applyAlignment="1">
      <alignment horizontal="center" vertical="center" shrinkToFit="1"/>
    </xf>
    <xf numFmtId="179" fontId="2" fillId="0" borderId="8" xfId="0" applyNumberFormat="1" applyFont="1" applyBorder="1" applyAlignment="1">
      <alignment horizontal="center" vertical="center" shrinkToFit="1"/>
    </xf>
    <xf numFmtId="179" fontId="2" fillId="0" borderId="9" xfId="0" applyNumberFormat="1" applyFont="1" applyBorder="1" applyAlignment="1">
      <alignment horizontal="center" vertical="center" shrinkToFit="1"/>
    </xf>
    <xf numFmtId="177" fontId="2" fillId="0" borderId="44" xfId="0" applyNumberFormat="1" applyFont="1" applyBorder="1" applyAlignment="1">
      <alignment horizontal="center" vertical="center" shrinkToFit="1"/>
    </xf>
    <xf numFmtId="177" fontId="2" fillId="0" borderId="45" xfId="0" applyNumberFormat="1" applyFont="1" applyBorder="1" applyAlignment="1">
      <alignment horizontal="center" vertical="center" shrinkToFit="1"/>
    </xf>
    <xf numFmtId="177" fontId="2" fillId="0" borderId="46" xfId="0" applyNumberFormat="1" applyFont="1" applyBorder="1" applyAlignment="1">
      <alignment horizontal="center" vertical="center" shrinkToFit="1"/>
    </xf>
    <xf numFmtId="176" fontId="2" fillId="0" borderId="22" xfId="0" applyNumberFormat="1" applyFont="1" applyBorder="1" applyAlignment="1">
      <alignment horizontal="center" vertical="center" shrinkToFit="1"/>
    </xf>
    <xf numFmtId="181" fontId="2" fillId="0" borderId="8" xfId="0" applyNumberFormat="1" applyFont="1" applyBorder="1" applyAlignment="1">
      <alignment horizontal="center" vertical="center" shrinkToFit="1"/>
    </xf>
    <xf numFmtId="181" fontId="2" fillId="0" borderId="9" xfId="0" applyNumberFormat="1" applyFont="1" applyBorder="1" applyAlignment="1">
      <alignment horizontal="center" vertical="center" shrinkToFit="1"/>
    </xf>
    <xf numFmtId="181" fontId="2" fillId="0" borderId="10" xfId="0" applyNumberFormat="1" applyFont="1" applyBorder="1" applyAlignment="1">
      <alignment horizontal="center" vertical="center" shrinkToFit="1"/>
    </xf>
    <xf numFmtId="181" fontId="2" fillId="0" borderId="15" xfId="0" applyNumberFormat="1" applyFont="1" applyBorder="1" applyAlignment="1">
      <alignment horizontal="center" vertical="center" shrinkToFit="1"/>
    </xf>
    <xf numFmtId="182" fontId="2" fillId="0" borderId="8" xfId="0" applyNumberFormat="1" applyFont="1" applyBorder="1" applyAlignment="1">
      <alignment horizontal="center" vertical="center" shrinkToFit="1"/>
    </xf>
    <xf numFmtId="182" fontId="2" fillId="0" borderId="15" xfId="0" applyNumberFormat="1" applyFont="1" applyBorder="1" applyAlignment="1">
      <alignment horizontal="center" vertical="center" shrinkToFit="1"/>
    </xf>
    <xf numFmtId="181" fontId="2" fillId="0" borderId="47" xfId="0" applyNumberFormat="1" applyFont="1" applyBorder="1" applyAlignment="1">
      <alignment horizontal="center" vertical="center" shrinkToFit="1"/>
    </xf>
    <xf numFmtId="181" fontId="2" fillId="0" borderId="48" xfId="0" applyNumberFormat="1" applyFont="1" applyBorder="1" applyAlignment="1">
      <alignment horizontal="center" vertical="center" shrinkToFit="1"/>
    </xf>
    <xf numFmtId="181" fontId="2" fillId="0" borderId="20" xfId="0" applyNumberFormat="1" applyFont="1" applyBorder="1" applyAlignment="1">
      <alignment horizontal="center" vertical="center" shrinkToFit="1"/>
    </xf>
    <xf numFmtId="181" fontId="2" fillId="0" borderId="21" xfId="0" applyNumberFormat="1" applyFont="1" applyBorder="1" applyAlignment="1">
      <alignment horizontal="center" vertical="center" shrinkToFit="1"/>
    </xf>
    <xf numFmtId="181" fontId="2" fillId="0" borderId="49" xfId="0" applyNumberFormat="1" applyFont="1" applyBorder="1" applyAlignment="1">
      <alignment horizontal="center" vertical="center" shrinkToFit="1"/>
    </xf>
    <xf numFmtId="179" fontId="2" fillId="2" borderId="2" xfId="0" applyNumberFormat="1" applyFont="1" applyFill="1" applyBorder="1" applyAlignment="1">
      <alignment horizontal="center" vertical="center" shrinkToFit="1"/>
    </xf>
    <xf numFmtId="179" fontId="2" fillId="2" borderId="1" xfId="0" applyNumberFormat="1" applyFont="1" applyFill="1" applyBorder="1" applyAlignment="1">
      <alignment horizontal="center" vertical="center" shrinkToFit="1"/>
    </xf>
    <xf numFmtId="177" fontId="2" fillId="2" borderId="50" xfId="0" applyNumberFormat="1" applyFont="1" applyFill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vertical="center"/>
    </xf>
    <xf numFmtId="179" fontId="2" fillId="0" borderId="2" xfId="0" applyNumberFormat="1" applyFont="1" applyFill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 shrinkToFit="1"/>
    </xf>
    <xf numFmtId="178" fontId="2" fillId="0" borderId="15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0" borderId="22" xfId="0" applyNumberFormat="1" applyFont="1" applyBorder="1" applyAlignment="1">
      <alignment horizontal="center" vertical="center" shrinkToFit="1"/>
    </xf>
    <xf numFmtId="179" fontId="2" fillId="0" borderId="15" xfId="0" applyNumberFormat="1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8" fontId="2" fillId="0" borderId="29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FF0066"/>
      <color rgb="FF1489EA"/>
      <color rgb="FFFF00FF"/>
      <color rgb="FF76B531"/>
      <color rgb="FFCCCC00"/>
      <color rgb="FFF80891"/>
      <color rgb="FF5DE92B"/>
      <color rgb="FFBD33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showGridLines="0" showZeros="0" tabSelected="1" view="pageBreakPreview" topLeftCell="A16" zoomScale="115" zoomScaleNormal="85" zoomScaleSheetLayoutView="115" workbookViewId="0">
      <selection activeCell="J31" sqref="J31"/>
    </sheetView>
  </sheetViews>
  <sheetFormatPr defaultColWidth="9" defaultRowHeight="13.2" x14ac:dyDescent="0.2"/>
  <cols>
    <col min="1" max="4" width="9" style="12"/>
    <col min="5" max="24" width="6.109375" style="12" customWidth="1"/>
    <col min="25" max="25" width="5.6640625" style="12" customWidth="1"/>
    <col min="26" max="42" width="5" style="12" customWidth="1"/>
    <col min="43" max="16384" width="9" style="12"/>
  </cols>
  <sheetData>
    <row r="1" spans="1:30" x14ac:dyDescent="0.2">
      <c r="A1" s="85" t="s">
        <v>30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 spans="1:30" x14ac:dyDescent="0.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1:30" ht="13.8" thickBot="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  <row r="4" spans="1:30" ht="13.8" thickBot="1" x14ac:dyDescent="0.25">
      <c r="A4" s="87" t="s">
        <v>0</v>
      </c>
      <c r="B4" s="88"/>
      <c r="C4" s="88"/>
      <c r="D4" s="88"/>
      <c r="E4" s="88" t="s">
        <v>1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1" t="s">
        <v>2</v>
      </c>
    </row>
    <row r="5" spans="1:30" ht="13.8" thickTop="1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4"/>
    </row>
    <row r="6" spans="1:30" x14ac:dyDescent="0.2">
      <c r="A6" s="68" t="s">
        <v>3</v>
      </c>
      <c r="B6" s="69"/>
      <c r="C6" s="69"/>
      <c r="D6" s="6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30" x14ac:dyDescent="0.2">
      <c r="A7" s="62" t="s">
        <v>38</v>
      </c>
      <c r="B7" s="63"/>
      <c r="C7" s="63"/>
      <c r="D7" s="64"/>
      <c r="E7" s="13">
        <v>91.2</v>
      </c>
      <c r="F7" s="14">
        <v>446</v>
      </c>
      <c r="G7" s="14">
        <v>516.6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77">
        <f>SUM(E7:X8)</f>
        <v>1053.8000000000002</v>
      </c>
    </row>
    <row r="8" spans="1:30" x14ac:dyDescent="0.2">
      <c r="A8" s="68"/>
      <c r="B8" s="69"/>
      <c r="C8" s="69"/>
      <c r="D8" s="70"/>
      <c r="E8" s="17"/>
      <c r="F8" s="18"/>
      <c r="G8" s="18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78"/>
    </row>
    <row r="9" spans="1:30" x14ac:dyDescent="0.2">
      <c r="A9" s="62" t="s">
        <v>23</v>
      </c>
      <c r="B9" s="63"/>
      <c r="C9" s="63"/>
      <c r="D9" s="64"/>
      <c r="E9" s="14">
        <v>19.899999999999999</v>
      </c>
      <c r="F9" s="14">
        <v>717.4</v>
      </c>
      <c r="G9" s="14">
        <v>629.20000000000005</v>
      </c>
      <c r="H9" s="14">
        <v>110.3</v>
      </c>
      <c r="I9" s="15">
        <v>859.7</v>
      </c>
      <c r="J9" s="15">
        <v>13.6</v>
      </c>
      <c r="K9" s="15">
        <v>318.39999999999998</v>
      </c>
      <c r="L9" s="15">
        <v>2066.3000000000002</v>
      </c>
      <c r="M9" s="15">
        <v>85.2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77">
        <f t="shared" ref="Y9" si="0">SUM(E9:X10)</f>
        <v>4820</v>
      </c>
    </row>
    <row r="10" spans="1:30" x14ac:dyDescent="0.2">
      <c r="A10" s="68"/>
      <c r="B10" s="69"/>
      <c r="C10" s="69"/>
      <c r="D10" s="70"/>
      <c r="E10" s="21"/>
      <c r="F10" s="22"/>
      <c r="G10" s="22"/>
      <c r="H10" s="2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  <c r="Y10" s="78"/>
      <c r="AA10" s="89"/>
      <c r="AB10" s="89"/>
      <c r="AC10" s="89"/>
      <c r="AD10" s="89"/>
    </row>
    <row r="11" spans="1:30" x14ac:dyDescent="0.2">
      <c r="A11" s="62" t="s">
        <v>24</v>
      </c>
      <c r="B11" s="63"/>
      <c r="C11" s="63"/>
      <c r="D11" s="64"/>
      <c r="E11" s="13">
        <v>14.8</v>
      </c>
      <c r="F11" s="14">
        <v>148</v>
      </c>
      <c r="G11" s="14">
        <v>14.8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  <c r="Y11" s="77">
        <f t="shared" ref="Y11" si="1">SUM(E11:X12)</f>
        <v>177.60000000000002</v>
      </c>
    </row>
    <row r="12" spans="1:30" x14ac:dyDescent="0.2">
      <c r="A12" s="68"/>
      <c r="B12" s="69"/>
      <c r="C12" s="69"/>
      <c r="D12" s="70"/>
      <c r="E12" s="21"/>
      <c r="F12" s="22"/>
      <c r="G12" s="22"/>
      <c r="H12" s="2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  <c r="Y12" s="78"/>
    </row>
    <row r="13" spans="1:30" x14ac:dyDescent="0.2">
      <c r="A13" s="62" t="s">
        <v>21</v>
      </c>
      <c r="B13" s="63"/>
      <c r="C13" s="63"/>
      <c r="D13" s="64"/>
      <c r="E13" s="13">
        <v>3.7</v>
      </c>
      <c r="F13" s="14"/>
      <c r="G13" s="14"/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  <c r="Y13" s="77">
        <f t="shared" ref="Y13" si="2">SUM(E13:X14)</f>
        <v>3.7</v>
      </c>
    </row>
    <row r="14" spans="1:30" x14ac:dyDescent="0.2">
      <c r="A14" s="68"/>
      <c r="B14" s="69"/>
      <c r="C14" s="69"/>
      <c r="D14" s="70"/>
      <c r="E14" s="21"/>
      <c r="F14" s="22"/>
      <c r="G14" s="22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  <c r="Y14" s="78"/>
    </row>
    <row r="15" spans="1:30" x14ac:dyDescent="0.2">
      <c r="A15" s="62" t="s">
        <v>41</v>
      </c>
      <c r="B15" s="63"/>
      <c r="C15" s="63"/>
      <c r="D15" s="64"/>
      <c r="E15" s="25">
        <v>9.9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  <c r="Y15" s="77">
        <f t="shared" ref="Y15" si="3">SUM(E15:X16)</f>
        <v>9.9</v>
      </c>
    </row>
    <row r="16" spans="1:30" x14ac:dyDescent="0.2">
      <c r="A16" s="68"/>
      <c r="B16" s="69"/>
      <c r="C16" s="69"/>
      <c r="D16" s="70"/>
      <c r="E16" s="26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  <c r="Y16" s="78"/>
    </row>
    <row r="17" spans="1:30" x14ac:dyDescent="0.2">
      <c r="A17" s="62" t="s">
        <v>25</v>
      </c>
      <c r="B17" s="63"/>
      <c r="C17" s="63"/>
      <c r="D17" s="64"/>
      <c r="E17" s="25">
        <v>16.899999999999999</v>
      </c>
      <c r="F17" s="15">
        <v>28.8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77">
        <f t="shared" ref="Y17" si="4">SUM(E17:X18)</f>
        <v>45.7</v>
      </c>
    </row>
    <row r="18" spans="1:30" x14ac:dyDescent="0.2">
      <c r="A18" s="68"/>
      <c r="B18" s="69"/>
      <c r="C18" s="69"/>
      <c r="D18" s="70"/>
      <c r="E18" s="26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78"/>
    </row>
    <row r="19" spans="1:30" x14ac:dyDescent="0.2">
      <c r="A19" s="62" t="s">
        <v>26</v>
      </c>
      <c r="B19" s="63"/>
      <c r="C19" s="63"/>
      <c r="D19" s="64"/>
      <c r="E19" s="25">
        <v>34.200000000000003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77">
        <f t="shared" ref="Y19" si="5">SUM(E19:X20)</f>
        <v>34.200000000000003</v>
      </c>
    </row>
    <row r="20" spans="1:30" x14ac:dyDescent="0.2">
      <c r="A20" s="68"/>
      <c r="B20" s="69"/>
      <c r="C20" s="69"/>
      <c r="D20" s="70"/>
      <c r="E20" s="26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  <c r="Y20" s="78"/>
    </row>
    <row r="21" spans="1:30" x14ac:dyDescent="0.2">
      <c r="A21" s="62" t="s">
        <v>40</v>
      </c>
      <c r="B21" s="63"/>
      <c r="C21" s="63"/>
      <c r="D21" s="64"/>
      <c r="E21" s="25">
        <v>33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77">
        <f t="shared" ref="Y21" si="6">SUM(E21:X22)</f>
        <v>33</v>
      </c>
    </row>
    <row r="22" spans="1:30" x14ac:dyDescent="0.2">
      <c r="A22" s="68"/>
      <c r="B22" s="69"/>
      <c r="C22" s="69"/>
      <c r="D22" s="70"/>
      <c r="E22" s="2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4"/>
      <c r="Y22" s="78"/>
    </row>
    <row r="23" spans="1:30" x14ac:dyDescent="0.2">
      <c r="A23" s="62" t="s">
        <v>39</v>
      </c>
      <c r="B23" s="63"/>
      <c r="C23" s="63"/>
      <c r="D23" s="64"/>
      <c r="E23" s="25">
        <v>0.9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77">
        <f t="shared" ref="Y23:Y25" si="7">SUM(E23:X24)</f>
        <v>0.9</v>
      </c>
    </row>
    <row r="24" spans="1:30" x14ac:dyDescent="0.2">
      <c r="A24" s="68"/>
      <c r="B24" s="69"/>
      <c r="C24" s="69"/>
      <c r="D24" s="70"/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  <c r="Y24" s="78"/>
    </row>
    <row r="25" spans="1:30" x14ac:dyDescent="0.2">
      <c r="A25" s="62"/>
      <c r="B25" s="63"/>
      <c r="C25" s="63"/>
      <c r="D25" s="64"/>
      <c r="E25" s="2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77">
        <f t="shared" si="7"/>
        <v>0</v>
      </c>
    </row>
    <row r="26" spans="1:30" x14ac:dyDescent="0.2">
      <c r="A26" s="68"/>
      <c r="B26" s="69"/>
      <c r="C26" s="69"/>
      <c r="D26" s="70"/>
      <c r="E26" s="26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4"/>
      <c r="Y26" s="78"/>
    </row>
    <row r="27" spans="1:30" x14ac:dyDescent="0.2">
      <c r="A27" s="62"/>
      <c r="B27" s="63"/>
      <c r="C27" s="63"/>
      <c r="D27" s="63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8"/>
      <c r="AA27" s="89"/>
      <c r="AB27" s="89"/>
      <c r="AC27" s="89"/>
      <c r="AD27" s="89"/>
    </row>
    <row r="28" spans="1:30" x14ac:dyDescent="0.2">
      <c r="A28" s="68" t="s">
        <v>4</v>
      </c>
      <c r="B28" s="69"/>
      <c r="C28" s="69"/>
      <c r="D28" s="6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0"/>
    </row>
    <row r="29" spans="1:30" x14ac:dyDescent="0.2">
      <c r="A29" s="62" t="s">
        <v>6</v>
      </c>
      <c r="B29" s="63"/>
      <c r="C29" s="63"/>
      <c r="D29" s="64"/>
      <c r="E29" s="25">
        <v>4</v>
      </c>
      <c r="F29" s="15">
        <v>7.9</v>
      </c>
      <c r="G29" s="15">
        <v>9.5</v>
      </c>
      <c r="H29" s="15">
        <v>9</v>
      </c>
      <c r="I29" s="15">
        <v>24</v>
      </c>
      <c r="J29" s="15">
        <v>143.4</v>
      </c>
      <c r="K29" s="15">
        <v>37.799999999999997</v>
      </c>
      <c r="L29" s="15">
        <v>6.5</v>
      </c>
      <c r="M29" s="15">
        <v>10.5</v>
      </c>
      <c r="N29" s="15">
        <v>69</v>
      </c>
      <c r="O29" s="15">
        <v>21</v>
      </c>
      <c r="P29" s="15">
        <v>17.100000000000001</v>
      </c>
      <c r="Q29" s="15">
        <v>28.5</v>
      </c>
      <c r="R29" s="15">
        <v>27.4</v>
      </c>
      <c r="S29" s="15">
        <v>19.5</v>
      </c>
      <c r="T29" s="15">
        <v>62.9</v>
      </c>
      <c r="U29" s="15">
        <v>7.4</v>
      </c>
      <c r="V29" s="15">
        <v>2.4</v>
      </c>
      <c r="W29" s="15">
        <v>9.6</v>
      </c>
      <c r="X29" s="15">
        <v>24.3</v>
      </c>
      <c r="Y29" s="77">
        <f>SUM(E29:X30)</f>
        <v>648.10000000000014</v>
      </c>
    </row>
    <row r="30" spans="1:30" x14ac:dyDescent="0.2">
      <c r="A30" s="65"/>
      <c r="B30" s="66"/>
      <c r="C30" s="66"/>
      <c r="D30" s="67"/>
      <c r="E30" s="31">
        <v>11.5</v>
      </c>
      <c r="F30" s="31">
        <v>15.1</v>
      </c>
      <c r="G30" s="32">
        <v>10.199999999999999</v>
      </c>
      <c r="H30" s="32">
        <v>10.7</v>
      </c>
      <c r="I30" s="32">
        <v>47.7</v>
      </c>
      <c r="J30" s="32">
        <v>11.2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3"/>
      <c r="W30" s="32"/>
      <c r="X30" s="34"/>
      <c r="Y30" s="95"/>
    </row>
    <row r="31" spans="1:30" x14ac:dyDescent="0.2">
      <c r="A31" s="62" t="s">
        <v>7</v>
      </c>
      <c r="B31" s="63"/>
      <c r="C31" s="63"/>
      <c r="D31" s="64"/>
      <c r="E31" s="2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77">
        <f>SUM(E31:X32)</f>
        <v>0</v>
      </c>
    </row>
    <row r="32" spans="1:30" x14ac:dyDescent="0.2">
      <c r="A32" s="68"/>
      <c r="B32" s="69"/>
      <c r="C32" s="69"/>
      <c r="D32" s="70"/>
      <c r="E32" s="35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  <c r="Y32" s="78"/>
      <c r="Z32" s="36"/>
      <c r="AA32" s="89"/>
      <c r="AB32" s="89"/>
      <c r="AC32" s="89"/>
      <c r="AD32" s="89"/>
    </row>
    <row r="33" spans="1:30" x14ac:dyDescent="0.2">
      <c r="A33" s="62"/>
      <c r="B33" s="63"/>
      <c r="C33" s="63"/>
      <c r="D33" s="63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8"/>
      <c r="AA33" s="89"/>
      <c r="AB33" s="89"/>
      <c r="AC33" s="89"/>
      <c r="AD33" s="89"/>
    </row>
    <row r="34" spans="1:30" x14ac:dyDescent="0.2">
      <c r="A34" s="68" t="s">
        <v>5</v>
      </c>
      <c r="B34" s="69"/>
      <c r="C34" s="69"/>
      <c r="D34" s="69"/>
      <c r="E34" s="59"/>
      <c r="F34" s="60" t="s">
        <v>42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30"/>
      <c r="AA34" s="89"/>
      <c r="AB34" s="89"/>
      <c r="AC34" s="89"/>
      <c r="AD34" s="89"/>
    </row>
    <row r="35" spans="1:30" x14ac:dyDescent="0.2">
      <c r="A35" s="79" t="s">
        <v>8</v>
      </c>
      <c r="B35" s="80"/>
      <c r="C35" s="80"/>
      <c r="D35" s="81"/>
      <c r="E35" s="37">
        <v>15</v>
      </c>
      <c r="F35" s="38">
        <v>8.4</v>
      </c>
      <c r="G35" s="57">
        <v>3.3</v>
      </c>
      <c r="H35" s="57">
        <v>2.2999999999999998</v>
      </c>
      <c r="I35" s="38">
        <v>18.8</v>
      </c>
      <c r="J35" s="38">
        <v>3.4</v>
      </c>
      <c r="K35" s="38">
        <v>60.1</v>
      </c>
      <c r="L35" s="38">
        <v>8.9</v>
      </c>
      <c r="M35" s="38">
        <v>77.8</v>
      </c>
      <c r="N35" s="57">
        <v>19.100000000000001</v>
      </c>
      <c r="O35" s="57">
        <v>31.9</v>
      </c>
      <c r="P35" s="38">
        <v>5.2</v>
      </c>
      <c r="Q35" s="38">
        <v>19.100000000000001</v>
      </c>
      <c r="R35" s="57">
        <v>54.8</v>
      </c>
      <c r="S35" s="38">
        <v>7.5</v>
      </c>
      <c r="T35" s="38">
        <v>26.4</v>
      </c>
      <c r="U35" s="38">
        <v>30</v>
      </c>
      <c r="V35" s="39">
        <v>34</v>
      </c>
      <c r="W35" s="38">
        <v>27.3</v>
      </c>
      <c r="X35" s="39">
        <v>8.6999999999999993</v>
      </c>
      <c r="Y35" s="90">
        <f>SUM(E35:X36)</f>
        <v>462</v>
      </c>
    </row>
    <row r="36" spans="1:30" x14ac:dyDescent="0.2">
      <c r="A36" s="7"/>
      <c r="B36" s="8"/>
      <c r="C36" s="8"/>
      <c r="D36" s="9"/>
      <c r="E36" s="37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9"/>
      <c r="Y36" s="91"/>
    </row>
    <row r="37" spans="1:30" x14ac:dyDescent="0.2">
      <c r="A37" s="79" t="s">
        <v>9</v>
      </c>
      <c r="B37" s="80"/>
      <c r="C37" s="80"/>
      <c r="D37" s="81"/>
      <c r="E37" s="37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  <c r="Y37" s="11">
        <f t="shared" ref="Y37:Y51" si="8">SUM(E37:X37)</f>
        <v>0</v>
      </c>
    </row>
    <row r="38" spans="1:30" x14ac:dyDescent="0.2">
      <c r="A38" s="79" t="s">
        <v>10</v>
      </c>
      <c r="B38" s="80"/>
      <c r="C38" s="80"/>
      <c r="D38" s="81"/>
      <c r="E38" s="37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9"/>
      <c r="Y38" s="11">
        <f t="shared" si="8"/>
        <v>0</v>
      </c>
    </row>
    <row r="39" spans="1:30" x14ac:dyDescent="0.2">
      <c r="A39" s="79" t="s">
        <v>17</v>
      </c>
      <c r="B39" s="80"/>
      <c r="C39" s="80"/>
      <c r="D39" s="81"/>
      <c r="E39" s="37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9"/>
      <c r="Y39" s="11">
        <f t="shared" si="8"/>
        <v>0</v>
      </c>
    </row>
    <row r="40" spans="1:30" x14ac:dyDescent="0.2">
      <c r="A40" s="79" t="s">
        <v>18</v>
      </c>
      <c r="B40" s="80"/>
      <c r="C40" s="80"/>
      <c r="D40" s="81"/>
      <c r="E40" s="37">
        <v>4.7</v>
      </c>
      <c r="F40" s="57">
        <v>11.8</v>
      </c>
      <c r="G40" s="38">
        <v>3.9</v>
      </c>
      <c r="H40" s="58">
        <v>12</v>
      </c>
      <c r="I40" s="57">
        <v>2.9</v>
      </c>
      <c r="J40" s="38">
        <v>1.4</v>
      </c>
      <c r="K40" s="38">
        <v>19.600000000000001</v>
      </c>
      <c r="L40" s="57">
        <v>16.5</v>
      </c>
      <c r="M40" s="61">
        <v>1.3</v>
      </c>
      <c r="N40" s="38">
        <v>2.7</v>
      </c>
      <c r="O40" s="38">
        <v>24</v>
      </c>
      <c r="P40" s="38">
        <v>24</v>
      </c>
      <c r="Q40" s="38">
        <v>2.8</v>
      </c>
      <c r="R40" s="38">
        <v>2.8</v>
      </c>
      <c r="S40" s="38">
        <v>12</v>
      </c>
      <c r="T40" s="38"/>
      <c r="U40" s="38"/>
      <c r="V40" s="38"/>
      <c r="W40" s="38"/>
      <c r="X40" s="39"/>
      <c r="Y40" s="11">
        <f>SUM(E40:X40)</f>
        <v>142.4</v>
      </c>
    </row>
    <row r="41" spans="1:30" x14ac:dyDescent="0.2">
      <c r="A41" s="79" t="s">
        <v>11</v>
      </c>
      <c r="B41" s="80"/>
      <c r="C41" s="80"/>
      <c r="D41" s="81"/>
      <c r="E41" s="37">
        <v>6</v>
      </c>
      <c r="F41" s="58">
        <v>9</v>
      </c>
      <c r="G41" s="38">
        <v>55</v>
      </c>
      <c r="H41" s="38">
        <v>50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  <c r="Y41" s="11">
        <f t="shared" si="8"/>
        <v>120</v>
      </c>
    </row>
    <row r="42" spans="1:30" x14ac:dyDescent="0.2">
      <c r="A42" s="79" t="s">
        <v>22</v>
      </c>
      <c r="B42" s="80"/>
      <c r="C42" s="80"/>
      <c r="D42" s="81"/>
      <c r="E42" s="37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  <c r="Y42" s="11">
        <f t="shared" ref="Y42" si="9">SUM(E42:X42)</f>
        <v>0</v>
      </c>
    </row>
    <row r="43" spans="1:30" x14ac:dyDescent="0.2">
      <c r="A43" s="79" t="s">
        <v>32</v>
      </c>
      <c r="B43" s="80"/>
      <c r="C43" s="80"/>
      <c r="D43" s="81"/>
      <c r="E43" s="37">
        <v>1</v>
      </c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  <c r="Y43" s="11">
        <f t="shared" si="8"/>
        <v>1</v>
      </c>
    </row>
    <row r="44" spans="1:30" x14ac:dyDescent="0.2">
      <c r="A44" s="79" t="s">
        <v>33</v>
      </c>
      <c r="B44" s="80"/>
      <c r="C44" s="80"/>
      <c r="D44" s="81"/>
      <c r="E44" s="37">
        <v>1</v>
      </c>
      <c r="F44" s="38">
        <v>1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9"/>
      <c r="Y44" s="11">
        <f t="shared" ref="Y44" si="10">SUM(E44:X44)</f>
        <v>2</v>
      </c>
    </row>
    <row r="45" spans="1:30" x14ac:dyDescent="0.2">
      <c r="A45" s="79" t="s">
        <v>16</v>
      </c>
      <c r="B45" s="80"/>
      <c r="C45" s="80"/>
      <c r="D45" s="81"/>
      <c r="E45" s="37">
        <v>1</v>
      </c>
      <c r="F45" s="38">
        <v>1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9"/>
      <c r="Y45" s="11">
        <f t="shared" si="8"/>
        <v>2</v>
      </c>
    </row>
    <row r="46" spans="1:30" x14ac:dyDescent="0.2">
      <c r="A46" s="79" t="s">
        <v>15</v>
      </c>
      <c r="B46" s="80"/>
      <c r="C46" s="80"/>
      <c r="D46" s="81"/>
      <c r="E46" s="58">
        <v>2</v>
      </c>
      <c r="F46" s="38">
        <v>2</v>
      </c>
      <c r="G46" s="38">
        <v>2</v>
      </c>
      <c r="H46" s="38">
        <v>2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9"/>
      <c r="Y46" s="11">
        <f t="shared" si="8"/>
        <v>8</v>
      </c>
    </row>
    <row r="47" spans="1:30" x14ac:dyDescent="0.2">
      <c r="A47" s="79" t="s">
        <v>27</v>
      </c>
      <c r="B47" s="80"/>
      <c r="C47" s="80"/>
      <c r="D47" s="81"/>
      <c r="E47" s="37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9"/>
      <c r="Y47" s="11">
        <f t="shared" si="8"/>
        <v>0</v>
      </c>
    </row>
    <row r="48" spans="1:30" x14ac:dyDescent="0.2">
      <c r="A48" s="62"/>
      <c r="B48" s="63"/>
      <c r="C48" s="63"/>
      <c r="D48" s="63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8"/>
      <c r="AA48" s="89"/>
      <c r="AB48" s="89"/>
      <c r="AC48" s="89"/>
      <c r="AD48" s="89"/>
    </row>
    <row r="49" spans="1:30" x14ac:dyDescent="0.2">
      <c r="A49" s="68" t="s">
        <v>12</v>
      </c>
      <c r="B49" s="69"/>
      <c r="C49" s="69"/>
      <c r="D49" s="6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30"/>
      <c r="AA49" s="89"/>
      <c r="AB49" s="89"/>
      <c r="AC49" s="89"/>
      <c r="AD49" s="89"/>
    </row>
    <row r="50" spans="1:30" x14ac:dyDescent="0.2">
      <c r="A50" s="79" t="s">
        <v>13</v>
      </c>
      <c r="B50" s="80"/>
      <c r="C50" s="80"/>
      <c r="D50" s="81"/>
      <c r="E50" s="26">
        <v>0.9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  <c r="Y50" s="10">
        <f t="shared" si="8"/>
        <v>0.9</v>
      </c>
    </row>
    <row r="51" spans="1:30" x14ac:dyDescent="0.2">
      <c r="A51" s="79" t="s">
        <v>14</v>
      </c>
      <c r="B51" s="80"/>
      <c r="C51" s="80"/>
      <c r="D51" s="81"/>
      <c r="E51" s="40">
        <v>10</v>
      </c>
      <c r="F51" s="41"/>
      <c r="G51" s="41"/>
      <c r="H51" s="41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9"/>
      <c r="Y51" s="11">
        <f t="shared" si="8"/>
        <v>10</v>
      </c>
    </row>
    <row r="52" spans="1:30" x14ac:dyDescent="0.2">
      <c r="A52" s="92"/>
      <c r="B52" s="93"/>
      <c r="C52" s="93"/>
      <c r="D52" s="94"/>
      <c r="E52" s="42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4"/>
      <c r="Y52" s="45"/>
    </row>
    <row r="53" spans="1:30" x14ac:dyDescent="0.2">
      <c r="A53" s="71" t="s">
        <v>19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3"/>
    </row>
    <row r="54" spans="1:30" x14ac:dyDescent="0.2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6"/>
    </row>
    <row r="55" spans="1:30" x14ac:dyDescent="0.2">
      <c r="A55" s="68" t="s">
        <v>31</v>
      </c>
      <c r="B55" s="69"/>
      <c r="C55" s="69"/>
      <c r="D55" s="70"/>
      <c r="E55" s="46">
        <v>7</v>
      </c>
      <c r="F55" s="47">
        <v>12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8"/>
      <c r="Y55" s="49">
        <f t="shared" ref="Y55:Y63" si="11">SUM(E55:X55)</f>
        <v>19</v>
      </c>
    </row>
    <row r="56" spans="1:30" x14ac:dyDescent="0.2">
      <c r="A56" s="68" t="s">
        <v>20</v>
      </c>
      <c r="B56" s="69"/>
      <c r="C56" s="69"/>
      <c r="D56" s="70"/>
      <c r="E56" s="46">
        <v>3.9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8"/>
      <c r="Y56" s="49">
        <f t="shared" ref="Y56" si="12">SUM(E56:X56)</f>
        <v>3.9</v>
      </c>
    </row>
    <row r="57" spans="1:30" x14ac:dyDescent="0.2">
      <c r="A57" s="68" t="s">
        <v>29</v>
      </c>
      <c r="B57" s="69"/>
      <c r="C57" s="69"/>
      <c r="D57" s="70"/>
      <c r="E57" s="46">
        <v>10</v>
      </c>
      <c r="F57" s="47">
        <v>2.1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8"/>
      <c r="Y57" s="49">
        <f t="shared" ref="Y57" si="13">SUM(E57:X57)</f>
        <v>12.1</v>
      </c>
    </row>
    <row r="58" spans="1:30" x14ac:dyDescent="0.2">
      <c r="A58" s="68" t="s">
        <v>28</v>
      </c>
      <c r="B58" s="69"/>
      <c r="C58" s="69"/>
      <c r="D58" s="70"/>
      <c r="E58" s="46">
        <v>4.2</v>
      </c>
      <c r="F58" s="47">
        <v>1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8"/>
      <c r="Y58" s="49">
        <f t="shared" ref="Y58:Y62" si="14">SUM(E58:X58)</f>
        <v>5.2</v>
      </c>
    </row>
    <row r="59" spans="1:30" x14ac:dyDescent="0.2">
      <c r="A59" s="68" t="s">
        <v>34</v>
      </c>
      <c r="B59" s="69"/>
      <c r="C59" s="69"/>
      <c r="D59" s="70"/>
      <c r="E59" s="46">
        <v>1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8"/>
      <c r="Y59" s="49">
        <f t="shared" ref="Y59" si="15">SUM(E59:X59)</f>
        <v>1</v>
      </c>
    </row>
    <row r="60" spans="1:30" x14ac:dyDescent="0.2">
      <c r="A60" s="68" t="s">
        <v>35</v>
      </c>
      <c r="B60" s="69"/>
      <c r="C60" s="69"/>
      <c r="D60" s="70"/>
      <c r="E60" s="50">
        <v>0.65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8"/>
      <c r="Y60" s="51">
        <f t="shared" si="14"/>
        <v>0.65</v>
      </c>
    </row>
    <row r="61" spans="1:30" x14ac:dyDescent="0.2">
      <c r="A61" s="68" t="s">
        <v>36</v>
      </c>
      <c r="B61" s="69"/>
      <c r="C61" s="69"/>
      <c r="D61" s="70"/>
      <c r="E61" s="46">
        <v>38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8"/>
      <c r="Y61" s="49">
        <f t="shared" si="14"/>
        <v>38</v>
      </c>
    </row>
    <row r="62" spans="1:30" x14ac:dyDescent="0.2">
      <c r="A62" s="68" t="s">
        <v>37</v>
      </c>
      <c r="B62" s="69"/>
      <c r="C62" s="69"/>
      <c r="D62" s="70"/>
      <c r="E62" s="46">
        <v>38</v>
      </c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8"/>
      <c r="Y62" s="49">
        <f t="shared" si="14"/>
        <v>38</v>
      </c>
    </row>
    <row r="63" spans="1:30" ht="13.8" thickBot="1" x14ac:dyDescent="0.25">
      <c r="A63" s="82"/>
      <c r="B63" s="83"/>
      <c r="C63" s="83"/>
      <c r="D63" s="84"/>
      <c r="E63" s="52"/>
      <c r="F63" s="53"/>
      <c r="G63" s="53"/>
      <c r="H63" s="53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6">
        <f t="shared" si="11"/>
        <v>0</v>
      </c>
    </row>
  </sheetData>
  <mergeCells count="67">
    <mergeCell ref="A61:D61"/>
    <mergeCell ref="A62:D62"/>
    <mergeCell ref="Y35:Y36"/>
    <mergeCell ref="AA27:AD27"/>
    <mergeCell ref="A52:D52"/>
    <mergeCell ref="A50:D50"/>
    <mergeCell ref="A47:D47"/>
    <mergeCell ref="AA48:AD48"/>
    <mergeCell ref="AA49:AD49"/>
    <mergeCell ref="AA32:AD32"/>
    <mergeCell ref="AA33:AD33"/>
    <mergeCell ref="AA34:AD34"/>
    <mergeCell ref="Y29:Y30"/>
    <mergeCell ref="A39:D39"/>
    <mergeCell ref="A37:D37"/>
    <mergeCell ref="A28:D28"/>
    <mergeCell ref="A17:D18"/>
    <mergeCell ref="Y17:Y18"/>
    <mergeCell ref="A13:D14"/>
    <mergeCell ref="Y13:Y14"/>
    <mergeCell ref="A15:D16"/>
    <mergeCell ref="Y15:Y16"/>
    <mergeCell ref="A19:D20"/>
    <mergeCell ref="Y19:Y20"/>
    <mergeCell ref="A21:D22"/>
    <mergeCell ref="Y21:Y22"/>
    <mergeCell ref="A23:D24"/>
    <mergeCell ref="Y23:Y24"/>
    <mergeCell ref="AA10:AD10"/>
    <mergeCell ref="A9:D10"/>
    <mergeCell ref="Y9:Y10"/>
    <mergeCell ref="A11:D12"/>
    <mergeCell ref="Y11:Y12"/>
    <mergeCell ref="A1:Y3"/>
    <mergeCell ref="Y7:Y8"/>
    <mergeCell ref="A4:D4"/>
    <mergeCell ref="E4:X4"/>
    <mergeCell ref="A6:D6"/>
    <mergeCell ref="A7:D8"/>
    <mergeCell ref="A63:D63"/>
    <mergeCell ref="A25:D26"/>
    <mergeCell ref="Y25:Y26"/>
    <mergeCell ref="A27:D27"/>
    <mergeCell ref="A43:D43"/>
    <mergeCell ref="A45:D45"/>
    <mergeCell ref="A46:D46"/>
    <mergeCell ref="A41:D41"/>
    <mergeCell ref="A31:D32"/>
    <mergeCell ref="A38:D38"/>
    <mergeCell ref="A44:D44"/>
    <mergeCell ref="A42:D42"/>
    <mergeCell ref="A40:D40"/>
    <mergeCell ref="A51:D51"/>
    <mergeCell ref="A48:D48"/>
    <mergeCell ref="A49:D49"/>
    <mergeCell ref="A58:D58"/>
    <mergeCell ref="A60:D60"/>
    <mergeCell ref="A59:D59"/>
    <mergeCell ref="A57:D57"/>
    <mergeCell ref="A35:D35"/>
    <mergeCell ref="A29:D30"/>
    <mergeCell ref="A56:D56"/>
    <mergeCell ref="A53:Y54"/>
    <mergeCell ref="A55:D55"/>
    <mergeCell ref="Y31:Y32"/>
    <mergeCell ref="A33:D33"/>
    <mergeCell ref="A34:D34"/>
  </mergeCells>
  <phoneticPr fontId="1"/>
  <printOptions horizontalCentered="1"/>
  <pageMargins left="0.39370078740157483" right="0.39370078740157483" top="0.78740157480314965" bottom="0.19685039370078741" header="0.31496062992125984" footer="0.31496062992125984"/>
  <pageSetup paperSize="9" scale="64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舗装集計</vt:lpstr>
      <vt:lpstr>舗装集計!Print_Area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y.yanagawa</dc:creator>
  <cp:lastModifiedBy>Windows ユーザー</cp:lastModifiedBy>
  <cp:lastPrinted>2025-09-03T06:18:23Z</cp:lastPrinted>
  <dcterms:created xsi:type="dcterms:W3CDTF">2015-03-17T06:39:31Z</dcterms:created>
  <dcterms:modified xsi:type="dcterms:W3CDTF">2025-09-19T05:46:27Z</dcterms:modified>
</cp:coreProperties>
</file>
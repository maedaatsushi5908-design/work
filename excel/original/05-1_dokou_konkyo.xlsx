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0282\Desktop\東白川特2高層配水池揚水管取替工事\【当初設計これをさわっていく】00成果品\数量計算書\"/>
    </mc:Choice>
  </mc:AlternateContent>
  <bookViews>
    <workbookView xWindow="32460" yWindow="1752" windowWidth="14400" windowHeight="12480"/>
  </bookViews>
  <sheets>
    <sheet name="延長集計表  採用(伏越削除)" sheetId="7" r:id="rId1"/>
    <sheet name="延長集計表" sheetId="5" r:id="rId2"/>
    <sheet name="伏せ越し部等" sheetId="6" r:id="rId3"/>
  </sheets>
  <externalReferences>
    <externalReference r:id="rId4"/>
    <externalReference r:id="rId5"/>
  </externalReferences>
  <definedNames>
    <definedName name="_xlnm.Print_Area" localSheetId="1">延長集計表!$A$1:$AD$233</definedName>
    <definedName name="_xlnm.Print_Area" localSheetId="0">'延長集計表  採用(伏越削除)'!$A$1:$AD$202</definedName>
    <definedName name="延長">'[1]　入力表（1）　'!$A$4:$E$864</definedName>
    <definedName name="形式">'[1]　入力表（1）　'!$A$4:$D$864</definedName>
    <definedName name="数量">'[2]　入力表（1）　'!$A$4:$F$864</definedName>
    <definedName name="品名">'[1]　入力表（1）　'!$A$4:$C$864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9" i="7" l="1"/>
  <c r="K197" i="7" l="1"/>
  <c r="H197" i="7"/>
  <c r="V201" i="7"/>
  <c r="U201" i="7"/>
  <c r="T201" i="7"/>
  <c r="S201" i="7"/>
  <c r="R201" i="7"/>
  <c r="Q201" i="7"/>
  <c r="P201" i="7"/>
  <c r="O201" i="7"/>
  <c r="N201" i="7"/>
  <c r="M201" i="7"/>
  <c r="J201" i="7"/>
  <c r="I201" i="7"/>
  <c r="G201" i="7"/>
  <c r="F201" i="7"/>
  <c r="E201" i="7"/>
  <c r="D201" i="7"/>
  <c r="C201" i="7"/>
  <c r="B201" i="7"/>
  <c r="K200" i="7"/>
  <c r="K198" i="7"/>
  <c r="Z201" i="7"/>
  <c r="L201" i="7"/>
  <c r="V191" i="7"/>
  <c r="U191" i="7"/>
  <c r="T191" i="7"/>
  <c r="S191" i="7"/>
  <c r="R191" i="7"/>
  <c r="Q191" i="7"/>
  <c r="P191" i="7"/>
  <c r="O191" i="7"/>
  <c r="N191" i="7"/>
  <c r="M191" i="7"/>
  <c r="J191" i="7"/>
  <c r="I191" i="7"/>
  <c r="H191" i="7"/>
  <c r="G191" i="7"/>
  <c r="F191" i="7"/>
  <c r="E191" i="7"/>
  <c r="D191" i="7"/>
  <c r="C191" i="7"/>
  <c r="B191" i="7"/>
  <c r="K190" i="7"/>
  <c r="K189" i="7"/>
  <c r="K188" i="7"/>
  <c r="Z191" i="7"/>
  <c r="X191" i="7"/>
  <c r="L191" i="7"/>
  <c r="K187" i="7"/>
  <c r="K191" i="7" s="1"/>
  <c r="K201" i="7" l="1"/>
  <c r="H201" i="7"/>
  <c r="X201" i="7"/>
  <c r="P169" i="7" l="1"/>
  <c r="P168" i="7"/>
  <c r="P166" i="7"/>
  <c r="L99" i="7" l="1"/>
  <c r="L135" i="5"/>
  <c r="L191" i="5"/>
  <c r="P164" i="7"/>
  <c r="H158" i="7"/>
  <c r="H157" i="7"/>
  <c r="H156" i="7"/>
  <c r="H155" i="7"/>
  <c r="H154" i="7"/>
  <c r="P151" i="7"/>
  <c r="P149" i="7"/>
  <c r="R136" i="7"/>
  <c r="G136" i="7"/>
  <c r="F136" i="7"/>
  <c r="E136" i="7"/>
  <c r="D136" i="7"/>
  <c r="C136" i="7"/>
  <c r="B136" i="7"/>
  <c r="L135" i="7"/>
  <c r="L134" i="7"/>
  <c r="L133" i="7"/>
  <c r="L132" i="7"/>
  <c r="L131" i="7"/>
  <c r="L130" i="7"/>
  <c r="R124" i="7"/>
  <c r="G124" i="7"/>
  <c r="F124" i="7"/>
  <c r="E124" i="7"/>
  <c r="D124" i="7"/>
  <c r="C124" i="7"/>
  <c r="B124" i="7"/>
  <c r="L123" i="7"/>
  <c r="L122" i="7"/>
  <c r="L121" i="7"/>
  <c r="L120" i="7"/>
  <c r="L119" i="7"/>
  <c r="L118" i="7"/>
  <c r="L117" i="7"/>
  <c r="L116" i="7"/>
  <c r="AD110" i="7"/>
  <c r="AC110" i="7"/>
  <c r="AB110" i="7"/>
  <c r="AA110" i="7"/>
  <c r="Y110" i="7"/>
  <c r="W110" i="7"/>
  <c r="V110" i="7"/>
  <c r="U110" i="7"/>
  <c r="T110" i="7"/>
  <c r="S110" i="7"/>
  <c r="R110" i="7"/>
  <c r="G110" i="7"/>
  <c r="F110" i="7"/>
  <c r="E110" i="7"/>
  <c r="D110" i="7"/>
  <c r="C110" i="7"/>
  <c r="B110" i="7"/>
  <c r="Z109" i="7"/>
  <c r="X109" i="7"/>
  <c r="L109" i="7"/>
  <c r="Z108" i="7"/>
  <c r="X108" i="7"/>
  <c r="L108" i="7"/>
  <c r="Z107" i="7"/>
  <c r="X107" i="7" s="1"/>
  <c r="L107" i="7"/>
  <c r="V101" i="7"/>
  <c r="U101" i="7"/>
  <c r="T101" i="7"/>
  <c r="S101" i="7"/>
  <c r="R101" i="7"/>
  <c r="Q101" i="7"/>
  <c r="P101" i="7"/>
  <c r="O101" i="7"/>
  <c r="N101" i="7"/>
  <c r="M101" i="7"/>
  <c r="J101" i="7"/>
  <c r="I101" i="7"/>
  <c r="H101" i="7"/>
  <c r="G101" i="7"/>
  <c r="F101" i="7"/>
  <c r="E101" i="7"/>
  <c r="D101" i="7"/>
  <c r="C101" i="7"/>
  <c r="B101" i="7"/>
  <c r="Z100" i="7"/>
  <c r="X100" i="7" s="1"/>
  <c r="L100" i="7"/>
  <c r="K100" i="7"/>
  <c r="Z99" i="7"/>
  <c r="X99" i="7"/>
  <c r="K99" i="7"/>
  <c r="Z98" i="7"/>
  <c r="X98" i="7" s="1"/>
  <c r="L98" i="7"/>
  <c r="K98" i="7"/>
  <c r="Z97" i="7"/>
  <c r="X97" i="7"/>
  <c r="L97" i="7"/>
  <c r="K97" i="7"/>
  <c r="V91" i="7"/>
  <c r="U91" i="7"/>
  <c r="T91" i="7"/>
  <c r="S91" i="7"/>
  <c r="R91" i="7"/>
  <c r="Q91" i="7"/>
  <c r="P91" i="7"/>
  <c r="O91" i="7"/>
  <c r="N91" i="7"/>
  <c r="M91" i="7"/>
  <c r="J91" i="7"/>
  <c r="I91" i="7"/>
  <c r="H91" i="7"/>
  <c r="G91" i="7"/>
  <c r="F91" i="7"/>
  <c r="E91" i="7"/>
  <c r="D91" i="7"/>
  <c r="C91" i="7"/>
  <c r="B91" i="7"/>
  <c r="Z90" i="7"/>
  <c r="X90" i="7" s="1"/>
  <c r="L90" i="7"/>
  <c r="K90" i="7"/>
  <c r="Z89" i="7"/>
  <c r="X89" i="7" s="1"/>
  <c r="L89" i="7"/>
  <c r="K89" i="7"/>
  <c r="Z88" i="7"/>
  <c r="X88" i="7" s="1"/>
  <c r="L88" i="7"/>
  <c r="K88" i="7"/>
  <c r="Z87" i="7"/>
  <c r="X87" i="7" s="1"/>
  <c r="L87" i="7"/>
  <c r="K87" i="7"/>
  <c r="V81" i="7"/>
  <c r="U81" i="7"/>
  <c r="T81" i="7"/>
  <c r="S81" i="7"/>
  <c r="R81" i="7"/>
  <c r="Q81" i="7"/>
  <c r="P81" i="7"/>
  <c r="O81" i="7"/>
  <c r="N81" i="7"/>
  <c r="M81" i="7"/>
  <c r="J81" i="7"/>
  <c r="I81" i="7"/>
  <c r="H81" i="7"/>
  <c r="G81" i="7"/>
  <c r="F81" i="7"/>
  <c r="E81" i="7"/>
  <c r="D81" i="7"/>
  <c r="C81" i="7"/>
  <c r="B81" i="7"/>
  <c r="Z80" i="7"/>
  <c r="X80" i="7" s="1"/>
  <c r="L80" i="7"/>
  <c r="K80" i="7"/>
  <c r="Z79" i="7"/>
  <c r="X79" i="7" s="1"/>
  <c r="L79" i="7"/>
  <c r="K79" i="7"/>
  <c r="Z78" i="7"/>
  <c r="X78" i="7"/>
  <c r="L78" i="7"/>
  <c r="K78" i="7"/>
  <c r="Z77" i="7"/>
  <c r="X77" i="7" s="1"/>
  <c r="L77" i="7"/>
  <c r="K77" i="7"/>
  <c r="Z76" i="7"/>
  <c r="X76" i="7" s="1"/>
  <c r="L76" i="7"/>
  <c r="K76" i="7"/>
  <c r="Z75" i="7"/>
  <c r="X75" i="7" s="1"/>
  <c r="L75" i="7"/>
  <c r="K75" i="7"/>
  <c r="AD69" i="7"/>
  <c r="AC69" i="7"/>
  <c r="AB69" i="7"/>
  <c r="AA69" i="7"/>
  <c r="Y69" i="7"/>
  <c r="W69" i="7"/>
  <c r="V69" i="7"/>
  <c r="R69" i="7"/>
  <c r="Q69" i="7"/>
  <c r="P69" i="7"/>
  <c r="O69" i="7"/>
  <c r="N69" i="7"/>
  <c r="M69" i="7"/>
  <c r="J69" i="7"/>
  <c r="I69" i="7"/>
  <c r="H69" i="7"/>
  <c r="G69" i="7"/>
  <c r="F69" i="7"/>
  <c r="E69" i="7"/>
  <c r="D69" i="7"/>
  <c r="C69" i="7"/>
  <c r="B69" i="7"/>
  <c r="Z68" i="7"/>
  <c r="X68" i="7" s="1"/>
  <c r="K68" i="7"/>
  <c r="Z67" i="7"/>
  <c r="X67" i="7" s="1"/>
  <c r="K67" i="7"/>
  <c r="Z66" i="7"/>
  <c r="X66" i="7" s="1"/>
  <c r="K66" i="7"/>
  <c r="Z65" i="7"/>
  <c r="X65" i="7" s="1"/>
  <c r="K65" i="7"/>
  <c r="Z64" i="7"/>
  <c r="X64" i="7" s="1"/>
  <c r="K64" i="7"/>
  <c r="Z63" i="7"/>
  <c r="X63" i="7" s="1"/>
  <c r="K63" i="7"/>
  <c r="Z62" i="7"/>
  <c r="X62" i="7" s="1"/>
  <c r="K62" i="7"/>
  <c r="Z61" i="7"/>
  <c r="X61" i="7"/>
  <c r="K61" i="7"/>
  <c r="AD55" i="7"/>
  <c r="AC55" i="7"/>
  <c r="AB55" i="7"/>
  <c r="AA55" i="7"/>
  <c r="Y55" i="7"/>
  <c r="W55" i="7"/>
  <c r="V55" i="7"/>
  <c r="Q55" i="7"/>
  <c r="P55" i="7"/>
  <c r="O55" i="7"/>
  <c r="N55" i="7"/>
  <c r="M55" i="7"/>
  <c r="J55" i="7"/>
  <c r="I55" i="7"/>
  <c r="H55" i="7"/>
  <c r="G55" i="7"/>
  <c r="F55" i="7"/>
  <c r="E55" i="7"/>
  <c r="D55" i="7"/>
  <c r="C55" i="7"/>
  <c r="B55" i="7"/>
  <c r="Z54" i="7"/>
  <c r="X54" i="7"/>
  <c r="K54" i="7"/>
  <c r="Z53" i="7"/>
  <c r="X53" i="7" s="1"/>
  <c r="K53" i="7"/>
  <c r="Z52" i="7"/>
  <c r="K52" i="7"/>
  <c r="Z51" i="7"/>
  <c r="X51" i="7" s="1"/>
  <c r="K51" i="7"/>
  <c r="Z50" i="7"/>
  <c r="X50" i="7" s="1"/>
  <c r="K50" i="7"/>
  <c r="Z49" i="7"/>
  <c r="X49" i="7"/>
  <c r="K49" i="7"/>
  <c r="V43" i="7"/>
  <c r="U43" i="7"/>
  <c r="T43" i="7"/>
  <c r="S43" i="7"/>
  <c r="R43" i="7"/>
  <c r="G43" i="7"/>
  <c r="F43" i="7"/>
  <c r="E43" i="7"/>
  <c r="D43" i="7"/>
  <c r="C43" i="7"/>
  <c r="B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AD20" i="7"/>
  <c r="AC20" i="7"/>
  <c r="AB20" i="7"/>
  <c r="AA20" i="7"/>
  <c r="Z20" i="7"/>
  <c r="Y20" i="7"/>
  <c r="W20" i="7"/>
  <c r="V20" i="7"/>
  <c r="U20" i="7"/>
  <c r="T20" i="7"/>
  <c r="S20" i="7"/>
  <c r="R20" i="7"/>
  <c r="Q20" i="7"/>
  <c r="P20" i="7"/>
  <c r="O20" i="7"/>
  <c r="N20" i="7"/>
  <c r="M20" i="7"/>
  <c r="F20" i="7"/>
  <c r="E20" i="7"/>
  <c r="D20" i="7"/>
  <c r="C20" i="7"/>
  <c r="B20" i="7"/>
  <c r="X19" i="7"/>
  <c r="X20" i="7" s="1"/>
  <c r="L19" i="7"/>
  <c r="L20" i="7" s="1"/>
  <c r="K19" i="7"/>
  <c r="K20" i="7" s="1"/>
  <c r="K141" i="7" s="1"/>
  <c r="AD13" i="7"/>
  <c r="AC13" i="7"/>
  <c r="AB13" i="7"/>
  <c r="AA13" i="7"/>
  <c r="Z13" i="7"/>
  <c r="Y13" i="7"/>
  <c r="W13" i="7"/>
  <c r="V13" i="7"/>
  <c r="U13" i="7"/>
  <c r="T13" i="7"/>
  <c r="S13" i="7"/>
  <c r="R13" i="7"/>
  <c r="F13" i="7"/>
  <c r="E13" i="7"/>
  <c r="D13" i="7"/>
  <c r="C13" i="7"/>
  <c r="B13" i="7"/>
  <c r="X12" i="7"/>
  <c r="X13" i="7" s="1"/>
  <c r="L12" i="7"/>
  <c r="L13" i="7" s="1"/>
  <c r="L140" i="7" s="1"/>
  <c r="AD6" i="7"/>
  <c r="AC6" i="7"/>
  <c r="Z6" i="7"/>
  <c r="Y6" i="7"/>
  <c r="X6" i="7"/>
  <c r="W6" i="7"/>
  <c r="V6" i="7"/>
  <c r="M6" i="7"/>
  <c r="F6" i="7"/>
  <c r="E6" i="7"/>
  <c r="D6" i="7"/>
  <c r="C6" i="7"/>
  <c r="B6" i="7"/>
  <c r="AB5" i="7"/>
  <c r="AA5" i="7" s="1"/>
  <c r="AA6" i="7" s="1"/>
  <c r="K5" i="7"/>
  <c r="K6" i="7" s="1"/>
  <c r="K139" i="7" s="1"/>
  <c r="P218" i="5"/>
  <c r="H208" i="5"/>
  <c r="H207" i="5"/>
  <c r="H206" i="5"/>
  <c r="H205" i="5"/>
  <c r="H204" i="5"/>
  <c r="P201" i="5"/>
  <c r="Z135" i="5"/>
  <c r="X135" i="5" s="1"/>
  <c r="K135" i="5"/>
  <c r="K81" i="5"/>
  <c r="L136" i="7" l="1"/>
  <c r="P173" i="7" s="1"/>
  <c r="P152" i="7"/>
  <c r="Z55" i="7"/>
  <c r="K101" i="7"/>
  <c r="X110" i="7"/>
  <c r="K91" i="7"/>
  <c r="L91" i="7"/>
  <c r="L110" i="7"/>
  <c r="K69" i="7"/>
  <c r="K143" i="7" s="1"/>
  <c r="Z110" i="7"/>
  <c r="X52" i="7"/>
  <c r="X55" i="7" s="1"/>
  <c r="X69" i="7"/>
  <c r="K55" i="7"/>
  <c r="X91" i="7"/>
  <c r="K81" i="7"/>
  <c r="L81" i="7"/>
  <c r="Z91" i="7"/>
  <c r="L101" i="7"/>
  <c r="Z69" i="7"/>
  <c r="L124" i="7"/>
  <c r="P162" i="7" s="1"/>
  <c r="P174" i="7" s="1"/>
  <c r="Z101" i="7"/>
  <c r="L43" i="7"/>
  <c r="L141" i="7" s="1"/>
  <c r="X101" i="7"/>
  <c r="X81" i="7"/>
  <c r="Z81" i="7"/>
  <c r="AB6" i="7"/>
  <c r="F215" i="6"/>
  <c r="L159" i="5"/>
  <c r="L150" i="5"/>
  <c r="K150" i="5"/>
  <c r="L149" i="5"/>
  <c r="K149" i="5"/>
  <c r="L148" i="5"/>
  <c r="K148" i="5"/>
  <c r="L147" i="5"/>
  <c r="K147" i="5"/>
  <c r="L146" i="5"/>
  <c r="K146" i="5"/>
  <c r="L145" i="5"/>
  <c r="K145" i="5"/>
  <c r="L136" i="5"/>
  <c r="K136" i="5"/>
  <c r="L134" i="5"/>
  <c r="K134" i="5"/>
  <c r="L133" i="5"/>
  <c r="K133" i="5"/>
  <c r="L126" i="5"/>
  <c r="K126" i="5"/>
  <c r="L125" i="5"/>
  <c r="K125" i="5"/>
  <c r="L124" i="5"/>
  <c r="K124" i="5"/>
  <c r="L123" i="5"/>
  <c r="K123" i="5"/>
  <c r="L116" i="5"/>
  <c r="K116" i="5"/>
  <c r="L107" i="5"/>
  <c r="L106" i="5"/>
  <c r="L105" i="5"/>
  <c r="L104" i="5"/>
  <c r="L103" i="5"/>
  <c r="L102" i="5"/>
  <c r="K107" i="5"/>
  <c r="K106" i="5"/>
  <c r="K105" i="5"/>
  <c r="K104" i="5"/>
  <c r="K103" i="5"/>
  <c r="K102" i="5"/>
  <c r="K95" i="5"/>
  <c r="K94" i="5"/>
  <c r="K93" i="5"/>
  <c r="K92" i="5"/>
  <c r="K68" i="5"/>
  <c r="K67" i="5"/>
  <c r="K55" i="5"/>
  <c r="K54" i="5"/>
  <c r="K53" i="5"/>
  <c r="K52" i="5"/>
  <c r="K51" i="5"/>
  <c r="K50" i="5"/>
  <c r="K82" i="5"/>
  <c r="K80" i="5"/>
  <c r="K79" i="5"/>
  <c r="K78" i="5"/>
  <c r="K77" i="5"/>
  <c r="K76" i="5"/>
  <c r="K83" i="5"/>
  <c r="L158" i="5"/>
  <c r="L157" i="5"/>
  <c r="AD21" i="5"/>
  <c r="AC21" i="5"/>
  <c r="AB21" i="5"/>
  <c r="AA21" i="5"/>
  <c r="Z21" i="5"/>
  <c r="Y21" i="5"/>
  <c r="W21" i="5"/>
  <c r="AD14" i="5"/>
  <c r="AC14" i="5"/>
  <c r="AB14" i="5"/>
  <c r="AA14" i="5"/>
  <c r="Z14" i="5"/>
  <c r="Y14" i="5"/>
  <c r="W14" i="5"/>
  <c r="L142" i="7" l="1"/>
  <c r="K142" i="7"/>
  <c r="K144" i="7" s="1"/>
  <c r="L144" i="7"/>
  <c r="R96" i="5"/>
  <c r="R84" i="5"/>
  <c r="R86" i="5" l="1"/>
  <c r="K114" i="6" l="1"/>
  <c r="K113" i="6"/>
  <c r="I28" i="6"/>
  <c r="G30" i="6" s="1"/>
  <c r="K27" i="6"/>
  <c r="K28" i="6" s="1"/>
  <c r="E30" i="6" s="1"/>
  <c r="K49" i="6"/>
  <c r="K50" i="6"/>
  <c r="I52" i="6"/>
  <c r="G54" i="6" s="1"/>
  <c r="K51" i="6"/>
  <c r="K48" i="6"/>
  <c r="P216" i="5"/>
  <c r="L173" i="5"/>
  <c r="L172" i="5"/>
  <c r="L171" i="5"/>
  <c r="L170" i="5"/>
  <c r="L169" i="5"/>
  <c r="L168" i="5"/>
  <c r="L167" i="5"/>
  <c r="L166" i="5"/>
  <c r="R174" i="5"/>
  <c r="L185" i="5"/>
  <c r="L184" i="5"/>
  <c r="L183" i="5"/>
  <c r="L182" i="5"/>
  <c r="L181" i="5"/>
  <c r="L180" i="5"/>
  <c r="R186" i="5"/>
  <c r="C186" i="5"/>
  <c r="G186" i="5"/>
  <c r="F186" i="5"/>
  <c r="E186" i="5"/>
  <c r="D186" i="5"/>
  <c r="B186" i="5"/>
  <c r="G174" i="5"/>
  <c r="F174" i="5"/>
  <c r="E174" i="5"/>
  <c r="D174" i="5"/>
  <c r="C174" i="5"/>
  <c r="B174" i="5"/>
  <c r="P199" i="5"/>
  <c r="P202" i="5" s="1"/>
  <c r="G6" i="6" l="1"/>
  <c r="I30" i="6"/>
  <c r="E31" i="6" s="1"/>
  <c r="I31" i="6" s="1"/>
  <c r="F6" i="6" s="1"/>
  <c r="H6" i="6" s="1"/>
  <c r="G8" i="6"/>
  <c r="K52" i="6"/>
  <c r="E54" i="6" s="1"/>
  <c r="I54" i="6" s="1"/>
  <c r="E55" i="6" s="1"/>
  <c r="I55" i="6" s="1"/>
  <c r="F8" i="6" s="1"/>
  <c r="L186" i="5"/>
  <c r="P223" i="5" s="1"/>
  <c r="L174" i="5"/>
  <c r="P214" i="5" s="1"/>
  <c r="P219" i="5" s="1"/>
  <c r="P224" i="5" s="1"/>
  <c r="J8" i="6" l="1"/>
  <c r="U151" i="5"/>
  <c r="T151" i="5"/>
  <c r="S151" i="5"/>
  <c r="R151" i="5"/>
  <c r="B151" i="5"/>
  <c r="AB147" i="5"/>
  <c r="AA147" i="5" s="1"/>
  <c r="Z150" i="5"/>
  <c r="Z149" i="5"/>
  <c r="AA148" i="5"/>
  <c r="Z148" i="5" s="1"/>
  <c r="AD151" i="5"/>
  <c r="AC151" i="5"/>
  <c r="Y151" i="5"/>
  <c r="X151" i="5"/>
  <c r="W151" i="5"/>
  <c r="W139" i="5" s="1"/>
  <c r="V151" i="5"/>
  <c r="Q151" i="5"/>
  <c r="P151" i="5"/>
  <c r="O151" i="5"/>
  <c r="N151" i="5"/>
  <c r="M151" i="5"/>
  <c r="J151" i="5"/>
  <c r="I151" i="5"/>
  <c r="H151" i="5"/>
  <c r="G151" i="5"/>
  <c r="F151" i="5"/>
  <c r="E151" i="5"/>
  <c r="D151" i="5"/>
  <c r="C151" i="5"/>
  <c r="Z146" i="5"/>
  <c r="Z145" i="5"/>
  <c r="L13" i="5"/>
  <c r="L14" i="5" s="1"/>
  <c r="L190" i="5" s="1"/>
  <c r="V14" i="5"/>
  <c r="U14" i="5"/>
  <c r="T14" i="5"/>
  <c r="S14" i="5"/>
  <c r="R14" i="5"/>
  <c r="F14" i="5"/>
  <c r="E14" i="5"/>
  <c r="D14" i="5"/>
  <c r="C14" i="5"/>
  <c r="B14" i="5"/>
  <c r="X13" i="5"/>
  <c r="X14" i="5" s="1"/>
  <c r="W160" i="5"/>
  <c r="AD160" i="5"/>
  <c r="AC160" i="5"/>
  <c r="AB160" i="5"/>
  <c r="AA160" i="5"/>
  <c r="Y160" i="5"/>
  <c r="Z159" i="5"/>
  <c r="X159" i="5" s="1"/>
  <c r="Z158" i="5"/>
  <c r="X158" i="5" s="1"/>
  <c r="Z157" i="5"/>
  <c r="V160" i="5"/>
  <c r="U160" i="5"/>
  <c r="T160" i="5"/>
  <c r="S160" i="5"/>
  <c r="R160" i="5"/>
  <c r="G160" i="5"/>
  <c r="F160" i="5"/>
  <c r="E160" i="5"/>
  <c r="D160" i="5"/>
  <c r="C160" i="5"/>
  <c r="B160" i="5"/>
  <c r="C127" i="5"/>
  <c r="V137" i="5"/>
  <c r="U137" i="5"/>
  <c r="T137" i="5"/>
  <c r="S137" i="5"/>
  <c r="R137" i="5"/>
  <c r="Q137" i="5"/>
  <c r="P137" i="5"/>
  <c r="O137" i="5"/>
  <c r="N137" i="5"/>
  <c r="M137" i="5"/>
  <c r="J137" i="5"/>
  <c r="I137" i="5"/>
  <c r="H137" i="5"/>
  <c r="G137" i="5"/>
  <c r="F137" i="5"/>
  <c r="E137" i="5"/>
  <c r="D137" i="5"/>
  <c r="C137" i="5"/>
  <c r="B137" i="5"/>
  <c r="Z136" i="5"/>
  <c r="X136" i="5" s="1"/>
  <c r="Z134" i="5"/>
  <c r="X134" i="5" s="1"/>
  <c r="Z133" i="5"/>
  <c r="V127" i="5"/>
  <c r="U127" i="5"/>
  <c r="T127" i="5"/>
  <c r="S127" i="5"/>
  <c r="R127" i="5"/>
  <c r="Q127" i="5"/>
  <c r="P127" i="5"/>
  <c r="O127" i="5"/>
  <c r="N127" i="5"/>
  <c r="M127" i="5"/>
  <c r="J127" i="5"/>
  <c r="I127" i="5"/>
  <c r="H127" i="5"/>
  <c r="G127" i="5"/>
  <c r="F127" i="5"/>
  <c r="E127" i="5"/>
  <c r="D127" i="5"/>
  <c r="B127" i="5"/>
  <c r="Z126" i="5"/>
  <c r="X126" i="5" s="1"/>
  <c r="Z125" i="5"/>
  <c r="X125" i="5" s="1"/>
  <c r="Z124" i="5"/>
  <c r="Z123" i="5"/>
  <c r="X123" i="5" s="1"/>
  <c r="AB116" i="5"/>
  <c r="AA116" i="5" s="1"/>
  <c r="Z107" i="5"/>
  <c r="X107" i="5" s="1"/>
  <c r="Z106" i="5"/>
  <c r="X106" i="5" s="1"/>
  <c r="Z105" i="5"/>
  <c r="X105" i="5" s="1"/>
  <c r="Z104" i="5"/>
  <c r="X104" i="5" s="1"/>
  <c r="Z103" i="5"/>
  <c r="X103" i="5" s="1"/>
  <c r="AA95" i="5"/>
  <c r="Z95" i="5" s="1"/>
  <c r="AA94" i="5"/>
  <c r="AA93" i="5"/>
  <c r="Z92" i="5"/>
  <c r="B69" i="5"/>
  <c r="AC68" i="5"/>
  <c r="AC69" i="5" s="1"/>
  <c r="AB67" i="5"/>
  <c r="AB69" i="5" s="1"/>
  <c r="AD69" i="5"/>
  <c r="Y69" i="5"/>
  <c r="W69" i="5"/>
  <c r="V69" i="5"/>
  <c r="Q69" i="5"/>
  <c r="P69" i="5"/>
  <c r="O69" i="5"/>
  <c r="N69" i="5"/>
  <c r="M69" i="5"/>
  <c r="J69" i="5"/>
  <c r="I69" i="5"/>
  <c r="H69" i="5"/>
  <c r="G69" i="5"/>
  <c r="F69" i="5"/>
  <c r="E69" i="5"/>
  <c r="D69" i="5"/>
  <c r="C69" i="5"/>
  <c r="L37" i="5"/>
  <c r="L32" i="5"/>
  <c r="L33" i="5"/>
  <c r="Z55" i="5"/>
  <c r="X55" i="5" s="1"/>
  <c r="Z54" i="5"/>
  <c r="X54" i="5" s="1"/>
  <c r="AD56" i="5"/>
  <c r="AC56" i="5"/>
  <c r="AB56" i="5"/>
  <c r="AA56" i="5"/>
  <c r="Y56" i="5"/>
  <c r="W56" i="5"/>
  <c r="W58" i="5" s="1"/>
  <c r="V56" i="5"/>
  <c r="V58" i="5" s="1"/>
  <c r="Q56" i="5"/>
  <c r="P56" i="5"/>
  <c r="O56" i="5"/>
  <c r="N56" i="5"/>
  <c r="M56" i="5"/>
  <c r="J56" i="5"/>
  <c r="I56" i="5"/>
  <c r="H56" i="5"/>
  <c r="G56" i="5"/>
  <c r="F56" i="5"/>
  <c r="E56" i="5"/>
  <c r="D56" i="5"/>
  <c r="C56" i="5"/>
  <c r="B56" i="5"/>
  <c r="Z53" i="5"/>
  <c r="X53" i="5" s="1"/>
  <c r="Z52" i="5"/>
  <c r="X52" i="5" s="1"/>
  <c r="Z51" i="5"/>
  <c r="X51" i="5" s="1"/>
  <c r="Z50" i="5"/>
  <c r="X50" i="5" s="1"/>
  <c r="L42" i="5"/>
  <c r="G44" i="5"/>
  <c r="L41" i="5"/>
  <c r="L40" i="5"/>
  <c r="L39" i="5"/>
  <c r="L36" i="5"/>
  <c r="L35" i="5"/>
  <c r="AB6" i="5"/>
  <c r="AB7" i="5" s="1"/>
  <c r="X20" i="5"/>
  <c r="X21" i="5" s="1"/>
  <c r="AD7" i="5"/>
  <c r="AC7" i="5"/>
  <c r="Z7" i="5"/>
  <c r="Y7" i="5"/>
  <c r="X7" i="5"/>
  <c r="W7" i="5"/>
  <c r="M7" i="5"/>
  <c r="Q21" i="5"/>
  <c r="P21" i="5"/>
  <c r="O21" i="5"/>
  <c r="N21" i="5"/>
  <c r="M21" i="5"/>
  <c r="L20" i="5"/>
  <c r="L21" i="5" s="1"/>
  <c r="K20" i="5"/>
  <c r="K21" i="5" s="1"/>
  <c r="K191" i="5" s="1"/>
  <c r="V21" i="5"/>
  <c r="U21" i="5"/>
  <c r="T21" i="5"/>
  <c r="S21" i="5"/>
  <c r="R21" i="5"/>
  <c r="F21" i="5"/>
  <c r="E21" i="5"/>
  <c r="D21" i="5"/>
  <c r="C21" i="5"/>
  <c r="B21" i="5"/>
  <c r="K6" i="5"/>
  <c r="K7" i="5" s="1"/>
  <c r="K189" i="5" s="1"/>
  <c r="E7" i="5"/>
  <c r="I204" i="6"/>
  <c r="G206" i="6" s="1"/>
  <c r="K203" i="6"/>
  <c r="K202" i="6"/>
  <c r="K201" i="6"/>
  <c r="I192" i="6"/>
  <c r="G194" i="6" s="1"/>
  <c r="K191" i="6"/>
  <c r="K190" i="6"/>
  <c r="K189" i="6"/>
  <c r="I180" i="6"/>
  <c r="G182" i="6" s="1"/>
  <c r="K179" i="6"/>
  <c r="K178" i="6"/>
  <c r="K177" i="6"/>
  <c r="I168" i="6"/>
  <c r="G170" i="6" s="1"/>
  <c r="K167" i="6"/>
  <c r="K166" i="6"/>
  <c r="K165" i="6"/>
  <c r="I153" i="6"/>
  <c r="G155" i="6" s="1"/>
  <c r="K152" i="6"/>
  <c r="K151" i="6"/>
  <c r="K150" i="6"/>
  <c r="I141" i="6"/>
  <c r="G143" i="6" s="1"/>
  <c r="K140" i="6"/>
  <c r="K139" i="6"/>
  <c r="K138" i="6"/>
  <c r="I129" i="6"/>
  <c r="G131" i="6" s="1"/>
  <c r="K128" i="6"/>
  <c r="K127" i="6"/>
  <c r="K126" i="6"/>
  <c r="I117" i="6"/>
  <c r="G119" i="6" s="1"/>
  <c r="K116" i="6"/>
  <c r="K115" i="6"/>
  <c r="K112" i="6"/>
  <c r="I100" i="6"/>
  <c r="G102" i="6" s="1"/>
  <c r="K99" i="6"/>
  <c r="K98" i="6"/>
  <c r="K97" i="6"/>
  <c r="I88" i="6"/>
  <c r="G90" i="6" s="1"/>
  <c r="K87" i="6"/>
  <c r="K86" i="6"/>
  <c r="K85" i="6"/>
  <c r="I76" i="6"/>
  <c r="G78" i="6" s="1"/>
  <c r="K75" i="6"/>
  <c r="K74" i="6"/>
  <c r="K73" i="6"/>
  <c r="I64" i="6"/>
  <c r="G66" i="6" s="1"/>
  <c r="K63" i="6"/>
  <c r="K62" i="6"/>
  <c r="K61" i="6"/>
  <c r="I39" i="6"/>
  <c r="K38" i="6"/>
  <c r="M139" i="5" l="1"/>
  <c r="N139" i="5"/>
  <c r="E139" i="5"/>
  <c r="U139" i="5"/>
  <c r="G41" i="6"/>
  <c r="G7" i="6"/>
  <c r="V139" i="5"/>
  <c r="I139" i="5"/>
  <c r="B139" i="5"/>
  <c r="P139" i="5"/>
  <c r="O139" i="5"/>
  <c r="F139" i="5"/>
  <c r="C139" i="5"/>
  <c r="Q139" i="5"/>
  <c r="D139" i="5"/>
  <c r="H139" i="5"/>
  <c r="J139" i="5"/>
  <c r="AB151" i="5"/>
  <c r="G139" i="5"/>
  <c r="R139" i="5"/>
  <c r="S139" i="5"/>
  <c r="T139" i="5"/>
  <c r="L151" i="5"/>
  <c r="Z139" i="5"/>
  <c r="K151" i="5"/>
  <c r="Z151" i="5"/>
  <c r="AA151" i="5"/>
  <c r="Z160" i="5"/>
  <c r="X157" i="5"/>
  <c r="X160" i="5" s="1"/>
  <c r="L160" i="5"/>
  <c r="Z137" i="5"/>
  <c r="L137" i="5"/>
  <c r="K137" i="5"/>
  <c r="X133" i="5"/>
  <c r="X137" i="5" s="1"/>
  <c r="B58" i="5"/>
  <c r="K127" i="5"/>
  <c r="L127" i="5"/>
  <c r="Z127" i="5"/>
  <c r="X124" i="5"/>
  <c r="X127" i="5" s="1"/>
  <c r="G58" i="5"/>
  <c r="H58" i="5"/>
  <c r="I58" i="5"/>
  <c r="C58" i="5"/>
  <c r="Q58" i="5"/>
  <c r="J58" i="5"/>
  <c r="D58" i="5"/>
  <c r="P58" i="5"/>
  <c r="E58" i="5"/>
  <c r="F58" i="5"/>
  <c r="AA67" i="5"/>
  <c r="AA69" i="5" s="1"/>
  <c r="M58" i="5"/>
  <c r="Z58" i="5" s="1"/>
  <c r="N58" i="5"/>
  <c r="O58" i="5"/>
  <c r="K69" i="5"/>
  <c r="Z69" i="5"/>
  <c r="X69" i="5"/>
  <c r="X56" i="5"/>
  <c r="Z56" i="5"/>
  <c r="K56" i="5"/>
  <c r="AA6" i="5"/>
  <c r="AA7" i="5" s="1"/>
  <c r="G16" i="6"/>
  <c r="G18" i="6"/>
  <c r="G20" i="6"/>
  <c r="G19" i="6"/>
  <c r="K204" i="6"/>
  <c r="E206" i="6" s="1"/>
  <c r="I206" i="6" s="1"/>
  <c r="E207" i="6" s="1"/>
  <c r="I207" i="6" s="1"/>
  <c r="F20" i="6" s="1"/>
  <c r="G15" i="6"/>
  <c r="K192" i="6"/>
  <c r="E194" i="6" s="1"/>
  <c r="I194" i="6" s="1"/>
  <c r="E195" i="6" s="1"/>
  <c r="I195" i="6" s="1"/>
  <c r="F19" i="6" s="1"/>
  <c r="K180" i="6"/>
  <c r="E182" i="6" s="1"/>
  <c r="I182" i="6" s="1"/>
  <c r="E183" i="6" s="1"/>
  <c r="I183" i="6" s="1"/>
  <c r="F18" i="6" s="1"/>
  <c r="G17" i="6"/>
  <c r="G12" i="6"/>
  <c r="G13" i="6"/>
  <c r="G11" i="6"/>
  <c r="G14" i="6"/>
  <c r="K168" i="6"/>
  <c r="E170" i="6" s="1"/>
  <c r="I170" i="6" s="1"/>
  <c r="E171" i="6" s="1"/>
  <c r="I171" i="6" s="1"/>
  <c r="F17" i="6" s="1"/>
  <c r="K88" i="6"/>
  <c r="E90" i="6" s="1"/>
  <c r="I90" i="6" s="1"/>
  <c r="E91" i="6" s="1"/>
  <c r="I91" i="6" s="1"/>
  <c r="F11" i="6" s="1"/>
  <c r="K129" i="6"/>
  <c r="E131" i="6" s="1"/>
  <c r="I131" i="6" s="1"/>
  <c r="E132" i="6" s="1"/>
  <c r="I132" i="6" s="1"/>
  <c r="F14" i="6" s="1"/>
  <c r="K153" i="6"/>
  <c r="E155" i="6" s="1"/>
  <c r="I155" i="6" s="1"/>
  <c r="E156" i="6" s="1"/>
  <c r="I156" i="6" s="1"/>
  <c r="F16" i="6" s="1"/>
  <c r="K100" i="6"/>
  <c r="E102" i="6" s="1"/>
  <c r="I102" i="6" s="1"/>
  <c r="E103" i="6" s="1"/>
  <c r="I103" i="6" s="1"/>
  <c r="F12" i="6" s="1"/>
  <c r="G10" i="6"/>
  <c r="K141" i="6"/>
  <c r="E143" i="6" s="1"/>
  <c r="I143" i="6" s="1"/>
  <c r="E144" i="6" s="1"/>
  <c r="I144" i="6" s="1"/>
  <c r="F15" i="6" s="1"/>
  <c r="J15" i="6" s="1"/>
  <c r="K117" i="6"/>
  <c r="E119" i="6" s="1"/>
  <c r="I119" i="6" s="1"/>
  <c r="E120" i="6" s="1"/>
  <c r="I120" i="6" s="1"/>
  <c r="F13" i="6" s="1"/>
  <c r="G9" i="6"/>
  <c r="G21" i="6" s="1"/>
  <c r="K76" i="6"/>
  <c r="E78" i="6" s="1"/>
  <c r="I78" i="6" s="1"/>
  <c r="E79" i="6" s="1"/>
  <c r="I79" i="6" s="1"/>
  <c r="F10" i="6" s="1"/>
  <c r="K64" i="6"/>
  <c r="E66" i="6" s="1"/>
  <c r="I66" i="6" s="1"/>
  <c r="E67" i="6" s="1"/>
  <c r="I67" i="6" s="1"/>
  <c r="F9" i="6" s="1"/>
  <c r="K39" i="6"/>
  <c r="E41" i="6" s="1"/>
  <c r="I41" i="6" s="1"/>
  <c r="E42" i="6" s="1"/>
  <c r="I42" i="6" s="1"/>
  <c r="F7" i="6" s="1"/>
  <c r="I7" i="6" s="1"/>
  <c r="J16" i="6" l="1"/>
  <c r="J17" i="6"/>
  <c r="J13" i="6"/>
  <c r="J14" i="6"/>
  <c r="J12" i="6"/>
  <c r="J11" i="6"/>
  <c r="J18" i="6"/>
  <c r="I21" i="6"/>
  <c r="J9" i="6"/>
  <c r="K139" i="5"/>
  <c r="L139" i="5"/>
  <c r="L192" i="5" s="1"/>
  <c r="X138" i="5"/>
  <c r="X139" i="5" s="1"/>
  <c r="X57" i="5"/>
  <c r="X58" i="5" s="1"/>
  <c r="K58" i="5"/>
  <c r="J20" i="6"/>
  <c r="J19" i="6"/>
  <c r="J10" i="6"/>
  <c r="H21" i="6" l="1"/>
  <c r="J21" i="6"/>
  <c r="L43" i="5" l="1"/>
  <c r="L38" i="5"/>
  <c r="L34" i="5"/>
  <c r="L31" i="5"/>
  <c r="L30" i="5"/>
  <c r="L29" i="5"/>
  <c r="L28" i="5"/>
  <c r="L27" i="5"/>
  <c r="U117" i="5"/>
  <c r="T117" i="5"/>
  <c r="S117" i="5"/>
  <c r="R117" i="5"/>
  <c r="U108" i="5"/>
  <c r="T108" i="5"/>
  <c r="S108" i="5"/>
  <c r="R108" i="5"/>
  <c r="Z102" i="5"/>
  <c r="X102" i="5" s="1"/>
  <c r="AD84" i="5"/>
  <c r="AC84" i="5"/>
  <c r="AB84" i="5"/>
  <c r="AA84" i="5"/>
  <c r="Y84" i="5"/>
  <c r="W84" i="5"/>
  <c r="Z83" i="5"/>
  <c r="X83" i="5" s="1"/>
  <c r="Z82" i="5"/>
  <c r="X82" i="5" s="1"/>
  <c r="Z81" i="5"/>
  <c r="X81" i="5" s="1"/>
  <c r="Z80" i="5"/>
  <c r="X80" i="5" s="1"/>
  <c r="Z79" i="5"/>
  <c r="X79" i="5" s="1"/>
  <c r="Z78" i="5"/>
  <c r="X78" i="5" s="1"/>
  <c r="Z77" i="5"/>
  <c r="X77" i="5" s="1"/>
  <c r="Z76" i="5"/>
  <c r="X76" i="5" s="1"/>
  <c r="AB117" i="5"/>
  <c r="AA117" i="5"/>
  <c r="V117" i="5"/>
  <c r="Q117" i="5"/>
  <c r="P117" i="5"/>
  <c r="O117" i="5"/>
  <c r="N117" i="5"/>
  <c r="J117" i="5"/>
  <c r="I117" i="5"/>
  <c r="H117" i="5"/>
  <c r="G117" i="5"/>
  <c r="F117" i="5"/>
  <c r="E117" i="5"/>
  <c r="D117" i="5"/>
  <c r="C117" i="5"/>
  <c r="B117" i="5"/>
  <c r="M117" i="5"/>
  <c r="V108" i="5"/>
  <c r="Q108" i="5"/>
  <c r="P108" i="5"/>
  <c r="O108" i="5"/>
  <c r="N108" i="5"/>
  <c r="M108" i="5"/>
  <c r="J108" i="5"/>
  <c r="I108" i="5"/>
  <c r="H108" i="5"/>
  <c r="G108" i="5"/>
  <c r="F108" i="5"/>
  <c r="E108" i="5"/>
  <c r="D108" i="5"/>
  <c r="C108" i="5"/>
  <c r="B108" i="5"/>
  <c r="Z94" i="5"/>
  <c r="Z93" i="5"/>
  <c r="M92" i="5"/>
  <c r="M96" i="5" s="1"/>
  <c r="AA96" i="5"/>
  <c r="AD96" i="5"/>
  <c r="AC96" i="5"/>
  <c r="AB96" i="5"/>
  <c r="W96" i="5"/>
  <c r="V96" i="5"/>
  <c r="Q96" i="5"/>
  <c r="P96" i="5"/>
  <c r="O96" i="5"/>
  <c r="N96" i="5"/>
  <c r="J96" i="5"/>
  <c r="I96" i="5"/>
  <c r="H96" i="5"/>
  <c r="G96" i="5"/>
  <c r="F96" i="5"/>
  <c r="E96" i="5"/>
  <c r="D96" i="5"/>
  <c r="C96" i="5"/>
  <c r="B96" i="5"/>
  <c r="V84" i="5"/>
  <c r="Q84" i="5"/>
  <c r="P84" i="5"/>
  <c r="O84" i="5"/>
  <c r="N84" i="5"/>
  <c r="M84" i="5"/>
  <c r="J84" i="5"/>
  <c r="I84" i="5"/>
  <c r="H84" i="5"/>
  <c r="G84" i="5"/>
  <c r="F84" i="5"/>
  <c r="E84" i="5"/>
  <c r="D84" i="5"/>
  <c r="C84" i="5"/>
  <c r="B84" i="5"/>
  <c r="U44" i="5"/>
  <c r="T44" i="5"/>
  <c r="S44" i="5"/>
  <c r="R44" i="5"/>
  <c r="V44" i="5"/>
  <c r="F44" i="5"/>
  <c r="E44" i="5"/>
  <c r="D44" i="5"/>
  <c r="C44" i="5"/>
  <c r="B44" i="5"/>
  <c r="F7" i="5"/>
  <c r="D7" i="5"/>
  <c r="C7" i="5"/>
  <c r="B7" i="5"/>
  <c r="V7" i="5"/>
  <c r="M110" i="5" l="1"/>
  <c r="Z110" i="5" s="1"/>
  <c r="Q86" i="5"/>
  <c r="B86" i="5"/>
  <c r="V86" i="5"/>
  <c r="I86" i="5"/>
  <c r="O86" i="5"/>
  <c r="N86" i="5"/>
  <c r="P86" i="5"/>
  <c r="L44" i="5"/>
  <c r="D86" i="5"/>
  <c r="O110" i="5"/>
  <c r="J110" i="5"/>
  <c r="H110" i="5"/>
  <c r="G86" i="5"/>
  <c r="E86" i="5"/>
  <c r="F110" i="5"/>
  <c r="G110" i="5"/>
  <c r="I110" i="5"/>
  <c r="F86" i="5"/>
  <c r="L117" i="5"/>
  <c r="P110" i="5"/>
  <c r="N110" i="5"/>
  <c r="B110" i="5"/>
  <c r="C110" i="5"/>
  <c r="Q110" i="5"/>
  <c r="E110" i="5"/>
  <c r="D110" i="5"/>
  <c r="U110" i="5"/>
  <c r="W86" i="5"/>
  <c r="X84" i="5"/>
  <c r="C86" i="5"/>
  <c r="R110" i="5"/>
  <c r="S110" i="5"/>
  <c r="T110" i="5"/>
  <c r="X108" i="5"/>
  <c r="Z108" i="5"/>
  <c r="Z84" i="5"/>
  <c r="V110" i="5"/>
  <c r="J86" i="5"/>
  <c r="K117" i="5"/>
  <c r="M86" i="5"/>
  <c r="Z86" i="5" s="1"/>
  <c r="H86" i="5"/>
  <c r="L108" i="5"/>
  <c r="K108" i="5"/>
  <c r="Z96" i="5"/>
  <c r="Y96" i="5"/>
  <c r="X96" i="5"/>
  <c r="K96" i="5"/>
  <c r="K84" i="5"/>
  <c r="X109" i="5" l="1"/>
  <c r="X110" i="5" s="1"/>
  <c r="X85" i="5"/>
  <c r="X86" i="5" s="1"/>
  <c r="L110" i="5"/>
  <c r="K110" i="5"/>
  <c r="K192" i="5" s="1"/>
  <c r="K86" i="5"/>
  <c r="K193" i="5" s="1"/>
  <c r="L194" i="5" l="1"/>
  <c r="K194" i="5"/>
</calcChain>
</file>

<file path=xl/comments1.xml><?xml version="1.0" encoding="utf-8"?>
<comments xmlns="http://schemas.openxmlformats.org/spreadsheetml/2006/main">
  <authors>
    <author>Windows ユーザー</author>
  </authors>
  <commentList>
    <comment ref="V12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既設仕切弁
フランジ蓋</t>
        </r>
      </text>
    </comment>
    <comment ref="V26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既設管
栓止</t>
        </r>
      </text>
    </comment>
    <comment ref="V107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残置管
管端閉塞</t>
        </r>
      </text>
    </comment>
    <comment ref="V108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残置管
管端閉塞</t>
        </r>
      </text>
    </comment>
  </commentList>
</comments>
</file>

<file path=xl/comments2.xml><?xml version="1.0" encoding="utf-8"?>
<comments xmlns="http://schemas.openxmlformats.org/spreadsheetml/2006/main">
  <authors>
    <author>Windows ユーザー</author>
  </authors>
  <commentList>
    <comment ref="V13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既設仕切弁
フランジ蓋</t>
        </r>
      </text>
    </comment>
    <comment ref="V27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既設管
栓止</t>
        </r>
      </text>
    </comment>
    <comment ref="V157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残置管
管端閉塞</t>
        </r>
      </text>
    </comment>
    <comment ref="V158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残置管
管端閉塞</t>
        </r>
      </text>
    </comment>
  </commentList>
</comments>
</file>

<file path=xl/sharedStrings.xml><?xml version="1.0" encoding="utf-8"?>
<sst xmlns="http://schemas.openxmlformats.org/spreadsheetml/2006/main" count="1619" uniqueCount="175">
  <si>
    <t>新設</t>
    <rPh sb="0" eb="2">
      <t>シンセツ</t>
    </rPh>
    <phoneticPr fontId="1"/>
  </si>
  <si>
    <t>車道</t>
    <rPh sb="0" eb="2">
      <t>シャドウ</t>
    </rPh>
    <phoneticPr fontId="1"/>
  </si>
  <si>
    <t>歩道</t>
    <rPh sb="0" eb="2">
      <t>ホドウ</t>
    </rPh>
    <phoneticPr fontId="1"/>
  </si>
  <si>
    <t>連絡部</t>
    <rPh sb="0" eb="3">
      <t>レンラクブ</t>
    </rPh>
    <phoneticPr fontId="1"/>
  </si>
  <si>
    <t>空気弁</t>
    <rPh sb="0" eb="3">
      <t>クウキベン</t>
    </rPh>
    <phoneticPr fontId="1"/>
  </si>
  <si>
    <t>仕切弁</t>
    <rPh sb="0" eb="3">
      <t>シキリベン</t>
    </rPh>
    <phoneticPr fontId="1"/>
  </si>
  <si>
    <t>撤去</t>
    <rPh sb="0" eb="2">
      <t>テッキョ</t>
    </rPh>
    <phoneticPr fontId="1"/>
  </si>
  <si>
    <t>舗装</t>
    <rPh sb="0" eb="2">
      <t>ホソウ</t>
    </rPh>
    <phoneticPr fontId="1"/>
  </si>
  <si>
    <t>据付</t>
    <rPh sb="0" eb="1">
      <t>ス</t>
    </rPh>
    <rPh sb="1" eb="2">
      <t>ツ</t>
    </rPh>
    <phoneticPr fontId="1"/>
  </si>
  <si>
    <t>継手掘</t>
    <rPh sb="0" eb="2">
      <t>ツギテ</t>
    </rPh>
    <rPh sb="2" eb="3">
      <t>ホ</t>
    </rPh>
    <phoneticPr fontId="1"/>
  </si>
  <si>
    <t>掘1.3以下</t>
    <rPh sb="0" eb="1">
      <t>クツ</t>
    </rPh>
    <rPh sb="4" eb="6">
      <t>イカ</t>
    </rPh>
    <phoneticPr fontId="4"/>
  </si>
  <si>
    <t>掘1.8以下</t>
    <rPh sb="0" eb="1">
      <t>クツ</t>
    </rPh>
    <rPh sb="4" eb="6">
      <t>イカ</t>
    </rPh>
    <phoneticPr fontId="4"/>
  </si>
  <si>
    <t>掘1.8～2.0以下</t>
    <rPh sb="0" eb="1">
      <t>クツ</t>
    </rPh>
    <rPh sb="8" eb="10">
      <t>イカ</t>
    </rPh>
    <phoneticPr fontId="4"/>
  </si>
  <si>
    <t>掘2.0～2.3以下</t>
    <rPh sb="0" eb="1">
      <t>クツ</t>
    </rPh>
    <rPh sb="8" eb="10">
      <t>イカ</t>
    </rPh>
    <phoneticPr fontId="4"/>
  </si>
  <si>
    <t>掘2.8以下</t>
    <rPh sb="0" eb="1">
      <t>クツ</t>
    </rPh>
    <rPh sb="4" eb="6">
      <t>イカ</t>
    </rPh>
    <phoneticPr fontId="4"/>
  </si>
  <si>
    <t>掘3.3以下</t>
    <rPh sb="0" eb="1">
      <t>クツ</t>
    </rPh>
    <rPh sb="4" eb="6">
      <t>イカ</t>
    </rPh>
    <phoneticPr fontId="4"/>
  </si>
  <si>
    <t>掘3.5以下</t>
    <rPh sb="0" eb="1">
      <t>クツ</t>
    </rPh>
    <rPh sb="4" eb="6">
      <t>イカ</t>
    </rPh>
    <phoneticPr fontId="4"/>
  </si>
  <si>
    <t>掘3.5～3.8以下</t>
    <rPh sb="0" eb="1">
      <t>クツ</t>
    </rPh>
    <rPh sb="8" eb="10">
      <t>イカ</t>
    </rPh>
    <phoneticPr fontId="4"/>
  </si>
  <si>
    <t>φ400</t>
    <phoneticPr fontId="1"/>
  </si>
  <si>
    <t>7号工</t>
    <rPh sb="1" eb="3">
      <t>ゴウコウ</t>
    </rPh>
    <phoneticPr fontId="1"/>
  </si>
  <si>
    <t>10-1号工乗</t>
    <rPh sb="4" eb="5">
      <t>ゴウ</t>
    </rPh>
    <rPh sb="5" eb="6">
      <t>コウ</t>
    </rPh>
    <rPh sb="6" eb="7">
      <t>ノリ</t>
    </rPh>
    <phoneticPr fontId="1"/>
  </si>
  <si>
    <t>土砂</t>
    <rPh sb="0" eb="2">
      <t>ドシャ</t>
    </rPh>
    <phoneticPr fontId="1"/>
  </si>
  <si>
    <t>10-1号工乗→</t>
    <rPh sb="4" eb="5">
      <t>ゴウ</t>
    </rPh>
    <rPh sb="5" eb="6">
      <t>コウ</t>
    </rPh>
    <rPh sb="6" eb="7">
      <t>ノリ</t>
    </rPh>
    <phoneticPr fontId="1"/>
  </si>
  <si>
    <t>新設φ400（伏越部含む）</t>
    <rPh sb="0" eb="2">
      <t>シンセツ</t>
    </rPh>
    <rPh sb="7" eb="8">
      <t>フ</t>
    </rPh>
    <rPh sb="8" eb="9">
      <t>コ</t>
    </rPh>
    <rPh sb="9" eb="10">
      <t>ブ</t>
    </rPh>
    <rPh sb="10" eb="11">
      <t>フク</t>
    </rPh>
    <phoneticPr fontId="1"/>
  </si>
  <si>
    <t>新設伏越部φ400</t>
    <rPh sb="0" eb="2">
      <t>シンセツ</t>
    </rPh>
    <rPh sb="2" eb="3">
      <t>フク</t>
    </rPh>
    <rPh sb="3" eb="5">
      <t>コシベ</t>
    </rPh>
    <phoneticPr fontId="1"/>
  </si>
  <si>
    <t>新設φ400（伏越部控除）</t>
    <rPh sb="10" eb="12">
      <t>コウジョ</t>
    </rPh>
    <phoneticPr fontId="1"/>
  </si>
  <si>
    <t>計</t>
    <rPh sb="0" eb="1">
      <t>ケイ</t>
    </rPh>
    <phoneticPr fontId="1"/>
  </si>
  <si>
    <t>土被り</t>
    <rPh sb="0" eb="2">
      <t>ドカブ</t>
    </rPh>
    <phoneticPr fontId="4"/>
  </si>
  <si>
    <t>1/2×（</t>
    <phoneticPr fontId="4"/>
  </si>
  <si>
    <t>+</t>
    <phoneticPr fontId="4"/>
  </si>
  <si>
    <t>)×</t>
    <phoneticPr fontId="4"/>
  </si>
  <si>
    <t>＝</t>
    <phoneticPr fontId="4"/>
  </si>
  <si>
    <t>計</t>
    <rPh sb="0" eb="1">
      <t>ケイ</t>
    </rPh>
    <phoneticPr fontId="4"/>
  </si>
  <si>
    <t>ｈ＝</t>
    <phoneticPr fontId="4"/>
  </si>
  <si>
    <t>／</t>
    <phoneticPr fontId="4"/>
  </si>
  <si>
    <t>m</t>
    <phoneticPr fontId="4"/>
  </si>
  <si>
    <t>よって、掘削深 Ｈ＝</t>
    <rPh sb="4" eb="6">
      <t>クッサク</t>
    </rPh>
    <rPh sb="6" eb="7">
      <t>シン</t>
    </rPh>
    <phoneticPr fontId="4"/>
  </si>
  <si>
    <t>伏越部-1</t>
    <rPh sb="0" eb="1">
      <t>フ</t>
    </rPh>
    <rPh sb="1" eb="2">
      <t>コ</t>
    </rPh>
    <rPh sb="2" eb="3">
      <t>ブ</t>
    </rPh>
    <phoneticPr fontId="1"/>
  </si>
  <si>
    <t>名称</t>
    <rPh sb="0" eb="2">
      <t>メイショウ</t>
    </rPh>
    <phoneticPr fontId="1"/>
  </si>
  <si>
    <t>伏越部-2</t>
    <rPh sb="0" eb="1">
      <t>フ</t>
    </rPh>
    <rPh sb="1" eb="2">
      <t>コ</t>
    </rPh>
    <rPh sb="2" eb="3">
      <t>ブ</t>
    </rPh>
    <phoneticPr fontId="1"/>
  </si>
  <si>
    <t>伏越部-3</t>
    <rPh sb="0" eb="1">
      <t>フ</t>
    </rPh>
    <rPh sb="1" eb="2">
      <t>コ</t>
    </rPh>
    <rPh sb="2" eb="3">
      <t>ブ</t>
    </rPh>
    <phoneticPr fontId="1"/>
  </si>
  <si>
    <t>伏越部-4</t>
    <rPh sb="0" eb="1">
      <t>フ</t>
    </rPh>
    <rPh sb="1" eb="2">
      <t>コ</t>
    </rPh>
    <rPh sb="2" eb="3">
      <t>ブ</t>
    </rPh>
    <phoneticPr fontId="1"/>
  </si>
  <si>
    <t>Ｂ</t>
    <phoneticPr fontId="1"/>
  </si>
  <si>
    <t>Ｈ</t>
    <phoneticPr fontId="1"/>
  </si>
  <si>
    <t>掘削幅：B=0.90m</t>
    <rPh sb="0" eb="2">
      <t>クッサク</t>
    </rPh>
    <rPh sb="2" eb="3">
      <t>ハバ</t>
    </rPh>
    <phoneticPr fontId="4"/>
  </si>
  <si>
    <t>伏越部-5</t>
    <rPh sb="0" eb="1">
      <t>フ</t>
    </rPh>
    <rPh sb="1" eb="2">
      <t>コ</t>
    </rPh>
    <rPh sb="2" eb="3">
      <t>ブ</t>
    </rPh>
    <phoneticPr fontId="1"/>
  </si>
  <si>
    <t>伏越部-6</t>
    <rPh sb="0" eb="1">
      <t>フ</t>
    </rPh>
    <rPh sb="1" eb="2">
      <t>コ</t>
    </rPh>
    <rPh sb="2" eb="3">
      <t>ブ</t>
    </rPh>
    <phoneticPr fontId="1"/>
  </si>
  <si>
    <t>伏越部-7</t>
    <rPh sb="0" eb="1">
      <t>フ</t>
    </rPh>
    <rPh sb="1" eb="2">
      <t>コ</t>
    </rPh>
    <rPh sb="2" eb="3">
      <t>ブ</t>
    </rPh>
    <phoneticPr fontId="1"/>
  </si>
  <si>
    <t>伏越部-8</t>
    <rPh sb="0" eb="1">
      <t>フ</t>
    </rPh>
    <rPh sb="1" eb="2">
      <t>コ</t>
    </rPh>
    <rPh sb="2" eb="3">
      <t>ブ</t>
    </rPh>
    <phoneticPr fontId="1"/>
  </si>
  <si>
    <t>伏越部-9</t>
    <rPh sb="0" eb="1">
      <t>フ</t>
    </rPh>
    <rPh sb="1" eb="2">
      <t>コ</t>
    </rPh>
    <rPh sb="2" eb="3">
      <t>ブ</t>
    </rPh>
    <phoneticPr fontId="1"/>
  </si>
  <si>
    <t>伏越部-10</t>
    <rPh sb="0" eb="1">
      <t>フ</t>
    </rPh>
    <rPh sb="1" eb="2">
      <t>コ</t>
    </rPh>
    <rPh sb="2" eb="3">
      <t>ブ</t>
    </rPh>
    <phoneticPr fontId="1"/>
  </si>
  <si>
    <t>伏越部-11</t>
    <rPh sb="0" eb="1">
      <t>フ</t>
    </rPh>
    <rPh sb="1" eb="2">
      <t>コ</t>
    </rPh>
    <rPh sb="2" eb="3">
      <t>ブ</t>
    </rPh>
    <phoneticPr fontId="1"/>
  </si>
  <si>
    <t>伏越部-12</t>
    <rPh sb="0" eb="1">
      <t>フ</t>
    </rPh>
    <rPh sb="1" eb="2">
      <t>コ</t>
    </rPh>
    <rPh sb="2" eb="3">
      <t>ブ</t>
    </rPh>
    <phoneticPr fontId="1"/>
  </si>
  <si>
    <t>伏越部-13</t>
    <rPh sb="0" eb="1">
      <t>フ</t>
    </rPh>
    <rPh sb="1" eb="2">
      <t>コ</t>
    </rPh>
    <rPh sb="2" eb="3">
      <t>ブ</t>
    </rPh>
    <phoneticPr fontId="1"/>
  </si>
  <si>
    <t>取替撤去φ300</t>
    <rPh sb="0" eb="2">
      <t>トリカエ</t>
    </rPh>
    <rPh sb="2" eb="4">
      <t>テッキョ</t>
    </rPh>
    <phoneticPr fontId="1"/>
  </si>
  <si>
    <t>新設　　　φ300</t>
    <rPh sb="0" eb="2">
      <t>シンセツ</t>
    </rPh>
    <phoneticPr fontId="1"/>
  </si>
  <si>
    <t>合計</t>
    <rPh sb="0" eb="2">
      <t>ゴウケイ</t>
    </rPh>
    <phoneticPr fontId="1"/>
  </si>
  <si>
    <t>掘削幅：B=1.00m</t>
    <rPh sb="0" eb="2">
      <t>クッサク</t>
    </rPh>
    <rPh sb="2" eb="3">
      <t>ハバ</t>
    </rPh>
    <phoneticPr fontId="4"/>
  </si>
  <si>
    <t>L</t>
    <phoneticPr fontId="1"/>
  </si>
  <si>
    <t>土量</t>
    <rPh sb="0" eb="2">
      <t>ドリョウ</t>
    </rPh>
    <phoneticPr fontId="1"/>
  </si>
  <si>
    <t>掘削幅</t>
    <rPh sb="0" eb="3">
      <t>クッサクハバ</t>
    </rPh>
    <phoneticPr fontId="1"/>
  </si>
  <si>
    <t>掘削深</t>
    <rPh sb="0" eb="3">
      <t>クッサクシン</t>
    </rPh>
    <phoneticPr fontId="1"/>
  </si>
  <si>
    <t>延長</t>
    <rPh sb="0" eb="2">
      <t>エンチョウ</t>
    </rPh>
    <phoneticPr fontId="1"/>
  </si>
  <si>
    <t>伏越部土量根拠</t>
    <rPh sb="0" eb="1">
      <t>フ</t>
    </rPh>
    <rPh sb="1" eb="2">
      <t>コ</t>
    </rPh>
    <rPh sb="2" eb="3">
      <t>ブ</t>
    </rPh>
    <rPh sb="3" eb="5">
      <t>ドリョウ</t>
    </rPh>
    <rPh sb="5" eb="7">
      <t>コンキョ</t>
    </rPh>
    <phoneticPr fontId="4"/>
  </si>
  <si>
    <t>※伏越①</t>
    <rPh sb="1" eb="2">
      <t>フ</t>
    </rPh>
    <rPh sb="2" eb="3">
      <t>コ</t>
    </rPh>
    <phoneticPr fontId="1"/>
  </si>
  <si>
    <t>※伏越②</t>
    <rPh sb="1" eb="2">
      <t>フ</t>
    </rPh>
    <rPh sb="2" eb="3">
      <t>コ</t>
    </rPh>
    <phoneticPr fontId="1"/>
  </si>
  <si>
    <t>矢板部全延長</t>
    <rPh sb="0" eb="3">
      <t>ヤイタブ</t>
    </rPh>
    <rPh sb="3" eb="6">
      <t>ゼンエンチョウ</t>
    </rPh>
    <phoneticPr fontId="1"/>
  </si>
  <si>
    <t>(継手部控除）</t>
    <rPh sb="1" eb="4">
      <t>ツギテブ</t>
    </rPh>
    <rPh sb="4" eb="6">
      <t>コウジョ</t>
    </rPh>
    <phoneticPr fontId="1"/>
  </si>
  <si>
    <t>新設SP80A</t>
    <rPh sb="0" eb="2">
      <t>シンセツ</t>
    </rPh>
    <phoneticPr fontId="1"/>
  </si>
  <si>
    <t>3号工</t>
    <rPh sb="1" eb="2">
      <t>ゴウ</t>
    </rPh>
    <rPh sb="2" eb="3">
      <t>コウ</t>
    </rPh>
    <phoneticPr fontId="1"/>
  </si>
  <si>
    <t>10号工</t>
    <rPh sb="2" eb="3">
      <t>ゴウ</t>
    </rPh>
    <rPh sb="3" eb="4">
      <t>コウ</t>
    </rPh>
    <phoneticPr fontId="1"/>
  </si>
  <si>
    <r>
      <t>矢 板</t>
    </r>
    <r>
      <rPr>
        <sz val="11"/>
        <color theme="1"/>
        <rFont val="游ゴシック"/>
        <family val="3"/>
        <charset val="128"/>
        <scheme val="minor"/>
      </rPr>
      <t xml:space="preserve"> 長 (m)</t>
    </r>
    <rPh sb="0" eb="1">
      <t>ヤ</t>
    </rPh>
    <rPh sb="2" eb="3">
      <t>イタ</t>
    </rPh>
    <rPh sb="4" eb="5">
      <t>チョウ</t>
    </rPh>
    <phoneticPr fontId="4"/>
  </si>
  <si>
    <t>伏1</t>
    <rPh sb="0" eb="1">
      <t>フ</t>
    </rPh>
    <phoneticPr fontId="1"/>
  </si>
  <si>
    <t>撤去SP300A</t>
    <rPh sb="0" eb="2">
      <t>テッキョ</t>
    </rPh>
    <phoneticPr fontId="1"/>
  </si>
  <si>
    <t>新設SP400A（伏越部含む）</t>
    <rPh sb="0" eb="2">
      <t>シンセツ</t>
    </rPh>
    <rPh sb="9" eb="10">
      <t>フ</t>
    </rPh>
    <rPh sb="10" eb="11">
      <t>コ</t>
    </rPh>
    <rPh sb="11" eb="12">
      <t>ブ</t>
    </rPh>
    <rPh sb="12" eb="13">
      <t>フク</t>
    </rPh>
    <phoneticPr fontId="1"/>
  </si>
  <si>
    <t>新設伏越部SP400A</t>
    <rPh sb="0" eb="2">
      <t>シンセツ</t>
    </rPh>
    <phoneticPr fontId="1"/>
  </si>
  <si>
    <t>伏2</t>
    <rPh sb="0" eb="1">
      <t>フ</t>
    </rPh>
    <phoneticPr fontId="1"/>
  </si>
  <si>
    <t>伏3</t>
    <rPh sb="0" eb="1">
      <t>フ</t>
    </rPh>
    <phoneticPr fontId="1"/>
  </si>
  <si>
    <t>新設SP400A（伏越部控除）</t>
    <rPh sb="12" eb="14">
      <t>コウジョ</t>
    </rPh>
    <phoneticPr fontId="1"/>
  </si>
  <si>
    <t>(0.80*71箇所）</t>
    <rPh sb="8" eb="10">
      <t>カショ</t>
    </rPh>
    <phoneticPr fontId="1"/>
  </si>
  <si>
    <t>伏4</t>
    <rPh sb="0" eb="1">
      <t>フ</t>
    </rPh>
    <phoneticPr fontId="1"/>
  </si>
  <si>
    <t>伏5</t>
    <rPh sb="0" eb="1">
      <t>フ</t>
    </rPh>
    <phoneticPr fontId="1"/>
  </si>
  <si>
    <t>伏6</t>
    <rPh sb="0" eb="1">
      <t>フ</t>
    </rPh>
    <phoneticPr fontId="1"/>
  </si>
  <si>
    <t>伏13</t>
    <rPh sb="0" eb="1">
      <t>フ</t>
    </rPh>
    <phoneticPr fontId="1"/>
  </si>
  <si>
    <t>(0.80*25箇所）</t>
    <rPh sb="8" eb="10">
      <t>カショ</t>
    </rPh>
    <phoneticPr fontId="1"/>
  </si>
  <si>
    <t>取替SP300A→SP400A（伏越部含む）</t>
    <rPh sb="0" eb="2">
      <t>トリカエ</t>
    </rPh>
    <rPh sb="16" eb="17">
      <t>フ</t>
    </rPh>
    <rPh sb="17" eb="18">
      <t>コ</t>
    </rPh>
    <rPh sb="18" eb="19">
      <t>ブ</t>
    </rPh>
    <rPh sb="19" eb="20">
      <t>フク</t>
    </rPh>
    <phoneticPr fontId="1"/>
  </si>
  <si>
    <t>取替伏越部SP300A→SP400A</t>
    <rPh sb="0" eb="2">
      <t>トリカエ</t>
    </rPh>
    <rPh sb="2" eb="3">
      <t>フク</t>
    </rPh>
    <rPh sb="3" eb="5">
      <t>コシベ</t>
    </rPh>
    <phoneticPr fontId="1"/>
  </si>
  <si>
    <t>(0.80*59箇所）</t>
    <rPh sb="8" eb="10">
      <t>カショ</t>
    </rPh>
    <phoneticPr fontId="1"/>
  </si>
  <si>
    <t>取替SP300A→φ400</t>
    <rPh sb="0" eb="2">
      <t>トリカエ</t>
    </rPh>
    <phoneticPr fontId="1"/>
  </si>
  <si>
    <t>撤去SP400A</t>
    <rPh sb="0" eb="2">
      <t>テッキョ</t>
    </rPh>
    <phoneticPr fontId="1"/>
  </si>
  <si>
    <t>撤去SP250A</t>
    <rPh sb="0" eb="2">
      <t>テッキョ</t>
    </rPh>
    <phoneticPr fontId="1"/>
  </si>
  <si>
    <t>取替SP400A→φ400（伏越部含む）</t>
    <rPh sb="0" eb="2">
      <t>トリカエ</t>
    </rPh>
    <phoneticPr fontId="1"/>
  </si>
  <si>
    <t>取替伏越部SP400A→φ400</t>
    <rPh sb="0" eb="2">
      <t>トリカエ</t>
    </rPh>
    <rPh sb="2" eb="3">
      <t>フ</t>
    </rPh>
    <rPh sb="3" eb="4">
      <t>コ</t>
    </rPh>
    <rPh sb="4" eb="5">
      <t>ブ</t>
    </rPh>
    <phoneticPr fontId="1"/>
  </si>
  <si>
    <t>伏7</t>
    <rPh sb="0" eb="1">
      <t>フ</t>
    </rPh>
    <phoneticPr fontId="1"/>
  </si>
  <si>
    <t>伏8</t>
    <rPh sb="0" eb="1">
      <t>フ</t>
    </rPh>
    <phoneticPr fontId="1"/>
  </si>
  <si>
    <t>伏9</t>
    <rPh sb="0" eb="1">
      <t>フ</t>
    </rPh>
    <phoneticPr fontId="1"/>
  </si>
  <si>
    <t>伏10</t>
    <rPh sb="0" eb="1">
      <t>フ</t>
    </rPh>
    <phoneticPr fontId="1"/>
  </si>
  <si>
    <t>伏11</t>
    <rPh sb="0" eb="1">
      <t>フ</t>
    </rPh>
    <phoneticPr fontId="1"/>
  </si>
  <si>
    <t>伏12</t>
    <rPh sb="0" eb="1">
      <t>フ</t>
    </rPh>
    <phoneticPr fontId="1"/>
  </si>
  <si>
    <t>(0.80*19箇所）</t>
    <rPh sb="8" eb="10">
      <t>カショ</t>
    </rPh>
    <phoneticPr fontId="1"/>
  </si>
  <si>
    <t>SP80A</t>
    <phoneticPr fontId="1"/>
  </si>
  <si>
    <t>SP250A</t>
    <phoneticPr fontId="1"/>
  </si>
  <si>
    <t>SP300A</t>
    <phoneticPr fontId="1"/>
  </si>
  <si>
    <t>SP400A</t>
    <phoneticPr fontId="1"/>
  </si>
  <si>
    <t>取替SP300A→SP400A（伏越部控除）</t>
    <rPh sb="0" eb="2">
      <t>トリカエ</t>
    </rPh>
    <rPh sb="19" eb="21">
      <t>コウジョ</t>
    </rPh>
    <phoneticPr fontId="1"/>
  </si>
  <si>
    <t>電送管FEPφ80×2布設延長</t>
    <rPh sb="0" eb="3">
      <t>デンソウカン</t>
    </rPh>
    <rPh sb="11" eb="13">
      <t>フセツ</t>
    </rPh>
    <rPh sb="13" eb="15">
      <t>エンチョウ</t>
    </rPh>
    <phoneticPr fontId="1"/>
  </si>
  <si>
    <t>m</t>
    <phoneticPr fontId="1"/>
  </si>
  <si>
    <t>　単独撤去</t>
    <rPh sb="1" eb="5">
      <t>タンドクテッキョ</t>
    </rPh>
    <phoneticPr fontId="1"/>
  </si>
  <si>
    <t>L=</t>
    <phoneticPr fontId="1"/>
  </si>
  <si>
    <t>　φ400掘削断面内</t>
    <rPh sb="5" eb="10">
      <t>クッサクダンメンナイ</t>
    </rPh>
    <phoneticPr fontId="1"/>
  </si>
  <si>
    <t>L=(4.70)×2=</t>
    <phoneticPr fontId="1"/>
  </si>
  <si>
    <t>撤去電送管VPφ82×2</t>
    <rPh sb="0" eb="2">
      <t>テッキョ</t>
    </rPh>
    <rPh sb="2" eb="5">
      <t>デンソウカン</t>
    </rPh>
    <phoneticPr fontId="1"/>
  </si>
  <si>
    <t>B=0.80m</t>
    <phoneticPr fontId="1"/>
  </si>
  <si>
    <t>撤去電送管VPφ82×4</t>
    <rPh sb="0" eb="2">
      <t>テッキョ</t>
    </rPh>
    <rPh sb="2" eb="5">
      <t>デンソウカン</t>
    </rPh>
    <phoneticPr fontId="1"/>
  </si>
  <si>
    <t>ピット</t>
    <phoneticPr fontId="1"/>
  </si>
  <si>
    <t>　</t>
    <phoneticPr fontId="1"/>
  </si>
  <si>
    <t>　φ300取替掘削断面内</t>
    <rPh sb="5" eb="7">
      <t>トリカエ</t>
    </rPh>
    <rPh sb="7" eb="12">
      <t>クッサクダンメンナイ</t>
    </rPh>
    <phoneticPr fontId="1"/>
  </si>
  <si>
    <t>　取替φ400掘削断面内</t>
    <rPh sb="1" eb="3">
      <t>トリカエ</t>
    </rPh>
    <rPh sb="7" eb="12">
      <t>クッサクダンメンナイ</t>
    </rPh>
    <phoneticPr fontId="1"/>
  </si>
  <si>
    <t>　撤去φ300掘削断面内</t>
    <rPh sb="1" eb="3">
      <t>テッキョ</t>
    </rPh>
    <rPh sb="7" eb="12">
      <t>クッサクダンメンナイ</t>
    </rPh>
    <phoneticPr fontId="1"/>
  </si>
  <si>
    <t>L=(21.90+183.90)×2=</t>
    <phoneticPr fontId="1"/>
  </si>
  <si>
    <t>撤去延長合計</t>
    <rPh sb="0" eb="4">
      <t>テッキョエンチョウ</t>
    </rPh>
    <rPh sb="4" eb="6">
      <t>ゴウケイ</t>
    </rPh>
    <phoneticPr fontId="1"/>
  </si>
  <si>
    <t>電送管VPφ82×2撤去延長</t>
    <rPh sb="0" eb="3">
      <t>デンソウカン</t>
    </rPh>
    <rPh sb="10" eb="12">
      <t>テッキョ</t>
    </rPh>
    <rPh sb="12" eb="14">
      <t>エンチョウ</t>
    </rPh>
    <phoneticPr fontId="1"/>
  </si>
  <si>
    <t>電送管VPφ82×4撤去延長</t>
    <rPh sb="0" eb="3">
      <t>デンソウカン</t>
    </rPh>
    <rPh sb="10" eb="12">
      <t>テッキョ</t>
    </rPh>
    <rPh sb="12" eb="14">
      <t>エンチョウ</t>
    </rPh>
    <phoneticPr fontId="1"/>
  </si>
  <si>
    <t>布設延長合計</t>
    <rPh sb="0" eb="2">
      <t>フセツ</t>
    </rPh>
    <rPh sb="2" eb="4">
      <t>エンチョウ</t>
    </rPh>
    <rPh sb="4" eb="6">
      <t>ゴウケイ</t>
    </rPh>
    <phoneticPr fontId="1"/>
  </si>
  <si>
    <t>ピット布設工</t>
    <rPh sb="3" eb="6">
      <t>フセツコウ</t>
    </rPh>
    <phoneticPr fontId="1"/>
  </si>
  <si>
    <t>N=17箇所</t>
    <rPh sb="4" eb="6">
      <t>カショ</t>
    </rPh>
    <phoneticPr fontId="1"/>
  </si>
  <si>
    <t>N=4箇所</t>
    <rPh sb="3" eb="5">
      <t>カショ</t>
    </rPh>
    <phoneticPr fontId="1"/>
  </si>
  <si>
    <t>合計</t>
    <rPh sb="0" eb="1">
      <t>ゴウ</t>
    </rPh>
    <rPh sb="1" eb="2">
      <t>ケイ</t>
    </rPh>
    <phoneticPr fontId="1"/>
  </si>
  <si>
    <t>N=21箇所</t>
    <rPh sb="4" eb="6">
      <t>カショ</t>
    </rPh>
    <phoneticPr fontId="1"/>
  </si>
  <si>
    <t>SP300A→SP300A 取替</t>
    <rPh sb="14" eb="16">
      <t>トリカエ</t>
    </rPh>
    <phoneticPr fontId="1"/>
  </si>
  <si>
    <t>SP300A→SP400A 取替</t>
    <rPh sb="14" eb="16">
      <t>トリカエ</t>
    </rPh>
    <phoneticPr fontId="1"/>
  </si>
  <si>
    <t>SP80A 新設</t>
    <rPh sb="6" eb="8">
      <t>シンセツ</t>
    </rPh>
    <phoneticPr fontId="1"/>
  </si>
  <si>
    <t>SP80A</t>
    <phoneticPr fontId="1"/>
  </si>
  <si>
    <t>SP300A</t>
    <phoneticPr fontId="1"/>
  </si>
  <si>
    <t>SP400A 新設</t>
    <rPh sb="7" eb="9">
      <t>シンセツ</t>
    </rPh>
    <phoneticPr fontId="1"/>
  </si>
  <si>
    <t>φ400 新設</t>
    <rPh sb="5" eb="7">
      <t>シンセツ</t>
    </rPh>
    <phoneticPr fontId="1"/>
  </si>
  <si>
    <t>SP400A→φ400取替</t>
    <rPh sb="11" eb="13">
      <t>トリカエ</t>
    </rPh>
    <phoneticPr fontId="1"/>
  </si>
  <si>
    <t>※伏越③</t>
    <rPh sb="1" eb="2">
      <t>フ</t>
    </rPh>
    <rPh sb="2" eb="3">
      <t>コ</t>
    </rPh>
    <phoneticPr fontId="1"/>
  </si>
  <si>
    <t>SP400A</t>
    <phoneticPr fontId="1"/>
  </si>
  <si>
    <t>ピット撤去工</t>
    <rPh sb="3" eb="6">
      <t>テッキョコウ</t>
    </rPh>
    <phoneticPr fontId="1"/>
  </si>
  <si>
    <t>取替SP400A→φ400（伏越部控除）</t>
    <rPh sb="17" eb="19">
      <t>コウジョ</t>
    </rPh>
    <phoneticPr fontId="1"/>
  </si>
  <si>
    <t>2-2号工</t>
    <rPh sb="3" eb="5">
      <t>ゴウコウ</t>
    </rPh>
    <phoneticPr fontId="1"/>
  </si>
  <si>
    <t>中詰め工</t>
    <rPh sb="0" eb="2">
      <t>ナカツ</t>
    </rPh>
    <rPh sb="3" eb="4">
      <t>コウ</t>
    </rPh>
    <phoneticPr fontId="1"/>
  </si>
  <si>
    <t>SP400A-L=6.0m</t>
    <phoneticPr fontId="1"/>
  </si>
  <si>
    <t>V=π/4×0.40×0.40×6.0=</t>
    <phoneticPr fontId="1"/>
  </si>
  <si>
    <t>m3</t>
    <phoneticPr fontId="1"/>
  </si>
  <si>
    <t>取替部SP300A→SP300A</t>
    <rPh sb="0" eb="2">
      <t>トリカエ</t>
    </rPh>
    <rPh sb="2" eb="3">
      <t>ブ</t>
    </rPh>
    <phoneticPr fontId="1"/>
  </si>
  <si>
    <t>10-1号工</t>
    <rPh sb="4" eb="6">
      <t>ゴウコウ</t>
    </rPh>
    <phoneticPr fontId="1"/>
  </si>
  <si>
    <t>10号工→</t>
    <rPh sb="2" eb="5">
      <t>ゴウコウヤジルシ</t>
    </rPh>
    <phoneticPr fontId="1"/>
  </si>
  <si>
    <t>L=(108.50+3.20+89.30+9.10+29.00+28.90+6.70+27.6+145.30+2.80+81.00+25.70+5.60+65.20+87.60+17.20+342.00)×2=</t>
    <phoneticPr fontId="1"/>
  </si>
  <si>
    <t>SP300A→SP400A</t>
    <phoneticPr fontId="1"/>
  </si>
  <si>
    <t>SP300A→φ400</t>
    <phoneticPr fontId="1"/>
  </si>
  <si>
    <t>SP400A→φ400</t>
    <phoneticPr fontId="1"/>
  </si>
  <si>
    <t>SP400A 新設</t>
    <rPh sb="7" eb="9">
      <t>シンセツ</t>
    </rPh>
    <phoneticPr fontId="1"/>
  </si>
  <si>
    <t>108.5+89.3+29.0+6.7</t>
    <phoneticPr fontId="1"/>
  </si>
  <si>
    <t>81.0+5.6</t>
    <phoneticPr fontId="1"/>
  </si>
  <si>
    <t>87.6+17.2+342.0</t>
    <phoneticPr fontId="1"/>
  </si>
  <si>
    <t>3.2+9.1+28.9+27.6+145.3</t>
    <phoneticPr fontId="1"/>
  </si>
  <si>
    <t>φ400 新設</t>
    <rPh sb="5" eb="7">
      <t>シンセツ</t>
    </rPh>
    <phoneticPr fontId="1"/>
  </si>
  <si>
    <t>2.8+25.7+65.2</t>
    <phoneticPr fontId="1"/>
  </si>
  <si>
    <t>×2</t>
    <phoneticPr fontId="1"/>
  </si>
  <si>
    <t>　φ400掘削断面内 内訳</t>
    <rPh sb="5" eb="10">
      <t>クッサクダンメンナイ</t>
    </rPh>
    <rPh sb="11" eb="13">
      <t>ウチワケ</t>
    </rPh>
    <phoneticPr fontId="1"/>
  </si>
  <si>
    <t>SP300A→SP300A</t>
    <phoneticPr fontId="1"/>
  </si>
  <si>
    <t>L=(5.60+87.6)×2=</t>
    <phoneticPr fontId="1"/>
  </si>
  <si>
    <t>OK</t>
    <phoneticPr fontId="1"/>
  </si>
  <si>
    <t>材料と合致！</t>
    <rPh sb="0" eb="2">
      <t>ザイリョウ</t>
    </rPh>
    <rPh sb="3" eb="5">
      <t>ガッチ</t>
    </rPh>
    <phoneticPr fontId="1"/>
  </si>
  <si>
    <t>L=(3.60)×2=</t>
    <phoneticPr fontId="1"/>
  </si>
  <si>
    <t>　撤去φ400掘削断面内</t>
    <rPh sb="1" eb="3">
      <t>テッキョ</t>
    </rPh>
    <rPh sb="7" eb="12">
      <t>クッサクダンメンナイ</t>
    </rPh>
    <phoneticPr fontId="1"/>
  </si>
  <si>
    <t>新設φ200（ドレン部）</t>
    <rPh sb="0" eb="2">
      <t>シンセツ</t>
    </rPh>
    <rPh sb="10" eb="11">
      <t>ブ</t>
    </rPh>
    <phoneticPr fontId="1"/>
  </si>
  <si>
    <t>新設φ300（ドレン部）</t>
    <rPh sb="0" eb="2">
      <t>シンセツ</t>
    </rPh>
    <rPh sb="10" eb="11">
      <t>ブ</t>
    </rPh>
    <phoneticPr fontId="1"/>
  </si>
  <si>
    <t>10号工→</t>
    <rPh sb="2" eb="3">
      <t>ゴウ</t>
    </rPh>
    <rPh sb="3" eb="4">
      <t>コウ</t>
    </rPh>
    <phoneticPr fontId="1"/>
  </si>
  <si>
    <t>10-1号工</t>
    <rPh sb="4" eb="5">
      <t>ゴウ</t>
    </rPh>
    <rPh sb="5" eb="6">
      <t>コウ</t>
    </rPh>
    <phoneticPr fontId="1"/>
  </si>
  <si>
    <t>中間部</t>
    <rPh sb="0" eb="2">
      <t>チュウカン</t>
    </rPh>
    <rPh sb="2" eb="3">
      <t>ブ</t>
    </rPh>
    <phoneticPr fontId="1"/>
  </si>
  <si>
    <t>進入路部</t>
    <rPh sb="0" eb="3">
      <t>シンニュウロ</t>
    </rPh>
    <rPh sb="3" eb="4">
      <t>ブ</t>
    </rPh>
    <phoneticPr fontId="1"/>
  </si>
  <si>
    <t>矢 板 長 (m)</t>
    <rPh sb="0" eb="1">
      <t>ヤ</t>
    </rPh>
    <rPh sb="2" eb="3">
      <t>イタ</t>
    </rPh>
    <rPh sb="4" eb="5">
      <t>チョウ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</si>
</sst>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_ "/>
    <numFmt numFmtId="177" formatCode="0_ "/>
    <numFmt numFmtId="178" formatCode="0.00_ "/>
    <numFmt numFmtId="179" formatCode="0.00_);[Red]\(0.00\)"/>
  </numFmts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4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9"/>
      <color indexed="10"/>
      <name val="MS P 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rgb="FFFF00FF"/>
      <name val="游ゴシック"/>
      <family val="3"/>
      <charset val="128"/>
      <scheme val="minor"/>
    </font>
    <font>
      <sz val="8"/>
      <color rgb="FFFF00FF"/>
      <name val="游ゴシック"/>
      <family val="3"/>
      <charset val="128"/>
      <scheme val="minor"/>
    </font>
    <font>
      <sz val="9"/>
      <color rgb="FFFF00FF"/>
      <name val="游ゴシック"/>
      <family val="3"/>
      <charset val="128"/>
      <scheme val="minor"/>
    </font>
    <font>
      <sz val="10"/>
      <color rgb="FFFF00FF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89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2" fillId="0" borderId="4" xfId="0" applyNumberFormat="1" applyFont="1" applyBorder="1" applyAlignment="1">
      <alignment horizontal="center" vertical="center"/>
    </xf>
    <xf numFmtId="177" fontId="0" fillId="0" borderId="0" xfId="0" applyNumberFormat="1">
      <alignment vertical="center"/>
    </xf>
    <xf numFmtId="179" fontId="5" fillId="0" borderId="1" xfId="0" applyNumberFormat="1" applyFont="1" applyBorder="1" applyAlignment="1">
      <alignment horizontal="center" shrinkToFit="1"/>
    </xf>
    <xf numFmtId="179" fontId="5" fillId="0" borderId="7" xfId="0" applyNumberFormat="1" applyFont="1" applyBorder="1" applyAlignment="1">
      <alignment horizontal="center" shrinkToFit="1"/>
    </xf>
    <xf numFmtId="176" fontId="2" fillId="0" borderId="3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9" fontId="5" fillId="0" borderId="0" xfId="0" applyNumberFormat="1" applyFont="1" applyAlignment="1">
      <alignment horizontal="center" shrinkToFit="1"/>
    </xf>
    <xf numFmtId="177" fontId="0" fillId="0" borderId="0" xfId="0" applyNumberFormat="1" applyAlignment="1">
      <alignment horizontal="right" vertical="center"/>
    </xf>
    <xf numFmtId="0" fontId="7" fillId="0" borderId="0" xfId="1" applyFont="1">
      <alignment vertical="center"/>
    </xf>
    <xf numFmtId="0" fontId="3" fillId="0" borderId="0" xfId="1">
      <alignment vertical="center"/>
    </xf>
    <xf numFmtId="178" fontId="3" fillId="0" borderId="0" xfId="1" applyNumberFormat="1">
      <alignment vertical="center"/>
    </xf>
    <xf numFmtId="0" fontId="3" fillId="0" borderId="0" xfId="1" applyAlignment="1">
      <alignment horizontal="center" vertical="center"/>
    </xf>
    <xf numFmtId="0" fontId="3" fillId="0" borderId="7" xfId="1" applyBorder="1">
      <alignment vertical="center"/>
    </xf>
    <xf numFmtId="178" fontId="3" fillId="0" borderId="7" xfId="1" applyNumberFormat="1" applyBorder="1">
      <alignment vertical="center"/>
    </xf>
    <xf numFmtId="0" fontId="3" fillId="0" borderId="7" xfId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178" fontId="3" fillId="0" borderId="1" xfId="1" applyNumberFormat="1" applyBorder="1">
      <alignment vertical="center"/>
    </xf>
    <xf numFmtId="177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0" borderId="0" xfId="0" applyFont="1" applyAlignment="1"/>
    <xf numFmtId="0" fontId="5" fillId="0" borderId="0" xfId="0" applyFont="1">
      <alignment vertical="center"/>
    </xf>
    <xf numFmtId="176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3" xfId="0" applyNumberFormat="1" applyFont="1" applyBorder="1">
      <alignment vertical="center"/>
    </xf>
    <xf numFmtId="176" fontId="5" fillId="0" borderId="3" xfId="0" applyNumberFormat="1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 shrinkToFit="1"/>
    </xf>
    <xf numFmtId="178" fontId="5" fillId="0" borderId="1" xfId="0" applyNumberFormat="1" applyFont="1" applyBorder="1" applyAlignment="1">
      <alignment horizontal="center" vertical="center" shrinkToFit="1"/>
    </xf>
    <xf numFmtId="176" fontId="5" fillId="0" borderId="4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177" fontId="5" fillId="0" borderId="4" xfId="0" applyNumberFormat="1" applyFont="1" applyBorder="1">
      <alignment vertical="center"/>
    </xf>
    <xf numFmtId="178" fontId="9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176" fontId="8" fillId="0" borderId="1" xfId="0" applyNumberFormat="1" applyFont="1" applyBorder="1">
      <alignment vertical="center"/>
    </xf>
    <xf numFmtId="177" fontId="5" fillId="0" borderId="1" xfId="0" applyNumberFormat="1" applyFont="1" applyBorder="1">
      <alignment vertical="center"/>
    </xf>
    <xf numFmtId="177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/>
    <xf numFmtId="0" fontId="5" fillId="0" borderId="0" xfId="0" applyFont="1" applyAlignment="1">
      <alignment horizontal="right" vertical="center"/>
    </xf>
    <xf numFmtId="176" fontId="5" fillId="0" borderId="3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0" xfId="0" applyNumberFormat="1" applyFont="1" applyAlignment="1">
      <alignment horizontal="right" vertical="center"/>
    </xf>
    <xf numFmtId="176" fontId="11" fillId="0" borderId="0" xfId="0" applyNumberFormat="1" applyFont="1">
      <alignment vertical="center"/>
    </xf>
    <xf numFmtId="177" fontId="12" fillId="0" borderId="0" xfId="0" applyNumberFormat="1" applyFont="1">
      <alignment vertical="center"/>
    </xf>
    <xf numFmtId="176" fontId="12" fillId="0" borderId="0" xfId="0" applyNumberFormat="1" applyFont="1">
      <alignment vertical="center"/>
    </xf>
    <xf numFmtId="0" fontId="12" fillId="0" borderId="0" xfId="0" applyFont="1" applyAlignment="1"/>
    <xf numFmtId="176" fontId="12" fillId="0" borderId="0" xfId="0" applyNumberFormat="1" applyFont="1" applyAlignment="1"/>
    <xf numFmtId="0" fontId="12" fillId="0" borderId="0" xfId="0" applyFont="1">
      <alignment vertical="center"/>
    </xf>
    <xf numFmtId="176" fontId="12" fillId="0" borderId="1" xfId="0" applyNumberFormat="1" applyFont="1" applyBorder="1" applyAlignment="1">
      <alignment horizontal="center" vertical="center"/>
    </xf>
    <xf numFmtId="177" fontId="12" fillId="0" borderId="3" xfId="0" applyNumberFormat="1" applyFont="1" applyBorder="1">
      <alignment vertical="center"/>
    </xf>
    <xf numFmtId="176" fontId="12" fillId="0" borderId="3" xfId="0" applyNumberFormat="1" applyFont="1" applyBorder="1" applyAlignment="1">
      <alignment horizontal="center" vertical="center"/>
    </xf>
    <xf numFmtId="176" fontId="13" fillId="0" borderId="3" xfId="0" applyNumberFormat="1" applyFont="1" applyBorder="1" applyAlignment="1">
      <alignment horizontal="center" vertical="center"/>
    </xf>
    <xf numFmtId="177" fontId="12" fillId="0" borderId="3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 shrinkToFit="1"/>
    </xf>
    <xf numFmtId="176" fontId="12" fillId="0" borderId="4" xfId="0" applyNumberFormat="1" applyFont="1" applyBorder="1" applyAlignment="1">
      <alignment horizontal="center" vertical="center"/>
    </xf>
    <xf numFmtId="176" fontId="14" fillId="0" borderId="4" xfId="0" applyNumberFormat="1" applyFont="1" applyBorder="1" applyAlignment="1">
      <alignment horizontal="center" vertical="center"/>
    </xf>
    <xf numFmtId="177" fontId="12" fillId="0" borderId="4" xfId="0" applyNumberFormat="1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177" fontId="12" fillId="0" borderId="4" xfId="0" applyNumberFormat="1" applyFont="1" applyBorder="1">
      <alignment vertical="center"/>
    </xf>
    <xf numFmtId="178" fontId="15" fillId="0" borderId="1" xfId="0" applyNumberFormat="1" applyFont="1" applyBorder="1" applyAlignment="1">
      <alignment horizontal="center" vertical="center" shrinkToFit="1"/>
    </xf>
    <xf numFmtId="176" fontId="12" fillId="0" borderId="1" xfId="0" applyNumberFormat="1" applyFont="1" applyBorder="1">
      <alignment vertical="center"/>
    </xf>
    <xf numFmtId="177" fontId="12" fillId="0" borderId="1" xfId="0" applyNumberFormat="1" applyFont="1" applyBorder="1">
      <alignment vertical="center"/>
    </xf>
    <xf numFmtId="179" fontId="12" fillId="0" borderId="1" xfId="0" applyNumberFormat="1" applyFont="1" applyBorder="1" applyAlignment="1">
      <alignment horizontal="center" shrinkToFit="1"/>
    </xf>
    <xf numFmtId="177" fontId="12" fillId="0" borderId="0" xfId="0" applyNumberFormat="1" applyFont="1" applyAlignment="1">
      <alignment vertical="center" shrinkToFit="1"/>
    </xf>
    <xf numFmtId="176" fontId="5" fillId="0" borderId="1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176" fontId="12" fillId="0" borderId="1" xfId="0" applyNumberFormat="1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0" fontId="3" fillId="0" borderId="1" xfId="1" applyBorder="1" applyAlignment="1">
      <alignment horizontal="center" vertical="center"/>
    </xf>
    <xf numFmtId="0" fontId="3" fillId="0" borderId="0" xfId="1" applyAlignment="1">
      <alignment horizontal="right" vertical="center"/>
    </xf>
    <xf numFmtId="178" fontId="3" fillId="0" borderId="5" xfId="1" applyNumberFormat="1" applyBorder="1" applyAlignment="1">
      <alignment horizontal="center" vertical="center"/>
    </xf>
    <xf numFmtId="178" fontId="3" fillId="0" borderId="8" xfId="1" applyNumberFormat="1" applyBorder="1" applyAlignment="1">
      <alignment horizontal="center" vertical="center"/>
    </xf>
    <xf numFmtId="178" fontId="3" fillId="0" borderId="6" xfId="1" applyNumberForma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0250;&#31038;&#38306;&#20418;\a&#20316;&#26989;&#20013;\R020930&#31070;&#25144;&#24066;&#27700;&#36947;&#23616;&#26481;&#37096;\05&#28760;&#65288;&#20845;&#30002;&#23665;&#30010;&#65289;&#36865;&#37197;&#27700;&#31649;&#26032;&#35373;&#24037;&#20107;&#12381;&#12398;4\&#25968;&#37327;\02%20&#37619;&#37444;&#31649;&#35069;&#36896;&#12288;&#25968;&#37327;&#35336;&#31639;&#26360;&#12288;2019.11.01&#65288;&#32153;&#25163;&#35336;&#19978;&#20462;&#27491;&#29256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0250;&#31038;&#38306;&#20418;\a&#20316;&#26989;&#20013;\R020930&#31070;&#25144;&#24066;&#27700;&#36947;&#23616;&#26481;&#37096;\04&#28760;&#65288;&#23721;&#23627;&#21271;&#30010;&#65289;&#37197;&#27700;&#31649;&#21462;&#26367;&#24037;&#20107;\&#25968;&#37327;\02%20&#37619;&#37444;&#31649;&#35069;&#36896;&#12288;&#25968;&#37327;&#35336;&#31639;&#26360;&#12288;2019.11.01&#65288;&#32153;&#25163;&#35336;&#19978;&#20462;&#27491;&#29256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　入力表（1）　"/>
      <sheetName val="　入力表（2）　"/>
      <sheetName val="　印刷　"/>
    </sheetNames>
    <sheetDataSet>
      <sheetData sheetId="0" refreshError="1">
        <row r="4">
          <cell r="A4">
            <v>1</v>
          </cell>
          <cell r="B4" t="str">
            <v>■GX形</v>
          </cell>
        </row>
        <row r="5">
          <cell r="B5" t="str">
            <v>コード</v>
          </cell>
          <cell r="C5" t="str">
            <v>品　名</v>
          </cell>
          <cell r="D5" t="str">
            <v>形　質</v>
          </cell>
          <cell r="E5" t="str">
            <v>延　長</v>
          </cell>
        </row>
        <row r="6">
          <cell r="A6" t="str">
            <v/>
          </cell>
          <cell r="B6" t="str">
            <v>S8712</v>
          </cell>
          <cell r="C6" t="str">
            <v>GX形　直　管</v>
          </cell>
          <cell r="D6" t="str">
            <v>φ75　1種管</v>
          </cell>
          <cell r="E6">
            <v>4</v>
          </cell>
        </row>
        <row r="7">
          <cell r="A7" t="str">
            <v/>
          </cell>
          <cell r="B7" t="str">
            <v>S8712</v>
          </cell>
          <cell r="C7" t="str">
            <v>GX形　直　管</v>
          </cell>
          <cell r="D7" t="str">
            <v>φ100　1種管</v>
          </cell>
          <cell r="E7">
            <v>4</v>
          </cell>
        </row>
        <row r="8">
          <cell r="A8">
            <v>2</v>
          </cell>
          <cell r="B8" t="str">
            <v>S8712</v>
          </cell>
          <cell r="C8" t="str">
            <v>GX形　直　管</v>
          </cell>
          <cell r="D8" t="str">
            <v>φ150　1種管</v>
          </cell>
          <cell r="E8">
            <v>5</v>
          </cell>
        </row>
        <row r="9">
          <cell r="A9">
            <v>3</v>
          </cell>
          <cell r="B9" t="str">
            <v>S8712</v>
          </cell>
          <cell r="C9" t="str">
            <v>GX形　直　管</v>
          </cell>
          <cell r="D9" t="str">
            <v>φ200　1種管</v>
          </cell>
          <cell r="E9">
            <v>5</v>
          </cell>
        </row>
        <row r="10">
          <cell r="A10" t="str">
            <v/>
          </cell>
          <cell r="B10" t="str">
            <v>S8712</v>
          </cell>
          <cell r="C10" t="str">
            <v>GX形　直　管</v>
          </cell>
          <cell r="D10" t="str">
            <v>φ250　1種管</v>
          </cell>
          <cell r="E10">
            <v>5</v>
          </cell>
        </row>
        <row r="11">
          <cell r="A11">
            <v>4</v>
          </cell>
          <cell r="B11" t="str">
            <v>S8712</v>
          </cell>
          <cell r="C11" t="str">
            <v>GX形　直　管</v>
          </cell>
          <cell r="D11" t="str">
            <v>φ300　1種管</v>
          </cell>
          <cell r="E11">
            <v>6</v>
          </cell>
        </row>
        <row r="12">
          <cell r="A12" t="str">
            <v/>
          </cell>
          <cell r="B12" t="str">
            <v>S8712</v>
          </cell>
          <cell r="C12" t="str">
            <v>GX形　直　管</v>
          </cell>
          <cell r="D12" t="str">
            <v>φ400　1種管</v>
          </cell>
          <cell r="E12">
            <v>6</v>
          </cell>
        </row>
        <row r="13">
          <cell r="A13" t="str">
            <v/>
          </cell>
          <cell r="B13" t="str">
            <v>S8721</v>
          </cell>
          <cell r="C13" t="str">
            <v>GX形　曲　管</v>
          </cell>
          <cell r="D13" t="str">
            <v>φ75　90度</v>
          </cell>
          <cell r="E13">
            <v>0.45</v>
          </cell>
        </row>
        <row r="14">
          <cell r="A14" t="str">
            <v/>
          </cell>
          <cell r="B14" t="str">
            <v>S8721</v>
          </cell>
          <cell r="C14" t="str">
            <v>GX形　曲　管</v>
          </cell>
          <cell r="D14" t="str">
            <v>φ100　90度</v>
          </cell>
          <cell r="E14">
            <v>0.47899999999999998</v>
          </cell>
        </row>
        <row r="15">
          <cell r="A15" t="str">
            <v/>
          </cell>
          <cell r="B15" t="str">
            <v>S8721</v>
          </cell>
          <cell r="C15" t="str">
            <v>GX形　曲　管</v>
          </cell>
          <cell r="D15" t="str">
            <v>φ150　90度</v>
          </cell>
          <cell r="E15">
            <v>0.56799999999999995</v>
          </cell>
        </row>
        <row r="16">
          <cell r="A16" t="str">
            <v/>
          </cell>
          <cell r="B16" t="str">
            <v>S8721</v>
          </cell>
          <cell r="C16" t="str">
            <v>GX形　曲　管</v>
          </cell>
          <cell r="D16" t="str">
            <v>φ200　90度</v>
          </cell>
          <cell r="E16">
            <v>0.66600000000000004</v>
          </cell>
        </row>
        <row r="17">
          <cell r="A17" t="str">
            <v/>
          </cell>
          <cell r="B17" t="str">
            <v>S8721</v>
          </cell>
          <cell r="C17" t="str">
            <v>GX形　曲　管</v>
          </cell>
          <cell r="D17" t="str">
            <v>φ250　90度</v>
          </cell>
          <cell r="E17">
            <v>0.747</v>
          </cell>
        </row>
        <row r="18">
          <cell r="A18" t="str">
            <v/>
          </cell>
          <cell r="B18" t="str">
            <v>S8721</v>
          </cell>
          <cell r="C18" t="str">
            <v>GX形　曲　管</v>
          </cell>
          <cell r="D18" t="str">
            <v>φ300　90度</v>
          </cell>
          <cell r="E18">
            <v>0.71599999999999997</v>
          </cell>
        </row>
        <row r="19">
          <cell r="A19" t="str">
            <v/>
          </cell>
          <cell r="B19" t="str">
            <v>S8721</v>
          </cell>
          <cell r="C19" t="str">
            <v>GX形　曲　管</v>
          </cell>
          <cell r="D19" t="str">
            <v>φ400　90度</v>
          </cell>
          <cell r="E19">
            <v>0.89100000000000001</v>
          </cell>
        </row>
        <row r="20">
          <cell r="A20" t="str">
            <v/>
          </cell>
          <cell r="B20" t="str">
            <v>S8721</v>
          </cell>
          <cell r="C20" t="str">
            <v>GX形　曲　管</v>
          </cell>
          <cell r="D20" t="str">
            <v>φ75　45度</v>
          </cell>
          <cell r="E20">
            <v>0.39700000000000002</v>
          </cell>
        </row>
        <row r="21">
          <cell r="A21" t="str">
            <v/>
          </cell>
          <cell r="B21" t="str">
            <v>S8721</v>
          </cell>
          <cell r="C21" t="str">
            <v>GX形　曲　管</v>
          </cell>
          <cell r="D21" t="str">
            <v>φ100　45度</v>
          </cell>
          <cell r="E21">
            <v>0.41599999999999998</v>
          </cell>
        </row>
        <row r="22">
          <cell r="A22">
            <v>5</v>
          </cell>
          <cell r="B22" t="str">
            <v>S8721</v>
          </cell>
          <cell r="C22" t="str">
            <v>GX形　曲　管</v>
          </cell>
          <cell r="D22" t="str">
            <v>φ150　45度</v>
          </cell>
          <cell r="E22">
            <v>0.46400000000000002</v>
          </cell>
        </row>
        <row r="23">
          <cell r="A23">
            <v>6</v>
          </cell>
          <cell r="B23" t="str">
            <v>S8721</v>
          </cell>
          <cell r="C23" t="str">
            <v>GX形　曲　管</v>
          </cell>
          <cell r="D23" t="str">
            <v>φ200　45度</v>
          </cell>
          <cell r="E23">
            <v>0.52200000000000002</v>
          </cell>
        </row>
        <row r="24">
          <cell r="A24" t="str">
            <v/>
          </cell>
          <cell r="B24" t="str">
            <v>S8721</v>
          </cell>
          <cell r="C24" t="str">
            <v>GX形　曲　管</v>
          </cell>
          <cell r="D24" t="str">
            <v>φ250　45度</v>
          </cell>
          <cell r="E24">
            <v>0.56000000000000005</v>
          </cell>
        </row>
        <row r="25">
          <cell r="A25" t="str">
            <v/>
          </cell>
          <cell r="B25" t="str">
            <v>S8721</v>
          </cell>
          <cell r="C25" t="str">
            <v>GX形　曲　管</v>
          </cell>
          <cell r="D25" t="str">
            <v>φ300　45度</v>
          </cell>
          <cell r="E25">
            <v>0.56000000000000005</v>
          </cell>
        </row>
        <row r="26">
          <cell r="A26" t="str">
            <v/>
          </cell>
          <cell r="B26" t="str">
            <v>S8721</v>
          </cell>
          <cell r="C26" t="str">
            <v>GX形　曲　管</v>
          </cell>
          <cell r="D26" t="str">
            <v>φ400　45度</v>
          </cell>
          <cell r="E26">
            <v>0.64100000000000001</v>
          </cell>
        </row>
        <row r="27">
          <cell r="A27" t="str">
            <v/>
          </cell>
          <cell r="B27" t="str">
            <v>S8721</v>
          </cell>
          <cell r="C27" t="str">
            <v>GX形　曲　管</v>
          </cell>
          <cell r="D27" t="str">
            <v>φ75　22度1/2</v>
          </cell>
          <cell r="E27">
            <v>0.36</v>
          </cell>
        </row>
        <row r="28">
          <cell r="A28" t="str">
            <v/>
          </cell>
          <cell r="B28" t="str">
            <v>S8721</v>
          </cell>
          <cell r="C28" t="str">
            <v>GX形　曲　管</v>
          </cell>
          <cell r="D28" t="str">
            <v>φ100　22度1/2</v>
          </cell>
          <cell r="E28">
            <v>0.38</v>
          </cell>
        </row>
        <row r="29">
          <cell r="A29">
            <v>7</v>
          </cell>
          <cell r="B29" t="str">
            <v>S8721</v>
          </cell>
          <cell r="C29" t="str">
            <v>GX形　曲　管</v>
          </cell>
          <cell r="D29" t="str">
            <v>φ150　22度1/2</v>
          </cell>
          <cell r="E29">
            <v>0.40899999999999997</v>
          </cell>
        </row>
        <row r="30">
          <cell r="A30">
            <v>8</v>
          </cell>
          <cell r="B30" t="str">
            <v>S8721</v>
          </cell>
          <cell r="C30" t="str">
            <v>GX形　曲　管</v>
          </cell>
          <cell r="D30" t="str">
            <v>φ200　22度1/2</v>
          </cell>
          <cell r="E30">
            <v>0.44900000000000001</v>
          </cell>
        </row>
        <row r="31">
          <cell r="A31" t="str">
            <v/>
          </cell>
          <cell r="B31" t="str">
            <v>S8721</v>
          </cell>
          <cell r="C31" t="str">
            <v>GX形　曲　管</v>
          </cell>
          <cell r="D31" t="str">
            <v>φ250　22度1/2</v>
          </cell>
          <cell r="E31">
            <v>0.45900000000000002</v>
          </cell>
        </row>
        <row r="32">
          <cell r="A32" t="str">
            <v/>
          </cell>
          <cell r="B32" t="str">
            <v>S8721</v>
          </cell>
          <cell r="C32" t="str">
            <v>GX形　曲　管</v>
          </cell>
          <cell r="D32" t="str">
            <v>φ300　22度1/2</v>
          </cell>
          <cell r="E32">
            <v>0.46899999999999997</v>
          </cell>
        </row>
        <row r="33">
          <cell r="A33" t="str">
            <v/>
          </cell>
          <cell r="B33" t="str">
            <v>S8721</v>
          </cell>
          <cell r="C33" t="str">
            <v>GX形　曲　管</v>
          </cell>
          <cell r="D33" t="str">
            <v>φ400　22度1/2</v>
          </cell>
          <cell r="E33">
            <v>0.498</v>
          </cell>
        </row>
        <row r="34">
          <cell r="A34" t="str">
            <v/>
          </cell>
          <cell r="B34" t="str">
            <v>S8721</v>
          </cell>
          <cell r="C34" t="str">
            <v>GX形　曲　管</v>
          </cell>
          <cell r="D34" t="str">
            <v>φ75　11度1/4</v>
          </cell>
          <cell r="E34">
            <v>0.34</v>
          </cell>
        </row>
        <row r="35">
          <cell r="A35" t="str">
            <v/>
          </cell>
          <cell r="B35" t="str">
            <v>S8721</v>
          </cell>
          <cell r="C35" t="str">
            <v>GX形　曲　管</v>
          </cell>
          <cell r="D35" t="str">
            <v>φ100　11度1/4</v>
          </cell>
          <cell r="E35">
            <v>0.36</v>
          </cell>
        </row>
        <row r="36">
          <cell r="A36">
            <v>9</v>
          </cell>
          <cell r="B36" t="str">
            <v>S8721</v>
          </cell>
          <cell r="C36" t="str">
            <v>GX形　曲　管</v>
          </cell>
          <cell r="D36" t="str">
            <v>φ150　11度1/4</v>
          </cell>
          <cell r="E36">
            <v>0.37</v>
          </cell>
        </row>
        <row r="37">
          <cell r="A37">
            <v>10</v>
          </cell>
          <cell r="B37" t="str">
            <v>S8721</v>
          </cell>
          <cell r="C37" t="str">
            <v>GX形　曲　管</v>
          </cell>
          <cell r="D37" t="str">
            <v>φ200　11度1/4</v>
          </cell>
          <cell r="E37">
            <v>0.41</v>
          </cell>
        </row>
        <row r="38">
          <cell r="A38" t="str">
            <v/>
          </cell>
          <cell r="B38" t="str">
            <v>S8721</v>
          </cell>
          <cell r="C38" t="str">
            <v>GX形　曲　管</v>
          </cell>
          <cell r="D38" t="str">
            <v>φ250　11度1/4</v>
          </cell>
          <cell r="E38">
            <v>0.41</v>
          </cell>
        </row>
        <row r="39">
          <cell r="A39" t="str">
            <v/>
          </cell>
          <cell r="B39" t="str">
            <v>S8721</v>
          </cell>
          <cell r="C39" t="str">
            <v>GX形　曲　管</v>
          </cell>
          <cell r="D39" t="str">
            <v>φ300　11度1/4</v>
          </cell>
          <cell r="E39">
            <v>0.4</v>
          </cell>
        </row>
        <row r="40">
          <cell r="A40" t="str">
            <v/>
          </cell>
          <cell r="B40" t="str">
            <v>S8721</v>
          </cell>
          <cell r="C40" t="str">
            <v>GX形　曲　管</v>
          </cell>
          <cell r="D40" t="str">
            <v>φ400　11度1/4</v>
          </cell>
          <cell r="E40">
            <v>0.42</v>
          </cell>
        </row>
        <row r="41">
          <cell r="A41" t="str">
            <v/>
          </cell>
          <cell r="B41" t="str">
            <v>S8721</v>
          </cell>
          <cell r="C41" t="str">
            <v>GX形　曲　管</v>
          </cell>
          <cell r="D41" t="str">
            <v>φ75　5度5/8</v>
          </cell>
          <cell r="E41">
            <v>0.34</v>
          </cell>
        </row>
        <row r="42">
          <cell r="A42" t="str">
            <v/>
          </cell>
          <cell r="B42" t="str">
            <v>S8721</v>
          </cell>
          <cell r="C42" t="str">
            <v>GX形　曲　管</v>
          </cell>
          <cell r="D42" t="str">
            <v>φ100　5度5/8</v>
          </cell>
          <cell r="E42">
            <v>0.36</v>
          </cell>
        </row>
        <row r="43">
          <cell r="A43" t="str">
            <v/>
          </cell>
          <cell r="B43" t="str">
            <v>S8721</v>
          </cell>
          <cell r="C43" t="str">
            <v>GX形　曲　管</v>
          </cell>
          <cell r="D43" t="str">
            <v>φ150　5度5/8</v>
          </cell>
          <cell r="E43">
            <v>0.37</v>
          </cell>
        </row>
        <row r="44">
          <cell r="A44" t="str">
            <v/>
          </cell>
          <cell r="B44" t="str">
            <v>S8721</v>
          </cell>
          <cell r="C44" t="str">
            <v>GX形　曲　管</v>
          </cell>
          <cell r="D44" t="str">
            <v>φ200　5度5/8</v>
          </cell>
          <cell r="E44">
            <v>0.41</v>
          </cell>
        </row>
        <row r="45">
          <cell r="A45" t="str">
            <v/>
          </cell>
          <cell r="B45" t="str">
            <v>S8721</v>
          </cell>
          <cell r="C45" t="str">
            <v>GX形　曲　管</v>
          </cell>
          <cell r="D45" t="str">
            <v>φ250　5度5/8</v>
          </cell>
          <cell r="E45">
            <v>0.41</v>
          </cell>
        </row>
        <row r="46">
          <cell r="A46" t="str">
            <v/>
          </cell>
          <cell r="B46" t="str">
            <v>S8721</v>
          </cell>
          <cell r="C46" t="str">
            <v>GX形　曲　管</v>
          </cell>
          <cell r="D46" t="str">
            <v>φ300　5度5/8</v>
          </cell>
          <cell r="E46">
            <v>0.375</v>
          </cell>
        </row>
        <row r="47">
          <cell r="A47" t="str">
            <v/>
          </cell>
          <cell r="B47" t="str">
            <v>S8721</v>
          </cell>
          <cell r="C47" t="str">
            <v>GX形　曲　管</v>
          </cell>
          <cell r="D47" t="str">
            <v>φ400　5度5/8</v>
          </cell>
          <cell r="E47">
            <v>0.39</v>
          </cell>
        </row>
        <row r="48">
          <cell r="A48" t="str">
            <v/>
          </cell>
          <cell r="B48" t="str">
            <v>T7439</v>
          </cell>
          <cell r="C48" t="str">
            <v>GX形　両受曲管</v>
          </cell>
          <cell r="D48" t="str">
            <v>φ75　45度</v>
          </cell>
          <cell r="E48">
            <v>0.13700000000000001</v>
          </cell>
        </row>
        <row r="49">
          <cell r="A49" t="str">
            <v/>
          </cell>
          <cell r="B49" t="str">
            <v>T7440</v>
          </cell>
          <cell r="C49" t="str">
            <v>GX形　両受曲管</v>
          </cell>
          <cell r="D49" t="str">
            <v>φ100　45度</v>
          </cell>
          <cell r="E49">
            <v>0.156</v>
          </cell>
        </row>
        <row r="50">
          <cell r="A50" t="str">
            <v/>
          </cell>
          <cell r="B50" t="str">
            <v>T7441</v>
          </cell>
          <cell r="C50" t="str">
            <v>GX形　両受曲管</v>
          </cell>
          <cell r="D50" t="str">
            <v>φ150　45度</v>
          </cell>
          <cell r="E50">
            <v>0.19400000000000001</v>
          </cell>
        </row>
        <row r="51">
          <cell r="A51">
            <v>11</v>
          </cell>
          <cell r="B51" t="str">
            <v>T7442</v>
          </cell>
          <cell r="C51" t="str">
            <v>GX形　両受曲管</v>
          </cell>
          <cell r="D51" t="str">
            <v>φ200　45度</v>
          </cell>
          <cell r="E51">
            <v>0.23200000000000001</v>
          </cell>
        </row>
        <row r="52">
          <cell r="A52" t="str">
            <v/>
          </cell>
          <cell r="B52" t="str">
            <v>T7443</v>
          </cell>
          <cell r="C52" t="str">
            <v>GX形　両受曲管</v>
          </cell>
          <cell r="D52" t="str">
            <v>φ250　45度</v>
          </cell>
          <cell r="E52">
            <v>0.27</v>
          </cell>
        </row>
        <row r="53">
          <cell r="A53" t="str">
            <v/>
          </cell>
          <cell r="B53" t="str">
            <v>T7444</v>
          </cell>
          <cell r="C53" t="str">
            <v>GX形　両受曲管</v>
          </cell>
          <cell r="D53" t="str">
            <v>φ300　45度</v>
          </cell>
          <cell r="E53">
            <v>0.25</v>
          </cell>
        </row>
        <row r="54">
          <cell r="A54" t="str">
            <v/>
          </cell>
          <cell r="B54" t="str">
            <v>T7445</v>
          </cell>
          <cell r="C54" t="str">
            <v>GX形　両受曲管</v>
          </cell>
          <cell r="D54" t="str">
            <v>φ400　45度</v>
          </cell>
          <cell r="E54">
            <v>0.33600000000000002</v>
          </cell>
        </row>
        <row r="55">
          <cell r="A55" t="str">
            <v/>
          </cell>
          <cell r="B55" t="str">
            <v>T7445</v>
          </cell>
          <cell r="C55" t="str">
            <v>GX形　両受曲管</v>
          </cell>
          <cell r="D55" t="str">
            <v>φ75　22度1/2</v>
          </cell>
          <cell r="E55">
            <v>0.1</v>
          </cell>
        </row>
        <row r="56">
          <cell r="A56" t="str">
            <v/>
          </cell>
          <cell r="B56" t="str">
            <v>T7447</v>
          </cell>
          <cell r="C56" t="str">
            <v>GX形　両受曲管</v>
          </cell>
          <cell r="D56" t="str">
            <v>φ100　22度1/2</v>
          </cell>
          <cell r="E56">
            <v>0.12</v>
          </cell>
        </row>
        <row r="57">
          <cell r="A57" t="str">
            <v/>
          </cell>
          <cell r="B57" t="str">
            <v>T7448</v>
          </cell>
          <cell r="C57" t="str">
            <v>GX形　両受曲管</v>
          </cell>
          <cell r="D57" t="str">
            <v>φ150　22度1/2</v>
          </cell>
          <cell r="E57">
            <v>0.13900000000000001</v>
          </cell>
        </row>
        <row r="58">
          <cell r="A58" t="str">
            <v/>
          </cell>
          <cell r="B58" t="str">
            <v>T7449</v>
          </cell>
          <cell r="C58" t="str">
            <v>GX形　両受曲管</v>
          </cell>
          <cell r="D58" t="str">
            <v>φ200　22度1/2</v>
          </cell>
          <cell r="E58">
            <v>0.159</v>
          </cell>
        </row>
        <row r="59">
          <cell r="A59" t="str">
            <v/>
          </cell>
          <cell r="B59" t="str">
            <v>T7450</v>
          </cell>
          <cell r="C59" t="str">
            <v>GX形　両受曲管</v>
          </cell>
          <cell r="D59" t="str">
            <v>φ250　22度1/2</v>
          </cell>
          <cell r="E59">
            <v>0.159</v>
          </cell>
        </row>
        <row r="60">
          <cell r="A60" t="str">
            <v/>
          </cell>
          <cell r="B60" t="str">
            <v>T7451</v>
          </cell>
          <cell r="C60" t="str">
            <v>GX形　両受曲管</v>
          </cell>
          <cell r="D60" t="str">
            <v>φ300　22度1/2</v>
          </cell>
          <cell r="E60">
            <v>0.16900000000000001</v>
          </cell>
        </row>
        <row r="61">
          <cell r="A61" t="str">
            <v/>
          </cell>
          <cell r="B61" t="str">
            <v>T7452</v>
          </cell>
          <cell r="C61" t="str">
            <v>GX形　両受曲管</v>
          </cell>
          <cell r="D61" t="str">
            <v>φ400　22度1/2</v>
          </cell>
          <cell r="E61">
            <v>0.20799999999999999</v>
          </cell>
        </row>
        <row r="62">
          <cell r="A62" t="str">
            <v/>
          </cell>
          <cell r="B62" t="str">
            <v>S8721</v>
          </cell>
          <cell r="C62" t="str">
            <v>GX形　継　輪</v>
          </cell>
          <cell r="D62" t="str">
            <v>φ75</v>
          </cell>
          <cell r="E62">
            <v>0.19</v>
          </cell>
        </row>
        <row r="63">
          <cell r="A63" t="str">
            <v/>
          </cell>
          <cell r="B63" t="str">
            <v>S8721</v>
          </cell>
          <cell r="C63" t="str">
            <v>GX形　継　輪</v>
          </cell>
          <cell r="D63" t="str">
            <v>φ100</v>
          </cell>
          <cell r="E63">
            <v>0.2</v>
          </cell>
        </row>
        <row r="64">
          <cell r="A64">
            <v>12</v>
          </cell>
          <cell r="B64" t="str">
            <v>S8721</v>
          </cell>
          <cell r="C64" t="str">
            <v>GX形　継　輪</v>
          </cell>
          <cell r="D64" t="str">
            <v>φ150</v>
          </cell>
          <cell r="E64">
            <v>0.24</v>
          </cell>
        </row>
        <row r="65">
          <cell r="A65">
            <v>13</v>
          </cell>
          <cell r="B65" t="str">
            <v>S8721</v>
          </cell>
          <cell r="C65" t="str">
            <v>GX形　継　輪</v>
          </cell>
          <cell r="D65" t="str">
            <v>φ200</v>
          </cell>
          <cell r="E65">
            <v>0.25</v>
          </cell>
        </row>
        <row r="66">
          <cell r="A66" t="str">
            <v/>
          </cell>
          <cell r="B66" t="str">
            <v>S8721</v>
          </cell>
          <cell r="C66" t="str">
            <v>GX形　継　輪</v>
          </cell>
          <cell r="D66" t="str">
            <v>φ250</v>
          </cell>
          <cell r="E66">
            <v>0.25</v>
          </cell>
        </row>
        <row r="67">
          <cell r="A67" t="str">
            <v/>
          </cell>
          <cell r="B67" t="str">
            <v>S8721</v>
          </cell>
          <cell r="C67" t="str">
            <v>GX形　継　輪</v>
          </cell>
          <cell r="D67" t="str">
            <v>φ300</v>
          </cell>
          <cell r="E67">
            <v>0.3</v>
          </cell>
        </row>
        <row r="68">
          <cell r="A68" t="str">
            <v/>
          </cell>
          <cell r="B68" t="str">
            <v>S8721</v>
          </cell>
          <cell r="C68" t="str">
            <v>GX形　継　輪</v>
          </cell>
          <cell r="D68" t="str">
            <v>φ400</v>
          </cell>
          <cell r="E68">
            <v>0.3</v>
          </cell>
        </row>
        <row r="69">
          <cell r="A69" t="str">
            <v/>
          </cell>
          <cell r="B69" t="str">
            <v>S8720</v>
          </cell>
          <cell r="C69" t="str">
            <v>GX形　二受丁字管</v>
          </cell>
          <cell r="D69" t="str">
            <v>φ75×φ75</v>
          </cell>
          <cell r="E69">
            <v>0.44</v>
          </cell>
        </row>
        <row r="70">
          <cell r="A70" t="str">
            <v/>
          </cell>
          <cell r="B70" t="str">
            <v>S8720</v>
          </cell>
          <cell r="C70" t="str">
            <v>GX形　二受丁字管</v>
          </cell>
          <cell r="D70" t="str">
            <v>φ100×φ75</v>
          </cell>
          <cell r="E70">
            <v>0.44</v>
          </cell>
        </row>
        <row r="71">
          <cell r="A71" t="str">
            <v/>
          </cell>
          <cell r="B71" t="str">
            <v>S8720</v>
          </cell>
          <cell r="C71" t="str">
            <v>GX形　二受丁字管</v>
          </cell>
          <cell r="D71" t="str">
            <v>φ100×φ100</v>
          </cell>
          <cell r="E71">
            <v>0.47</v>
          </cell>
        </row>
        <row r="72">
          <cell r="A72" t="str">
            <v/>
          </cell>
          <cell r="B72" t="str">
            <v>S8720</v>
          </cell>
          <cell r="C72" t="str">
            <v>GX形　二受丁字管</v>
          </cell>
          <cell r="D72" t="str">
            <v>φ150×φ75</v>
          </cell>
          <cell r="E72">
            <v>0.45</v>
          </cell>
        </row>
        <row r="73">
          <cell r="A73" t="str">
            <v/>
          </cell>
          <cell r="B73" t="str">
            <v>S8720</v>
          </cell>
          <cell r="C73" t="str">
            <v>GX形　二受丁字管</v>
          </cell>
          <cell r="D73" t="str">
            <v>φ150×φ100</v>
          </cell>
          <cell r="E73">
            <v>0.48</v>
          </cell>
        </row>
        <row r="74">
          <cell r="A74">
            <v>14</v>
          </cell>
          <cell r="B74" t="str">
            <v>S8720</v>
          </cell>
          <cell r="C74" t="str">
            <v>GX形　二受丁字管</v>
          </cell>
          <cell r="D74" t="str">
            <v>φ150×φ150</v>
          </cell>
          <cell r="E74">
            <v>0.56000000000000005</v>
          </cell>
        </row>
        <row r="75">
          <cell r="A75" t="str">
            <v/>
          </cell>
          <cell r="B75" t="str">
            <v>S8720</v>
          </cell>
          <cell r="C75" t="str">
            <v>GX形　二受丁字管</v>
          </cell>
          <cell r="D75" t="str">
            <v>φ200×φ100</v>
          </cell>
          <cell r="E75">
            <v>0.5</v>
          </cell>
        </row>
        <row r="76">
          <cell r="A76">
            <v>15</v>
          </cell>
          <cell r="B76" t="str">
            <v>S8720</v>
          </cell>
          <cell r="C76" t="str">
            <v>GX形　二受丁字管</v>
          </cell>
          <cell r="D76" t="str">
            <v>φ200×φ150</v>
          </cell>
          <cell r="E76">
            <v>0.56000000000000005</v>
          </cell>
        </row>
        <row r="77">
          <cell r="A77">
            <v>16</v>
          </cell>
          <cell r="B77" t="str">
            <v>S8720</v>
          </cell>
          <cell r="C77" t="str">
            <v>GX形　二受丁字管</v>
          </cell>
          <cell r="D77" t="str">
            <v>φ200×φ200</v>
          </cell>
          <cell r="E77">
            <v>0.64</v>
          </cell>
        </row>
        <row r="78">
          <cell r="A78" t="str">
            <v/>
          </cell>
          <cell r="B78" t="str">
            <v>S8720</v>
          </cell>
          <cell r="C78" t="str">
            <v>GX形　二受丁字管</v>
          </cell>
          <cell r="D78" t="str">
            <v>φ250×φ100</v>
          </cell>
          <cell r="E78">
            <v>0.5</v>
          </cell>
        </row>
        <row r="79">
          <cell r="A79" t="str">
            <v/>
          </cell>
          <cell r="B79" t="str">
            <v>S8720</v>
          </cell>
          <cell r="C79" t="str">
            <v>GX形　二受丁字管</v>
          </cell>
          <cell r="D79" t="str">
            <v>φ250×φ150</v>
          </cell>
          <cell r="E79">
            <v>0.56000000000000005</v>
          </cell>
        </row>
        <row r="80">
          <cell r="A80" t="str">
            <v/>
          </cell>
          <cell r="B80" t="str">
            <v>S8720</v>
          </cell>
          <cell r="C80" t="str">
            <v>GX形　二受丁字管</v>
          </cell>
          <cell r="D80" t="str">
            <v>φ250×φ250</v>
          </cell>
          <cell r="E80">
            <v>0.66</v>
          </cell>
        </row>
        <row r="81">
          <cell r="A81" t="str">
            <v/>
          </cell>
          <cell r="B81" t="str">
            <v>S8720</v>
          </cell>
          <cell r="C81" t="str">
            <v>GX形　二受丁字管</v>
          </cell>
          <cell r="D81" t="str">
            <v>φ300×φ100</v>
          </cell>
          <cell r="E81">
            <v>0.48</v>
          </cell>
        </row>
        <row r="82">
          <cell r="A82" t="str">
            <v/>
          </cell>
          <cell r="B82" t="str">
            <v>S8720</v>
          </cell>
          <cell r="C82" t="str">
            <v>GX形　二受丁字管</v>
          </cell>
          <cell r="D82" t="str">
            <v>φ300×φ150</v>
          </cell>
          <cell r="E82">
            <v>0.54</v>
          </cell>
        </row>
        <row r="83">
          <cell r="A83">
            <v>17</v>
          </cell>
          <cell r="B83" t="str">
            <v>S8720</v>
          </cell>
          <cell r="C83" t="str">
            <v>GX形　二受丁字管</v>
          </cell>
          <cell r="D83" t="str">
            <v>φ300×φ200</v>
          </cell>
          <cell r="E83">
            <v>0.65</v>
          </cell>
        </row>
        <row r="84">
          <cell r="A84" t="str">
            <v/>
          </cell>
          <cell r="B84" t="str">
            <v>S8720</v>
          </cell>
          <cell r="C84" t="str">
            <v>GX形　二受丁字管</v>
          </cell>
          <cell r="D84" t="str">
            <v>φ300×φ300</v>
          </cell>
          <cell r="E84">
            <v>0.79</v>
          </cell>
        </row>
        <row r="85">
          <cell r="A85" t="str">
            <v/>
          </cell>
          <cell r="B85" t="str">
            <v>S8720</v>
          </cell>
          <cell r="C85" t="str">
            <v>GX形　二受丁字管</v>
          </cell>
          <cell r="D85" t="str">
            <v>φ400×φ300</v>
          </cell>
          <cell r="E85">
            <v>0.81</v>
          </cell>
        </row>
        <row r="86">
          <cell r="A86" t="str">
            <v/>
          </cell>
          <cell r="B86" t="str">
            <v>S8720</v>
          </cell>
          <cell r="C86" t="str">
            <v>GX形　二受丁字管</v>
          </cell>
          <cell r="D86" t="str">
            <v>φ400×φ400</v>
          </cell>
          <cell r="E86">
            <v>0.94499999999999995</v>
          </cell>
        </row>
        <row r="87">
          <cell r="A87" t="str">
            <v/>
          </cell>
          <cell r="B87" t="str">
            <v>S8720</v>
          </cell>
          <cell r="C87" t="str">
            <v>ＧＸ形　挿し受片落管</v>
          </cell>
          <cell r="D87" t="str">
            <v>φ100×φ75</v>
          </cell>
          <cell r="E87">
            <v>0.41</v>
          </cell>
        </row>
        <row r="88">
          <cell r="A88" t="str">
            <v/>
          </cell>
          <cell r="B88" t="str">
            <v>S8720</v>
          </cell>
          <cell r="C88" t="str">
            <v>ＧＸ形　挿し受片落管</v>
          </cell>
          <cell r="D88" t="str">
            <v>φ150×φ100</v>
          </cell>
          <cell r="E88">
            <v>0.42</v>
          </cell>
        </row>
        <row r="89">
          <cell r="A89">
            <v>18</v>
          </cell>
          <cell r="B89" t="str">
            <v>S8720</v>
          </cell>
          <cell r="C89" t="str">
            <v>ＧＸ形　挿し受片落管</v>
          </cell>
          <cell r="D89" t="str">
            <v>φ200×φ150</v>
          </cell>
          <cell r="E89">
            <v>0.44</v>
          </cell>
        </row>
        <row r="90">
          <cell r="A90" t="str">
            <v/>
          </cell>
          <cell r="B90" t="str">
            <v>S8720</v>
          </cell>
          <cell r="C90" t="str">
            <v>ＧＸ形　挿し受片落管</v>
          </cell>
          <cell r="D90" t="str">
            <v>φ250×φ200</v>
          </cell>
          <cell r="E90">
            <v>0.44</v>
          </cell>
        </row>
        <row r="91">
          <cell r="A91" t="str">
            <v/>
          </cell>
          <cell r="B91" t="str">
            <v>S8720</v>
          </cell>
          <cell r="C91" t="str">
            <v>ＧＸ形　挿し受片落管</v>
          </cell>
          <cell r="D91" t="str">
            <v>φ300×φ100</v>
          </cell>
          <cell r="E91">
            <v>0.70499999999999996</v>
          </cell>
        </row>
        <row r="92">
          <cell r="A92" t="str">
            <v/>
          </cell>
          <cell r="B92" t="str">
            <v>S8720</v>
          </cell>
          <cell r="C92" t="str">
            <v>ＧＸ形　挿し受片落管</v>
          </cell>
          <cell r="D92" t="str">
            <v>φ300×φ150</v>
          </cell>
          <cell r="E92">
            <v>0.60499999999999998</v>
          </cell>
        </row>
        <row r="93">
          <cell r="A93" t="str">
            <v/>
          </cell>
          <cell r="B93" t="str">
            <v>S8720</v>
          </cell>
          <cell r="C93" t="str">
            <v>ＧＸ形　挿し受片落管</v>
          </cell>
          <cell r="D93" t="str">
            <v>φ300×φ200</v>
          </cell>
          <cell r="E93">
            <v>0.505</v>
          </cell>
        </row>
        <row r="94">
          <cell r="A94" t="str">
            <v/>
          </cell>
          <cell r="B94" t="str">
            <v>S8720</v>
          </cell>
          <cell r="C94" t="str">
            <v>ＧＸ形　挿し受片落管</v>
          </cell>
          <cell r="D94" t="str">
            <v>φ300×φ250</v>
          </cell>
          <cell r="E94">
            <v>0.40500000000000003</v>
          </cell>
        </row>
        <row r="95">
          <cell r="A95" t="str">
            <v/>
          </cell>
          <cell r="B95" t="str">
            <v>S8720</v>
          </cell>
          <cell r="C95" t="str">
            <v>ＧＸ形　挿し受片落管</v>
          </cell>
          <cell r="D95" t="str">
            <v>φ400×φ200</v>
          </cell>
          <cell r="E95">
            <v>0.71</v>
          </cell>
        </row>
        <row r="96">
          <cell r="A96" t="str">
            <v/>
          </cell>
          <cell r="B96" t="str">
            <v>S8720</v>
          </cell>
          <cell r="C96" t="str">
            <v>ＧＸ形　挿し受片落管</v>
          </cell>
          <cell r="D96" t="str">
            <v>φ400×φ300</v>
          </cell>
          <cell r="E96">
            <v>0.52500000000000002</v>
          </cell>
        </row>
        <row r="97">
          <cell r="A97" t="str">
            <v/>
          </cell>
          <cell r="B97" t="str">
            <v>S8720</v>
          </cell>
          <cell r="C97" t="str">
            <v>ＧＸ形　受挿し片落管</v>
          </cell>
          <cell r="D97" t="str">
            <v>φ100×φ75</v>
          </cell>
          <cell r="E97">
            <v>0.41</v>
          </cell>
        </row>
        <row r="98">
          <cell r="A98" t="str">
            <v/>
          </cell>
          <cell r="B98" t="str">
            <v>S8720</v>
          </cell>
          <cell r="C98" t="str">
            <v>ＧＸ形　受挿し片落管</v>
          </cell>
          <cell r="D98" t="str">
            <v>φ150×φ100</v>
          </cell>
          <cell r="E98">
            <v>0.41</v>
          </cell>
        </row>
        <row r="99">
          <cell r="A99">
            <v>19</v>
          </cell>
          <cell r="B99" t="str">
            <v>S8720</v>
          </cell>
          <cell r="C99" t="str">
            <v>ＧＸ形　受挿し片落管</v>
          </cell>
          <cell r="D99" t="str">
            <v>φ200×φ150</v>
          </cell>
          <cell r="E99">
            <v>0.42</v>
          </cell>
        </row>
        <row r="100">
          <cell r="A100" t="str">
            <v/>
          </cell>
          <cell r="B100" t="str">
            <v>S8720</v>
          </cell>
          <cell r="C100" t="str">
            <v>ＧＸ形　受挿し片落管</v>
          </cell>
          <cell r="D100" t="str">
            <v>φ250×φ200</v>
          </cell>
          <cell r="E100">
            <v>0.44</v>
          </cell>
        </row>
        <row r="101">
          <cell r="A101" t="str">
            <v/>
          </cell>
          <cell r="B101" t="str">
            <v>S8720</v>
          </cell>
          <cell r="C101" t="str">
            <v>ＧＸ形　受挿し片落管</v>
          </cell>
          <cell r="D101" t="str">
            <v>φ300×φ100</v>
          </cell>
          <cell r="E101">
            <v>0.72</v>
          </cell>
        </row>
        <row r="102">
          <cell r="A102" t="str">
            <v/>
          </cell>
          <cell r="B102" t="str">
            <v>S8720</v>
          </cell>
          <cell r="C102" t="str">
            <v>ＧＸ形　受挿し片落管</v>
          </cell>
          <cell r="D102" t="str">
            <v>φ300×φ150</v>
          </cell>
          <cell r="E102">
            <v>0.62</v>
          </cell>
        </row>
        <row r="103">
          <cell r="A103" t="str">
            <v/>
          </cell>
          <cell r="B103" t="str">
            <v>S8720</v>
          </cell>
          <cell r="C103" t="str">
            <v>ＧＸ形　受挿し片落管</v>
          </cell>
          <cell r="D103" t="str">
            <v>φ300×φ200</v>
          </cell>
          <cell r="E103">
            <v>0.52</v>
          </cell>
        </row>
        <row r="104">
          <cell r="A104" t="str">
            <v/>
          </cell>
          <cell r="B104" t="str">
            <v>S8720</v>
          </cell>
          <cell r="C104" t="str">
            <v>ＧＸ形　受挿し片落管</v>
          </cell>
          <cell r="D104" t="str">
            <v>φ300×φ250</v>
          </cell>
          <cell r="E104">
            <v>0.42</v>
          </cell>
        </row>
        <row r="105">
          <cell r="A105" t="str">
            <v/>
          </cell>
          <cell r="B105" t="str">
            <v>S8720</v>
          </cell>
          <cell r="C105" t="str">
            <v>ＧＸ形　受挿し片落管</v>
          </cell>
          <cell r="D105" t="str">
            <v>φ400×φ200</v>
          </cell>
          <cell r="E105">
            <v>0.73</v>
          </cell>
        </row>
        <row r="106">
          <cell r="A106" t="str">
            <v/>
          </cell>
          <cell r="B106" t="str">
            <v>S8720</v>
          </cell>
          <cell r="C106" t="str">
            <v>ＧＸ形　受挿し片落管</v>
          </cell>
          <cell r="D106" t="str">
            <v>φ400×φ300</v>
          </cell>
          <cell r="E106">
            <v>0.53</v>
          </cell>
        </row>
        <row r="107">
          <cell r="A107" t="str">
            <v/>
          </cell>
          <cell r="B107" t="str">
            <v>S8721</v>
          </cell>
          <cell r="C107" t="str">
            <v>GX形　短管１号　</v>
          </cell>
          <cell r="D107" t="str">
            <v>φ75　　7．5Ｋ</v>
          </cell>
          <cell r="E107">
            <v>0.08</v>
          </cell>
        </row>
        <row r="108">
          <cell r="A108" t="str">
            <v/>
          </cell>
          <cell r="B108" t="str">
            <v>S8721</v>
          </cell>
          <cell r="C108" t="str">
            <v>GX形　短管１号　</v>
          </cell>
          <cell r="D108" t="str">
            <v>φ100　　7．5Ｋ</v>
          </cell>
          <cell r="E108">
            <v>0.08</v>
          </cell>
        </row>
        <row r="109">
          <cell r="A109">
            <v>20</v>
          </cell>
          <cell r="B109" t="str">
            <v>S8721</v>
          </cell>
          <cell r="C109" t="str">
            <v>GX形　短管１号　</v>
          </cell>
          <cell r="D109" t="str">
            <v>φ150　　7．5Ｋ</v>
          </cell>
          <cell r="E109">
            <v>0.09</v>
          </cell>
        </row>
        <row r="110">
          <cell r="A110">
            <v>21</v>
          </cell>
          <cell r="B110" t="str">
            <v>S8721</v>
          </cell>
          <cell r="C110" t="str">
            <v>GX形　短管１号　</v>
          </cell>
          <cell r="D110" t="str">
            <v>φ200　　7．5Ｋ</v>
          </cell>
          <cell r="E110">
            <v>0.09</v>
          </cell>
        </row>
        <row r="111">
          <cell r="A111" t="str">
            <v/>
          </cell>
          <cell r="B111" t="str">
            <v>S8721</v>
          </cell>
          <cell r="C111" t="str">
            <v>GX形　短管１号　</v>
          </cell>
          <cell r="D111" t="str">
            <v>φ250　　7．5Ｋ</v>
          </cell>
          <cell r="E111">
            <v>0.1</v>
          </cell>
        </row>
        <row r="112">
          <cell r="A112">
            <v>22</v>
          </cell>
          <cell r="B112" t="str">
            <v>S8721</v>
          </cell>
          <cell r="C112" t="str">
            <v>GX形　短管１号　</v>
          </cell>
          <cell r="D112" t="str">
            <v>φ300　　7．5Ｋ</v>
          </cell>
          <cell r="E112">
            <v>0.1</v>
          </cell>
        </row>
        <row r="113">
          <cell r="A113" t="str">
            <v/>
          </cell>
          <cell r="B113" t="str">
            <v>S8721</v>
          </cell>
          <cell r="C113" t="str">
            <v>GX形　短管１号　</v>
          </cell>
          <cell r="D113" t="str">
            <v>φ400　　7．5Ｋ</v>
          </cell>
          <cell r="E113">
            <v>0.11</v>
          </cell>
        </row>
        <row r="114">
          <cell r="A114" t="str">
            <v/>
          </cell>
          <cell r="B114" t="str">
            <v>S8721</v>
          </cell>
          <cell r="C114" t="str">
            <v>GX形　短管１号　</v>
          </cell>
          <cell r="D114" t="str">
            <v>φ75　　10．0Ｋ</v>
          </cell>
          <cell r="E114">
            <v>0.08</v>
          </cell>
        </row>
        <row r="115">
          <cell r="A115" t="str">
            <v/>
          </cell>
          <cell r="B115" t="str">
            <v>S8721</v>
          </cell>
          <cell r="C115" t="str">
            <v>GX形　短管１号　</v>
          </cell>
          <cell r="D115" t="str">
            <v>φ100　　10．0Ｋ</v>
          </cell>
          <cell r="E115">
            <v>0.08</v>
          </cell>
        </row>
        <row r="116">
          <cell r="A116" t="str">
            <v/>
          </cell>
          <cell r="B116" t="str">
            <v>S8721</v>
          </cell>
          <cell r="C116" t="str">
            <v>GX形　短管１号　</v>
          </cell>
          <cell r="D116" t="str">
            <v>φ150　　10．0Ｋ</v>
          </cell>
          <cell r="E116">
            <v>0.09</v>
          </cell>
        </row>
        <row r="117">
          <cell r="A117" t="str">
            <v/>
          </cell>
          <cell r="B117" t="str">
            <v>S8721</v>
          </cell>
          <cell r="C117" t="str">
            <v>GX形　短管１号　</v>
          </cell>
          <cell r="D117" t="str">
            <v>φ200　　10．0Ｋ</v>
          </cell>
          <cell r="E117">
            <v>0.09</v>
          </cell>
        </row>
        <row r="118">
          <cell r="A118" t="str">
            <v/>
          </cell>
          <cell r="B118" t="str">
            <v>S8721</v>
          </cell>
          <cell r="C118" t="str">
            <v>GX形　短管１号　</v>
          </cell>
          <cell r="D118" t="str">
            <v>φ250　　10．0Ｋ</v>
          </cell>
          <cell r="E118">
            <v>0.1</v>
          </cell>
        </row>
        <row r="119">
          <cell r="A119" t="str">
            <v/>
          </cell>
          <cell r="B119" t="str">
            <v>S8721</v>
          </cell>
          <cell r="C119" t="str">
            <v>GX形　短管１号　</v>
          </cell>
          <cell r="D119" t="str">
            <v>φ300　　10．0Ｋ</v>
          </cell>
          <cell r="E119">
            <v>0.1</v>
          </cell>
        </row>
        <row r="120">
          <cell r="A120" t="str">
            <v/>
          </cell>
          <cell r="B120" t="str">
            <v>S8721</v>
          </cell>
          <cell r="C120" t="str">
            <v>GX形　短管１号　</v>
          </cell>
          <cell r="D120" t="str">
            <v>φ400　　10．0Ｋ</v>
          </cell>
          <cell r="E120">
            <v>0.11</v>
          </cell>
        </row>
        <row r="121">
          <cell r="A121" t="str">
            <v/>
          </cell>
          <cell r="B121" t="str">
            <v>S8721</v>
          </cell>
          <cell r="C121" t="str">
            <v>GX形　短管２号　</v>
          </cell>
          <cell r="D121" t="str">
            <v>φ75　　7．5Ｋ</v>
          </cell>
          <cell r="E121">
            <v>0.39</v>
          </cell>
        </row>
        <row r="122">
          <cell r="A122" t="str">
            <v/>
          </cell>
          <cell r="B122" t="str">
            <v>S8721</v>
          </cell>
          <cell r="C122" t="str">
            <v>GX形　短管２号　</v>
          </cell>
          <cell r="D122" t="str">
            <v>φ100　　7．5Ｋ</v>
          </cell>
          <cell r="E122">
            <v>0.39</v>
          </cell>
        </row>
        <row r="123">
          <cell r="A123">
            <v>23</v>
          </cell>
          <cell r="B123" t="str">
            <v>S8721</v>
          </cell>
          <cell r="C123" t="str">
            <v>GX形　短管２号　</v>
          </cell>
          <cell r="D123" t="str">
            <v>φ150　　7．5Ｋ</v>
          </cell>
          <cell r="E123">
            <v>0.4</v>
          </cell>
        </row>
        <row r="124">
          <cell r="A124">
            <v>24</v>
          </cell>
          <cell r="B124" t="str">
            <v>S8721</v>
          </cell>
          <cell r="C124" t="str">
            <v>GX形　短管２号　</v>
          </cell>
          <cell r="D124" t="str">
            <v>φ200　　7．5Ｋ</v>
          </cell>
          <cell r="E124">
            <v>0.41</v>
          </cell>
        </row>
        <row r="125">
          <cell r="A125" t="str">
            <v/>
          </cell>
          <cell r="B125" t="str">
            <v>S8721</v>
          </cell>
          <cell r="C125" t="str">
            <v>GX形　短管２号　</v>
          </cell>
          <cell r="D125" t="str">
            <v>φ250　　7．5Ｋ</v>
          </cell>
          <cell r="E125">
            <v>0.46</v>
          </cell>
        </row>
        <row r="126">
          <cell r="A126" t="str">
            <v/>
          </cell>
          <cell r="B126" t="str">
            <v>S8721</v>
          </cell>
          <cell r="C126" t="str">
            <v>GX形　短管２号　</v>
          </cell>
          <cell r="D126" t="str">
            <v>φ300　　7．5Ｋ</v>
          </cell>
          <cell r="E126">
            <v>0.48</v>
          </cell>
        </row>
        <row r="127">
          <cell r="A127" t="str">
            <v/>
          </cell>
          <cell r="B127" t="str">
            <v>S8721</v>
          </cell>
          <cell r="C127" t="str">
            <v>GX形　短管２号　</v>
          </cell>
          <cell r="D127" t="str">
            <v>φ400　　7．5Ｋ</v>
          </cell>
          <cell r="E127">
            <v>0.51</v>
          </cell>
        </row>
        <row r="128">
          <cell r="A128" t="str">
            <v/>
          </cell>
          <cell r="B128" t="str">
            <v>S8721</v>
          </cell>
          <cell r="C128" t="str">
            <v>GX形　短管２号　</v>
          </cell>
          <cell r="D128" t="str">
            <v>φ75　　10．0Ｋ</v>
          </cell>
          <cell r="E128">
            <v>0.39</v>
          </cell>
        </row>
        <row r="129">
          <cell r="A129" t="str">
            <v/>
          </cell>
          <cell r="B129" t="str">
            <v>S8721</v>
          </cell>
          <cell r="C129" t="str">
            <v>GX形　短管２号　</v>
          </cell>
          <cell r="D129" t="str">
            <v>φ100　　10．0Ｋ</v>
          </cell>
          <cell r="E129">
            <v>0.39</v>
          </cell>
        </row>
        <row r="130">
          <cell r="A130" t="str">
            <v/>
          </cell>
          <cell r="B130" t="str">
            <v>S8721</v>
          </cell>
          <cell r="C130" t="str">
            <v>GX形　短管２号　</v>
          </cell>
          <cell r="D130" t="str">
            <v>φ150　　10．0Ｋ</v>
          </cell>
          <cell r="E130">
            <v>0.4</v>
          </cell>
        </row>
        <row r="131">
          <cell r="A131" t="str">
            <v/>
          </cell>
          <cell r="B131" t="str">
            <v>S8721</v>
          </cell>
          <cell r="C131" t="str">
            <v>GX形　短管２号　</v>
          </cell>
          <cell r="D131" t="str">
            <v>φ200　　10．0Ｋ</v>
          </cell>
          <cell r="E131">
            <v>0.41</v>
          </cell>
        </row>
        <row r="132">
          <cell r="A132" t="str">
            <v/>
          </cell>
          <cell r="B132" t="str">
            <v>S8721</v>
          </cell>
          <cell r="C132" t="str">
            <v>GX形　短管２号　</v>
          </cell>
          <cell r="D132" t="str">
            <v>φ250　　10．0Ｋ</v>
          </cell>
          <cell r="E132">
            <v>0.46</v>
          </cell>
        </row>
        <row r="133">
          <cell r="A133" t="str">
            <v/>
          </cell>
          <cell r="B133" t="str">
            <v>S8721</v>
          </cell>
          <cell r="C133" t="str">
            <v>GX形　短管２号　</v>
          </cell>
          <cell r="D133" t="str">
            <v>φ300　　10．0Ｋ</v>
          </cell>
          <cell r="E133">
            <v>0.48</v>
          </cell>
        </row>
        <row r="134">
          <cell r="A134" t="str">
            <v/>
          </cell>
          <cell r="B134" t="str">
            <v>S8721</v>
          </cell>
          <cell r="C134" t="str">
            <v>GX形　短管２号　</v>
          </cell>
          <cell r="D134" t="str">
            <v>φ400　　10．0Ｋ</v>
          </cell>
          <cell r="E134">
            <v>0.51</v>
          </cell>
        </row>
        <row r="135">
          <cell r="A135" t="str">
            <v/>
          </cell>
          <cell r="B135" t="str">
            <v>S8721</v>
          </cell>
          <cell r="C135" t="str">
            <v>GX形　両受短管</v>
          </cell>
          <cell r="D135" t="str">
            <v>φ75</v>
          </cell>
          <cell r="E135">
            <v>0.02</v>
          </cell>
        </row>
        <row r="136">
          <cell r="A136" t="str">
            <v/>
          </cell>
          <cell r="B136" t="str">
            <v>S8721</v>
          </cell>
          <cell r="C136" t="str">
            <v>GX形　両受短管</v>
          </cell>
          <cell r="D136" t="str">
            <v>φ100</v>
          </cell>
          <cell r="E136">
            <v>0.02</v>
          </cell>
        </row>
        <row r="137">
          <cell r="A137" t="str">
            <v/>
          </cell>
          <cell r="B137" t="str">
            <v>S8721</v>
          </cell>
          <cell r="C137" t="str">
            <v>GX形　両受短管</v>
          </cell>
          <cell r="D137" t="str">
            <v>φ150</v>
          </cell>
          <cell r="E137">
            <v>0.02</v>
          </cell>
        </row>
        <row r="138">
          <cell r="A138" t="str">
            <v/>
          </cell>
          <cell r="B138" t="str">
            <v>S8721</v>
          </cell>
          <cell r="C138" t="str">
            <v>GX形　両受短管</v>
          </cell>
          <cell r="D138" t="str">
            <v>φ200</v>
          </cell>
          <cell r="E138">
            <v>0.02</v>
          </cell>
        </row>
        <row r="139">
          <cell r="A139" t="str">
            <v/>
          </cell>
          <cell r="B139" t="str">
            <v>S8721</v>
          </cell>
          <cell r="C139" t="str">
            <v>GX形　両受短管</v>
          </cell>
          <cell r="D139" t="str">
            <v>φ250</v>
          </cell>
          <cell r="E139">
            <v>0.02</v>
          </cell>
        </row>
        <row r="140">
          <cell r="A140" t="str">
            <v/>
          </cell>
          <cell r="B140" t="str">
            <v>S8721</v>
          </cell>
          <cell r="C140" t="str">
            <v>GX形　両受短管</v>
          </cell>
          <cell r="D140" t="str">
            <v>φ300</v>
          </cell>
          <cell r="E140">
            <v>0.02</v>
          </cell>
        </row>
        <row r="141">
          <cell r="A141" t="str">
            <v/>
          </cell>
          <cell r="B141" t="str">
            <v>S8721</v>
          </cell>
          <cell r="C141" t="str">
            <v>GX形　両受短管</v>
          </cell>
          <cell r="D141" t="str">
            <v>φ400</v>
          </cell>
          <cell r="E141">
            <v>0.02</v>
          </cell>
        </row>
        <row r="142">
          <cell r="A142" t="str">
            <v/>
          </cell>
          <cell r="B142" t="str">
            <v>S8720</v>
          </cell>
          <cell r="C142" t="str">
            <v>GX形　フランジ付丁字管</v>
          </cell>
          <cell r="D142" t="str">
            <v>φ75×φ75　　7．5Ｋ</v>
          </cell>
          <cell r="E142">
            <v>0.44</v>
          </cell>
        </row>
        <row r="143">
          <cell r="A143" t="str">
            <v/>
          </cell>
          <cell r="B143" t="str">
            <v>S8720</v>
          </cell>
          <cell r="C143" t="str">
            <v>GX形　フランジ付丁字管</v>
          </cell>
          <cell r="D143" t="str">
            <v>φ100×φ75　　7．5Ｋ</v>
          </cell>
          <cell r="E143">
            <v>0.44</v>
          </cell>
        </row>
        <row r="144">
          <cell r="A144" t="str">
            <v/>
          </cell>
          <cell r="B144" t="str">
            <v>S8720</v>
          </cell>
          <cell r="C144" t="str">
            <v>GX形　フランジ付丁字管</v>
          </cell>
          <cell r="D144" t="str">
            <v>φ150×φ75　　7．5Ｋ</v>
          </cell>
          <cell r="E144">
            <v>0.45</v>
          </cell>
        </row>
        <row r="145">
          <cell r="A145" t="str">
            <v/>
          </cell>
          <cell r="B145" t="str">
            <v>S8720</v>
          </cell>
          <cell r="C145" t="str">
            <v>GX形　フランジ付丁字管</v>
          </cell>
          <cell r="D145" t="str">
            <v>φ200×φ75　　7．5Ｋ</v>
          </cell>
          <cell r="E145">
            <v>0.47</v>
          </cell>
        </row>
        <row r="146">
          <cell r="A146" t="str">
            <v/>
          </cell>
          <cell r="B146" t="str">
            <v>S8720</v>
          </cell>
          <cell r="C146" t="str">
            <v>GX形　フランジ付丁字管</v>
          </cell>
          <cell r="D146" t="str">
            <v>φ250×φ75　　7．5Ｋ</v>
          </cell>
          <cell r="E146">
            <v>0.47</v>
          </cell>
        </row>
        <row r="147">
          <cell r="A147" t="str">
            <v/>
          </cell>
          <cell r="B147" t="str">
            <v>S8720</v>
          </cell>
          <cell r="C147" t="str">
            <v>GX形　フランジ付丁字管</v>
          </cell>
          <cell r="D147" t="str">
            <v>φ300×φ75　　7．5Ｋ</v>
          </cell>
          <cell r="E147">
            <v>0.46</v>
          </cell>
        </row>
        <row r="148">
          <cell r="A148" t="str">
            <v/>
          </cell>
          <cell r="B148" t="str">
            <v>S8720</v>
          </cell>
          <cell r="C148" t="str">
            <v>GX形　フランジ付丁字管</v>
          </cell>
          <cell r="D148" t="str">
            <v>φ300×φ100　　7．5Ｋ</v>
          </cell>
          <cell r="E148">
            <v>0.48499999999999999</v>
          </cell>
        </row>
        <row r="149">
          <cell r="A149" t="str">
            <v/>
          </cell>
          <cell r="B149" t="str">
            <v>S8720</v>
          </cell>
          <cell r="C149" t="str">
            <v>GX形　フランジ付丁字管</v>
          </cell>
          <cell r="D149" t="str">
            <v>φ400×φ75　　7．5Ｋ</v>
          </cell>
          <cell r="E149">
            <v>0.46500000000000002</v>
          </cell>
        </row>
        <row r="150">
          <cell r="A150" t="str">
            <v/>
          </cell>
          <cell r="B150" t="str">
            <v>S8720</v>
          </cell>
          <cell r="C150" t="str">
            <v>GX形　フランジ付丁字管</v>
          </cell>
          <cell r="D150" t="str">
            <v>φ400×φ100　　7．5Ｋ</v>
          </cell>
          <cell r="E150">
            <v>0.48499999999999999</v>
          </cell>
        </row>
        <row r="151">
          <cell r="A151" t="str">
            <v/>
          </cell>
          <cell r="B151" t="str">
            <v>S8720</v>
          </cell>
          <cell r="C151" t="str">
            <v>GX形　排水丁字管</v>
          </cell>
          <cell r="D151" t="str">
            <v>φ300×φ100</v>
          </cell>
          <cell r="E151">
            <v>0.28000000000000003</v>
          </cell>
        </row>
        <row r="152">
          <cell r="A152" t="str">
            <v/>
          </cell>
          <cell r="B152" t="str">
            <v>S8720</v>
          </cell>
          <cell r="C152" t="str">
            <v>GX形　排水丁字管</v>
          </cell>
          <cell r="D152" t="str">
            <v>φ400×φ150</v>
          </cell>
          <cell r="E152">
            <v>0.35</v>
          </cell>
        </row>
        <row r="153">
          <cell r="A153" t="str">
            <v/>
          </cell>
          <cell r="B153" t="str">
            <v>S8765</v>
          </cell>
          <cell r="C153" t="str">
            <v>GX形　ライナー</v>
          </cell>
          <cell r="D153" t="str">
            <v>φ75</v>
          </cell>
          <cell r="E153">
            <v>2.9000000000000001E-2</v>
          </cell>
        </row>
        <row r="154">
          <cell r="A154" t="str">
            <v/>
          </cell>
          <cell r="B154" t="str">
            <v>S8765</v>
          </cell>
          <cell r="C154" t="str">
            <v>GX形　ライナー</v>
          </cell>
          <cell r="D154" t="str">
            <v>φ100</v>
          </cell>
          <cell r="E154">
            <v>2.9000000000000001E-2</v>
          </cell>
        </row>
        <row r="155">
          <cell r="A155">
            <v>25</v>
          </cell>
          <cell r="B155" t="str">
            <v>S8765</v>
          </cell>
          <cell r="C155" t="str">
            <v>GX形　ライナー</v>
          </cell>
          <cell r="D155" t="str">
            <v>φ150</v>
          </cell>
          <cell r="E155">
            <v>3.9E-2</v>
          </cell>
        </row>
        <row r="156">
          <cell r="A156">
            <v>26</v>
          </cell>
          <cell r="B156" t="str">
            <v>S8765</v>
          </cell>
          <cell r="C156" t="str">
            <v>GX形　ライナー</v>
          </cell>
          <cell r="D156" t="str">
            <v>φ200</v>
          </cell>
          <cell r="E156">
            <v>3.9E-2</v>
          </cell>
        </row>
        <row r="157">
          <cell r="A157" t="str">
            <v/>
          </cell>
          <cell r="B157" t="str">
            <v>S8765</v>
          </cell>
          <cell r="C157" t="str">
            <v>GX形　ライナー</v>
          </cell>
          <cell r="D157" t="str">
            <v>φ250</v>
          </cell>
          <cell r="E157">
            <v>3.9E-2</v>
          </cell>
        </row>
        <row r="158">
          <cell r="A158" t="str">
            <v/>
          </cell>
          <cell r="B158" t="str">
            <v>S8765</v>
          </cell>
          <cell r="C158" t="str">
            <v>GX形　ライナー</v>
          </cell>
          <cell r="D158" t="str">
            <v>φ300</v>
          </cell>
          <cell r="E158">
            <v>5.3999999999999999E-2</v>
          </cell>
        </row>
        <row r="159">
          <cell r="A159" t="str">
            <v/>
          </cell>
          <cell r="B159" t="str">
            <v>S8765</v>
          </cell>
          <cell r="C159" t="str">
            <v>GX形　ライナー</v>
          </cell>
          <cell r="D159" t="str">
            <v>φ400</v>
          </cell>
          <cell r="E159">
            <v>5.5E-2</v>
          </cell>
        </row>
        <row r="160">
          <cell r="A160" t="str">
            <v/>
          </cell>
          <cell r="B160" t="str">
            <v>S8740</v>
          </cell>
          <cell r="C160" t="str">
            <v>GX形　帽</v>
          </cell>
          <cell r="D160" t="str">
            <v>φ75　</v>
          </cell>
        </row>
        <row r="161">
          <cell r="A161" t="str">
            <v/>
          </cell>
          <cell r="B161" t="str">
            <v>S8740</v>
          </cell>
          <cell r="C161" t="str">
            <v>GX形　帽</v>
          </cell>
          <cell r="D161" t="str">
            <v>φ100</v>
          </cell>
        </row>
        <row r="162">
          <cell r="A162">
            <v>27</v>
          </cell>
          <cell r="B162" t="str">
            <v>S8740</v>
          </cell>
          <cell r="C162" t="str">
            <v>GX形　帽</v>
          </cell>
          <cell r="D162" t="str">
            <v>φ150</v>
          </cell>
        </row>
        <row r="163">
          <cell r="A163" t="str">
            <v/>
          </cell>
          <cell r="B163" t="str">
            <v>S8740</v>
          </cell>
          <cell r="C163" t="str">
            <v>GX形　帽</v>
          </cell>
          <cell r="D163" t="str">
            <v>φ200</v>
          </cell>
        </row>
        <row r="164">
          <cell r="A164" t="str">
            <v/>
          </cell>
          <cell r="B164" t="str">
            <v>S8740</v>
          </cell>
          <cell r="C164" t="str">
            <v>GX形　帽</v>
          </cell>
          <cell r="D164" t="str">
            <v>φ250</v>
          </cell>
        </row>
        <row r="165">
          <cell r="A165" t="str">
            <v/>
          </cell>
          <cell r="B165" t="str">
            <v>S8740</v>
          </cell>
          <cell r="C165" t="str">
            <v>GX形　帽</v>
          </cell>
          <cell r="D165" t="str">
            <v>φ300</v>
          </cell>
        </row>
        <row r="166">
          <cell r="A166" t="str">
            <v/>
          </cell>
          <cell r="B166" t="str">
            <v>S8740</v>
          </cell>
          <cell r="C166" t="str">
            <v>GX形　帽</v>
          </cell>
          <cell r="D166" t="str">
            <v>φ400</v>
          </cell>
        </row>
        <row r="167">
          <cell r="A167" t="str">
            <v/>
          </cell>
          <cell r="B167" t="str">
            <v>S8765</v>
          </cell>
          <cell r="C167" t="str">
            <v>GX形　挿口リング</v>
          </cell>
          <cell r="D167" t="str">
            <v>φ75　</v>
          </cell>
        </row>
        <row r="168">
          <cell r="A168" t="str">
            <v/>
          </cell>
          <cell r="B168" t="str">
            <v>S8765</v>
          </cell>
          <cell r="C168" t="str">
            <v>GX形　挿口リング</v>
          </cell>
          <cell r="D168" t="str">
            <v>φ100</v>
          </cell>
        </row>
        <row r="169">
          <cell r="A169">
            <v>28</v>
          </cell>
          <cell r="B169" t="str">
            <v>S8765</v>
          </cell>
          <cell r="C169" t="str">
            <v>GX形　挿口リング</v>
          </cell>
          <cell r="D169" t="str">
            <v>φ150</v>
          </cell>
        </row>
        <row r="170">
          <cell r="A170">
            <v>29</v>
          </cell>
          <cell r="B170" t="str">
            <v>S8765</v>
          </cell>
          <cell r="C170" t="str">
            <v>GX形　挿口リング</v>
          </cell>
          <cell r="D170" t="str">
            <v>φ200</v>
          </cell>
        </row>
        <row r="171">
          <cell r="A171" t="str">
            <v/>
          </cell>
          <cell r="B171" t="str">
            <v>S8765</v>
          </cell>
          <cell r="C171" t="str">
            <v>GX形　挿口リング</v>
          </cell>
          <cell r="D171" t="str">
            <v>φ250</v>
          </cell>
        </row>
        <row r="172">
          <cell r="A172">
            <v>30</v>
          </cell>
          <cell r="B172" t="str">
            <v>S8765</v>
          </cell>
          <cell r="C172" t="str">
            <v>GX形　挿口リング</v>
          </cell>
          <cell r="D172" t="str">
            <v>φ300</v>
          </cell>
        </row>
        <row r="173">
          <cell r="A173" t="str">
            <v/>
          </cell>
          <cell r="B173" t="str">
            <v>S8765</v>
          </cell>
          <cell r="C173" t="str">
            <v>GX形　挿口リング</v>
          </cell>
          <cell r="D173" t="str">
            <v>φ400</v>
          </cell>
        </row>
        <row r="174">
          <cell r="A174" t="str">
            <v/>
          </cell>
          <cell r="B174" t="str">
            <v>物価版</v>
          </cell>
          <cell r="C174" t="str">
            <v>GX形　挿口リング(継輪用)</v>
          </cell>
          <cell r="D174" t="str">
            <v>φ400</v>
          </cell>
        </row>
        <row r="175">
          <cell r="A175" t="str">
            <v/>
          </cell>
          <cell r="B175" t="str">
            <v>S8765</v>
          </cell>
          <cell r="C175" t="str">
            <v>GX形　異形管接合材　</v>
          </cell>
          <cell r="D175" t="str">
            <v>φ75</v>
          </cell>
        </row>
        <row r="176">
          <cell r="A176" t="str">
            <v/>
          </cell>
          <cell r="B176" t="str">
            <v>S8765</v>
          </cell>
          <cell r="C176" t="str">
            <v>GX形　異形管接合材　</v>
          </cell>
          <cell r="D176" t="str">
            <v>φ100</v>
          </cell>
        </row>
        <row r="177">
          <cell r="A177">
            <v>31</v>
          </cell>
          <cell r="B177" t="str">
            <v>S8765</v>
          </cell>
          <cell r="C177" t="str">
            <v>GX形　異形管接合材　</v>
          </cell>
          <cell r="D177" t="str">
            <v>φ150</v>
          </cell>
        </row>
        <row r="178">
          <cell r="A178">
            <v>32</v>
          </cell>
          <cell r="B178" t="str">
            <v>S8765</v>
          </cell>
          <cell r="C178" t="str">
            <v>GX形　異形管接合材　</v>
          </cell>
          <cell r="D178" t="str">
            <v>φ200</v>
          </cell>
        </row>
        <row r="179">
          <cell r="A179" t="str">
            <v/>
          </cell>
          <cell r="B179" t="str">
            <v>S8765</v>
          </cell>
          <cell r="C179" t="str">
            <v>GX形　異形管接合材　</v>
          </cell>
          <cell r="D179" t="str">
            <v>φ250</v>
          </cell>
        </row>
        <row r="180">
          <cell r="A180">
            <v>33</v>
          </cell>
          <cell r="B180" t="str">
            <v>S8765</v>
          </cell>
          <cell r="C180" t="str">
            <v>GX形　異形管接合材　</v>
          </cell>
          <cell r="D180" t="str">
            <v>φ300</v>
          </cell>
        </row>
        <row r="181">
          <cell r="A181" t="str">
            <v/>
          </cell>
          <cell r="B181" t="str">
            <v>S8765</v>
          </cell>
          <cell r="C181" t="str">
            <v>GX形　異形管接合材　</v>
          </cell>
          <cell r="D181" t="str">
            <v>φ400</v>
          </cell>
        </row>
        <row r="182">
          <cell r="A182" t="str">
            <v/>
          </cell>
          <cell r="B182" t="str">
            <v>S8765</v>
          </cell>
          <cell r="C182" t="str">
            <v>Ｐ－Ｌｉｎｋ</v>
          </cell>
          <cell r="D182" t="str">
            <v>φ75　接合材料を含む</v>
          </cell>
          <cell r="E182">
            <v>0.18</v>
          </cell>
        </row>
        <row r="183">
          <cell r="A183" t="str">
            <v/>
          </cell>
          <cell r="B183" t="str">
            <v>S8765</v>
          </cell>
          <cell r="C183" t="str">
            <v>Ｐ－Ｌｉｎｋ</v>
          </cell>
          <cell r="D183" t="str">
            <v>φ100　接合材料を含む</v>
          </cell>
          <cell r="E183">
            <v>0.18</v>
          </cell>
        </row>
        <row r="184">
          <cell r="A184" t="str">
            <v/>
          </cell>
          <cell r="B184" t="str">
            <v>S8765</v>
          </cell>
          <cell r="C184" t="str">
            <v>Ｐ－Ｌｉｎｋ</v>
          </cell>
          <cell r="D184" t="str">
            <v>φ150　接合材料を含む</v>
          </cell>
          <cell r="E184">
            <v>0.21</v>
          </cell>
        </row>
        <row r="185">
          <cell r="A185" t="str">
            <v/>
          </cell>
          <cell r="B185" t="str">
            <v>S8765</v>
          </cell>
          <cell r="C185" t="str">
            <v>Ｐ－Ｌｉｎｋ</v>
          </cell>
          <cell r="D185" t="str">
            <v>φ200　接合材料を含む</v>
          </cell>
          <cell r="E185">
            <v>0.22</v>
          </cell>
        </row>
        <row r="186">
          <cell r="A186" t="str">
            <v/>
          </cell>
          <cell r="B186" t="str">
            <v>S8765</v>
          </cell>
          <cell r="C186" t="str">
            <v>Ｐ－Ｌｉｎｋ</v>
          </cell>
          <cell r="D186" t="str">
            <v>φ250　接合材料を含む</v>
          </cell>
          <cell r="E186">
            <v>0.22</v>
          </cell>
        </row>
        <row r="187">
          <cell r="A187" t="str">
            <v/>
          </cell>
          <cell r="B187" t="str">
            <v>S8765</v>
          </cell>
          <cell r="C187" t="str">
            <v>Ｐ－Ｌｉｎｋ</v>
          </cell>
          <cell r="D187" t="str">
            <v>φ300　接合材料を含む</v>
          </cell>
          <cell r="E187">
            <v>0.26700000000000002</v>
          </cell>
        </row>
        <row r="188">
          <cell r="A188" t="str">
            <v/>
          </cell>
          <cell r="B188" t="str">
            <v>S8765</v>
          </cell>
          <cell r="C188" t="str">
            <v>Ｇ－Ｌｉｎｋ</v>
          </cell>
          <cell r="D188" t="str">
            <v>φ75　接合材料を含む</v>
          </cell>
        </row>
        <row r="189">
          <cell r="A189" t="str">
            <v/>
          </cell>
          <cell r="B189" t="str">
            <v>S8765</v>
          </cell>
          <cell r="C189" t="str">
            <v>Ｇ－Ｌｉｎｋ</v>
          </cell>
          <cell r="D189" t="str">
            <v>φ100　接合材料を含む</v>
          </cell>
        </row>
        <row r="190">
          <cell r="A190" t="str">
            <v/>
          </cell>
          <cell r="B190" t="str">
            <v>S8765</v>
          </cell>
          <cell r="C190" t="str">
            <v>Ｇ－Ｌｉｎｋ</v>
          </cell>
          <cell r="D190" t="str">
            <v>φ150　接合材料を含む</v>
          </cell>
        </row>
        <row r="191">
          <cell r="A191" t="str">
            <v/>
          </cell>
          <cell r="B191" t="str">
            <v>S8765</v>
          </cell>
          <cell r="C191" t="str">
            <v>Ｇ－Ｌｉｎｋ</v>
          </cell>
          <cell r="D191" t="str">
            <v>φ200　接合材料を含む</v>
          </cell>
        </row>
        <row r="192">
          <cell r="A192" t="str">
            <v/>
          </cell>
          <cell r="B192" t="str">
            <v>S8765</v>
          </cell>
          <cell r="C192" t="str">
            <v>Ｇ－Ｌｉｎｋ</v>
          </cell>
          <cell r="D192" t="str">
            <v>φ250　接合材料を含む</v>
          </cell>
        </row>
        <row r="193">
          <cell r="A193" t="str">
            <v/>
          </cell>
          <cell r="B193" t="str">
            <v>S8765</v>
          </cell>
          <cell r="C193" t="str">
            <v>Ｇ－Ｌｉｎｋ</v>
          </cell>
          <cell r="D193" t="str">
            <v>φ300　接合材料を含む</v>
          </cell>
        </row>
        <row r="194">
          <cell r="A194" t="str">
            <v/>
          </cell>
          <cell r="B194" t="str">
            <v>S8765</v>
          </cell>
          <cell r="C194" t="str">
            <v>GX形　特殊押輪</v>
          </cell>
          <cell r="D194" t="str">
            <v>φ75　接合材料を含む</v>
          </cell>
        </row>
        <row r="195">
          <cell r="A195" t="str">
            <v/>
          </cell>
          <cell r="B195" t="str">
            <v>S8765</v>
          </cell>
          <cell r="C195" t="str">
            <v>GX形　特殊押輪</v>
          </cell>
          <cell r="D195" t="str">
            <v>φ100　接合材料を含む</v>
          </cell>
        </row>
        <row r="196">
          <cell r="A196">
            <v>34</v>
          </cell>
          <cell r="B196" t="str">
            <v>S8765</v>
          </cell>
          <cell r="C196" t="str">
            <v>GX形　特殊押輪</v>
          </cell>
          <cell r="D196" t="str">
            <v>φ150　接合材料を含む</v>
          </cell>
        </row>
        <row r="197">
          <cell r="A197">
            <v>35</v>
          </cell>
          <cell r="B197" t="str">
            <v>S8765</v>
          </cell>
          <cell r="C197" t="str">
            <v>GX形　特殊押輪</v>
          </cell>
          <cell r="D197" t="str">
            <v>φ200　接合材料を含む</v>
          </cell>
        </row>
        <row r="198">
          <cell r="A198" t="str">
            <v/>
          </cell>
          <cell r="B198" t="str">
            <v>S8765</v>
          </cell>
          <cell r="C198" t="str">
            <v>GX形　特殊押輪</v>
          </cell>
          <cell r="D198" t="str">
            <v>φ250　接合材料を含む</v>
          </cell>
        </row>
        <row r="199">
          <cell r="A199" t="str">
            <v/>
          </cell>
          <cell r="B199" t="str">
            <v>S8765</v>
          </cell>
          <cell r="C199" t="str">
            <v>GX形　特殊押輪</v>
          </cell>
          <cell r="D199" t="str">
            <v>φ300　接合材料を含む</v>
          </cell>
        </row>
        <row r="200">
          <cell r="A200" t="str">
            <v/>
          </cell>
          <cell r="B200" t="str">
            <v>S8765</v>
          </cell>
          <cell r="C200" t="str">
            <v>GX形　特殊押輪</v>
          </cell>
          <cell r="D200" t="str">
            <v>φ400　接合材料を含む</v>
          </cell>
        </row>
        <row r="201">
          <cell r="A201" t="str">
            <v/>
          </cell>
          <cell r="B201" t="str">
            <v>S8765</v>
          </cell>
          <cell r="C201" t="str">
            <v>GX形　ゴムリング</v>
          </cell>
          <cell r="D201" t="str">
            <v>φ75</v>
          </cell>
        </row>
        <row r="202">
          <cell r="A202" t="str">
            <v/>
          </cell>
          <cell r="B202" t="str">
            <v>S8765</v>
          </cell>
          <cell r="C202" t="str">
            <v>GX形　ゴムリング</v>
          </cell>
          <cell r="D202" t="str">
            <v>φ100</v>
          </cell>
        </row>
        <row r="203">
          <cell r="A203" t="str">
            <v/>
          </cell>
          <cell r="B203" t="str">
            <v>S8765</v>
          </cell>
          <cell r="C203" t="str">
            <v>GX形　ゴムリング</v>
          </cell>
          <cell r="D203" t="str">
            <v>φ150</v>
          </cell>
        </row>
        <row r="204">
          <cell r="A204" t="str">
            <v/>
          </cell>
          <cell r="B204" t="str">
            <v>S8765</v>
          </cell>
          <cell r="C204" t="str">
            <v>GX形　ゴムリング</v>
          </cell>
          <cell r="D204" t="str">
            <v>φ200</v>
          </cell>
        </row>
        <row r="205">
          <cell r="A205" t="str">
            <v/>
          </cell>
          <cell r="B205" t="str">
            <v>S8765</v>
          </cell>
          <cell r="C205" t="str">
            <v>GX形　ゴムリング</v>
          </cell>
          <cell r="D205" t="str">
            <v>φ250</v>
          </cell>
        </row>
        <row r="206">
          <cell r="A206" t="str">
            <v/>
          </cell>
          <cell r="B206" t="str">
            <v>S8765</v>
          </cell>
          <cell r="C206" t="str">
            <v>GX形　ゴムリング</v>
          </cell>
          <cell r="D206" t="str">
            <v>φ300</v>
          </cell>
        </row>
        <row r="207">
          <cell r="A207" t="str">
            <v/>
          </cell>
          <cell r="B207" t="str">
            <v>S8765</v>
          </cell>
          <cell r="C207" t="str">
            <v>GX形　ゴムリング</v>
          </cell>
          <cell r="D207" t="str">
            <v>φ400</v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>
            <v>36</v>
          </cell>
          <cell r="B219" t="str">
            <v>■NS形</v>
          </cell>
        </row>
        <row r="220">
          <cell r="A220" t="str">
            <v/>
          </cell>
          <cell r="B220" t="str">
            <v>S8713</v>
          </cell>
          <cell r="C220" t="str">
            <v>NS形　直　管</v>
          </cell>
          <cell r="D220" t="str">
            <v>φ75　1種管</v>
          </cell>
          <cell r="E220">
            <v>4</v>
          </cell>
        </row>
        <row r="221">
          <cell r="A221" t="str">
            <v/>
          </cell>
          <cell r="B221" t="str">
            <v>S8713</v>
          </cell>
          <cell r="C221" t="str">
            <v>NS形　直　管</v>
          </cell>
          <cell r="D221" t="str">
            <v>φ100　1種管</v>
          </cell>
          <cell r="E221">
            <v>4</v>
          </cell>
        </row>
        <row r="222">
          <cell r="A222" t="str">
            <v/>
          </cell>
          <cell r="B222" t="str">
            <v>S8713</v>
          </cell>
          <cell r="C222" t="str">
            <v>NS形　直　管</v>
          </cell>
          <cell r="D222" t="str">
            <v>φ150　1種管</v>
          </cell>
          <cell r="E222">
            <v>5</v>
          </cell>
        </row>
        <row r="223">
          <cell r="A223">
            <v>37</v>
          </cell>
          <cell r="B223" t="str">
            <v>S8713</v>
          </cell>
          <cell r="C223" t="str">
            <v>NS形　直　管</v>
          </cell>
          <cell r="D223" t="str">
            <v>φ200　1種管</v>
          </cell>
          <cell r="E223">
            <v>5</v>
          </cell>
        </row>
        <row r="224">
          <cell r="A224" t="str">
            <v/>
          </cell>
          <cell r="B224" t="str">
            <v>S8713</v>
          </cell>
          <cell r="C224" t="str">
            <v>NS形　直　管</v>
          </cell>
          <cell r="D224" t="str">
            <v>φ300　1種管</v>
          </cell>
          <cell r="E224">
            <v>6</v>
          </cell>
        </row>
        <row r="225">
          <cell r="A225" t="str">
            <v/>
          </cell>
          <cell r="B225" t="str">
            <v>S8713</v>
          </cell>
          <cell r="C225" t="str">
            <v>NS形　直　管</v>
          </cell>
          <cell r="D225" t="str">
            <v>φ400　1種管</v>
          </cell>
          <cell r="E225">
            <v>6</v>
          </cell>
        </row>
        <row r="226">
          <cell r="A226" t="str">
            <v/>
          </cell>
          <cell r="C226" t="str">
            <v>NS形　直　管</v>
          </cell>
          <cell r="D226" t="str">
            <v>φ400　3種管</v>
          </cell>
          <cell r="E226">
            <v>6</v>
          </cell>
        </row>
        <row r="227">
          <cell r="A227" t="str">
            <v/>
          </cell>
          <cell r="B227" t="str">
            <v>S8723</v>
          </cell>
          <cell r="C227" t="str">
            <v>NS形　曲　管</v>
          </cell>
          <cell r="D227" t="str">
            <v>φ75　90度</v>
          </cell>
          <cell r="E227">
            <v>0.47</v>
          </cell>
        </row>
        <row r="228">
          <cell r="A228" t="str">
            <v/>
          </cell>
          <cell r="B228" t="str">
            <v>S8723</v>
          </cell>
          <cell r="C228" t="str">
            <v>NS形　曲　管</v>
          </cell>
          <cell r="D228" t="str">
            <v>φ100　90度</v>
          </cell>
          <cell r="E228">
            <v>0.50900000000000001</v>
          </cell>
        </row>
        <row r="229">
          <cell r="A229" t="str">
            <v/>
          </cell>
          <cell r="B229" t="str">
            <v>S8723</v>
          </cell>
          <cell r="C229" t="str">
            <v>NS形　曲　管</v>
          </cell>
          <cell r="D229" t="str">
            <v>φ150　90度</v>
          </cell>
          <cell r="E229">
            <v>0.58799999999999997</v>
          </cell>
        </row>
        <row r="230">
          <cell r="A230" t="str">
            <v/>
          </cell>
          <cell r="B230" t="str">
            <v>S8723</v>
          </cell>
          <cell r="C230" t="str">
            <v>NS形　曲　管</v>
          </cell>
          <cell r="D230" t="str">
            <v>φ200　90度</v>
          </cell>
          <cell r="E230">
            <v>0.66600000000000004</v>
          </cell>
        </row>
        <row r="231">
          <cell r="A231" t="str">
            <v/>
          </cell>
          <cell r="B231" t="str">
            <v>S8723</v>
          </cell>
          <cell r="C231" t="str">
            <v>NS形　曲　管</v>
          </cell>
          <cell r="D231" t="str">
            <v>φ300　90度</v>
          </cell>
          <cell r="E231">
            <v>0.63100000000000001</v>
          </cell>
        </row>
        <row r="232">
          <cell r="A232" t="str">
            <v/>
          </cell>
          <cell r="B232" t="str">
            <v>S8723</v>
          </cell>
          <cell r="C232" t="str">
            <v>NS形　曲　管</v>
          </cell>
          <cell r="D232" t="str">
            <v>φ400　90度</v>
          </cell>
          <cell r="E232">
            <v>0.82099999999999995</v>
          </cell>
        </row>
        <row r="233">
          <cell r="A233" t="str">
            <v/>
          </cell>
          <cell r="B233" t="str">
            <v>S8723</v>
          </cell>
          <cell r="C233" t="str">
            <v>NS形　曲　管</v>
          </cell>
          <cell r="D233" t="str">
            <v>φ75　45度</v>
          </cell>
          <cell r="E233">
            <v>0.39700000000000002</v>
          </cell>
        </row>
        <row r="234">
          <cell r="A234" t="str">
            <v/>
          </cell>
          <cell r="B234" t="str">
            <v>S8723</v>
          </cell>
          <cell r="C234" t="str">
            <v>NS形　曲　管</v>
          </cell>
          <cell r="D234" t="str">
            <v>φ100　45度</v>
          </cell>
          <cell r="E234">
            <v>0.44600000000000001</v>
          </cell>
        </row>
        <row r="235">
          <cell r="A235" t="str">
            <v/>
          </cell>
          <cell r="B235" t="str">
            <v>S8723</v>
          </cell>
          <cell r="C235" t="str">
            <v>NS形　曲　管</v>
          </cell>
          <cell r="D235" t="str">
            <v>φ150　45度</v>
          </cell>
          <cell r="E235">
            <v>0.44400000000000001</v>
          </cell>
        </row>
        <row r="236">
          <cell r="A236" t="str">
            <v/>
          </cell>
          <cell r="B236" t="str">
            <v>S8723</v>
          </cell>
          <cell r="C236" t="str">
            <v>NS形　曲　管</v>
          </cell>
          <cell r="D236" t="str">
            <v>φ200　45度</v>
          </cell>
          <cell r="E236">
            <v>0.54200000000000004</v>
          </cell>
        </row>
        <row r="237">
          <cell r="A237" t="str">
            <v/>
          </cell>
          <cell r="B237" t="str">
            <v>S8723</v>
          </cell>
          <cell r="C237" t="str">
            <v>NS形　曲　管</v>
          </cell>
          <cell r="D237" t="str">
            <v>φ300　45度</v>
          </cell>
          <cell r="E237">
            <v>0.45</v>
          </cell>
        </row>
        <row r="238">
          <cell r="A238" t="str">
            <v/>
          </cell>
          <cell r="B238" t="str">
            <v>S8723</v>
          </cell>
          <cell r="C238" t="str">
            <v>NS形　曲　管</v>
          </cell>
          <cell r="D238" t="str">
            <v>φ400　45度</v>
          </cell>
          <cell r="E238">
            <v>0.55600000000000005</v>
          </cell>
        </row>
        <row r="239">
          <cell r="A239" t="str">
            <v/>
          </cell>
          <cell r="C239" t="str">
            <v>NS形　両受曲管</v>
          </cell>
          <cell r="D239" t="str">
            <v>φ300　45度</v>
          </cell>
          <cell r="E239">
            <v>0.25</v>
          </cell>
        </row>
        <row r="240">
          <cell r="A240" t="str">
            <v/>
          </cell>
          <cell r="C240" t="str">
            <v>NS形　両受曲管</v>
          </cell>
          <cell r="D240" t="str">
            <v>φ400　45度</v>
          </cell>
          <cell r="E240">
            <v>0.33600000000000002</v>
          </cell>
        </row>
        <row r="241">
          <cell r="A241" t="str">
            <v/>
          </cell>
          <cell r="B241" t="str">
            <v>S8723</v>
          </cell>
          <cell r="C241" t="str">
            <v>NS形　曲　管</v>
          </cell>
          <cell r="D241" t="str">
            <v>φ75　22度1/2</v>
          </cell>
          <cell r="E241">
            <v>0.35</v>
          </cell>
        </row>
        <row r="242">
          <cell r="A242" t="str">
            <v/>
          </cell>
          <cell r="B242" t="str">
            <v>S8723</v>
          </cell>
          <cell r="C242" t="str">
            <v>NS形　曲　管</v>
          </cell>
          <cell r="D242" t="str">
            <v>φ100　22度1/2</v>
          </cell>
          <cell r="E242">
            <v>0.4</v>
          </cell>
        </row>
        <row r="243">
          <cell r="A243" t="str">
            <v/>
          </cell>
          <cell r="B243" t="str">
            <v>S8723</v>
          </cell>
          <cell r="C243" t="str">
            <v>NS形　曲　管</v>
          </cell>
          <cell r="D243" t="str">
            <v>φ150　22度1/2</v>
          </cell>
          <cell r="E243">
            <v>0.44900000000000001</v>
          </cell>
        </row>
        <row r="244">
          <cell r="A244" t="str">
            <v/>
          </cell>
          <cell r="B244" t="str">
            <v>S8723</v>
          </cell>
          <cell r="C244" t="str">
            <v>NS形　曲　管</v>
          </cell>
          <cell r="D244" t="str">
            <v>φ200　22度1/2</v>
          </cell>
          <cell r="E244">
            <v>0.44900000000000001</v>
          </cell>
        </row>
        <row r="245">
          <cell r="A245" t="str">
            <v/>
          </cell>
          <cell r="B245" t="str">
            <v>S8723</v>
          </cell>
          <cell r="C245" t="str">
            <v>NS形　曲　管</v>
          </cell>
          <cell r="D245" t="str">
            <v>φ300　22度1/2</v>
          </cell>
          <cell r="E245">
            <v>0.36399999999999999</v>
          </cell>
        </row>
        <row r="246">
          <cell r="A246" t="str">
            <v/>
          </cell>
          <cell r="B246" t="str">
            <v>S8723</v>
          </cell>
          <cell r="C246" t="str">
            <v>NS形　曲　管</v>
          </cell>
          <cell r="D246" t="str">
            <v>φ400　22度1/2</v>
          </cell>
          <cell r="E246">
            <v>0.42299999999999999</v>
          </cell>
        </row>
        <row r="247">
          <cell r="A247" t="str">
            <v/>
          </cell>
          <cell r="C247" t="str">
            <v>NS形　両受曲管</v>
          </cell>
          <cell r="D247" t="str">
            <v>φ300　22度1/2</v>
          </cell>
          <cell r="E247">
            <v>0.16900000000000001</v>
          </cell>
        </row>
        <row r="248">
          <cell r="A248" t="str">
            <v/>
          </cell>
          <cell r="C248" t="str">
            <v>NS形　両受曲管</v>
          </cell>
          <cell r="D248" t="str">
            <v>φ400　22度1/2</v>
          </cell>
          <cell r="E248">
            <v>0.20799999999999999</v>
          </cell>
        </row>
        <row r="249">
          <cell r="A249" t="str">
            <v/>
          </cell>
          <cell r="B249" t="str">
            <v>S8723</v>
          </cell>
          <cell r="C249" t="str">
            <v>NS形　曲　管</v>
          </cell>
          <cell r="D249" t="str">
            <v>φ75　11度1/4</v>
          </cell>
          <cell r="E249">
            <v>0.35</v>
          </cell>
        </row>
        <row r="250">
          <cell r="A250" t="str">
            <v/>
          </cell>
          <cell r="B250" t="str">
            <v>S8723</v>
          </cell>
          <cell r="C250" t="str">
            <v>NS形　曲　管</v>
          </cell>
          <cell r="D250" t="str">
            <v>φ100　11度1/4</v>
          </cell>
          <cell r="E250">
            <v>0.35</v>
          </cell>
        </row>
        <row r="251">
          <cell r="A251" t="str">
            <v/>
          </cell>
          <cell r="B251" t="str">
            <v>S8723</v>
          </cell>
          <cell r="C251" t="str">
            <v>NS形　曲　管</v>
          </cell>
          <cell r="D251" t="str">
            <v>φ150　11度1/4</v>
          </cell>
          <cell r="E251">
            <v>0.35</v>
          </cell>
        </row>
        <row r="252">
          <cell r="A252" t="str">
            <v/>
          </cell>
          <cell r="B252" t="str">
            <v>S8723</v>
          </cell>
          <cell r="C252" t="str">
            <v>NS形　曲　管</v>
          </cell>
          <cell r="D252" t="str">
            <v>φ200　11度1/4</v>
          </cell>
          <cell r="E252">
            <v>0.45</v>
          </cell>
        </row>
        <row r="253">
          <cell r="A253" t="str">
            <v/>
          </cell>
          <cell r="B253" t="str">
            <v>S8723</v>
          </cell>
          <cell r="C253" t="str">
            <v>NS形　曲　管</v>
          </cell>
          <cell r="D253" t="str">
            <v>φ300　11度1/4</v>
          </cell>
          <cell r="E253">
            <v>0.32</v>
          </cell>
        </row>
        <row r="254">
          <cell r="A254" t="str">
            <v/>
          </cell>
          <cell r="B254" t="str">
            <v>S8723</v>
          </cell>
          <cell r="C254" t="str">
            <v>NS形　曲　管</v>
          </cell>
          <cell r="D254" t="str">
            <v>φ400　11度1/4</v>
          </cell>
          <cell r="E254">
            <v>0.36</v>
          </cell>
        </row>
        <row r="255">
          <cell r="A255" t="str">
            <v/>
          </cell>
          <cell r="B255" t="str">
            <v>S8723</v>
          </cell>
          <cell r="C255" t="str">
            <v>NS形　曲　管</v>
          </cell>
          <cell r="D255" t="str">
            <v>φ75　5度5/8</v>
          </cell>
          <cell r="E255">
            <v>0.35</v>
          </cell>
        </row>
        <row r="256">
          <cell r="A256" t="str">
            <v/>
          </cell>
          <cell r="B256" t="str">
            <v>S8723</v>
          </cell>
          <cell r="C256" t="str">
            <v>NS形　曲　管</v>
          </cell>
          <cell r="D256" t="str">
            <v>φ100　5度5/8</v>
          </cell>
          <cell r="E256">
            <v>0.35</v>
          </cell>
        </row>
        <row r="257">
          <cell r="A257" t="str">
            <v/>
          </cell>
          <cell r="B257" t="str">
            <v>S8723</v>
          </cell>
          <cell r="C257" t="str">
            <v>NS形　曲　管</v>
          </cell>
          <cell r="D257" t="str">
            <v>φ150　5度5/8</v>
          </cell>
          <cell r="E257">
            <v>0.35</v>
          </cell>
        </row>
        <row r="258">
          <cell r="A258" t="str">
            <v/>
          </cell>
          <cell r="B258" t="str">
            <v>S8723</v>
          </cell>
          <cell r="C258" t="str">
            <v>NS形　曲　管</v>
          </cell>
          <cell r="D258" t="str">
            <v>φ200　5度5/8</v>
          </cell>
          <cell r="E258">
            <v>0.45</v>
          </cell>
        </row>
        <row r="259">
          <cell r="A259" t="str">
            <v/>
          </cell>
          <cell r="B259" t="str">
            <v>S8723</v>
          </cell>
          <cell r="C259" t="str">
            <v>NS形　曲　管</v>
          </cell>
          <cell r="D259" t="str">
            <v>φ300　5度5/8</v>
          </cell>
          <cell r="E259">
            <v>0.29499999999999998</v>
          </cell>
        </row>
        <row r="260">
          <cell r="A260" t="str">
            <v/>
          </cell>
          <cell r="B260" t="str">
            <v>S8723</v>
          </cell>
          <cell r="C260" t="str">
            <v>NS形　曲　管</v>
          </cell>
          <cell r="D260" t="str">
            <v>φ400　5度5/8</v>
          </cell>
          <cell r="E260">
            <v>0.32500000000000001</v>
          </cell>
        </row>
        <row r="261">
          <cell r="A261" t="str">
            <v/>
          </cell>
          <cell r="B261" t="str">
            <v>S8723</v>
          </cell>
          <cell r="C261" t="str">
            <v>NS形　継輪（普通押輪）</v>
          </cell>
          <cell r="D261" t="str">
            <v>φ75</v>
          </cell>
          <cell r="E261">
            <v>0.22</v>
          </cell>
        </row>
        <row r="262">
          <cell r="A262" t="str">
            <v/>
          </cell>
          <cell r="B262" t="str">
            <v>S8723</v>
          </cell>
          <cell r="C262" t="str">
            <v>NS形　継輪（普通押輪）</v>
          </cell>
          <cell r="D262" t="str">
            <v>φ100</v>
          </cell>
          <cell r="E262">
            <v>0.22</v>
          </cell>
        </row>
        <row r="263">
          <cell r="A263" t="str">
            <v/>
          </cell>
          <cell r="B263" t="str">
            <v>S8723</v>
          </cell>
          <cell r="C263" t="str">
            <v>NS形　継輪（普通押輪）</v>
          </cell>
          <cell r="D263" t="str">
            <v>φ150</v>
          </cell>
          <cell r="E263">
            <v>0.25</v>
          </cell>
        </row>
        <row r="264">
          <cell r="A264" t="str">
            <v/>
          </cell>
          <cell r="B264" t="str">
            <v>S8723</v>
          </cell>
          <cell r="C264" t="str">
            <v>NS形　継輪（普通押輪）</v>
          </cell>
          <cell r="D264" t="str">
            <v>φ200</v>
          </cell>
          <cell r="E264">
            <v>0.25</v>
          </cell>
        </row>
        <row r="265">
          <cell r="A265" t="str">
            <v/>
          </cell>
          <cell r="B265" t="str">
            <v>S8723</v>
          </cell>
          <cell r="C265" t="str">
            <v>NS形　継輪（普通押輪）</v>
          </cell>
          <cell r="D265" t="str">
            <v>φ250</v>
          </cell>
          <cell r="E265">
            <v>0.25</v>
          </cell>
        </row>
        <row r="266">
          <cell r="A266" t="str">
            <v/>
          </cell>
          <cell r="B266" t="str">
            <v>S8723</v>
          </cell>
          <cell r="C266" t="str">
            <v>NS形　継輪（普通押輪）</v>
          </cell>
          <cell r="D266" t="str">
            <v>φ300</v>
          </cell>
          <cell r="E266">
            <v>0.3</v>
          </cell>
        </row>
        <row r="267">
          <cell r="A267" t="str">
            <v/>
          </cell>
          <cell r="B267" t="str">
            <v>S8723</v>
          </cell>
          <cell r="C267" t="str">
            <v>NS形　継輪（普通押輪）</v>
          </cell>
          <cell r="D267" t="str">
            <v>φ350</v>
          </cell>
          <cell r="E267">
            <v>0.3</v>
          </cell>
        </row>
        <row r="268">
          <cell r="A268" t="str">
            <v/>
          </cell>
          <cell r="B268" t="str">
            <v>S8723</v>
          </cell>
          <cell r="C268" t="str">
            <v>NS形　継輪（普通押輪）</v>
          </cell>
          <cell r="D268" t="str">
            <v>φ400</v>
          </cell>
          <cell r="E268">
            <v>0.3</v>
          </cell>
        </row>
        <row r="269">
          <cell r="A269" t="str">
            <v/>
          </cell>
          <cell r="B269" t="str">
            <v>S8723</v>
          </cell>
          <cell r="C269" t="str">
            <v>NS形　継輪（普通押輪）</v>
          </cell>
          <cell r="D269" t="str">
            <v>φ450</v>
          </cell>
          <cell r="E269">
            <v>0.3</v>
          </cell>
        </row>
        <row r="270">
          <cell r="A270" t="str">
            <v/>
          </cell>
          <cell r="B270" t="str">
            <v>S8723</v>
          </cell>
          <cell r="C270" t="str">
            <v>NS形　継輪（特殊割押輪）</v>
          </cell>
          <cell r="D270" t="str">
            <v>φ75</v>
          </cell>
          <cell r="E270">
            <v>0.22</v>
          </cell>
        </row>
        <row r="271">
          <cell r="A271" t="str">
            <v/>
          </cell>
          <cell r="B271" t="str">
            <v>S8723</v>
          </cell>
          <cell r="C271" t="str">
            <v>NS形　継輪（特殊割押輪）</v>
          </cell>
          <cell r="D271" t="str">
            <v>φ100</v>
          </cell>
          <cell r="E271">
            <v>0.22</v>
          </cell>
        </row>
        <row r="272">
          <cell r="A272" t="str">
            <v/>
          </cell>
          <cell r="B272" t="str">
            <v>S8723</v>
          </cell>
          <cell r="C272" t="str">
            <v>NS形　継輪（特殊割押輪）</v>
          </cell>
          <cell r="D272" t="str">
            <v>φ150</v>
          </cell>
          <cell r="E272">
            <v>0.25</v>
          </cell>
        </row>
        <row r="273">
          <cell r="A273" t="str">
            <v/>
          </cell>
          <cell r="B273" t="str">
            <v>S8723</v>
          </cell>
          <cell r="C273" t="str">
            <v>NS形　継輪（特殊割押輪）</v>
          </cell>
          <cell r="D273" t="str">
            <v>φ200</v>
          </cell>
          <cell r="E273">
            <v>0.25</v>
          </cell>
        </row>
        <row r="274">
          <cell r="A274" t="str">
            <v/>
          </cell>
          <cell r="B274" t="str">
            <v>S8723</v>
          </cell>
          <cell r="C274" t="str">
            <v>NS形　継輪（特殊割押輪）</v>
          </cell>
          <cell r="D274" t="str">
            <v>φ250</v>
          </cell>
          <cell r="E274">
            <v>0.25</v>
          </cell>
        </row>
        <row r="275">
          <cell r="A275" t="str">
            <v/>
          </cell>
          <cell r="B275" t="str">
            <v>S8723</v>
          </cell>
          <cell r="C275" t="str">
            <v>NS形　継輪（特殊割押輪）</v>
          </cell>
          <cell r="D275" t="str">
            <v>φ300</v>
          </cell>
          <cell r="E275">
            <v>0.3</v>
          </cell>
        </row>
        <row r="276">
          <cell r="A276" t="str">
            <v/>
          </cell>
          <cell r="B276" t="str">
            <v>S8723</v>
          </cell>
          <cell r="C276" t="str">
            <v>NS形　継輪（特殊割押輪）</v>
          </cell>
          <cell r="D276" t="str">
            <v>φ350</v>
          </cell>
          <cell r="E276">
            <v>0.3</v>
          </cell>
        </row>
        <row r="277">
          <cell r="A277" t="str">
            <v/>
          </cell>
          <cell r="B277" t="str">
            <v>S8723</v>
          </cell>
          <cell r="C277" t="str">
            <v>NS形　継輪（特殊割押輪）</v>
          </cell>
          <cell r="D277" t="str">
            <v>φ400</v>
          </cell>
          <cell r="E277">
            <v>0.3</v>
          </cell>
        </row>
        <row r="278">
          <cell r="A278" t="str">
            <v/>
          </cell>
          <cell r="B278" t="str">
            <v>S8723</v>
          </cell>
          <cell r="C278" t="str">
            <v>NS形　継輪（特殊割押輪）</v>
          </cell>
          <cell r="D278" t="str">
            <v>φ450</v>
          </cell>
          <cell r="E278">
            <v>0.3</v>
          </cell>
        </row>
        <row r="279">
          <cell r="A279" t="str">
            <v/>
          </cell>
          <cell r="B279" t="str">
            <v>S8722</v>
          </cell>
          <cell r="C279" t="str">
            <v>NS形　二受丁字管</v>
          </cell>
          <cell r="D279" t="str">
            <v>φ75×φ75</v>
          </cell>
          <cell r="E279">
            <v>0.45</v>
          </cell>
        </row>
        <row r="280">
          <cell r="A280" t="str">
            <v/>
          </cell>
          <cell r="B280" t="str">
            <v>S8722</v>
          </cell>
          <cell r="C280" t="str">
            <v>NS形　二受丁字管</v>
          </cell>
          <cell r="D280" t="str">
            <v>φ100×φ75</v>
          </cell>
          <cell r="E280">
            <v>0.45</v>
          </cell>
        </row>
        <row r="281">
          <cell r="A281" t="str">
            <v/>
          </cell>
          <cell r="B281" t="str">
            <v>S8722</v>
          </cell>
          <cell r="C281" t="str">
            <v>NS形　二受丁字管</v>
          </cell>
          <cell r="D281" t="str">
            <v>φ100×φ100</v>
          </cell>
          <cell r="E281">
            <v>0.5</v>
          </cell>
        </row>
        <row r="282">
          <cell r="A282" t="str">
            <v/>
          </cell>
          <cell r="B282" t="str">
            <v>S8722</v>
          </cell>
          <cell r="C282" t="str">
            <v>NS形　二受丁字管</v>
          </cell>
          <cell r="D282" t="str">
            <v>φ150×φ75</v>
          </cell>
          <cell r="E282">
            <v>0.45</v>
          </cell>
        </row>
        <row r="283">
          <cell r="A283" t="str">
            <v/>
          </cell>
          <cell r="B283" t="str">
            <v>S8722</v>
          </cell>
          <cell r="C283" t="str">
            <v>NS形　二受丁字管</v>
          </cell>
          <cell r="D283" t="str">
            <v>φ150×φ100</v>
          </cell>
          <cell r="E283">
            <v>0.55000000000000004</v>
          </cell>
        </row>
        <row r="284">
          <cell r="A284" t="str">
            <v/>
          </cell>
          <cell r="B284" t="str">
            <v>S8722</v>
          </cell>
          <cell r="C284" t="str">
            <v>NS形　二受丁字管</v>
          </cell>
          <cell r="D284" t="str">
            <v>φ150×φ150</v>
          </cell>
          <cell r="E284">
            <v>0.55000000000000004</v>
          </cell>
        </row>
        <row r="285">
          <cell r="A285" t="str">
            <v/>
          </cell>
          <cell r="B285" t="str">
            <v>S8722</v>
          </cell>
          <cell r="C285" t="str">
            <v>NS形　二受丁字管</v>
          </cell>
          <cell r="D285" t="str">
            <v>φ200×φ100</v>
          </cell>
          <cell r="E285">
            <v>0.55000000000000004</v>
          </cell>
        </row>
        <row r="286">
          <cell r="A286" t="str">
            <v/>
          </cell>
          <cell r="B286" t="str">
            <v>S8722</v>
          </cell>
          <cell r="C286" t="str">
            <v>NS形　二受丁字管</v>
          </cell>
          <cell r="D286" t="str">
            <v>φ200×φ150</v>
          </cell>
          <cell r="E286">
            <v>0.55000000000000004</v>
          </cell>
        </row>
        <row r="287">
          <cell r="A287" t="str">
            <v/>
          </cell>
          <cell r="B287" t="str">
            <v>S8722</v>
          </cell>
          <cell r="C287" t="str">
            <v>NS形　二受丁字管</v>
          </cell>
          <cell r="D287" t="str">
            <v>φ200×φ200</v>
          </cell>
          <cell r="E287">
            <v>0.65</v>
          </cell>
        </row>
        <row r="288">
          <cell r="A288" t="str">
            <v/>
          </cell>
          <cell r="B288" t="str">
            <v>S8722</v>
          </cell>
          <cell r="C288" t="str">
            <v>NS形　二受丁字管</v>
          </cell>
          <cell r="D288" t="str">
            <v>φ300×φ100</v>
          </cell>
          <cell r="E288">
            <v>0.43</v>
          </cell>
        </row>
        <row r="289">
          <cell r="A289" t="str">
            <v/>
          </cell>
          <cell r="B289" t="str">
            <v>S8722</v>
          </cell>
          <cell r="C289" t="str">
            <v>NS形　二受丁字管</v>
          </cell>
          <cell r="D289" t="str">
            <v>φ300×φ150</v>
          </cell>
          <cell r="E289">
            <v>0.49</v>
          </cell>
        </row>
        <row r="290">
          <cell r="A290" t="str">
            <v/>
          </cell>
          <cell r="B290" t="str">
            <v>S8722</v>
          </cell>
          <cell r="C290" t="str">
            <v>NS形　二受丁字管</v>
          </cell>
          <cell r="D290" t="str">
            <v>φ300×φ200</v>
          </cell>
          <cell r="E290">
            <v>0.54</v>
          </cell>
        </row>
        <row r="291">
          <cell r="A291" t="str">
            <v/>
          </cell>
          <cell r="B291" t="str">
            <v>S8722</v>
          </cell>
          <cell r="C291" t="str">
            <v>NS形　二受丁字管</v>
          </cell>
          <cell r="D291" t="str">
            <v>φ300×φ300</v>
          </cell>
          <cell r="E291">
            <v>0.66500000000000004</v>
          </cell>
        </row>
        <row r="292">
          <cell r="A292" t="str">
            <v/>
          </cell>
          <cell r="B292" t="str">
            <v>S8722</v>
          </cell>
          <cell r="C292" t="str">
            <v>NS形　二受丁字管</v>
          </cell>
          <cell r="D292" t="str">
            <v>φ400×φ300</v>
          </cell>
          <cell r="E292">
            <v>0.68500000000000005</v>
          </cell>
        </row>
        <row r="293">
          <cell r="A293" t="str">
            <v/>
          </cell>
          <cell r="B293" t="str">
            <v>S8722</v>
          </cell>
          <cell r="C293" t="str">
            <v>NS形　二受丁字管</v>
          </cell>
          <cell r="D293" t="str">
            <v>φ400×φ400</v>
          </cell>
          <cell r="E293">
            <v>0.81</v>
          </cell>
        </row>
        <row r="294">
          <cell r="A294" t="str">
            <v/>
          </cell>
          <cell r="B294" t="str">
            <v>S8722</v>
          </cell>
          <cell r="C294" t="str">
            <v>NS形　挿受片落管</v>
          </cell>
          <cell r="D294" t="str">
            <v>φ100×φ75</v>
          </cell>
          <cell r="E294">
            <v>0.45</v>
          </cell>
        </row>
        <row r="295">
          <cell r="A295" t="str">
            <v/>
          </cell>
          <cell r="B295" t="str">
            <v>S8722</v>
          </cell>
          <cell r="C295" t="str">
            <v>NS形　挿受片落管</v>
          </cell>
          <cell r="D295" t="str">
            <v>φ150×φ100</v>
          </cell>
          <cell r="E295">
            <v>0.45</v>
          </cell>
        </row>
        <row r="296">
          <cell r="A296" t="str">
            <v/>
          </cell>
          <cell r="B296" t="str">
            <v>S8722</v>
          </cell>
          <cell r="C296" t="str">
            <v>NS形　挿受片落管</v>
          </cell>
          <cell r="D296" t="str">
            <v>φ200×φ100</v>
          </cell>
          <cell r="E296">
            <v>0.55000000000000004</v>
          </cell>
        </row>
        <row r="297">
          <cell r="A297" t="str">
            <v/>
          </cell>
          <cell r="B297" t="str">
            <v>S8722</v>
          </cell>
          <cell r="C297" t="str">
            <v>NS形　挿受片落管</v>
          </cell>
          <cell r="D297" t="str">
            <v>φ200×φ150</v>
          </cell>
          <cell r="E297">
            <v>0.45</v>
          </cell>
        </row>
        <row r="298">
          <cell r="A298" t="str">
            <v/>
          </cell>
          <cell r="B298" t="str">
            <v>S8722</v>
          </cell>
          <cell r="C298" t="str">
            <v>NS形　挿受片落管</v>
          </cell>
          <cell r="D298" t="str">
            <v>φ250×φ100</v>
          </cell>
          <cell r="E298">
            <v>0.7</v>
          </cell>
        </row>
        <row r="299">
          <cell r="A299" t="str">
            <v/>
          </cell>
          <cell r="B299" t="str">
            <v>S8722</v>
          </cell>
          <cell r="C299" t="str">
            <v>NS形　挿受片落管</v>
          </cell>
          <cell r="D299" t="str">
            <v>φ250×φ150</v>
          </cell>
          <cell r="E299">
            <v>0.6</v>
          </cell>
        </row>
        <row r="300">
          <cell r="A300" t="str">
            <v/>
          </cell>
          <cell r="B300" t="str">
            <v>S8722</v>
          </cell>
          <cell r="C300" t="str">
            <v>NS形　挿受片落管</v>
          </cell>
          <cell r="D300" t="str">
            <v>φ250×φ200</v>
          </cell>
          <cell r="E300">
            <v>0.5</v>
          </cell>
        </row>
        <row r="301">
          <cell r="A301" t="str">
            <v/>
          </cell>
          <cell r="B301" t="str">
            <v>S8722</v>
          </cell>
          <cell r="C301" t="str">
            <v>NS形　挿受片落管</v>
          </cell>
          <cell r="D301" t="str">
            <v>φ300×φ100</v>
          </cell>
          <cell r="E301">
            <v>0.73499999999999999</v>
          </cell>
        </row>
        <row r="302">
          <cell r="A302" t="str">
            <v/>
          </cell>
          <cell r="B302" t="str">
            <v>S8722</v>
          </cell>
          <cell r="C302" t="str">
            <v>NS形　挿受片落管</v>
          </cell>
          <cell r="D302" t="str">
            <v>φ300×φ150</v>
          </cell>
          <cell r="E302">
            <v>0.63500000000000001</v>
          </cell>
        </row>
        <row r="303">
          <cell r="A303" t="str">
            <v/>
          </cell>
          <cell r="B303" t="str">
            <v>S8722</v>
          </cell>
          <cell r="C303" t="str">
            <v>NS形　挿受片落管</v>
          </cell>
          <cell r="D303" t="str">
            <v>φ300×φ200</v>
          </cell>
          <cell r="E303">
            <v>0.53500000000000003</v>
          </cell>
        </row>
        <row r="304">
          <cell r="A304" t="str">
            <v/>
          </cell>
          <cell r="B304" t="str">
            <v>S8722</v>
          </cell>
          <cell r="C304" t="str">
            <v>NS形　挿受片落管</v>
          </cell>
          <cell r="D304" t="str">
            <v>φ300×φ250</v>
          </cell>
          <cell r="E304">
            <v>0.435</v>
          </cell>
        </row>
        <row r="305">
          <cell r="A305" t="str">
            <v/>
          </cell>
          <cell r="B305" t="str">
            <v>S8722</v>
          </cell>
          <cell r="C305" t="str">
            <v>NS形　挿受片落管</v>
          </cell>
          <cell r="D305" t="str">
            <v>φ350×φ150</v>
          </cell>
          <cell r="E305">
            <v>0.74</v>
          </cell>
        </row>
        <row r="306">
          <cell r="A306" t="str">
            <v/>
          </cell>
          <cell r="B306" t="str">
            <v>S8722</v>
          </cell>
          <cell r="C306" t="str">
            <v>NS形　挿受片落管</v>
          </cell>
          <cell r="D306" t="str">
            <v>φ350×φ200</v>
          </cell>
          <cell r="E306">
            <v>0.64</v>
          </cell>
        </row>
        <row r="307">
          <cell r="A307" t="str">
            <v/>
          </cell>
          <cell r="B307" t="str">
            <v>S8722</v>
          </cell>
          <cell r="C307" t="str">
            <v>NS形　挿受片落管</v>
          </cell>
          <cell r="D307" t="str">
            <v>φ350×φ250</v>
          </cell>
          <cell r="E307">
            <v>0.54</v>
          </cell>
        </row>
        <row r="308">
          <cell r="A308" t="str">
            <v/>
          </cell>
          <cell r="B308" t="str">
            <v>S8722</v>
          </cell>
          <cell r="C308" t="str">
            <v>NS形　挿受片落管</v>
          </cell>
          <cell r="D308" t="str">
            <v>φ350×φ300</v>
          </cell>
          <cell r="E308">
            <v>0.375</v>
          </cell>
        </row>
        <row r="309">
          <cell r="A309" t="str">
            <v/>
          </cell>
          <cell r="B309" t="str">
            <v>S8722</v>
          </cell>
          <cell r="C309" t="str">
            <v>NS形　挿受片落管</v>
          </cell>
          <cell r="D309" t="str">
            <v>φ400×φ150</v>
          </cell>
          <cell r="E309">
            <v>0.85499999999999998</v>
          </cell>
        </row>
        <row r="310">
          <cell r="A310" t="str">
            <v/>
          </cell>
          <cell r="B310" t="str">
            <v>S8722</v>
          </cell>
          <cell r="C310" t="str">
            <v>NS形　挿受片落管</v>
          </cell>
          <cell r="D310" t="str">
            <v>φ400×φ200</v>
          </cell>
          <cell r="E310">
            <v>0.755</v>
          </cell>
        </row>
        <row r="311">
          <cell r="A311" t="str">
            <v/>
          </cell>
          <cell r="B311" t="str">
            <v>S8722</v>
          </cell>
          <cell r="C311" t="str">
            <v>NS形　挿受片落管</v>
          </cell>
          <cell r="D311" t="str">
            <v>φ400×φ250</v>
          </cell>
          <cell r="E311">
            <v>0.65500000000000003</v>
          </cell>
        </row>
        <row r="312">
          <cell r="A312" t="str">
            <v/>
          </cell>
          <cell r="B312" t="str">
            <v>S8722</v>
          </cell>
          <cell r="C312" t="str">
            <v>NS形　挿受片落管</v>
          </cell>
          <cell r="D312" t="str">
            <v>φ400×φ300</v>
          </cell>
          <cell r="E312">
            <v>0.49</v>
          </cell>
        </row>
        <row r="313">
          <cell r="A313" t="str">
            <v/>
          </cell>
          <cell r="B313" t="str">
            <v>S8722</v>
          </cell>
          <cell r="C313" t="str">
            <v>NS形　挿受片落管</v>
          </cell>
          <cell r="D313" t="str">
            <v>φ400×φ350</v>
          </cell>
          <cell r="E313">
            <v>0.39500000000000002</v>
          </cell>
        </row>
        <row r="314">
          <cell r="A314" t="str">
            <v/>
          </cell>
          <cell r="B314" t="str">
            <v>S8722</v>
          </cell>
          <cell r="C314" t="str">
            <v>NS形　挿受片落管</v>
          </cell>
          <cell r="D314" t="str">
            <v>φ450×φ200</v>
          </cell>
          <cell r="E314">
            <v>0.85499999999999998</v>
          </cell>
        </row>
        <row r="315">
          <cell r="A315" t="str">
            <v/>
          </cell>
          <cell r="B315" t="str">
            <v>S8722</v>
          </cell>
          <cell r="C315" t="str">
            <v>NS形　挿受片落管</v>
          </cell>
          <cell r="D315" t="str">
            <v>φ450×φ250</v>
          </cell>
          <cell r="E315">
            <v>0.755</v>
          </cell>
        </row>
        <row r="316">
          <cell r="A316" t="str">
            <v/>
          </cell>
          <cell r="B316" t="str">
            <v>S8722</v>
          </cell>
          <cell r="C316" t="str">
            <v>NS形　挿受片落管</v>
          </cell>
          <cell r="D316" t="str">
            <v>φ450×φ300</v>
          </cell>
          <cell r="E316">
            <v>0.59</v>
          </cell>
        </row>
        <row r="317">
          <cell r="A317" t="str">
            <v/>
          </cell>
          <cell r="B317" t="str">
            <v>S8722</v>
          </cell>
          <cell r="C317" t="str">
            <v>NS形　挿受片落管</v>
          </cell>
          <cell r="D317" t="str">
            <v>φ450×φ350</v>
          </cell>
          <cell r="E317">
            <v>0.495</v>
          </cell>
        </row>
        <row r="318">
          <cell r="A318" t="str">
            <v/>
          </cell>
          <cell r="B318" t="str">
            <v>S8722</v>
          </cell>
          <cell r="C318" t="str">
            <v>NS形　挿受片落管</v>
          </cell>
          <cell r="D318" t="str">
            <v>φ450×φ400</v>
          </cell>
          <cell r="E318">
            <v>0.39500000000000002</v>
          </cell>
        </row>
        <row r="319">
          <cell r="A319" t="str">
            <v/>
          </cell>
          <cell r="B319" t="str">
            <v>S8722</v>
          </cell>
          <cell r="C319" t="str">
            <v>NS形　受挿片落管</v>
          </cell>
          <cell r="D319" t="str">
            <v>φ100×φ75</v>
          </cell>
          <cell r="E319">
            <v>0.45</v>
          </cell>
        </row>
        <row r="320">
          <cell r="A320" t="str">
            <v/>
          </cell>
          <cell r="B320" t="str">
            <v>S8722</v>
          </cell>
          <cell r="C320" t="str">
            <v>NS形　受挿片落管</v>
          </cell>
          <cell r="D320" t="str">
            <v>φ150×φ100</v>
          </cell>
          <cell r="E320">
            <v>0.45</v>
          </cell>
        </row>
        <row r="321">
          <cell r="A321" t="str">
            <v/>
          </cell>
          <cell r="B321" t="str">
            <v>S8722</v>
          </cell>
          <cell r="C321" t="str">
            <v>NS形　受挿片落管</v>
          </cell>
          <cell r="D321" t="str">
            <v>φ200×φ100</v>
          </cell>
          <cell r="E321">
            <v>0.55000000000000004</v>
          </cell>
        </row>
        <row r="322">
          <cell r="A322" t="str">
            <v/>
          </cell>
          <cell r="B322" t="str">
            <v>S8722</v>
          </cell>
          <cell r="C322" t="str">
            <v>NS形　受挿片落管</v>
          </cell>
          <cell r="D322" t="str">
            <v>φ200×φ150</v>
          </cell>
          <cell r="E322">
            <v>0.45</v>
          </cell>
        </row>
        <row r="323">
          <cell r="A323" t="str">
            <v/>
          </cell>
          <cell r="B323" t="str">
            <v>S8722</v>
          </cell>
          <cell r="C323" t="str">
            <v>NS形　受挿片落管</v>
          </cell>
          <cell r="D323" t="str">
            <v>φ250×φ100</v>
          </cell>
          <cell r="E323">
            <v>0.65</v>
          </cell>
        </row>
        <row r="324">
          <cell r="A324" t="str">
            <v/>
          </cell>
          <cell r="B324" t="str">
            <v>S8722</v>
          </cell>
          <cell r="C324" t="str">
            <v>NS形　受挿片落管</v>
          </cell>
          <cell r="D324" t="str">
            <v>φ250×φ150</v>
          </cell>
          <cell r="E324">
            <v>0.55000000000000004</v>
          </cell>
        </row>
        <row r="325">
          <cell r="A325" t="str">
            <v/>
          </cell>
          <cell r="B325" t="str">
            <v>S8722</v>
          </cell>
          <cell r="C325" t="str">
            <v>NS形　受挿片落管</v>
          </cell>
          <cell r="D325" t="str">
            <v>φ250×φ200</v>
          </cell>
          <cell r="E325">
            <v>0.45</v>
          </cell>
        </row>
        <row r="326">
          <cell r="A326" t="str">
            <v/>
          </cell>
          <cell r="B326" t="str">
            <v>S8722</v>
          </cell>
          <cell r="C326" t="str">
            <v>NS形　受挿片落管</v>
          </cell>
          <cell r="D326" t="str">
            <v>φ300×φ100</v>
          </cell>
          <cell r="E326">
            <v>0.68500000000000005</v>
          </cell>
        </row>
        <row r="327">
          <cell r="A327" t="str">
            <v/>
          </cell>
          <cell r="B327" t="str">
            <v>S8722</v>
          </cell>
          <cell r="C327" t="str">
            <v>NS形　受挿片落管</v>
          </cell>
          <cell r="D327" t="str">
            <v>φ300×φ150</v>
          </cell>
          <cell r="E327">
            <v>0.58499999999999996</v>
          </cell>
        </row>
        <row r="328">
          <cell r="A328">
            <v>38</v>
          </cell>
          <cell r="B328" t="str">
            <v>S8722</v>
          </cell>
          <cell r="C328" t="str">
            <v>NS形　受挿片落管</v>
          </cell>
          <cell r="D328" t="str">
            <v>φ300×φ200</v>
          </cell>
          <cell r="E328">
            <v>0.48499999999999999</v>
          </cell>
        </row>
        <row r="329">
          <cell r="A329" t="str">
            <v/>
          </cell>
          <cell r="B329" t="str">
            <v>S8722</v>
          </cell>
          <cell r="C329" t="str">
            <v>NS形　受挿片落管</v>
          </cell>
          <cell r="D329" t="str">
            <v>φ300×φ250</v>
          </cell>
          <cell r="E329">
            <v>0.435</v>
          </cell>
        </row>
        <row r="330">
          <cell r="A330" t="str">
            <v/>
          </cell>
          <cell r="B330" t="str">
            <v>S8722</v>
          </cell>
          <cell r="C330" t="str">
            <v>NS形　受挿片落管</v>
          </cell>
          <cell r="D330" t="str">
            <v>φ350×φ150</v>
          </cell>
          <cell r="E330">
            <v>0.69</v>
          </cell>
        </row>
        <row r="331">
          <cell r="A331" t="str">
            <v/>
          </cell>
          <cell r="B331" t="str">
            <v>S8722</v>
          </cell>
          <cell r="C331" t="str">
            <v>NS形　受挿片落管</v>
          </cell>
          <cell r="D331" t="str">
            <v>φ350×φ200</v>
          </cell>
          <cell r="E331">
            <v>0.59</v>
          </cell>
        </row>
        <row r="332">
          <cell r="A332" t="str">
            <v/>
          </cell>
          <cell r="B332" t="str">
            <v>S8722</v>
          </cell>
          <cell r="C332" t="str">
            <v>NS形　受挿片落管</v>
          </cell>
          <cell r="D332" t="str">
            <v>φ350×φ250</v>
          </cell>
          <cell r="E332">
            <v>0.54</v>
          </cell>
        </row>
        <row r="333">
          <cell r="A333" t="str">
            <v/>
          </cell>
          <cell r="B333" t="str">
            <v>S8722</v>
          </cell>
          <cell r="C333" t="str">
            <v>NS形　受挿片落管</v>
          </cell>
          <cell r="D333" t="str">
            <v>φ350×φ300</v>
          </cell>
          <cell r="E333">
            <v>0.375</v>
          </cell>
        </row>
        <row r="334">
          <cell r="A334" t="str">
            <v/>
          </cell>
          <cell r="B334" t="str">
            <v>S8722</v>
          </cell>
          <cell r="C334" t="str">
            <v>NS形　受挿片落管</v>
          </cell>
          <cell r="D334" t="str">
            <v>φ400×φ150</v>
          </cell>
          <cell r="E334">
            <v>0.79</v>
          </cell>
        </row>
        <row r="335">
          <cell r="A335" t="str">
            <v/>
          </cell>
          <cell r="B335" t="str">
            <v>S8722</v>
          </cell>
          <cell r="C335" t="str">
            <v>NS形　受挿片落管</v>
          </cell>
          <cell r="D335" t="str">
            <v>φ400×φ200</v>
          </cell>
          <cell r="E335">
            <v>0.69</v>
          </cell>
        </row>
        <row r="336">
          <cell r="A336" t="str">
            <v/>
          </cell>
          <cell r="B336" t="str">
            <v>S8722</v>
          </cell>
          <cell r="C336" t="str">
            <v>NS形　受挿片落管</v>
          </cell>
          <cell r="D336" t="str">
            <v>φ400×φ250</v>
          </cell>
          <cell r="E336">
            <v>0.64</v>
          </cell>
        </row>
        <row r="337">
          <cell r="A337" t="str">
            <v/>
          </cell>
          <cell r="B337" t="str">
            <v>S8722</v>
          </cell>
          <cell r="C337" t="str">
            <v>NS形　受挿片落管</v>
          </cell>
          <cell r="D337" t="str">
            <v>φ400×φ300</v>
          </cell>
          <cell r="E337">
            <v>0.47499999999999998</v>
          </cell>
        </row>
        <row r="338">
          <cell r="A338" t="str">
            <v/>
          </cell>
          <cell r="B338" t="str">
            <v>S8722</v>
          </cell>
          <cell r="C338" t="str">
            <v>NS形　受挿片落管</v>
          </cell>
          <cell r="D338" t="str">
            <v>φ400×φ350</v>
          </cell>
          <cell r="E338">
            <v>0.38</v>
          </cell>
        </row>
        <row r="339">
          <cell r="A339" t="str">
            <v/>
          </cell>
          <cell r="B339" t="str">
            <v>S8722</v>
          </cell>
          <cell r="C339" t="str">
            <v>NS形　受挿片落管</v>
          </cell>
          <cell r="D339" t="str">
            <v>φ450×φ200</v>
          </cell>
          <cell r="E339">
            <v>0.79</v>
          </cell>
        </row>
        <row r="340">
          <cell r="A340" t="str">
            <v/>
          </cell>
          <cell r="B340" t="str">
            <v>S8722</v>
          </cell>
          <cell r="C340" t="str">
            <v>NS形　受挿片落管</v>
          </cell>
          <cell r="D340" t="str">
            <v>φ450×φ250</v>
          </cell>
          <cell r="E340">
            <v>0.74</v>
          </cell>
        </row>
        <row r="341">
          <cell r="A341" t="str">
            <v/>
          </cell>
          <cell r="B341" t="str">
            <v>S8722</v>
          </cell>
          <cell r="C341" t="str">
            <v>NS形　受挿片落管</v>
          </cell>
          <cell r="D341" t="str">
            <v>φ450×φ300</v>
          </cell>
          <cell r="E341">
            <v>0.57499999999999996</v>
          </cell>
        </row>
        <row r="342">
          <cell r="A342" t="str">
            <v/>
          </cell>
          <cell r="B342" t="str">
            <v>S8722</v>
          </cell>
          <cell r="C342" t="str">
            <v>NS形　受挿片落管</v>
          </cell>
          <cell r="D342" t="str">
            <v>φ450×φ350</v>
          </cell>
          <cell r="E342">
            <v>0.48</v>
          </cell>
        </row>
        <row r="343">
          <cell r="A343" t="str">
            <v/>
          </cell>
          <cell r="B343" t="str">
            <v>S8722</v>
          </cell>
          <cell r="C343" t="str">
            <v>NS形　受挿片落管</v>
          </cell>
          <cell r="D343" t="str">
            <v>φ450×φ400</v>
          </cell>
          <cell r="E343">
            <v>0.39500000000000002</v>
          </cell>
        </row>
        <row r="344">
          <cell r="A344" t="str">
            <v/>
          </cell>
          <cell r="B344" t="str">
            <v>S8723</v>
          </cell>
          <cell r="C344" t="str">
            <v>NS形　短管1号</v>
          </cell>
          <cell r="D344" t="str">
            <v>φ75</v>
          </cell>
          <cell r="E344">
            <v>0.15</v>
          </cell>
        </row>
        <row r="345">
          <cell r="A345" t="str">
            <v/>
          </cell>
          <cell r="B345" t="str">
            <v>S8723</v>
          </cell>
          <cell r="C345" t="str">
            <v>NS形　短管1号</v>
          </cell>
          <cell r="D345" t="str">
            <v>φ100</v>
          </cell>
          <cell r="E345">
            <v>0.15</v>
          </cell>
        </row>
        <row r="346">
          <cell r="A346" t="str">
            <v/>
          </cell>
          <cell r="B346" t="str">
            <v>S8723</v>
          </cell>
          <cell r="C346" t="str">
            <v>NS形　短管1号</v>
          </cell>
          <cell r="D346" t="str">
            <v>φ150</v>
          </cell>
          <cell r="E346">
            <v>0.15</v>
          </cell>
        </row>
        <row r="347">
          <cell r="A347" t="str">
            <v/>
          </cell>
          <cell r="B347" t="str">
            <v>S8723</v>
          </cell>
          <cell r="C347" t="str">
            <v>NS形　短管1号</v>
          </cell>
          <cell r="D347" t="str">
            <v>φ200</v>
          </cell>
          <cell r="E347">
            <v>0.15</v>
          </cell>
        </row>
        <row r="348">
          <cell r="A348" t="str">
            <v/>
          </cell>
          <cell r="B348" t="str">
            <v>S8723</v>
          </cell>
          <cell r="C348" t="str">
            <v>NS形　短管1号</v>
          </cell>
          <cell r="D348" t="str">
            <v>φ300</v>
          </cell>
          <cell r="E348">
            <v>0.13500000000000001</v>
          </cell>
        </row>
        <row r="349">
          <cell r="A349" t="str">
            <v/>
          </cell>
          <cell r="B349" t="str">
            <v>S8723</v>
          </cell>
          <cell r="C349" t="str">
            <v>NS形　短管1号</v>
          </cell>
          <cell r="D349" t="str">
            <v>φ400</v>
          </cell>
          <cell r="E349">
            <v>0.14000000000000001</v>
          </cell>
        </row>
        <row r="350">
          <cell r="A350" t="str">
            <v/>
          </cell>
          <cell r="B350" t="str">
            <v>S8723</v>
          </cell>
          <cell r="C350" t="str">
            <v>NS形　短管2号</v>
          </cell>
          <cell r="D350" t="str">
            <v>φ75</v>
          </cell>
          <cell r="E350">
            <v>0.35</v>
          </cell>
        </row>
        <row r="351">
          <cell r="A351" t="str">
            <v/>
          </cell>
          <cell r="B351" t="str">
            <v>S8723</v>
          </cell>
          <cell r="C351" t="str">
            <v>NS形　短管2号</v>
          </cell>
          <cell r="D351" t="str">
            <v>φ100</v>
          </cell>
          <cell r="E351">
            <v>0.35</v>
          </cell>
        </row>
        <row r="352">
          <cell r="A352" t="str">
            <v/>
          </cell>
          <cell r="B352" t="str">
            <v>S8723</v>
          </cell>
          <cell r="C352" t="str">
            <v>NS形　短管2号</v>
          </cell>
          <cell r="D352" t="str">
            <v>φ150</v>
          </cell>
          <cell r="E352">
            <v>0.4</v>
          </cell>
        </row>
        <row r="353">
          <cell r="A353" t="str">
            <v/>
          </cell>
          <cell r="B353" t="str">
            <v>S8723</v>
          </cell>
          <cell r="C353" t="str">
            <v>NS形　短管2号</v>
          </cell>
          <cell r="D353" t="str">
            <v>φ200</v>
          </cell>
          <cell r="E353">
            <v>0.4</v>
          </cell>
        </row>
        <row r="354">
          <cell r="A354" t="str">
            <v/>
          </cell>
          <cell r="B354" t="str">
            <v>S8723</v>
          </cell>
          <cell r="C354" t="str">
            <v>NS形　短管2号</v>
          </cell>
          <cell r="D354" t="str">
            <v>φ300</v>
          </cell>
          <cell r="E354">
            <v>0.41</v>
          </cell>
        </row>
        <row r="355">
          <cell r="A355" t="str">
            <v/>
          </cell>
          <cell r="B355" t="str">
            <v>S8723</v>
          </cell>
          <cell r="C355" t="str">
            <v>NS形　短管2号</v>
          </cell>
          <cell r="D355" t="str">
            <v>φ400</v>
          </cell>
          <cell r="E355">
            <v>0.46500000000000002</v>
          </cell>
        </row>
        <row r="356">
          <cell r="A356" t="str">
            <v/>
          </cell>
          <cell r="B356" t="str">
            <v>S8722</v>
          </cell>
          <cell r="C356" t="str">
            <v>NS形　F付丁字管</v>
          </cell>
          <cell r="D356" t="str">
            <v>φ75×φ75</v>
          </cell>
          <cell r="E356">
            <v>0.45</v>
          </cell>
        </row>
        <row r="357">
          <cell r="A357" t="str">
            <v/>
          </cell>
          <cell r="B357" t="str">
            <v>S8722</v>
          </cell>
          <cell r="C357" t="str">
            <v>NS形　F付丁字管</v>
          </cell>
          <cell r="D357" t="str">
            <v>φ100×φ75</v>
          </cell>
          <cell r="E357">
            <v>0.45</v>
          </cell>
        </row>
        <row r="358">
          <cell r="A358" t="str">
            <v/>
          </cell>
          <cell r="B358" t="str">
            <v>S8722</v>
          </cell>
          <cell r="C358" t="str">
            <v>NS形　F付丁字管</v>
          </cell>
          <cell r="D358" t="str">
            <v>φ150×φ75</v>
          </cell>
          <cell r="E358">
            <v>0.45</v>
          </cell>
        </row>
        <row r="359">
          <cell r="A359" t="str">
            <v/>
          </cell>
          <cell r="B359" t="str">
            <v>S8722</v>
          </cell>
          <cell r="C359" t="str">
            <v>NS形　F付丁字管</v>
          </cell>
          <cell r="D359" t="str">
            <v>φ200×φ75</v>
          </cell>
          <cell r="E359">
            <v>0.55000000000000004</v>
          </cell>
        </row>
        <row r="360">
          <cell r="A360" t="str">
            <v/>
          </cell>
          <cell r="B360" t="str">
            <v>S8722</v>
          </cell>
          <cell r="C360" t="str">
            <v>NS形　F付丁字管</v>
          </cell>
          <cell r="D360" t="str">
            <v>φ300×φ75</v>
          </cell>
          <cell r="E360">
            <v>0.40500000000000003</v>
          </cell>
        </row>
        <row r="361">
          <cell r="A361" t="str">
            <v/>
          </cell>
          <cell r="B361" t="str">
            <v>S8722</v>
          </cell>
          <cell r="C361" t="str">
            <v>NS形　F付丁字管</v>
          </cell>
          <cell r="D361" t="str">
            <v>φ400×φ75</v>
          </cell>
          <cell r="E361">
            <v>0.42499999999999999</v>
          </cell>
        </row>
        <row r="362">
          <cell r="A362" t="str">
            <v/>
          </cell>
          <cell r="B362" t="str">
            <v>S8722</v>
          </cell>
          <cell r="C362" t="str">
            <v>NS形　F付丁字管</v>
          </cell>
          <cell r="D362" t="str">
            <v>φ100×φ75渦</v>
          </cell>
          <cell r="E362">
            <v>0.45</v>
          </cell>
        </row>
        <row r="363">
          <cell r="A363" t="str">
            <v/>
          </cell>
          <cell r="B363" t="str">
            <v>S8722</v>
          </cell>
          <cell r="C363" t="str">
            <v>NS形　F付丁字管</v>
          </cell>
          <cell r="D363" t="str">
            <v>φ150×φ75渦</v>
          </cell>
          <cell r="E363">
            <v>0.45</v>
          </cell>
        </row>
        <row r="364">
          <cell r="A364" t="str">
            <v/>
          </cell>
          <cell r="B364" t="str">
            <v>S8722</v>
          </cell>
          <cell r="C364" t="str">
            <v>NS形　F付丁字管</v>
          </cell>
          <cell r="D364" t="str">
            <v>φ200×φ75渦</v>
          </cell>
          <cell r="E364">
            <v>0.55000000000000004</v>
          </cell>
        </row>
        <row r="365">
          <cell r="A365" t="str">
            <v/>
          </cell>
          <cell r="B365" t="str">
            <v>S8722</v>
          </cell>
          <cell r="C365" t="str">
            <v>NS形　F付丁字管</v>
          </cell>
          <cell r="D365" t="str">
            <v>φ300×φ75渦</v>
          </cell>
          <cell r="E365">
            <v>0.56499999999999995</v>
          </cell>
        </row>
        <row r="366">
          <cell r="A366" t="str">
            <v/>
          </cell>
          <cell r="B366" t="str">
            <v>S8722</v>
          </cell>
          <cell r="C366" t="str">
            <v>NS形　排水丁字管</v>
          </cell>
          <cell r="D366" t="str">
            <v>φ200×φ100</v>
          </cell>
          <cell r="E366">
            <v>0.4</v>
          </cell>
        </row>
        <row r="367">
          <cell r="A367" t="str">
            <v/>
          </cell>
          <cell r="B367" t="str">
            <v>S8722</v>
          </cell>
          <cell r="C367" t="str">
            <v>NS形　排水丁字管</v>
          </cell>
          <cell r="D367" t="str">
            <v>φ300×φ100</v>
          </cell>
          <cell r="E367">
            <v>0.28000000000000003</v>
          </cell>
        </row>
        <row r="368">
          <cell r="A368" t="str">
            <v/>
          </cell>
          <cell r="B368" t="str">
            <v>S8722</v>
          </cell>
          <cell r="C368" t="str">
            <v>NS形　排水丁字管</v>
          </cell>
          <cell r="D368" t="str">
            <v>φ400×φ150</v>
          </cell>
          <cell r="E368">
            <v>0.35</v>
          </cell>
        </row>
        <row r="369">
          <cell r="A369" t="str">
            <v/>
          </cell>
          <cell r="B369" t="str">
            <v>S8765</v>
          </cell>
          <cell r="C369" t="str">
            <v>NS形　ライナー</v>
          </cell>
          <cell r="D369" t="str">
            <v>φ75</v>
          </cell>
          <cell r="E369">
            <v>2.7E-2</v>
          </cell>
        </row>
        <row r="370">
          <cell r="A370" t="str">
            <v/>
          </cell>
          <cell r="B370" t="str">
            <v>S8765</v>
          </cell>
          <cell r="C370" t="str">
            <v>NS形　ライナー</v>
          </cell>
          <cell r="D370" t="str">
            <v>φ100</v>
          </cell>
          <cell r="E370">
            <v>2.7E-2</v>
          </cell>
        </row>
        <row r="371">
          <cell r="A371" t="str">
            <v/>
          </cell>
          <cell r="B371" t="str">
            <v>S8765</v>
          </cell>
          <cell r="C371" t="str">
            <v>NS形　ライナー</v>
          </cell>
          <cell r="D371" t="str">
            <v>φ150</v>
          </cell>
          <cell r="E371">
            <v>4.1000000000000002E-2</v>
          </cell>
        </row>
        <row r="372">
          <cell r="A372">
            <v>39</v>
          </cell>
          <cell r="B372" t="str">
            <v>S8765</v>
          </cell>
          <cell r="C372" t="str">
            <v>NS形　ライナー</v>
          </cell>
          <cell r="D372" t="str">
            <v>φ200</v>
          </cell>
          <cell r="E372">
            <v>4.1000000000000002E-2</v>
          </cell>
        </row>
        <row r="373">
          <cell r="A373" t="str">
            <v/>
          </cell>
          <cell r="B373" t="str">
            <v>S8765</v>
          </cell>
          <cell r="C373" t="str">
            <v>NS形　ライナー</v>
          </cell>
          <cell r="D373" t="str">
            <v>φ300</v>
          </cell>
          <cell r="E373">
            <v>5.2999999999999999E-2</v>
          </cell>
        </row>
        <row r="374">
          <cell r="A374" t="str">
            <v/>
          </cell>
          <cell r="B374" t="str">
            <v>S8765</v>
          </cell>
          <cell r="C374" t="str">
            <v>NS形　ライナー</v>
          </cell>
          <cell r="D374" t="str">
            <v>φ400</v>
          </cell>
          <cell r="E374">
            <v>5.2999999999999999E-2</v>
          </cell>
        </row>
        <row r="375">
          <cell r="A375" t="str">
            <v/>
          </cell>
          <cell r="B375" t="str">
            <v>S8740</v>
          </cell>
          <cell r="C375" t="str">
            <v>NS形　帽</v>
          </cell>
          <cell r="D375" t="str">
            <v>φ75</v>
          </cell>
        </row>
        <row r="376">
          <cell r="A376" t="str">
            <v/>
          </cell>
          <cell r="B376" t="str">
            <v>S8740</v>
          </cell>
          <cell r="C376" t="str">
            <v>NS形　帽</v>
          </cell>
          <cell r="D376" t="str">
            <v>φ100</v>
          </cell>
        </row>
        <row r="377">
          <cell r="A377" t="str">
            <v/>
          </cell>
          <cell r="B377" t="str">
            <v>S8740</v>
          </cell>
          <cell r="C377" t="str">
            <v>NS形　帽</v>
          </cell>
          <cell r="D377" t="str">
            <v>φ150</v>
          </cell>
        </row>
        <row r="378">
          <cell r="A378" t="str">
            <v/>
          </cell>
          <cell r="B378" t="str">
            <v>S8740</v>
          </cell>
          <cell r="C378" t="str">
            <v>NS形　帽</v>
          </cell>
          <cell r="D378" t="str">
            <v>φ200</v>
          </cell>
        </row>
        <row r="379">
          <cell r="A379" t="str">
            <v/>
          </cell>
          <cell r="B379" t="str">
            <v>S8740</v>
          </cell>
          <cell r="C379" t="str">
            <v>NS形　帽</v>
          </cell>
          <cell r="D379" t="str">
            <v>φ300</v>
          </cell>
        </row>
        <row r="380">
          <cell r="A380" t="str">
            <v/>
          </cell>
          <cell r="B380" t="str">
            <v>S8740</v>
          </cell>
          <cell r="C380" t="str">
            <v>NS形　帽</v>
          </cell>
          <cell r="D380" t="str">
            <v>φ400</v>
          </cell>
        </row>
        <row r="381">
          <cell r="A381" t="str">
            <v/>
          </cell>
          <cell r="B381" t="str">
            <v>S8765</v>
          </cell>
          <cell r="C381" t="str">
            <v>NS形　挿口リング</v>
          </cell>
          <cell r="D381" t="str">
            <v>φ75</v>
          </cell>
        </row>
        <row r="382">
          <cell r="A382" t="str">
            <v/>
          </cell>
          <cell r="B382" t="str">
            <v>S8765</v>
          </cell>
          <cell r="C382" t="str">
            <v>NS形　挿口リング</v>
          </cell>
          <cell r="D382" t="str">
            <v>φ100</v>
          </cell>
        </row>
        <row r="383">
          <cell r="A383" t="str">
            <v/>
          </cell>
          <cell r="B383" t="str">
            <v>S8765</v>
          </cell>
          <cell r="C383" t="str">
            <v>NS形　挿口リング</v>
          </cell>
          <cell r="D383" t="str">
            <v>φ150</v>
          </cell>
        </row>
        <row r="384">
          <cell r="A384" t="str">
            <v/>
          </cell>
          <cell r="B384" t="str">
            <v>S8765</v>
          </cell>
          <cell r="C384" t="str">
            <v>NS形　挿口リング</v>
          </cell>
          <cell r="D384" t="str">
            <v>φ200</v>
          </cell>
        </row>
        <row r="385">
          <cell r="A385" t="str">
            <v/>
          </cell>
          <cell r="B385" t="str">
            <v>S8765</v>
          </cell>
          <cell r="C385" t="str">
            <v>NS形　挿口リング</v>
          </cell>
          <cell r="D385" t="str">
            <v>φ250</v>
          </cell>
        </row>
        <row r="386">
          <cell r="A386" t="str">
            <v/>
          </cell>
          <cell r="B386" t="str">
            <v>S8765</v>
          </cell>
          <cell r="C386" t="str">
            <v>NS形　挿口リング</v>
          </cell>
          <cell r="D386" t="str">
            <v>φ300</v>
          </cell>
        </row>
        <row r="387">
          <cell r="A387" t="str">
            <v/>
          </cell>
          <cell r="B387" t="str">
            <v>S8765</v>
          </cell>
          <cell r="C387" t="str">
            <v>NS形　挿口リング</v>
          </cell>
          <cell r="D387" t="str">
            <v>φ350</v>
          </cell>
        </row>
        <row r="388">
          <cell r="A388" t="str">
            <v/>
          </cell>
          <cell r="B388" t="str">
            <v>S8765</v>
          </cell>
          <cell r="C388" t="str">
            <v>NS形　挿口リング</v>
          </cell>
          <cell r="D388" t="str">
            <v>φ400</v>
          </cell>
        </row>
        <row r="389">
          <cell r="A389" t="str">
            <v/>
          </cell>
          <cell r="B389" t="str">
            <v>S8765</v>
          </cell>
          <cell r="C389" t="str">
            <v>NS形　挿口リング</v>
          </cell>
          <cell r="D389" t="str">
            <v>φ450</v>
          </cell>
        </row>
        <row r="390">
          <cell r="A390" t="str">
            <v/>
          </cell>
          <cell r="B390" t="str">
            <v>S8765</v>
          </cell>
          <cell r="C390" t="str">
            <v>NS形　ゴムリング</v>
          </cell>
          <cell r="D390" t="str">
            <v>φ75</v>
          </cell>
        </row>
        <row r="391">
          <cell r="A391" t="str">
            <v/>
          </cell>
          <cell r="B391" t="str">
            <v>S8765</v>
          </cell>
          <cell r="C391" t="str">
            <v>NS形　ゴムリング</v>
          </cell>
          <cell r="D391" t="str">
            <v>φ100</v>
          </cell>
        </row>
        <row r="392">
          <cell r="A392" t="str">
            <v/>
          </cell>
          <cell r="B392" t="str">
            <v>S8765</v>
          </cell>
          <cell r="C392" t="str">
            <v>NS形　ゴムリング</v>
          </cell>
          <cell r="D392" t="str">
            <v>φ150</v>
          </cell>
        </row>
        <row r="393">
          <cell r="A393" t="str">
            <v/>
          </cell>
          <cell r="B393" t="str">
            <v>S8765</v>
          </cell>
          <cell r="C393" t="str">
            <v>NS形　ゴムリング</v>
          </cell>
          <cell r="D393" t="str">
            <v>φ200</v>
          </cell>
        </row>
        <row r="394">
          <cell r="A394" t="str">
            <v/>
          </cell>
          <cell r="B394" t="str">
            <v>S8765</v>
          </cell>
          <cell r="C394" t="str">
            <v>NS形　ゴムリング</v>
          </cell>
          <cell r="D394" t="str">
            <v>φ250</v>
          </cell>
        </row>
        <row r="395">
          <cell r="A395" t="str">
            <v/>
          </cell>
          <cell r="B395" t="str">
            <v>S8765</v>
          </cell>
          <cell r="C395" t="str">
            <v>NS形　ゴムリング</v>
          </cell>
          <cell r="D395" t="str">
            <v>φ300</v>
          </cell>
        </row>
        <row r="396">
          <cell r="A396" t="str">
            <v/>
          </cell>
          <cell r="B396" t="str">
            <v>S8765</v>
          </cell>
          <cell r="C396" t="str">
            <v>NS形　ゴムリング</v>
          </cell>
          <cell r="D396" t="str">
            <v>φ350</v>
          </cell>
        </row>
        <row r="397">
          <cell r="A397" t="str">
            <v/>
          </cell>
          <cell r="B397" t="str">
            <v>S8765</v>
          </cell>
          <cell r="C397" t="str">
            <v>NS形　ゴムリング</v>
          </cell>
          <cell r="D397" t="str">
            <v>φ400</v>
          </cell>
        </row>
        <row r="398">
          <cell r="A398" t="str">
            <v/>
          </cell>
          <cell r="B398" t="str">
            <v>S8765</v>
          </cell>
          <cell r="C398" t="str">
            <v>NS形　ゴムリング</v>
          </cell>
          <cell r="D398" t="str">
            <v>φ450</v>
          </cell>
        </row>
        <row r="399">
          <cell r="A399" t="str">
            <v/>
          </cell>
          <cell r="B399" t="str">
            <v>S8765</v>
          </cell>
          <cell r="C399" t="str">
            <v>NS形　継輪用継手材</v>
          </cell>
          <cell r="D399" t="str">
            <v>φ75</v>
          </cell>
        </row>
        <row r="400">
          <cell r="A400" t="str">
            <v/>
          </cell>
          <cell r="B400" t="str">
            <v>S8765</v>
          </cell>
          <cell r="C400" t="str">
            <v>NS形　継輪用継手材</v>
          </cell>
          <cell r="D400" t="str">
            <v>φ100</v>
          </cell>
        </row>
        <row r="401">
          <cell r="A401" t="str">
            <v/>
          </cell>
          <cell r="B401" t="str">
            <v>S8765</v>
          </cell>
          <cell r="C401" t="str">
            <v>NS形　継輪用継手材</v>
          </cell>
          <cell r="D401" t="str">
            <v>φ150</v>
          </cell>
        </row>
        <row r="402">
          <cell r="A402" t="str">
            <v/>
          </cell>
          <cell r="B402" t="str">
            <v>S8765</v>
          </cell>
          <cell r="C402" t="str">
            <v>NS形　継輪用継手材</v>
          </cell>
          <cell r="D402" t="str">
            <v>φ200</v>
          </cell>
        </row>
        <row r="403">
          <cell r="A403" t="str">
            <v/>
          </cell>
          <cell r="C403" t="str">
            <v>NS形　継輪用継手材</v>
          </cell>
          <cell r="D403" t="str">
            <v>φ250</v>
          </cell>
        </row>
        <row r="404">
          <cell r="A404" t="str">
            <v/>
          </cell>
          <cell r="B404" t="str">
            <v>S8765</v>
          </cell>
          <cell r="C404" t="str">
            <v>NS形　継手材（異形部）</v>
          </cell>
          <cell r="D404" t="str">
            <v>φ300</v>
          </cell>
        </row>
        <row r="405">
          <cell r="A405" t="str">
            <v/>
          </cell>
          <cell r="B405" t="str">
            <v>S8765</v>
          </cell>
          <cell r="C405" t="str">
            <v>NS形　継手材（異形部）</v>
          </cell>
          <cell r="D405" t="str">
            <v>φ350</v>
          </cell>
        </row>
        <row r="406">
          <cell r="A406" t="str">
            <v/>
          </cell>
          <cell r="B406" t="str">
            <v>S8765</v>
          </cell>
          <cell r="C406" t="str">
            <v>NS形　継手材（異形部）</v>
          </cell>
          <cell r="D406" t="str">
            <v>φ400</v>
          </cell>
        </row>
        <row r="407">
          <cell r="A407" t="str">
            <v/>
          </cell>
          <cell r="B407" t="str">
            <v>S8765</v>
          </cell>
          <cell r="C407" t="str">
            <v>NS形　継手材（異形部）</v>
          </cell>
          <cell r="D407" t="str">
            <v>φ450</v>
          </cell>
        </row>
        <row r="408">
          <cell r="A408" t="str">
            <v/>
          </cell>
          <cell r="B408" t="str">
            <v>S8765</v>
          </cell>
          <cell r="C408" t="str">
            <v>NS形　継輪用継手材（特殊割押輪）</v>
          </cell>
          <cell r="D408" t="str">
            <v>φ75</v>
          </cell>
        </row>
        <row r="409">
          <cell r="A409" t="str">
            <v/>
          </cell>
          <cell r="B409" t="str">
            <v>S8765</v>
          </cell>
          <cell r="C409" t="str">
            <v>NS形　継輪用継手材（特殊割押輪）</v>
          </cell>
          <cell r="D409" t="str">
            <v>φ100</v>
          </cell>
        </row>
        <row r="410">
          <cell r="A410" t="str">
            <v/>
          </cell>
          <cell r="B410" t="str">
            <v>S8765</v>
          </cell>
          <cell r="C410" t="str">
            <v>NS形　継輪用継手材（特殊割押輪）</v>
          </cell>
          <cell r="D410" t="str">
            <v>φ150</v>
          </cell>
        </row>
        <row r="411">
          <cell r="A411" t="str">
            <v/>
          </cell>
          <cell r="B411" t="str">
            <v>S8765</v>
          </cell>
          <cell r="C411" t="str">
            <v>NS形　継輪用継手材（特殊割押輪）</v>
          </cell>
          <cell r="D411" t="str">
            <v>φ200</v>
          </cell>
        </row>
        <row r="412">
          <cell r="A412" t="str">
            <v/>
          </cell>
          <cell r="B412" t="str">
            <v>S8765</v>
          </cell>
          <cell r="C412" t="str">
            <v>NS形　継輪用継手材（特殊割押輪）</v>
          </cell>
          <cell r="D412" t="str">
            <v>φ250</v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6">
          <cell r="A426">
            <v>40</v>
          </cell>
          <cell r="B426" t="str">
            <v>■T形</v>
          </cell>
        </row>
        <row r="427">
          <cell r="B427" t="str">
            <v>コード</v>
          </cell>
          <cell r="C427" t="str">
            <v>品　名</v>
          </cell>
          <cell r="D427" t="str">
            <v>形　質</v>
          </cell>
          <cell r="E427" t="str">
            <v>延　長</v>
          </cell>
        </row>
        <row r="428">
          <cell r="A428" t="str">
            <v/>
          </cell>
          <cell r="B428" t="str">
            <v>Ｓ8714</v>
          </cell>
          <cell r="C428" t="str">
            <v>T形　直　管</v>
          </cell>
          <cell r="D428" t="str">
            <v>φ75　1種管</v>
          </cell>
          <cell r="E428">
            <v>4</v>
          </cell>
        </row>
        <row r="429">
          <cell r="A429" t="str">
            <v/>
          </cell>
          <cell r="B429" t="str">
            <v>Ｓ8714</v>
          </cell>
          <cell r="C429" t="str">
            <v>T形　直　管</v>
          </cell>
          <cell r="D429" t="str">
            <v>φ100　1種管</v>
          </cell>
          <cell r="E429">
            <v>4</v>
          </cell>
        </row>
        <row r="430">
          <cell r="A430">
            <v>41</v>
          </cell>
          <cell r="B430" t="str">
            <v>Ｓ8714</v>
          </cell>
          <cell r="C430" t="str">
            <v>T形　直　管</v>
          </cell>
          <cell r="D430" t="str">
            <v>φ150　1種管</v>
          </cell>
          <cell r="E430">
            <v>5</v>
          </cell>
        </row>
        <row r="431">
          <cell r="A431" t="str">
            <v/>
          </cell>
          <cell r="B431" t="str">
            <v>Ｓ8714</v>
          </cell>
          <cell r="C431" t="str">
            <v>T形　直　管</v>
          </cell>
          <cell r="D431" t="str">
            <v>φ200　1種管</v>
          </cell>
          <cell r="E431">
            <v>5</v>
          </cell>
        </row>
        <row r="432">
          <cell r="A432" t="str">
            <v/>
          </cell>
          <cell r="B432" t="str">
            <v>S8727</v>
          </cell>
          <cell r="C432" t="str">
            <v>T形　曲　管</v>
          </cell>
          <cell r="D432" t="str">
            <v>φ75　90度</v>
          </cell>
          <cell r="E432">
            <v>0.39700000000000002</v>
          </cell>
        </row>
        <row r="433">
          <cell r="A433" t="str">
            <v/>
          </cell>
          <cell r="B433" t="str">
            <v>S8727</v>
          </cell>
          <cell r="C433" t="str">
            <v>T形　曲　管</v>
          </cell>
          <cell r="D433" t="str">
            <v>φ100　90度</v>
          </cell>
          <cell r="E433">
            <v>0.41299999999999998</v>
          </cell>
        </row>
        <row r="434">
          <cell r="A434" t="str">
            <v/>
          </cell>
          <cell r="B434" t="str">
            <v>S8727</v>
          </cell>
          <cell r="C434" t="str">
            <v>T形　曲　管</v>
          </cell>
          <cell r="D434" t="str">
            <v>φ150　90度</v>
          </cell>
          <cell r="E434">
            <v>0.47</v>
          </cell>
        </row>
        <row r="435">
          <cell r="A435" t="str">
            <v/>
          </cell>
          <cell r="B435" t="str">
            <v>S8727</v>
          </cell>
          <cell r="C435" t="str">
            <v>T形　曲　管</v>
          </cell>
          <cell r="D435" t="str">
            <v>φ200　90度</v>
          </cell>
          <cell r="E435">
            <v>0.51900000000000002</v>
          </cell>
        </row>
        <row r="436">
          <cell r="A436" t="str">
            <v/>
          </cell>
          <cell r="B436" t="str">
            <v>S8727</v>
          </cell>
          <cell r="C436" t="str">
            <v>T形　曲　管</v>
          </cell>
          <cell r="D436" t="str">
            <v>φ75　45度</v>
          </cell>
          <cell r="E436">
            <v>0.33500000000000002</v>
          </cell>
        </row>
        <row r="437">
          <cell r="A437">
            <v>42</v>
          </cell>
          <cell r="B437" t="str">
            <v>S8727</v>
          </cell>
          <cell r="C437" t="str">
            <v>T形　曲　管</v>
          </cell>
          <cell r="D437" t="str">
            <v>φ100　45度</v>
          </cell>
          <cell r="E437">
            <v>0.35399999999999998</v>
          </cell>
        </row>
        <row r="438">
          <cell r="A438">
            <v>43</v>
          </cell>
          <cell r="B438" t="str">
            <v>S8727</v>
          </cell>
          <cell r="C438" t="str">
            <v>T形　曲　管</v>
          </cell>
          <cell r="D438" t="str">
            <v>φ150　45度</v>
          </cell>
          <cell r="E438">
            <v>0.39200000000000002</v>
          </cell>
        </row>
        <row r="439">
          <cell r="A439" t="str">
            <v/>
          </cell>
          <cell r="B439" t="str">
            <v>S8727</v>
          </cell>
          <cell r="C439" t="str">
            <v>T形　曲　管</v>
          </cell>
          <cell r="D439" t="str">
            <v>φ200　45度</v>
          </cell>
          <cell r="E439">
            <v>0.44</v>
          </cell>
        </row>
        <row r="440">
          <cell r="A440" t="str">
            <v/>
          </cell>
          <cell r="B440" t="str">
            <v>S8727</v>
          </cell>
          <cell r="C440" t="str">
            <v>T形　曲　管</v>
          </cell>
          <cell r="D440" t="str">
            <v>φ75　22度1/2</v>
          </cell>
          <cell r="E440">
            <v>0.33900000000000002</v>
          </cell>
        </row>
        <row r="441">
          <cell r="A441">
            <v>44</v>
          </cell>
          <cell r="B441" t="str">
            <v>S8727</v>
          </cell>
          <cell r="C441" t="str">
            <v>T形　曲　管</v>
          </cell>
          <cell r="D441" t="str">
            <v>φ100　22度1/2</v>
          </cell>
          <cell r="E441">
            <v>0.35799999999999998</v>
          </cell>
        </row>
        <row r="442">
          <cell r="A442">
            <v>45</v>
          </cell>
          <cell r="B442" t="str">
            <v>S8727</v>
          </cell>
          <cell r="C442" t="str">
            <v>T形　曲　管</v>
          </cell>
          <cell r="D442" t="str">
            <v>φ150　22度1/2</v>
          </cell>
          <cell r="E442">
            <v>0.39800000000000002</v>
          </cell>
        </row>
        <row r="443">
          <cell r="A443" t="str">
            <v/>
          </cell>
          <cell r="B443" t="str">
            <v>S8727</v>
          </cell>
          <cell r="C443" t="str">
            <v>T形　曲　管</v>
          </cell>
          <cell r="D443" t="str">
            <v>φ200　22度1/2</v>
          </cell>
          <cell r="E443">
            <v>0.44800000000000001</v>
          </cell>
        </row>
        <row r="444">
          <cell r="A444" t="str">
            <v/>
          </cell>
          <cell r="B444" t="str">
            <v>S8727</v>
          </cell>
          <cell r="C444" t="str">
            <v>T形　曲　管</v>
          </cell>
          <cell r="D444" t="str">
            <v>φ75　11度1/4</v>
          </cell>
          <cell r="E444">
            <v>0.28499999999999998</v>
          </cell>
        </row>
        <row r="445">
          <cell r="A445" t="str">
            <v/>
          </cell>
          <cell r="B445" t="str">
            <v>S8727</v>
          </cell>
          <cell r="C445" t="str">
            <v>T形　曲　管</v>
          </cell>
          <cell r="D445" t="str">
            <v>φ100　11度1/4</v>
          </cell>
          <cell r="E445">
            <v>0.3</v>
          </cell>
        </row>
        <row r="446">
          <cell r="A446" t="str">
            <v/>
          </cell>
          <cell r="B446" t="str">
            <v>S8727</v>
          </cell>
          <cell r="C446" t="str">
            <v>T形　曲　管</v>
          </cell>
          <cell r="D446" t="str">
            <v>φ150　11度1/4</v>
          </cell>
          <cell r="E446">
            <v>0.33</v>
          </cell>
        </row>
        <row r="447">
          <cell r="A447" t="str">
            <v/>
          </cell>
          <cell r="B447" t="str">
            <v>S8727</v>
          </cell>
          <cell r="C447" t="str">
            <v>T形　曲　管</v>
          </cell>
          <cell r="D447" t="str">
            <v>φ200　11度1/4</v>
          </cell>
          <cell r="E447">
            <v>0.35</v>
          </cell>
        </row>
        <row r="448">
          <cell r="A448" t="str">
            <v/>
          </cell>
          <cell r="B448" t="str">
            <v>S8747</v>
          </cell>
          <cell r="C448" t="str">
            <v>T形　二受丁字管</v>
          </cell>
          <cell r="D448" t="str">
            <v>φ75×φ75</v>
          </cell>
          <cell r="E448">
            <v>0.43</v>
          </cell>
        </row>
        <row r="449">
          <cell r="A449" t="str">
            <v/>
          </cell>
          <cell r="B449" t="str">
            <v>S8747</v>
          </cell>
          <cell r="C449" t="str">
            <v>T形　二受丁字管</v>
          </cell>
          <cell r="D449" t="str">
            <v>φ100×φ75</v>
          </cell>
          <cell r="E449">
            <v>0.45</v>
          </cell>
        </row>
        <row r="450">
          <cell r="A450" t="str">
            <v/>
          </cell>
          <cell r="B450" t="str">
            <v>S8747</v>
          </cell>
          <cell r="C450" t="str">
            <v>T形　二受丁字管</v>
          </cell>
          <cell r="D450" t="str">
            <v>φ100×φ100</v>
          </cell>
          <cell r="E450">
            <v>0.45</v>
          </cell>
        </row>
        <row r="451">
          <cell r="A451" t="str">
            <v/>
          </cell>
          <cell r="B451" t="str">
            <v>S8747</v>
          </cell>
          <cell r="C451" t="str">
            <v>T形　二受丁字管</v>
          </cell>
          <cell r="D451" t="str">
            <v>φ150×φ75</v>
          </cell>
          <cell r="E451">
            <v>0.46</v>
          </cell>
        </row>
        <row r="452">
          <cell r="A452" t="str">
            <v/>
          </cell>
          <cell r="B452" t="str">
            <v>S8747</v>
          </cell>
          <cell r="C452" t="str">
            <v>T形　二受丁字管</v>
          </cell>
          <cell r="D452" t="str">
            <v>φ150×φ100</v>
          </cell>
          <cell r="E452">
            <v>0.46</v>
          </cell>
        </row>
        <row r="453">
          <cell r="A453">
            <v>46</v>
          </cell>
          <cell r="B453" t="str">
            <v>S8747</v>
          </cell>
          <cell r="C453" t="str">
            <v>T形　二受丁字管</v>
          </cell>
          <cell r="D453" t="str">
            <v>φ150×φ150</v>
          </cell>
          <cell r="E453">
            <v>0.51</v>
          </cell>
        </row>
        <row r="454">
          <cell r="A454" t="str">
            <v/>
          </cell>
          <cell r="B454" t="str">
            <v>S8747</v>
          </cell>
          <cell r="C454" t="str">
            <v>T形　二受丁字管</v>
          </cell>
          <cell r="D454" t="str">
            <v>φ200×φ100</v>
          </cell>
          <cell r="E454">
            <v>0.48</v>
          </cell>
        </row>
        <row r="455">
          <cell r="A455" t="str">
            <v/>
          </cell>
          <cell r="B455" t="str">
            <v>S8747</v>
          </cell>
          <cell r="C455" t="str">
            <v>T形　二受丁字管</v>
          </cell>
          <cell r="D455" t="str">
            <v>φ200×φ150</v>
          </cell>
          <cell r="E455">
            <v>0.56999999999999995</v>
          </cell>
        </row>
        <row r="456">
          <cell r="A456" t="str">
            <v/>
          </cell>
          <cell r="B456" t="str">
            <v>S8747</v>
          </cell>
          <cell r="C456" t="str">
            <v>T形　二受丁字管</v>
          </cell>
          <cell r="D456" t="str">
            <v>φ200×φ200</v>
          </cell>
          <cell r="E456">
            <v>0.56999999999999995</v>
          </cell>
        </row>
        <row r="457">
          <cell r="A457" t="str">
            <v/>
          </cell>
          <cell r="B457" t="str">
            <v>S8747</v>
          </cell>
          <cell r="C457" t="str">
            <v>T形　挿受片落管</v>
          </cell>
          <cell r="D457" t="str">
            <v>φ100×φ75</v>
          </cell>
          <cell r="E457">
            <v>0.375</v>
          </cell>
        </row>
        <row r="458">
          <cell r="A458" t="str">
            <v/>
          </cell>
          <cell r="B458" t="str">
            <v>S8747</v>
          </cell>
          <cell r="C458" t="str">
            <v>T形　挿受片落管</v>
          </cell>
          <cell r="D458" t="str">
            <v>φ150×φ100</v>
          </cell>
          <cell r="E458">
            <v>0.41</v>
          </cell>
        </row>
        <row r="459">
          <cell r="A459" t="str">
            <v/>
          </cell>
          <cell r="B459" t="str">
            <v>S8747</v>
          </cell>
          <cell r="C459" t="str">
            <v>T形　挿受片落管</v>
          </cell>
          <cell r="D459" t="str">
            <v>φ200×φ100</v>
          </cell>
          <cell r="E459">
            <v>0.47</v>
          </cell>
        </row>
        <row r="460">
          <cell r="A460" t="str">
            <v/>
          </cell>
          <cell r="B460" t="str">
            <v>S8747</v>
          </cell>
          <cell r="C460" t="str">
            <v>T形　挿受片落管</v>
          </cell>
          <cell r="D460" t="str">
            <v>φ200×φ150</v>
          </cell>
          <cell r="E460">
            <v>0.42</v>
          </cell>
        </row>
        <row r="461">
          <cell r="A461" t="str">
            <v/>
          </cell>
          <cell r="C461" t="str">
            <v>T形　挿受片落管</v>
          </cell>
          <cell r="D461" t="str">
            <v>φ250×φ100</v>
          </cell>
          <cell r="E461">
            <v>0.53</v>
          </cell>
        </row>
        <row r="462">
          <cell r="A462" t="str">
            <v/>
          </cell>
          <cell r="C462" t="str">
            <v>T形　挿受片落管</v>
          </cell>
          <cell r="D462" t="str">
            <v>φ250×φ150</v>
          </cell>
          <cell r="E462">
            <v>0.48</v>
          </cell>
        </row>
        <row r="463">
          <cell r="A463" t="str">
            <v/>
          </cell>
          <cell r="C463" t="str">
            <v>T形　挿受片落管</v>
          </cell>
          <cell r="D463" t="str">
            <v>φ250×φ200</v>
          </cell>
          <cell r="E463">
            <v>0.435</v>
          </cell>
        </row>
        <row r="464">
          <cell r="A464" t="str">
            <v/>
          </cell>
          <cell r="B464" t="str">
            <v>S8747</v>
          </cell>
          <cell r="C464" t="str">
            <v>T形　受挿片落管</v>
          </cell>
          <cell r="D464" t="str">
            <v>φ100×φ75</v>
          </cell>
          <cell r="E464">
            <v>0.375</v>
          </cell>
        </row>
        <row r="465">
          <cell r="A465" t="str">
            <v/>
          </cell>
          <cell r="B465" t="str">
            <v>S8747</v>
          </cell>
          <cell r="C465" t="str">
            <v>T形　受挿片落管</v>
          </cell>
          <cell r="D465" t="str">
            <v>φ150×φ100</v>
          </cell>
          <cell r="E465">
            <v>0.41</v>
          </cell>
        </row>
        <row r="466">
          <cell r="A466">
            <v>47</v>
          </cell>
          <cell r="B466" t="str">
            <v>S8747</v>
          </cell>
          <cell r="C466" t="str">
            <v>T形　受挿片落管</v>
          </cell>
          <cell r="D466" t="str">
            <v>φ200×φ100</v>
          </cell>
          <cell r="E466">
            <v>0.47</v>
          </cell>
        </row>
        <row r="467">
          <cell r="A467" t="str">
            <v/>
          </cell>
          <cell r="B467" t="str">
            <v>S8747</v>
          </cell>
          <cell r="C467" t="str">
            <v>T形　受挿片落管</v>
          </cell>
          <cell r="D467" t="str">
            <v>φ200×φ150</v>
          </cell>
          <cell r="E467">
            <v>0.42</v>
          </cell>
        </row>
        <row r="468">
          <cell r="A468" t="str">
            <v/>
          </cell>
          <cell r="C468" t="str">
            <v>T形　受挿片落管</v>
          </cell>
          <cell r="D468" t="str">
            <v>φ250×φ100</v>
          </cell>
          <cell r="E468">
            <v>0.53</v>
          </cell>
        </row>
        <row r="469">
          <cell r="A469" t="str">
            <v/>
          </cell>
          <cell r="C469" t="str">
            <v>T形　受挿片落管</v>
          </cell>
          <cell r="D469" t="str">
            <v>φ250×φ150</v>
          </cell>
          <cell r="E469">
            <v>0.48</v>
          </cell>
        </row>
        <row r="470">
          <cell r="A470" t="str">
            <v/>
          </cell>
          <cell r="C470" t="str">
            <v>T形　受挿片落管</v>
          </cell>
          <cell r="D470" t="str">
            <v>φ250×φ200</v>
          </cell>
          <cell r="E470">
            <v>0.435</v>
          </cell>
        </row>
        <row r="471">
          <cell r="A471" t="str">
            <v/>
          </cell>
          <cell r="B471" t="str">
            <v>S8737</v>
          </cell>
          <cell r="C471" t="str">
            <v>T形　短管1号</v>
          </cell>
          <cell r="D471" t="str">
            <v>φ75</v>
          </cell>
          <cell r="E471">
            <v>0.12</v>
          </cell>
        </row>
        <row r="472">
          <cell r="A472" t="str">
            <v/>
          </cell>
          <cell r="B472" t="str">
            <v>S8737</v>
          </cell>
          <cell r="C472" t="str">
            <v>T形　短管1号</v>
          </cell>
          <cell r="D472" t="str">
            <v>φ100</v>
          </cell>
          <cell r="E472">
            <v>0.12</v>
          </cell>
        </row>
        <row r="473">
          <cell r="A473" t="str">
            <v/>
          </cell>
          <cell r="B473" t="str">
            <v>S8737</v>
          </cell>
          <cell r="C473" t="str">
            <v>T形　短管1号</v>
          </cell>
          <cell r="D473" t="str">
            <v>φ150</v>
          </cell>
          <cell r="E473">
            <v>0.12</v>
          </cell>
        </row>
        <row r="474">
          <cell r="A474" t="str">
            <v/>
          </cell>
          <cell r="B474" t="str">
            <v>S8737</v>
          </cell>
          <cell r="C474" t="str">
            <v>T形　短管1号</v>
          </cell>
          <cell r="D474" t="str">
            <v>φ200</v>
          </cell>
          <cell r="E474">
            <v>0.12</v>
          </cell>
        </row>
        <row r="475">
          <cell r="A475" t="str">
            <v/>
          </cell>
          <cell r="B475" t="str">
            <v>S8737</v>
          </cell>
          <cell r="C475" t="str">
            <v>T形　短管2号</v>
          </cell>
          <cell r="D475" t="str">
            <v>φ75</v>
          </cell>
          <cell r="E475">
            <v>0.33</v>
          </cell>
        </row>
        <row r="476">
          <cell r="A476" t="str">
            <v/>
          </cell>
          <cell r="B476" t="str">
            <v>S8737</v>
          </cell>
          <cell r="C476" t="str">
            <v>T形　短管2号</v>
          </cell>
          <cell r="D476" t="str">
            <v>φ100</v>
          </cell>
          <cell r="E476">
            <v>0.33</v>
          </cell>
        </row>
        <row r="477">
          <cell r="A477">
            <v>48</v>
          </cell>
          <cell r="B477" t="str">
            <v>S8737</v>
          </cell>
          <cell r="C477" t="str">
            <v>T形　短管2号</v>
          </cell>
          <cell r="D477" t="str">
            <v>φ150</v>
          </cell>
          <cell r="E477">
            <v>0.33</v>
          </cell>
        </row>
        <row r="478">
          <cell r="A478" t="str">
            <v/>
          </cell>
          <cell r="B478" t="str">
            <v>S8737</v>
          </cell>
          <cell r="C478" t="str">
            <v>T形　短管2号</v>
          </cell>
          <cell r="D478" t="str">
            <v>φ200</v>
          </cell>
          <cell r="E478">
            <v>0.33</v>
          </cell>
        </row>
        <row r="479">
          <cell r="A479" t="str">
            <v/>
          </cell>
          <cell r="B479" t="str">
            <v>S8757</v>
          </cell>
          <cell r="C479" t="str">
            <v>T形　F付丁字管</v>
          </cell>
          <cell r="D479" t="str">
            <v>φ75×φ75</v>
          </cell>
          <cell r="E479">
            <v>0.43</v>
          </cell>
        </row>
        <row r="480">
          <cell r="A480" t="str">
            <v/>
          </cell>
          <cell r="B480" t="str">
            <v>S8757</v>
          </cell>
          <cell r="C480" t="str">
            <v>T形　F付丁字管</v>
          </cell>
          <cell r="D480" t="str">
            <v>φ100×φ75</v>
          </cell>
          <cell r="E480">
            <v>0.45</v>
          </cell>
        </row>
        <row r="481">
          <cell r="A481" t="str">
            <v/>
          </cell>
          <cell r="B481" t="str">
            <v>S8757</v>
          </cell>
          <cell r="C481" t="str">
            <v>T形　F付丁字管</v>
          </cell>
          <cell r="D481" t="str">
            <v>φ150×φ75</v>
          </cell>
          <cell r="E481">
            <v>0.46</v>
          </cell>
        </row>
        <row r="482">
          <cell r="A482" t="str">
            <v/>
          </cell>
          <cell r="B482" t="str">
            <v>S8757</v>
          </cell>
          <cell r="C482" t="str">
            <v>T形　F付丁字管</v>
          </cell>
          <cell r="D482" t="str">
            <v>φ200×φ75</v>
          </cell>
          <cell r="E482">
            <v>0.48</v>
          </cell>
        </row>
        <row r="483">
          <cell r="A483" t="str">
            <v/>
          </cell>
          <cell r="B483" t="str">
            <v>S8765</v>
          </cell>
          <cell r="C483" t="str">
            <v>T形　特殊押輪</v>
          </cell>
          <cell r="D483" t="str">
            <v>φ75</v>
          </cell>
        </row>
        <row r="484">
          <cell r="A484">
            <v>49</v>
          </cell>
          <cell r="B484" t="str">
            <v>S8765</v>
          </cell>
          <cell r="C484" t="str">
            <v>T形　特殊押輪</v>
          </cell>
          <cell r="D484" t="str">
            <v>φ100</v>
          </cell>
        </row>
        <row r="485">
          <cell r="A485">
            <v>50</v>
          </cell>
          <cell r="B485" t="str">
            <v>S8765</v>
          </cell>
          <cell r="C485" t="str">
            <v>T形　特殊押輪</v>
          </cell>
          <cell r="D485" t="str">
            <v>φ150</v>
          </cell>
        </row>
        <row r="486">
          <cell r="A486">
            <v>51</v>
          </cell>
          <cell r="B486" t="str">
            <v>S8765</v>
          </cell>
          <cell r="C486" t="str">
            <v>T形　特殊押輪</v>
          </cell>
          <cell r="D486" t="str">
            <v>φ200</v>
          </cell>
        </row>
        <row r="487">
          <cell r="A487" t="str">
            <v/>
          </cell>
          <cell r="C487" t="str">
            <v>T形　特殊押輪</v>
          </cell>
          <cell r="D487" t="str">
            <v>φ250</v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>
            <v>52</v>
          </cell>
          <cell r="B502" t="str">
            <v>■K形</v>
          </cell>
        </row>
        <row r="503">
          <cell r="B503" t="str">
            <v>コード</v>
          </cell>
          <cell r="C503" t="str">
            <v>品　名</v>
          </cell>
          <cell r="D503" t="str">
            <v>形　質</v>
          </cell>
          <cell r="E503" t="str">
            <v>延　長</v>
          </cell>
        </row>
        <row r="504">
          <cell r="A504" t="str">
            <v/>
          </cell>
          <cell r="B504" t="str">
            <v>S8714</v>
          </cell>
          <cell r="C504" t="str">
            <v>K形　直　管</v>
          </cell>
          <cell r="D504" t="str">
            <v>φ75　1種管</v>
          </cell>
          <cell r="E504">
            <v>4</v>
          </cell>
        </row>
        <row r="505">
          <cell r="A505" t="str">
            <v/>
          </cell>
          <cell r="B505" t="str">
            <v>S8714</v>
          </cell>
          <cell r="C505" t="str">
            <v>K形　直　管</v>
          </cell>
          <cell r="D505" t="str">
            <v>φ100　1種管</v>
          </cell>
          <cell r="E505">
            <v>4</v>
          </cell>
        </row>
        <row r="506">
          <cell r="A506" t="str">
            <v/>
          </cell>
          <cell r="B506" t="str">
            <v>S8714</v>
          </cell>
          <cell r="C506" t="str">
            <v>K形　直　管</v>
          </cell>
          <cell r="D506" t="str">
            <v>φ150　1種管</v>
          </cell>
          <cell r="E506">
            <v>5</v>
          </cell>
        </row>
        <row r="507">
          <cell r="A507" t="str">
            <v/>
          </cell>
          <cell r="B507" t="str">
            <v>S8714</v>
          </cell>
          <cell r="C507" t="str">
            <v>K形　直　管</v>
          </cell>
          <cell r="D507" t="str">
            <v>φ200　1種管</v>
          </cell>
          <cell r="E507">
            <v>5</v>
          </cell>
        </row>
        <row r="508">
          <cell r="A508" t="str">
            <v/>
          </cell>
          <cell r="B508" t="str">
            <v>S8714</v>
          </cell>
          <cell r="C508" t="str">
            <v>K形　直　管</v>
          </cell>
          <cell r="D508" t="str">
            <v>φ250　1種管</v>
          </cell>
          <cell r="E508">
            <v>5</v>
          </cell>
        </row>
        <row r="509">
          <cell r="A509" t="str">
            <v/>
          </cell>
          <cell r="B509" t="str">
            <v>S8714</v>
          </cell>
          <cell r="C509" t="str">
            <v>K形　直　管</v>
          </cell>
          <cell r="D509" t="str">
            <v>φ300　1種管</v>
          </cell>
          <cell r="E509">
            <v>6</v>
          </cell>
        </row>
        <row r="510">
          <cell r="A510" t="str">
            <v/>
          </cell>
          <cell r="B510" t="str">
            <v>物価版</v>
          </cell>
          <cell r="C510" t="str">
            <v>K形　直　管</v>
          </cell>
          <cell r="D510" t="str">
            <v>φ400　1種管</v>
          </cell>
          <cell r="E510">
            <v>6</v>
          </cell>
        </row>
        <row r="511">
          <cell r="A511" t="str">
            <v/>
          </cell>
          <cell r="B511" t="str">
            <v>物価版</v>
          </cell>
          <cell r="C511" t="str">
            <v>K形　直　管</v>
          </cell>
          <cell r="D511" t="str">
            <v>φ75　2種管</v>
          </cell>
          <cell r="E511">
            <v>4</v>
          </cell>
        </row>
        <row r="512">
          <cell r="A512" t="str">
            <v/>
          </cell>
          <cell r="B512" t="str">
            <v>物価版</v>
          </cell>
          <cell r="C512" t="str">
            <v>K形　直　管</v>
          </cell>
          <cell r="D512" t="str">
            <v>φ100　2種管</v>
          </cell>
          <cell r="E512">
            <v>4</v>
          </cell>
        </row>
        <row r="513">
          <cell r="A513" t="str">
            <v/>
          </cell>
          <cell r="B513" t="str">
            <v>物価版</v>
          </cell>
          <cell r="C513" t="str">
            <v>K形　直　管</v>
          </cell>
          <cell r="D513" t="str">
            <v>φ150　2種管</v>
          </cell>
          <cell r="E513">
            <v>5</v>
          </cell>
        </row>
        <row r="514">
          <cell r="A514" t="str">
            <v/>
          </cell>
          <cell r="B514" t="str">
            <v>物価版</v>
          </cell>
          <cell r="C514" t="str">
            <v>K形　直　管</v>
          </cell>
          <cell r="D514" t="str">
            <v>φ200　2種管</v>
          </cell>
          <cell r="E514">
            <v>5</v>
          </cell>
        </row>
        <row r="515">
          <cell r="A515" t="str">
            <v/>
          </cell>
          <cell r="B515" t="str">
            <v>物価版</v>
          </cell>
          <cell r="C515" t="str">
            <v>K形　直　管</v>
          </cell>
          <cell r="D515" t="str">
            <v>φ250　2種管</v>
          </cell>
          <cell r="E515">
            <v>5</v>
          </cell>
        </row>
        <row r="516">
          <cell r="A516" t="str">
            <v/>
          </cell>
          <cell r="B516" t="str">
            <v>Ｓ8714</v>
          </cell>
          <cell r="C516" t="str">
            <v>K形　直　管</v>
          </cell>
          <cell r="D516" t="str">
            <v>φ300　2種管</v>
          </cell>
          <cell r="E516">
            <v>6</v>
          </cell>
        </row>
        <row r="517">
          <cell r="A517" t="str">
            <v/>
          </cell>
          <cell r="B517" t="str">
            <v>Ｓ8714</v>
          </cell>
          <cell r="C517" t="str">
            <v>K形　直　管</v>
          </cell>
          <cell r="D517" t="str">
            <v>φ400　2種管</v>
          </cell>
          <cell r="E517">
            <v>6</v>
          </cell>
        </row>
        <row r="518">
          <cell r="A518" t="str">
            <v/>
          </cell>
          <cell r="B518" t="str">
            <v>S8727</v>
          </cell>
          <cell r="C518" t="str">
            <v>K形　曲　管</v>
          </cell>
          <cell r="D518" t="str">
            <v>φ75　90度</v>
          </cell>
          <cell r="E518">
            <v>0.58399999999999996</v>
          </cell>
        </row>
        <row r="519">
          <cell r="A519" t="str">
            <v/>
          </cell>
          <cell r="B519" t="str">
            <v>S8727</v>
          </cell>
          <cell r="C519" t="str">
            <v>K形　曲　管</v>
          </cell>
          <cell r="D519" t="str">
            <v>φ100　90度</v>
          </cell>
          <cell r="E519">
            <v>0.58399999999999996</v>
          </cell>
        </row>
        <row r="520">
          <cell r="A520" t="str">
            <v/>
          </cell>
          <cell r="B520" t="str">
            <v>S8727</v>
          </cell>
          <cell r="C520" t="str">
            <v>K形　曲　管</v>
          </cell>
          <cell r="D520" t="str">
            <v>φ150　90度</v>
          </cell>
          <cell r="E520">
            <v>0.71299999999999997</v>
          </cell>
        </row>
        <row r="521">
          <cell r="A521" t="str">
            <v/>
          </cell>
          <cell r="B521" t="str">
            <v>S8727</v>
          </cell>
          <cell r="C521" t="str">
            <v>K形　曲　管</v>
          </cell>
          <cell r="D521" t="str">
            <v>φ200　90度</v>
          </cell>
          <cell r="E521">
            <v>0.872</v>
          </cell>
        </row>
        <row r="522">
          <cell r="A522" t="str">
            <v/>
          </cell>
          <cell r="B522" t="str">
            <v>S8727</v>
          </cell>
          <cell r="C522" t="str">
            <v>K形　曲　管</v>
          </cell>
          <cell r="D522" t="str">
            <v>φ250　90度</v>
          </cell>
          <cell r="E522">
            <v>0.92300000000000004</v>
          </cell>
        </row>
        <row r="523">
          <cell r="A523" t="str">
            <v/>
          </cell>
          <cell r="B523" t="str">
            <v>S8727</v>
          </cell>
          <cell r="C523" t="str">
            <v>K形　曲　管</v>
          </cell>
          <cell r="D523" t="str">
            <v>φ300　90度</v>
          </cell>
          <cell r="E523">
            <v>1.161</v>
          </cell>
        </row>
        <row r="524">
          <cell r="A524" t="str">
            <v/>
          </cell>
          <cell r="B524" t="str">
            <v>S8727</v>
          </cell>
          <cell r="C524" t="str">
            <v>K形　曲　管</v>
          </cell>
          <cell r="D524" t="str">
            <v>φ400　90度</v>
          </cell>
          <cell r="E524">
            <v>1.2430000000000001</v>
          </cell>
        </row>
        <row r="525">
          <cell r="A525" t="str">
            <v/>
          </cell>
          <cell r="B525" t="str">
            <v>S8727</v>
          </cell>
          <cell r="C525" t="str">
            <v>K形　曲　管</v>
          </cell>
          <cell r="D525" t="str">
            <v>φ75　45度</v>
          </cell>
          <cell r="E525">
            <v>0.50600000000000001</v>
          </cell>
        </row>
        <row r="526">
          <cell r="A526" t="str">
            <v/>
          </cell>
          <cell r="B526" t="str">
            <v>S8727</v>
          </cell>
          <cell r="C526" t="str">
            <v>K形　曲　管</v>
          </cell>
          <cell r="D526" t="str">
            <v>φ100　45度</v>
          </cell>
          <cell r="E526">
            <v>0.50600000000000001</v>
          </cell>
        </row>
        <row r="527">
          <cell r="A527" t="str">
            <v/>
          </cell>
          <cell r="B527" t="str">
            <v>S8727</v>
          </cell>
          <cell r="C527" t="str">
            <v>K形　曲　管</v>
          </cell>
          <cell r="D527" t="str">
            <v>φ150　45度</v>
          </cell>
          <cell r="E527">
            <v>0.63400000000000001</v>
          </cell>
        </row>
        <row r="528">
          <cell r="A528" t="str">
            <v/>
          </cell>
          <cell r="B528" t="str">
            <v>S8727</v>
          </cell>
          <cell r="C528" t="str">
            <v>K形　曲　管</v>
          </cell>
          <cell r="D528" t="str">
            <v>φ200　45度</v>
          </cell>
          <cell r="E528">
            <v>0.71499999999999997</v>
          </cell>
        </row>
        <row r="529">
          <cell r="A529" t="str">
            <v/>
          </cell>
          <cell r="B529" t="str">
            <v>S8727</v>
          </cell>
          <cell r="C529" t="str">
            <v>K形　曲　管</v>
          </cell>
          <cell r="D529" t="str">
            <v>φ250　45度</v>
          </cell>
          <cell r="E529">
            <v>0.71599999999999997</v>
          </cell>
        </row>
        <row r="530">
          <cell r="A530">
            <v>53</v>
          </cell>
          <cell r="B530" t="str">
            <v>S8727</v>
          </cell>
          <cell r="C530" t="str">
            <v>K形　曲　管</v>
          </cell>
          <cell r="D530" t="str">
            <v>φ300　45度</v>
          </cell>
          <cell r="E530">
            <v>0.79700000000000004</v>
          </cell>
        </row>
        <row r="531">
          <cell r="A531" t="str">
            <v/>
          </cell>
          <cell r="B531" t="str">
            <v>S8727</v>
          </cell>
          <cell r="C531" t="str">
            <v>K形　曲　管</v>
          </cell>
          <cell r="D531" t="str">
            <v>φ400　45度</v>
          </cell>
          <cell r="E531">
            <v>0.95699999999999996</v>
          </cell>
        </row>
        <row r="532">
          <cell r="A532" t="str">
            <v/>
          </cell>
          <cell r="B532" t="str">
            <v>S8727</v>
          </cell>
          <cell r="C532" t="str">
            <v>K形　曲　管</v>
          </cell>
          <cell r="D532" t="str">
            <v>φ75　22度1/2</v>
          </cell>
          <cell r="E532">
            <v>0.50600000000000001</v>
          </cell>
        </row>
        <row r="533">
          <cell r="A533" t="str">
            <v/>
          </cell>
          <cell r="B533" t="str">
            <v>S8727</v>
          </cell>
          <cell r="C533" t="str">
            <v>K形　曲　管</v>
          </cell>
          <cell r="D533" t="str">
            <v>φ100　22度1/2</v>
          </cell>
          <cell r="E533">
            <v>0.50600000000000001</v>
          </cell>
        </row>
        <row r="534">
          <cell r="A534" t="str">
            <v/>
          </cell>
          <cell r="B534" t="str">
            <v>S8727</v>
          </cell>
          <cell r="C534" t="str">
            <v>K形　曲　管</v>
          </cell>
          <cell r="D534" t="str">
            <v>φ150　22度1/2</v>
          </cell>
          <cell r="E534">
            <v>0.85399999999999998</v>
          </cell>
        </row>
        <row r="535">
          <cell r="A535" t="str">
            <v/>
          </cell>
          <cell r="B535" t="str">
            <v>S8727</v>
          </cell>
          <cell r="C535" t="str">
            <v>K形　曲　管</v>
          </cell>
          <cell r="D535" t="str">
            <v>φ200　22度1/2</v>
          </cell>
          <cell r="E535">
            <v>0.66500000000000004</v>
          </cell>
        </row>
        <row r="536">
          <cell r="A536" t="str">
            <v/>
          </cell>
          <cell r="B536" t="str">
            <v>S8727</v>
          </cell>
          <cell r="C536" t="str">
            <v>K形　曲　管</v>
          </cell>
          <cell r="D536" t="str">
            <v>φ250　22度1/2</v>
          </cell>
          <cell r="E536">
            <v>0.66600000000000004</v>
          </cell>
        </row>
        <row r="537">
          <cell r="A537">
            <v>54</v>
          </cell>
          <cell r="B537" t="str">
            <v>S8727</v>
          </cell>
          <cell r="C537" t="str">
            <v>K形　曲　管</v>
          </cell>
          <cell r="D537" t="str">
            <v>φ300　22度1/2</v>
          </cell>
          <cell r="E537">
            <v>0.747</v>
          </cell>
        </row>
        <row r="538">
          <cell r="A538" t="str">
            <v/>
          </cell>
          <cell r="B538" t="str">
            <v>S8727</v>
          </cell>
          <cell r="C538" t="str">
            <v>K形　曲　管</v>
          </cell>
          <cell r="D538" t="str">
            <v>φ400　22度1/2</v>
          </cell>
          <cell r="E538">
            <v>0.95699999999999996</v>
          </cell>
        </row>
        <row r="539">
          <cell r="A539" t="str">
            <v/>
          </cell>
          <cell r="B539" t="str">
            <v>S8727</v>
          </cell>
          <cell r="C539" t="str">
            <v>K形　曲　管</v>
          </cell>
          <cell r="D539" t="str">
            <v>φ75　11度1/4</v>
          </cell>
          <cell r="E539">
            <v>0.78100000000000003</v>
          </cell>
        </row>
        <row r="540">
          <cell r="A540" t="str">
            <v/>
          </cell>
          <cell r="B540" t="str">
            <v>S8727</v>
          </cell>
          <cell r="C540" t="str">
            <v>K形　曲　管</v>
          </cell>
          <cell r="D540" t="str">
            <v>φ100　11度1/4</v>
          </cell>
          <cell r="E540">
            <v>0.78100000000000003</v>
          </cell>
        </row>
        <row r="541">
          <cell r="A541" t="str">
            <v/>
          </cell>
          <cell r="B541" t="str">
            <v>S8727</v>
          </cell>
          <cell r="C541" t="str">
            <v>K形　曲　管</v>
          </cell>
          <cell r="D541" t="str">
            <v>φ150　11度1/4</v>
          </cell>
          <cell r="E541">
            <v>0.78100000000000003</v>
          </cell>
        </row>
        <row r="542">
          <cell r="A542" t="str">
            <v/>
          </cell>
          <cell r="B542" t="str">
            <v>S8727</v>
          </cell>
          <cell r="C542" t="str">
            <v>K形　曲　管</v>
          </cell>
          <cell r="D542" t="str">
            <v>φ200　11度1/4</v>
          </cell>
          <cell r="E542">
            <v>0.97899999999999998</v>
          </cell>
        </row>
        <row r="543">
          <cell r="A543" t="str">
            <v/>
          </cell>
          <cell r="B543" t="str">
            <v>S8727</v>
          </cell>
          <cell r="C543" t="str">
            <v>K形　曲　管</v>
          </cell>
          <cell r="D543" t="str">
            <v>φ250　11度1/4</v>
          </cell>
          <cell r="E543">
            <v>0.98</v>
          </cell>
        </row>
        <row r="544">
          <cell r="A544" t="str">
            <v/>
          </cell>
          <cell r="B544" t="str">
            <v>S8727</v>
          </cell>
          <cell r="C544" t="str">
            <v>K形　曲　管</v>
          </cell>
          <cell r="D544" t="str">
            <v>φ300　11度1/4</v>
          </cell>
          <cell r="E544">
            <v>0.98199999999999998</v>
          </cell>
        </row>
        <row r="545">
          <cell r="A545" t="str">
            <v/>
          </cell>
          <cell r="B545" t="str">
            <v>S8727</v>
          </cell>
          <cell r="C545" t="str">
            <v>K形　曲　管</v>
          </cell>
          <cell r="D545" t="str">
            <v>φ400　11度1/4</v>
          </cell>
          <cell r="E545">
            <v>1.232</v>
          </cell>
        </row>
        <row r="546">
          <cell r="A546" t="str">
            <v/>
          </cell>
          <cell r="B546" t="str">
            <v>S8727</v>
          </cell>
          <cell r="C546" t="str">
            <v>K形　曲　管</v>
          </cell>
          <cell r="D546" t="str">
            <v>φ300　5度5/8</v>
          </cell>
          <cell r="E546">
            <v>1.1779999999999999</v>
          </cell>
        </row>
        <row r="547">
          <cell r="A547" t="str">
            <v/>
          </cell>
          <cell r="B547" t="str">
            <v>S8727</v>
          </cell>
          <cell r="C547" t="str">
            <v>K形　曲　管</v>
          </cell>
          <cell r="D547" t="str">
            <v>φ400　5度5/8</v>
          </cell>
          <cell r="E547">
            <v>1.232</v>
          </cell>
        </row>
        <row r="548">
          <cell r="A548" t="str">
            <v/>
          </cell>
          <cell r="B548" t="str">
            <v>S8732</v>
          </cell>
          <cell r="C548" t="str">
            <v>K形　継　輪</v>
          </cell>
          <cell r="D548" t="str">
            <v>φ75</v>
          </cell>
        </row>
        <row r="549">
          <cell r="A549">
            <v>55</v>
          </cell>
          <cell r="B549" t="str">
            <v>S8732</v>
          </cell>
          <cell r="C549" t="str">
            <v>K形　継　輪</v>
          </cell>
          <cell r="D549" t="str">
            <v>φ100</v>
          </cell>
        </row>
        <row r="550">
          <cell r="A550">
            <v>56</v>
          </cell>
          <cell r="B550" t="str">
            <v>S8732</v>
          </cell>
          <cell r="C550" t="str">
            <v>K形　継　輪</v>
          </cell>
          <cell r="D550" t="str">
            <v>φ150</v>
          </cell>
        </row>
        <row r="551">
          <cell r="A551" t="str">
            <v/>
          </cell>
          <cell r="B551" t="str">
            <v>S8732</v>
          </cell>
          <cell r="C551" t="str">
            <v>K形　継　輪</v>
          </cell>
          <cell r="D551" t="str">
            <v>φ200</v>
          </cell>
        </row>
        <row r="552">
          <cell r="A552" t="str">
            <v/>
          </cell>
          <cell r="B552" t="str">
            <v>S8732</v>
          </cell>
          <cell r="C552" t="str">
            <v>K形　継　輪</v>
          </cell>
          <cell r="D552" t="str">
            <v>φ250</v>
          </cell>
        </row>
        <row r="553">
          <cell r="A553">
            <v>57</v>
          </cell>
          <cell r="B553" t="str">
            <v>S8732</v>
          </cell>
          <cell r="C553" t="str">
            <v>K形　継　輪</v>
          </cell>
          <cell r="D553" t="str">
            <v>φ300</v>
          </cell>
        </row>
        <row r="554">
          <cell r="A554" t="str">
            <v/>
          </cell>
          <cell r="B554" t="str">
            <v>S8732</v>
          </cell>
          <cell r="C554" t="str">
            <v>K形　継　輪</v>
          </cell>
          <cell r="D554" t="str">
            <v>φ350</v>
          </cell>
        </row>
        <row r="555">
          <cell r="A555" t="str">
            <v/>
          </cell>
          <cell r="B555" t="str">
            <v>S8732</v>
          </cell>
          <cell r="C555" t="str">
            <v>K形　継　輪</v>
          </cell>
          <cell r="D555" t="str">
            <v>φ400</v>
          </cell>
        </row>
        <row r="556">
          <cell r="A556" t="str">
            <v/>
          </cell>
          <cell r="B556" t="str">
            <v>S8732</v>
          </cell>
          <cell r="C556" t="str">
            <v>K形　継　輪</v>
          </cell>
          <cell r="D556" t="str">
            <v>φ450</v>
          </cell>
        </row>
        <row r="557">
          <cell r="A557" t="str">
            <v/>
          </cell>
          <cell r="B557" t="str">
            <v>S8747</v>
          </cell>
          <cell r="C557" t="str">
            <v>K形　二受丁字管</v>
          </cell>
          <cell r="D557" t="str">
            <v>φ75×φ75</v>
          </cell>
          <cell r="E557">
            <v>0.64</v>
          </cell>
        </row>
        <row r="558">
          <cell r="A558" t="str">
            <v/>
          </cell>
          <cell r="B558" t="str">
            <v>S8747</v>
          </cell>
          <cell r="C558" t="str">
            <v>K形　二受丁字管</v>
          </cell>
          <cell r="D558" t="str">
            <v>φ100×φ75</v>
          </cell>
          <cell r="E558">
            <v>0.71</v>
          </cell>
        </row>
        <row r="559">
          <cell r="A559" t="str">
            <v/>
          </cell>
          <cell r="B559" t="str">
            <v>S8747</v>
          </cell>
          <cell r="C559" t="str">
            <v>K形　二受丁字管</v>
          </cell>
          <cell r="D559" t="str">
            <v>φ100×φ100</v>
          </cell>
          <cell r="E559">
            <v>0.71</v>
          </cell>
        </row>
        <row r="560">
          <cell r="A560" t="str">
            <v/>
          </cell>
          <cell r="B560" t="str">
            <v>S8747</v>
          </cell>
          <cell r="C560" t="str">
            <v>K形　二受丁字管</v>
          </cell>
          <cell r="D560" t="str">
            <v>φ150×φ75</v>
          </cell>
          <cell r="E560">
            <v>0.79</v>
          </cell>
        </row>
        <row r="561">
          <cell r="A561" t="str">
            <v/>
          </cell>
          <cell r="B561" t="str">
            <v>S8747</v>
          </cell>
          <cell r="C561" t="str">
            <v>K形　二受丁字管</v>
          </cell>
          <cell r="D561" t="str">
            <v>φ150×φ100</v>
          </cell>
          <cell r="E561">
            <v>0.79</v>
          </cell>
        </row>
        <row r="562">
          <cell r="A562" t="str">
            <v/>
          </cell>
          <cell r="B562" t="str">
            <v>S8747</v>
          </cell>
          <cell r="C562" t="str">
            <v>K形　二受丁字管</v>
          </cell>
          <cell r="D562" t="str">
            <v>φ150×φ150</v>
          </cell>
          <cell r="E562">
            <v>0.79</v>
          </cell>
        </row>
        <row r="563">
          <cell r="A563" t="str">
            <v/>
          </cell>
          <cell r="B563" t="str">
            <v>S8747</v>
          </cell>
          <cell r="C563" t="str">
            <v>K形　二受丁字管</v>
          </cell>
          <cell r="D563" t="str">
            <v>φ200×φ100</v>
          </cell>
          <cell r="E563">
            <v>0.76</v>
          </cell>
        </row>
        <row r="564">
          <cell r="A564" t="str">
            <v/>
          </cell>
          <cell r="B564" t="str">
            <v>S8747</v>
          </cell>
          <cell r="C564" t="str">
            <v>K形　二受丁字管</v>
          </cell>
          <cell r="D564" t="str">
            <v>φ200×φ150</v>
          </cell>
          <cell r="E564">
            <v>0.88</v>
          </cell>
        </row>
        <row r="565">
          <cell r="A565" t="str">
            <v/>
          </cell>
          <cell r="B565" t="str">
            <v>S8747</v>
          </cell>
          <cell r="C565" t="str">
            <v>K形　二受丁字管</v>
          </cell>
          <cell r="D565" t="str">
            <v>φ200×φ200</v>
          </cell>
          <cell r="E565">
            <v>0.88</v>
          </cell>
        </row>
        <row r="566">
          <cell r="A566" t="str">
            <v/>
          </cell>
          <cell r="B566" t="str">
            <v>S8747</v>
          </cell>
          <cell r="C566" t="str">
            <v>K形　二受丁字管</v>
          </cell>
          <cell r="D566" t="str">
            <v>φ250×φ100</v>
          </cell>
          <cell r="E566">
            <v>0.83</v>
          </cell>
        </row>
        <row r="567">
          <cell r="A567" t="str">
            <v/>
          </cell>
          <cell r="B567" t="str">
            <v>S8747</v>
          </cell>
          <cell r="C567" t="str">
            <v>K形　二受丁字管</v>
          </cell>
          <cell r="D567" t="str">
            <v>φ250×φ150</v>
          </cell>
          <cell r="E567">
            <v>0.83</v>
          </cell>
        </row>
        <row r="568">
          <cell r="A568" t="str">
            <v/>
          </cell>
          <cell r="B568" t="str">
            <v>S8747</v>
          </cell>
          <cell r="C568" t="str">
            <v>K形　二受丁字管</v>
          </cell>
          <cell r="D568" t="str">
            <v>φ250×φ200</v>
          </cell>
          <cell r="E568">
            <v>0.95</v>
          </cell>
        </row>
        <row r="569">
          <cell r="A569" t="str">
            <v/>
          </cell>
          <cell r="B569" t="str">
            <v>S8747</v>
          </cell>
          <cell r="C569" t="str">
            <v>K形　二受丁字管</v>
          </cell>
          <cell r="D569" t="str">
            <v>φ300×φ100</v>
          </cell>
          <cell r="E569">
            <v>0.84</v>
          </cell>
        </row>
        <row r="570">
          <cell r="A570" t="str">
            <v/>
          </cell>
          <cell r="B570" t="str">
            <v>S8747</v>
          </cell>
          <cell r="C570" t="str">
            <v>K形　二受丁字管</v>
          </cell>
          <cell r="D570" t="str">
            <v>φ300×φ150</v>
          </cell>
          <cell r="E570">
            <v>0.84</v>
          </cell>
        </row>
        <row r="571">
          <cell r="A571" t="str">
            <v/>
          </cell>
          <cell r="B571" t="str">
            <v>S8747</v>
          </cell>
          <cell r="C571" t="str">
            <v>K形　二受丁字管</v>
          </cell>
          <cell r="D571" t="str">
            <v>φ300×φ200</v>
          </cell>
          <cell r="E571">
            <v>1.03</v>
          </cell>
        </row>
        <row r="572">
          <cell r="A572" t="str">
            <v/>
          </cell>
          <cell r="B572" t="str">
            <v>S8747</v>
          </cell>
          <cell r="C572" t="str">
            <v>K形　二受丁字管</v>
          </cell>
          <cell r="D572" t="str">
            <v>φ300×φ300</v>
          </cell>
          <cell r="E572">
            <v>1.03</v>
          </cell>
        </row>
        <row r="573">
          <cell r="A573" t="str">
            <v/>
          </cell>
          <cell r="B573" t="str">
            <v>S8747</v>
          </cell>
          <cell r="C573" t="str">
            <v>K形　二受丁字管</v>
          </cell>
          <cell r="D573" t="str">
            <v>φ350×φ250</v>
          </cell>
          <cell r="E573">
            <v>1.1100000000000001</v>
          </cell>
        </row>
        <row r="574">
          <cell r="A574" t="str">
            <v/>
          </cell>
          <cell r="B574" t="str">
            <v>S8747</v>
          </cell>
          <cell r="C574" t="str">
            <v>K形　二受丁字管</v>
          </cell>
          <cell r="D574" t="str">
            <v>φ350×φ350</v>
          </cell>
          <cell r="E574">
            <v>1.1100000000000001</v>
          </cell>
        </row>
        <row r="575">
          <cell r="A575" t="str">
            <v/>
          </cell>
          <cell r="B575" t="str">
            <v>S8747</v>
          </cell>
          <cell r="C575" t="str">
            <v>K形　二受丁字管</v>
          </cell>
          <cell r="D575" t="str">
            <v>φ400×φ300</v>
          </cell>
          <cell r="E575">
            <v>1.19</v>
          </cell>
        </row>
        <row r="576">
          <cell r="A576" t="str">
            <v/>
          </cell>
          <cell r="B576" t="str">
            <v>S8747</v>
          </cell>
          <cell r="C576" t="str">
            <v>K形　二受丁字管</v>
          </cell>
          <cell r="D576" t="str">
            <v>φ400×φ400</v>
          </cell>
          <cell r="E576">
            <v>1.19</v>
          </cell>
        </row>
        <row r="577">
          <cell r="A577" t="str">
            <v/>
          </cell>
          <cell r="B577" t="str">
            <v>S8747</v>
          </cell>
          <cell r="C577" t="str">
            <v>K形　二受丁字管</v>
          </cell>
          <cell r="D577" t="str">
            <v>φ450×φ300</v>
          </cell>
          <cell r="E577">
            <v>1.26</v>
          </cell>
        </row>
        <row r="578">
          <cell r="A578" t="str">
            <v/>
          </cell>
          <cell r="B578" t="str">
            <v>S8747</v>
          </cell>
          <cell r="C578" t="str">
            <v>K形　二受丁字管</v>
          </cell>
          <cell r="D578" t="str">
            <v>φ450×φ450</v>
          </cell>
          <cell r="E578">
            <v>1.26</v>
          </cell>
        </row>
        <row r="579">
          <cell r="A579" t="str">
            <v/>
          </cell>
          <cell r="B579" t="str">
            <v>S8747</v>
          </cell>
          <cell r="C579" t="str">
            <v>K形　挿受片落管</v>
          </cell>
          <cell r="D579" t="str">
            <v>φ100×φ75</v>
          </cell>
          <cell r="E579">
            <v>0.55000000000000004</v>
          </cell>
        </row>
        <row r="580">
          <cell r="A580" t="str">
            <v/>
          </cell>
          <cell r="B580" t="str">
            <v>S8747</v>
          </cell>
          <cell r="C580" t="str">
            <v>K形　挿受片落管</v>
          </cell>
          <cell r="D580" t="str">
            <v>φ150×φ100</v>
          </cell>
          <cell r="E580">
            <v>0.55000000000000004</v>
          </cell>
        </row>
        <row r="581">
          <cell r="A581" t="str">
            <v/>
          </cell>
          <cell r="B581" t="str">
            <v>S8747</v>
          </cell>
          <cell r="C581" t="str">
            <v>K形　挿受片落管</v>
          </cell>
          <cell r="D581" t="str">
            <v>φ200×φ100</v>
          </cell>
          <cell r="E581">
            <v>0.55000000000000004</v>
          </cell>
        </row>
        <row r="582">
          <cell r="A582" t="str">
            <v/>
          </cell>
          <cell r="B582" t="str">
            <v>S8747</v>
          </cell>
          <cell r="C582" t="str">
            <v>K形　挿受片落管</v>
          </cell>
          <cell r="D582" t="str">
            <v>φ200×φ150</v>
          </cell>
          <cell r="E582">
            <v>0.55500000000000005</v>
          </cell>
        </row>
        <row r="583">
          <cell r="A583" t="str">
            <v/>
          </cell>
          <cell r="B583" t="str">
            <v>S8747</v>
          </cell>
          <cell r="C583" t="str">
            <v>K形　挿受片落管</v>
          </cell>
          <cell r="D583" t="str">
            <v>φ250×φ100</v>
          </cell>
          <cell r="E583">
            <v>0.65</v>
          </cell>
        </row>
        <row r="584">
          <cell r="A584" t="str">
            <v/>
          </cell>
          <cell r="B584" t="str">
            <v>S8747</v>
          </cell>
          <cell r="C584" t="str">
            <v>K形　挿受片落管</v>
          </cell>
          <cell r="D584" t="str">
            <v>φ250×φ150</v>
          </cell>
          <cell r="E584">
            <v>0.65500000000000003</v>
          </cell>
        </row>
        <row r="585">
          <cell r="A585" t="str">
            <v/>
          </cell>
          <cell r="B585" t="str">
            <v>S8747</v>
          </cell>
          <cell r="C585" t="str">
            <v>K形　挿受片落管</v>
          </cell>
          <cell r="D585" t="str">
            <v>φ250×φ200</v>
          </cell>
          <cell r="E585">
            <v>0.66</v>
          </cell>
        </row>
        <row r="586">
          <cell r="A586" t="str">
            <v/>
          </cell>
          <cell r="B586" t="str">
            <v>S8747</v>
          </cell>
          <cell r="C586" t="str">
            <v>K形　挿受片落管</v>
          </cell>
          <cell r="D586" t="str">
            <v>φ300×φ100</v>
          </cell>
          <cell r="E586">
            <v>0.65</v>
          </cell>
        </row>
        <row r="587">
          <cell r="A587" t="str">
            <v/>
          </cell>
          <cell r="B587" t="str">
            <v>S8747</v>
          </cell>
          <cell r="C587" t="str">
            <v>K形　挿受片落管</v>
          </cell>
          <cell r="D587" t="str">
            <v>φ300×φ150</v>
          </cell>
          <cell r="E587">
            <v>0.65500000000000003</v>
          </cell>
        </row>
        <row r="588">
          <cell r="A588" t="str">
            <v/>
          </cell>
          <cell r="B588" t="str">
            <v>S8747</v>
          </cell>
          <cell r="C588" t="str">
            <v>K形　挿受片落管</v>
          </cell>
          <cell r="D588" t="str">
            <v>φ300×φ200</v>
          </cell>
          <cell r="E588">
            <v>0.66</v>
          </cell>
        </row>
        <row r="589">
          <cell r="A589" t="str">
            <v/>
          </cell>
          <cell r="B589" t="str">
            <v>S8747</v>
          </cell>
          <cell r="C589" t="str">
            <v>K形　挿受片落管</v>
          </cell>
          <cell r="D589" t="str">
            <v>φ350×φ150</v>
          </cell>
          <cell r="E589">
            <v>0.65500000000000003</v>
          </cell>
        </row>
        <row r="590">
          <cell r="A590" t="str">
            <v/>
          </cell>
          <cell r="B590" t="str">
            <v>S8747</v>
          </cell>
          <cell r="C590" t="str">
            <v>K形　挿受片落管</v>
          </cell>
          <cell r="D590" t="str">
            <v>φ350×φ200</v>
          </cell>
          <cell r="E590">
            <v>0.66</v>
          </cell>
        </row>
        <row r="591">
          <cell r="A591" t="str">
            <v/>
          </cell>
          <cell r="B591" t="str">
            <v>S8747</v>
          </cell>
          <cell r="C591" t="str">
            <v>K形　挿受片落管</v>
          </cell>
          <cell r="D591" t="str">
            <v>φ350×φ250</v>
          </cell>
          <cell r="E591">
            <v>0.67</v>
          </cell>
        </row>
        <row r="592">
          <cell r="A592" t="str">
            <v/>
          </cell>
          <cell r="B592" t="str">
            <v>S8747</v>
          </cell>
          <cell r="C592" t="str">
            <v>K形　挿受片落管</v>
          </cell>
          <cell r="D592" t="str">
            <v>φ350×φ300</v>
          </cell>
          <cell r="E592">
            <v>0.68</v>
          </cell>
        </row>
        <row r="593">
          <cell r="A593" t="str">
            <v/>
          </cell>
          <cell r="B593" t="str">
            <v>S8747</v>
          </cell>
          <cell r="C593" t="str">
            <v>K形　挿受片落管</v>
          </cell>
          <cell r="D593" t="str">
            <v>φ400×φ150</v>
          </cell>
          <cell r="E593">
            <v>0.77500000000000002</v>
          </cell>
        </row>
        <row r="594">
          <cell r="A594" t="str">
            <v/>
          </cell>
          <cell r="B594" t="str">
            <v>S8747</v>
          </cell>
          <cell r="C594" t="str">
            <v>K形　挿受片落管</v>
          </cell>
          <cell r="D594" t="str">
            <v>φ400×φ200</v>
          </cell>
          <cell r="E594">
            <v>0.78</v>
          </cell>
        </row>
        <row r="595">
          <cell r="A595" t="str">
            <v/>
          </cell>
          <cell r="B595" t="str">
            <v>S8747</v>
          </cell>
          <cell r="C595" t="str">
            <v>K形　挿受片落管</v>
          </cell>
          <cell r="D595" t="str">
            <v>φ400×φ300</v>
          </cell>
          <cell r="E595">
            <v>0.8</v>
          </cell>
        </row>
        <row r="596">
          <cell r="A596" t="str">
            <v/>
          </cell>
          <cell r="B596" t="str">
            <v>S8747</v>
          </cell>
          <cell r="C596" t="str">
            <v>K形　挿受片落管</v>
          </cell>
          <cell r="D596" t="str">
            <v>φ450×φ200</v>
          </cell>
          <cell r="E596">
            <v>0.79</v>
          </cell>
        </row>
        <row r="597">
          <cell r="A597" t="str">
            <v/>
          </cell>
          <cell r="B597" t="str">
            <v>S8747</v>
          </cell>
          <cell r="C597" t="str">
            <v>K形　挿受片落管</v>
          </cell>
          <cell r="D597" t="str">
            <v>φ450×φ250</v>
          </cell>
          <cell r="E597">
            <v>0.8</v>
          </cell>
        </row>
        <row r="598">
          <cell r="A598" t="str">
            <v/>
          </cell>
          <cell r="B598" t="str">
            <v>S8747</v>
          </cell>
          <cell r="C598" t="str">
            <v>K形　挿受片落管</v>
          </cell>
          <cell r="D598" t="str">
            <v>φ450×φ300</v>
          </cell>
          <cell r="E598">
            <v>0.81</v>
          </cell>
        </row>
        <row r="599">
          <cell r="A599" t="str">
            <v/>
          </cell>
          <cell r="B599" t="str">
            <v>S8747</v>
          </cell>
          <cell r="C599" t="str">
            <v>K形　挿受片落管</v>
          </cell>
          <cell r="D599" t="str">
            <v>φ450×φ350</v>
          </cell>
          <cell r="E599">
            <v>0.81</v>
          </cell>
        </row>
        <row r="600">
          <cell r="A600" t="str">
            <v/>
          </cell>
          <cell r="B600" t="str">
            <v>S8747</v>
          </cell>
          <cell r="C600" t="str">
            <v>K形　挿受片落管</v>
          </cell>
          <cell r="D600" t="str">
            <v>φ450×φ400</v>
          </cell>
          <cell r="E600">
            <v>0.82</v>
          </cell>
        </row>
        <row r="601">
          <cell r="A601" t="str">
            <v/>
          </cell>
          <cell r="B601" t="str">
            <v>S8747</v>
          </cell>
          <cell r="C601" t="str">
            <v>K形　受挿片落管</v>
          </cell>
          <cell r="D601" t="str">
            <v>φ100×φ75</v>
          </cell>
          <cell r="E601">
            <v>0.55000000000000004</v>
          </cell>
        </row>
        <row r="602">
          <cell r="A602" t="str">
            <v/>
          </cell>
          <cell r="B602" t="str">
            <v>S8747</v>
          </cell>
          <cell r="C602" t="str">
            <v>K形　受挿片落管</v>
          </cell>
          <cell r="D602" t="str">
            <v>φ150×φ100</v>
          </cell>
          <cell r="E602">
            <v>0.55500000000000005</v>
          </cell>
        </row>
        <row r="603">
          <cell r="A603" t="str">
            <v/>
          </cell>
          <cell r="B603" t="str">
            <v>S8747</v>
          </cell>
          <cell r="C603" t="str">
            <v>K形　受挿片落管</v>
          </cell>
          <cell r="D603" t="str">
            <v>φ200×φ100</v>
          </cell>
          <cell r="E603">
            <v>0.56000000000000005</v>
          </cell>
        </row>
        <row r="604">
          <cell r="A604" t="str">
            <v/>
          </cell>
          <cell r="B604" t="str">
            <v>S8747</v>
          </cell>
          <cell r="C604" t="str">
            <v>K形　受挿片落管</v>
          </cell>
          <cell r="D604" t="str">
            <v>φ200×φ150</v>
          </cell>
          <cell r="E604">
            <v>0.56000000000000005</v>
          </cell>
        </row>
        <row r="605">
          <cell r="A605" t="str">
            <v/>
          </cell>
          <cell r="B605" t="str">
            <v>S8747</v>
          </cell>
          <cell r="C605" t="str">
            <v>K形　受挿片落管</v>
          </cell>
          <cell r="D605" t="str">
            <v>φ250×φ100</v>
          </cell>
          <cell r="E605">
            <v>0.67</v>
          </cell>
        </row>
        <row r="606">
          <cell r="A606" t="str">
            <v/>
          </cell>
          <cell r="B606" t="str">
            <v>S8747</v>
          </cell>
          <cell r="C606" t="str">
            <v>K形　受挿片落管</v>
          </cell>
          <cell r="D606" t="str">
            <v>φ250×φ150</v>
          </cell>
          <cell r="E606">
            <v>0.67</v>
          </cell>
        </row>
        <row r="607">
          <cell r="A607" t="str">
            <v/>
          </cell>
          <cell r="B607" t="str">
            <v>S8747</v>
          </cell>
          <cell r="C607" t="str">
            <v>K形　受挿片落管</v>
          </cell>
          <cell r="D607" t="str">
            <v>φ250×φ200</v>
          </cell>
          <cell r="E607">
            <v>0.67</v>
          </cell>
        </row>
        <row r="608">
          <cell r="A608" t="str">
            <v/>
          </cell>
          <cell r="B608" t="str">
            <v>S8747</v>
          </cell>
          <cell r="C608" t="str">
            <v>K形　受挿片落管</v>
          </cell>
          <cell r="D608" t="str">
            <v>φ300×φ100</v>
          </cell>
          <cell r="E608">
            <v>0.68</v>
          </cell>
        </row>
        <row r="609">
          <cell r="A609" t="str">
            <v/>
          </cell>
          <cell r="B609" t="str">
            <v>S8747</v>
          </cell>
          <cell r="C609" t="str">
            <v>K形　受挿片落管</v>
          </cell>
          <cell r="D609" t="str">
            <v>φ300×φ150</v>
          </cell>
          <cell r="E609">
            <v>0.68</v>
          </cell>
        </row>
        <row r="610">
          <cell r="A610" t="str">
            <v/>
          </cell>
          <cell r="B610" t="str">
            <v>S8747</v>
          </cell>
          <cell r="C610" t="str">
            <v>K形　受挿片落管</v>
          </cell>
          <cell r="D610" t="str">
            <v>φ300×φ200</v>
          </cell>
          <cell r="E610">
            <v>0.68</v>
          </cell>
        </row>
        <row r="611">
          <cell r="A611" t="str">
            <v/>
          </cell>
          <cell r="B611" t="str">
            <v>S8747</v>
          </cell>
          <cell r="C611" t="str">
            <v>K形　受挿片落管</v>
          </cell>
          <cell r="D611" t="str">
            <v>φ350×φ150</v>
          </cell>
          <cell r="E611">
            <v>0.68</v>
          </cell>
        </row>
        <row r="612">
          <cell r="A612" t="str">
            <v/>
          </cell>
          <cell r="B612" t="str">
            <v>S8747</v>
          </cell>
          <cell r="C612" t="str">
            <v>K形　受挿片落管</v>
          </cell>
          <cell r="D612" t="str">
            <v>φ350×φ200</v>
          </cell>
          <cell r="E612">
            <v>0.68</v>
          </cell>
        </row>
        <row r="613">
          <cell r="A613" t="str">
            <v/>
          </cell>
          <cell r="B613" t="str">
            <v>S8747</v>
          </cell>
          <cell r="C613" t="str">
            <v>K形　受挿片落管</v>
          </cell>
          <cell r="D613" t="str">
            <v>φ350×φ250</v>
          </cell>
          <cell r="E613">
            <v>0.68</v>
          </cell>
        </row>
        <row r="614">
          <cell r="A614" t="str">
            <v/>
          </cell>
          <cell r="B614" t="str">
            <v>S8747</v>
          </cell>
          <cell r="C614" t="str">
            <v>K形　受挿片落管</v>
          </cell>
          <cell r="D614" t="str">
            <v>φ350×φ300</v>
          </cell>
          <cell r="E614">
            <v>0.68</v>
          </cell>
        </row>
        <row r="615">
          <cell r="A615" t="str">
            <v/>
          </cell>
          <cell r="B615" t="str">
            <v>S8747</v>
          </cell>
          <cell r="C615" t="str">
            <v>K形　受挿片落管</v>
          </cell>
          <cell r="D615" t="str">
            <v>φ400×φ150</v>
          </cell>
          <cell r="E615">
            <v>0.79</v>
          </cell>
        </row>
        <row r="616">
          <cell r="A616" t="str">
            <v/>
          </cell>
          <cell r="B616" t="str">
            <v>S8747</v>
          </cell>
          <cell r="C616" t="str">
            <v>K形　受挿片落管</v>
          </cell>
          <cell r="D616" t="str">
            <v>φ400×φ200</v>
          </cell>
          <cell r="E616">
            <v>0.79</v>
          </cell>
        </row>
        <row r="617">
          <cell r="A617" t="str">
            <v/>
          </cell>
          <cell r="B617" t="str">
            <v>S8747</v>
          </cell>
          <cell r="C617" t="str">
            <v>K形　受挿片落管</v>
          </cell>
          <cell r="D617" t="str">
            <v>φ400×φ300</v>
          </cell>
          <cell r="E617">
            <v>0.79</v>
          </cell>
        </row>
        <row r="618">
          <cell r="A618" t="str">
            <v/>
          </cell>
          <cell r="B618" t="str">
            <v>S8747</v>
          </cell>
          <cell r="C618" t="str">
            <v>K形　受挿片落管</v>
          </cell>
          <cell r="D618" t="str">
            <v>φ450×φ200</v>
          </cell>
          <cell r="E618">
            <v>0.8</v>
          </cell>
        </row>
        <row r="619">
          <cell r="A619" t="str">
            <v/>
          </cell>
          <cell r="B619" t="str">
            <v>S8747</v>
          </cell>
          <cell r="C619" t="str">
            <v>K形　受挿片落管</v>
          </cell>
          <cell r="D619" t="str">
            <v>φ450×φ250</v>
          </cell>
          <cell r="E619">
            <v>0.8</v>
          </cell>
        </row>
        <row r="620">
          <cell r="A620" t="str">
            <v/>
          </cell>
          <cell r="B620" t="str">
            <v>S8747</v>
          </cell>
          <cell r="C620" t="str">
            <v>K形　受挿片落管</v>
          </cell>
          <cell r="D620" t="str">
            <v>φ450×φ300</v>
          </cell>
          <cell r="E620">
            <v>0.8</v>
          </cell>
        </row>
        <row r="621">
          <cell r="A621" t="str">
            <v/>
          </cell>
          <cell r="B621" t="str">
            <v>S8747</v>
          </cell>
          <cell r="C621" t="str">
            <v>K形　受挿片落管</v>
          </cell>
          <cell r="D621" t="str">
            <v>φ450×φ350</v>
          </cell>
          <cell r="E621">
            <v>0.82</v>
          </cell>
        </row>
        <row r="622">
          <cell r="A622" t="str">
            <v/>
          </cell>
          <cell r="B622" t="str">
            <v>S8747</v>
          </cell>
          <cell r="C622" t="str">
            <v>K形　受挿片落管</v>
          </cell>
          <cell r="D622" t="str">
            <v>φ450×φ400</v>
          </cell>
          <cell r="E622">
            <v>0.82</v>
          </cell>
        </row>
        <row r="623">
          <cell r="A623" t="str">
            <v/>
          </cell>
          <cell r="B623" t="str">
            <v>S8737</v>
          </cell>
          <cell r="C623" t="str">
            <v>K形　短管1号</v>
          </cell>
          <cell r="D623" t="str">
            <v>φ75</v>
          </cell>
          <cell r="E623">
            <v>0.12</v>
          </cell>
        </row>
        <row r="624">
          <cell r="A624" t="str">
            <v/>
          </cell>
          <cell r="B624" t="str">
            <v>S8737</v>
          </cell>
          <cell r="C624" t="str">
            <v>K形　短管1号</v>
          </cell>
          <cell r="D624" t="str">
            <v>φ100</v>
          </cell>
          <cell r="E624">
            <v>0.12</v>
          </cell>
        </row>
        <row r="625">
          <cell r="A625" t="str">
            <v/>
          </cell>
          <cell r="B625" t="str">
            <v>S8737</v>
          </cell>
          <cell r="C625" t="str">
            <v>K形　短管1号</v>
          </cell>
          <cell r="D625" t="str">
            <v>φ150</v>
          </cell>
          <cell r="E625">
            <v>0.12</v>
          </cell>
        </row>
        <row r="626">
          <cell r="A626" t="str">
            <v/>
          </cell>
          <cell r="B626" t="str">
            <v>S8737</v>
          </cell>
          <cell r="C626" t="str">
            <v>K形　短管1号</v>
          </cell>
          <cell r="D626" t="str">
            <v>φ200</v>
          </cell>
          <cell r="E626">
            <v>0.12</v>
          </cell>
        </row>
        <row r="627">
          <cell r="A627" t="str">
            <v/>
          </cell>
          <cell r="B627" t="str">
            <v>S8737</v>
          </cell>
          <cell r="C627" t="str">
            <v>K形　短管1号</v>
          </cell>
          <cell r="D627" t="str">
            <v>φ250</v>
          </cell>
          <cell r="E627">
            <v>0.17</v>
          </cell>
        </row>
        <row r="628">
          <cell r="A628" t="str">
            <v/>
          </cell>
          <cell r="B628" t="str">
            <v>S8737</v>
          </cell>
          <cell r="C628" t="str">
            <v>K形　短管1号</v>
          </cell>
          <cell r="D628" t="str">
            <v>φ300</v>
          </cell>
          <cell r="E628">
            <v>0.17</v>
          </cell>
        </row>
        <row r="629">
          <cell r="A629" t="str">
            <v/>
          </cell>
          <cell r="B629" t="str">
            <v>S8737</v>
          </cell>
          <cell r="C629" t="str">
            <v>K形　短管1号</v>
          </cell>
          <cell r="D629" t="str">
            <v>φ400</v>
          </cell>
          <cell r="E629">
            <v>0.17</v>
          </cell>
        </row>
        <row r="630">
          <cell r="A630" t="str">
            <v/>
          </cell>
          <cell r="B630" t="str">
            <v>S8737</v>
          </cell>
          <cell r="C630" t="str">
            <v>K形　短管2号</v>
          </cell>
          <cell r="D630" t="str">
            <v>φ75</v>
          </cell>
          <cell r="E630">
            <v>0.7</v>
          </cell>
        </row>
        <row r="631">
          <cell r="A631" t="str">
            <v/>
          </cell>
          <cell r="B631" t="str">
            <v>S8737</v>
          </cell>
          <cell r="C631" t="str">
            <v>K形　短管2号</v>
          </cell>
          <cell r="D631" t="str">
            <v>φ100</v>
          </cell>
          <cell r="E631">
            <v>0.7</v>
          </cell>
        </row>
        <row r="632">
          <cell r="A632" t="str">
            <v/>
          </cell>
          <cell r="B632" t="str">
            <v>S8737</v>
          </cell>
          <cell r="C632" t="str">
            <v>K形　短管2号</v>
          </cell>
          <cell r="D632" t="str">
            <v>φ150</v>
          </cell>
          <cell r="E632">
            <v>0.7</v>
          </cell>
        </row>
        <row r="633">
          <cell r="A633" t="str">
            <v/>
          </cell>
          <cell r="B633" t="str">
            <v>S8737</v>
          </cell>
          <cell r="C633" t="str">
            <v>K形　短管2号</v>
          </cell>
          <cell r="D633" t="str">
            <v>φ200</v>
          </cell>
          <cell r="E633">
            <v>0.7</v>
          </cell>
        </row>
        <row r="634">
          <cell r="A634" t="str">
            <v/>
          </cell>
          <cell r="B634" t="str">
            <v>S8737</v>
          </cell>
          <cell r="C634" t="str">
            <v>K形　短管2号</v>
          </cell>
          <cell r="D634" t="str">
            <v>φ250</v>
          </cell>
          <cell r="E634">
            <v>0.7</v>
          </cell>
        </row>
        <row r="635">
          <cell r="A635" t="str">
            <v/>
          </cell>
          <cell r="B635" t="str">
            <v>S8737</v>
          </cell>
          <cell r="C635" t="str">
            <v>K形　短管2号</v>
          </cell>
          <cell r="D635" t="str">
            <v>φ300</v>
          </cell>
          <cell r="E635">
            <v>0.7</v>
          </cell>
        </row>
        <row r="636">
          <cell r="A636" t="str">
            <v/>
          </cell>
          <cell r="B636" t="str">
            <v>S8737</v>
          </cell>
          <cell r="C636" t="str">
            <v>K形　短管2号</v>
          </cell>
          <cell r="D636" t="str">
            <v>φ400</v>
          </cell>
          <cell r="E636">
            <v>0.75</v>
          </cell>
        </row>
        <row r="637">
          <cell r="A637" t="str">
            <v/>
          </cell>
          <cell r="B637" t="str">
            <v>S8757</v>
          </cell>
          <cell r="C637" t="str">
            <v>K形　F付丁字管</v>
          </cell>
          <cell r="D637" t="str">
            <v>φ75×φ75</v>
          </cell>
          <cell r="E637">
            <v>0.63</v>
          </cell>
        </row>
        <row r="638">
          <cell r="A638" t="str">
            <v/>
          </cell>
          <cell r="B638" t="str">
            <v>S8757</v>
          </cell>
          <cell r="C638" t="str">
            <v>K形　F付丁字管</v>
          </cell>
          <cell r="D638" t="str">
            <v>φ100×φ75</v>
          </cell>
          <cell r="E638">
            <v>0.66</v>
          </cell>
        </row>
        <row r="639">
          <cell r="A639" t="str">
            <v/>
          </cell>
          <cell r="B639" t="str">
            <v>S8757</v>
          </cell>
          <cell r="C639" t="str">
            <v>K形　F付丁字管</v>
          </cell>
          <cell r="D639" t="str">
            <v>φ150×φ75</v>
          </cell>
          <cell r="E639">
            <v>0.69</v>
          </cell>
        </row>
        <row r="640">
          <cell r="A640" t="str">
            <v/>
          </cell>
          <cell r="B640" t="str">
            <v>S8757</v>
          </cell>
          <cell r="C640" t="str">
            <v>K形　F付丁字管</v>
          </cell>
          <cell r="D640" t="str">
            <v>φ200×φ75</v>
          </cell>
          <cell r="E640">
            <v>0.71</v>
          </cell>
        </row>
        <row r="641">
          <cell r="A641" t="str">
            <v/>
          </cell>
          <cell r="B641" t="str">
            <v>S8757</v>
          </cell>
          <cell r="C641" t="str">
            <v>K形　F付丁字管</v>
          </cell>
          <cell r="D641" t="str">
            <v>φ250×φ75</v>
          </cell>
          <cell r="E641">
            <v>0.73</v>
          </cell>
        </row>
        <row r="642">
          <cell r="A642" t="str">
            <v/>
          </cell>
          <cell r="B642" t="str">
            <v>S8757</v>
          </cell>
          <cell r="C642" t="str">
            <v>K形　F付丁字管</v>
          </cell>
          <cell r="D642" t="str">
            <v>φ300×φ75</v>
          </cell>
          <cell r="E642">
            <v>0.74</v>
          </cell>
        </row>
        <row r="643">
          <cell r="A643" t="str">
            <v/>
          </cell>
          <cell r="B643" t="str">
            <v>S8757</v>
          </cell>
          <cell r="C643" t="str">
            <v>K形　F付丁字管</v>
          </cell>
          <cell r="D643" t="str">
            <v>φ400×φ75</v>
          </cell>
          <cell r="E643">
            <v>0.77</v>
          </cell>
        </row>
        <row r="644">
          <cell r="A644" t="str">
            <v/>
          </cell>
          <cell r="B644" t="str">
            <v>S8740</v>
          </cell>
          <cell r="C644" t="str">
            <v>K形　栓</v>
          </cell>
          <cell r="D644" t="str">
            <v>φ75</v>
          </cell>
          <cell r="E644">
            <v>9.1999999999999998E-2</v>
          </cell>
        </row>
        <row r="645">
          <cell r="A645" t="str">
            <v/>
          </cell>
          <cell r="B645" t="str">
            <v>S8740</v>
          </cell>
          <cell r="C645" t="str">
            <v>K形　栓</v>
          </cell>
          <cell r="D645" t="str">
            <v>φ100</v>
          </cell>
          <cell r="E645">
            <v>9.2999999999999999E-2</v>
          </cell>
        </row>
        <row r="646">
          <cell r="A646" t="str">
            <v/>
          </cell>
          <cell r="B646" t="str">
            <v>S8740</v>
          </cell>
          <cell r="C646" t="str">
            <v>K形　栓</v>
          </cell>
          <cell r="D646" t="str">
            <v>φ150</v>
          </cell>
          <cell r="E646">
            <v>9.4E-2</v>
          </cell>
        </row>
        <row r="647">
          <cell r="A647" t="str">
            <v/>
          </cell>
          <cell r="B647" t="str">
            <v>S8740</v>
          </cell>
          <cell r="C647" t="str">
            <v>K形　栓</v>
          </cell>
          <cell r="D647" t="str">
            <v>φ200</v>
          </cell>
          <cell r="E647">
            <v>9.5000000000000001E-2</v>
          </cell>
        </row>
        <row r="648">
          <cell r="A648" t="str">
            <v/>
          </cell>
          <cell r="B648" t="str">
            <v>S8740</v>
          </cell>
          <cell r="C648" t="str">
            <v>K形　栓</v>
          </cell>
          <cell r="D648" t="str">
            <v>φ250</v>
          </cell>
          <cell r="E648">
            <v>9.6000000000000002E-2</v>
          </cell>
        </row>
        <row r="649">
          <cell r="A649" t="str">
            <v/>
          </cell>
          <cell r="B649" t="str">
            <v>S8740</v>
          </cell>
          <cell r="C649" t="str">
            <v>K形　栓</v>
          </cell>
          <cell r="D649" t="str">
            <v>φ300</v>
          </cell>
          <cell r="E649">
            <v>0.127</v>
          </cell>
        </row>
        <row r="650">
          <cell r="A650" t="str">
            <v/>
          </cell>
          <cell r="B650" t="str">
            <v>S8740</v>
          </cell>
          <cell r="C650" t="str">
            <v>K形　栓</v>
          </cell>
          <cell r="D650" t="str">
            <v>φ350</v>
          </cell>
          <cell r="E650">
            <v>0.128</v>
          </cell>
        </row>
        <row r="651">
          <cell r="A651" t="str">
            <v/>
          </cell>
          <cell r="B651" t="str">
            <v>S8740</v>
          </cell>
          <cell r="C651" t="str">
            <v>K形　栓</v>
          </cell>
          <cell r="D651" t="str">
            <v>φ400</v>
          </cell>
          <cell r="E651">
            <v>0.129</v>
          </cell>
        </row>
        <row r="652">
          <cell r="A652" t="str">
            <v/>
          </cell>
          <cell r="B652" t="str">
            <v>S8740</v>
          </cell>
          <cell r="C652" t="str">
            <v>K形　栓</v>
          </cell>
          <cell r="D652" t="str">
            <v>φ450</v>
          </cell>
          <cell r="E652">
            <v>0.13</v>
          </cell>
        </row>
        <row r="653">
          <cell r="A653" t="str">
            <v/>
          </cell>
          <cell r="B653" t="str">
            <v>S8765</v>
          </cell>
          <cell r="C653" t="str">
            <v>K形　押輪</v>
          </cell>
          <cell r="D653" t="str">
            <v>φ75</v>
          </cell>
        </row>
        <row r="654">
          <cell r="A654" t="str">
            <v/>
          </cell>
          <cell r="B654" t="str">
            <v>S8765</v>
          </cell>
          <cell r="C654" t="str">
            <v>K形　押輪</v>
          </cell>
          <cell r="D654" t="str">
            <v>φ100</v>
          </cell>
        </row>
        <row r="655">
          <cell r="A655" t="str">
            <v/>
          </cell>
          <cell r="B655" t="str">
            <v>S8765</v>
          </cell>
          <cell r="C655" t="str">
            <v>K形　押輪</v>
          </cell>
          <cell r="D655" t="str">
            <v>φ150</v>
          </cell>
        </row>
        <row r="656">
          <cell r="A656" t="str">
            <v/>
          </cell>
          <cell r="B656" t="str">
            <v>S8765</v>
          </cell>
          <cell r="C656" t="str">
            <v>K形　押輪</v>
          </cell>
          <cell r="D656" t="str">
            <v>φ200</v>
          </cell>
        </row>
        <row r="657">
          <cell r="A657" t="str">
            <v/>
          </cell>
          <cell r="B657" t="str">
            <v>S8765</v>
          </cell>
          <cell r="C657" t="str">
            <v>K形　押輪</v>
          </cell>
          <cell r="D657" t="str">
            <v>φ250</v>
          </cell>
        </row>
        <row r="658">
          <cell r="A658" t="str">
            <v/>
          </cell>
          <cell r="B658" t="str">
            <v>S8765</v>
          </cell>
          <cell r="C658" t="str">
            <v>K形　押輪</v>
          </cell>
          <cell r="D658" t="str">
            <v>φ300</v>
          </cell>
        </row>
        <row r="659">
          <cell r="A659" t="str">
            <v/>
          </cell>
          <cell r="B659" t="str">
            <v>S8765</v>
          </cell>
          <cell r="C659" t="str">
            <v>K形　押輪</v>
          </cell>
          <cell r="D659" t="str">
            <v>φ350</v>
          </cell>
        </row>
        <row r="660">
          <cell r="A660" t="str">
            <v/>
          </cell>
          <cell r="B660" t="str">
            <v>S8765</v>
          </cell>
          <cell r="C660" t="str">
            <v>K形　押輪</v>
          </cell>
          <cell r="D660" t="str">
            <v>φ400</v>
          </cell>
        </row>
        <row r="661">
          <cell r="A661" t="str">
            <v/>
          </cell>
          <cell r="B661" t="str">
            <v>S8765</v>
          </cell>
          <cell r="C661" t="str">
            <v>K形　押輪</v>
          </cell>
          <cell r="D661" t="str">
            <v>φ450</v>
          </cell>
        </row>
        <row r="662">
          <cell r="A662" t="str">
            <v/>
          </cell>
          <cell r="B662" t="str">
            <v>S8765</v>
          </cell>
          <cell r="C662" t="str">
            <v>K形　特殊押輪</v>
          </cell>
          <cell r="D662" t="str">
            <v>φ75</v>
          </cell>
        </row>
        <row r="663">
          <cell r="A663">
            <v>58</v>
          </cell>
          <cell r="B663" t="str">
            <v>S8765</v>
          </cell>
          <cell r="C663" t="str">
            <v>K形　特殊押輪</v>
          </cell>
          <cell r="D663" t="str">
            <v>φ100</v>
          </cell>
        </row>
        <row r="664">
          <cell r="A664">
            <v>59</v>
          </cell>
          <cell r="B664" t="str">
            <v>S8765</v>
          </cell>
          <cell r="C664" t="str">
            <v>K形　特殊押輪</v>
          </cell>
          <cell r="D664" t="str">
            <v>φ150</v>
          </cell>
        </row>
        <row r="665">
          <cell r="A665" t="str">
            <v/>
          </cell>
          <cell r="B665" t="str">
            <v>S8765</v>
          </cell>
          <cell r="C665" t="str">
            <v>K形　特殊押輪</v>
          </cell>
          <cell r="D665" t="str">
            <v>φ200</v>
          </cell>
        </row>
        <row r="666">
          <cell r="A666" t="str">
            <v/>
          </cell>
          <cell r="B666" t="str">
            <v>S8765</v>
          </cell>
          <cell r="C666" t="str">
            <v>K形　特殊押輪</v>
          </cell>
          <cell r="D666" t="str">
            <v>φ250</v>
          </cell>
        </row>
        <row r="667">
          <cell r="A667">
            <v>60</v>
          </cell>
          <cell r="B667" t="str">
            <v>S8765</v>
          </cell>
          <cell r="C667" t="str">
            <v>K形　特殊押輪</v>
          </cell>
          <cell r="D667" t="str">
            <v>φ300</v>
          </cell>
        </row>
        <row r="668">
          <cell r="A668" t="str">
            <v/>
          </cell>
          <cell r="B668" t="str">
            <v>S8765</v>
          </cell>
          <cell r="C668" t="str">
            <v>K形　特殊押輪</v>
          </cell>
          <cell r="D668" t="str">
            <v>φ350</v>
          </cell>
        </row>
        <row r="669">
          <cell r="A669" t="str">
            <v/>
          </cell>
          <cell r="B669" t="str">
            <v>S8765</v>
          </cell>
          <cell r="C669" t="str">
            <v>K形　特殊押輪</v>
          </cell>
          <cell r="D669" t="str">
            <v>φ400</v>
          </cell>
        </row>
        <row r="670">
          <cell r="A670" t="str">
            <v/>
          </cell>
          <cell r="B670" t="str">
            <v>S8765</v>
          </cell>
          <cell r="C670" t="str">
            <v>K形　特殊押輪</v>
          </cell>
          <cell r="D670" t="str">
            <v>φ450</v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  <cell r="B685" t="str">
            <v>■SⅡ形</v>
          </cell>
        </row>
        <row r="686">
          <cell r="B686" t="str">
            <v>コード</v>
          </cell>
          <cell r="C686" t="str">
            <v>品　名</v>
          </cell>
          <cell r="D686" t="str">
            <v>形　質</v>
          </cell>
          <cell r="E686" t="str">
            <v>延　長</v>
          </cell>
        </row>
        <row r="687">
          <cell r="A687" t="str">
            <v/>
          </cell>
          <cell r="B687" t="str">
            <v>S8715</v>
          </cell>
          <cell r="C687" t="str">
            <v>SⅡ形　直　管</v>
          </cell>
          <cell r="D687" t="str">
            <v>φ75　1種管</v>
          </cell>
          <cell r="E687">
            <v>4</v>
          </cell>
        </row>
        <row r="688">
          <cell r="A688" t="str">
            <v/>
          </cell>
          <cell r="B688" t="str">
            <v>S8715</v>
          </cell>
          <cell r="C688" t="str">
            <v>SⅡ形　直　管</v>
          </cell>
          <cell r="D688" t="str">
            <v>φ100　1種管</v>
          </cell>
          <cell r="E688">
            <v>4</v>
          </cell>
        </row>
        <row r="689">
          <cell r="A689" t="str">
            <v/>
          </cell>
          <cell r="B689" t="str">
            <v>S8715</v>
          </cell>
          <cell r="C689" t="str">
            <v>SⅡ形　直　管</v>
          </cell>
          <cell r="D689" t="str">
            <v>φ150　1種管</v>
          </cell>
          <cell r="E689">
            <v>5</v>
          </cell>
        </row>
        <row r="690">
          <cell r="A690" t="str">
            <v/>
          </cell>
          <cell r="B690" t="str">
            <v>S8715</v>
          </cell>
          <cell r="C690" t="str">
            <v>SⅡ形　直　管</v>
          </cell>
          <cell r="D690" t="str">
            <v>φ200　1種管</v>
          </cell>
          <cell r="E690">
            <v>5</v>
          </cell>
        </row>
        <row r="691">
          <cell r="A691" t="str">
            <v/>
          </cell>
          <cell r="B691" t="str">
            <v>S8715</v>
          </cell>
          <cell r="C691" t="str">
            <v>SⅡ形　直　管</v>
          </cell>
          <cell r="D691" t="str">
            <v>φ300　1種管</v>
          </cell>
          <cell r="E691">
            <v>6</v>
          </cell>
        </row>
        <row r="692">
          <cell r="A692" t="str">
            <v/>
          </cell>
          <cell r="B692" t="str">
            <v>S8715</v>
          </cell>
          <cell r="C692" t="str">
            <v>SⅡ形　直　管</v>
          </cell>
          <cell r="D692" t="str">
            <v>φ400　1種管</v>
          </cell>
          <cell r="E692">
            <v>6</v>
          </cell>
        </row>
        <row r="693">
          <cell r="A693" t="str">
            <v/>
          </cell>
          <cell r="B693" t="str">
            <v>S8715</v>
          </cell>
          <cell r="C693" t="str">
            <v>SⅡ形　直　管</v>
          </cell>
          <cell r="D693" t="str">
            <v>φ400　2種管</v>
          </cell>
          <cell r="E693">
            <v>6</v>
          </cell>
        </row>
        <row r="694">
          <cell r="A694" t="str">
            <v/>
          </cell>
          <cell r="B694" t="str">
            <v>S8725</v>
          </cell>
          <cell r="C694" t="str">
            <v>SⅡ形　曲　管</v>
          </cell>
          <cell r="D694" t="str">
            <v>φ75　90度</v>
          </cell>
          <cell r="E694">
            <v>0.39500000000000002</v>
          </cell>
        </row>
        <row r="695">
          <cell r="A695" t="str">
            <v/>
          </cell>
          <cell r="B695" t="str">
            <v>S8725</v>
          </cell>
          <cell r="C695" t="str">
            <v>SⅡ形　曲　管</v>
          </cell>
          <cell r="D695" t="str">
            <v>φ100　90度</v>
          </cell>
          <cell r="E695">
            <v>0.434</v>
          </cell>
        </row>
        <row r="696">
          <cell r="A696" t="str">
            <v/>
          </cell>
          <cell r="B696" t="str">
            <v>S8725</v>
          </cell>
          <cell r="C696" t="str">
            <v>SⅡ形　曲　管</v>
          </cell>
          <cell r="D696" t="str">
            <v>φ150　90度</v>
          </cell>
          <cell r="E696">
            <v>0.47799999999999998</v>
          </cell>
        </row>
        <row r="697">
          <cell r="A697" t="str">
            <v/>
          </cell>
          <cell r="B697" t="str">
            <v>S8725</v>
          </cell>
          <cell r="C697" t="str">
            <v>SⅡ形　曲　管</v>
          </cell>
          <cell r="D697" t="str">
            <v>φ200　90度</v>
          </cell>
          <cell r="E697">
            <v>0.56599999999999995</v>
          </cell>
        </row>
        <row r="698">
          <cell r="A698" t="str">
            <v/>
          </cell>
          <cell r="B698" t="str">
            <v>S8725</v>
          </cell>
          <cell r="C698" t="str">
            <v>SⅡ形　曲　管</v>
          </cell>
          <cell r="D698" t="str">
            <v>φ300　90度</v>
          </cell>
          <cell r="E698">
            <v>0.73599999999999999</v>
          </cell>
        </row>
        <row r="699">
          <cell r="A699" t="str">
            <v/>
          </cell>
          <cell r="B699" t="str">
            <v>S8725</v>
          </cell>
          <cell r="C699" t="str">
            <v>SⅡ形　曲　管</v>
          </cell>
          <cell r="D699" t="str">
            <v>φ400　90度</v>
          </cell>
          <cell r="E699">
            <v>0.91300000000000003</v>
          </cell>
        </row>
        <row r="700">
          <cell r="A700" t="str">
            <v/>
          </cell>
          <cell r="B700" t="str">
            <v>S8725</v>
          </cell>
          <cell r="C700" t="str">
            <v>SⅡ形　曲　管</v>
          </cell>
          <cell r="D700" t="str">
            <v>φ75　45度</v>
          </cell>
          <cell r="E700">
            <v>0.32700000000000001</v>
          </cell>
        </row>
        <row r="701">
          <cell r="A701" t="str">
            <v/>
          </cell>
          <cell r="B701" t="str">
            <v>S8725</v>
          </cell>
          <cell r="C701" t="str">
            <v>SⅡ形　曲　管</v>
          </cell>
          <cell r="D701" t="str">
            <v>φ100　45度</v>
          </cell>
          <cell r="E701">
            <v>0.34599999999999997</v>
          </cell>
        </row>
        <row r="702">
          <cell r="A702" t="str">
            <v/>
          </cell>
          <cell r="B702" t="str">
            <v>S8725</v>
          </cell>
          <cell r="C702" t="str">
            <v>SⅡ形　曲　管</v>
          </cell>
          <cell r="D702" t="str">
            <v>φ150　45度</v>
          </cell>
          <cell r="E702">
            <v>0.36399999999999999</v>
          </cell>
        </row>
        <row r="703">
          <cell r="A703" t="str">
            <v/>
          </cell>
          <cell r="B703" t="str">
            <v>S8725</v>
          </cell>
          <cell r="C703" t="str">
            <v>SⅡ形　曲　管</v>
          </cell>
          <cell r="D703" t="str">
            <v>φ200　45度</v>
          </cell>
          <cell r="E703">
            <v>0.41199999999999998</v>
          </cell>
        </row>
        <row r="704">
          <cell r="A704" t="str">
            <v/>
          </cell>
          <cell r="B704" t="str">
            <v>S8725</v>
          </cell>
          <cell r="C704" t="str">
            <v>SⅡ形　曲　管</v>
          </cell>
          <cell r="D704" t="str">
            <v>φ300　45度</v>
          </cell>
          <cell r="E704">
            <v>0.50800000000000001</v>
          </cell>
        </row>
        <row r="705">
          <cell r="A705" t="str">
            <v/>
          </cell>
          <cell r="B705" t="str">
            <v>S8725</v>
          </cell>
          <cell r="C705" t="str">
            <v>SⅡ形　曲　管</v>
          </cell>
          <cell r="D705" t="str">
            <v>φ400　45度</v>
          </cell>
          <cell r="E705">
            <v>0.60299999999999998</v>
          </cell>
        </row>
        <row r="706">
          <cell r="A706" t="str">
            <v/>
          </cell>
          <cell r="B706" t="str">
            <v>S8725</v>
          </cell>
          <cell r="C706" t="str">
            <v>SⅡ形　曲　管</v>
          </cell>
          <cell r="D706" t="str">
            <v>φ75　22度1/2</v>
          </cell>
          <cell r="E706">
            <v>0.29499999999999998</v>
          </cell>
        </row>
        <row r="707">
          <cell r="A707" t="str">
            <v/>
          </cell>
          <cell r="B707" t="str">
            <v>S8725</v>
          </cell>
          <cell r="C707" t="str">
            <v>SⅡ形　曲　管</v>
          </cell>
          <cell r="D707" t="str">
            <v>φ100　22度1/2</v>
          </cell>
          <cell r="E707">
            <v>0.30499999999999999</v>
          </cell>
        </row>
        <row r="708">
          <cell r="A708" t="str">
            <v/>
          </cell>
          <cell r="B708" t="str">
            <v>S8725</v>
          </cell>
          <cell r="C708" t="str">
            <v>SⅡ形　曲　管</v>
          </cell>
          <cell r="D708" t="str">
            <v>φ150　22度1/2</v>
          </cell>
          <cell r="E708">
            <v>0.314</v>
          </cell>
        </row>
        <row r="709">
          <cell r="A709" t="str">
            <v/>
          </cell>
          <cell r="B709" t="str">
            <v>S8725</v>
          </cell>
          <cell r="C709" t="str">
            <v>SⅡ形　曲　管</v>
          </cell>
          <cell r="D709" t="str">
            <v>φ200　22度1/2</v>
          </cell>
          <cell r="E709">
            <v>0.33900000000000002</v>
          </cell>
        </row>
        <row r="710">
          <cell r="A710" t="str">
            <v/>
          </cell>
          <cell r="B710" t="str">
            <v>S8725</v>
          </cell>
          <cell r="C710" t="str">
            <v>SⅡ形　曲　管</v>
          </cell>
          <cell r="D710" t="str">
            <v>φ300　22度1/2</v>
          </cell>
          <cell r="E710">
            <v>0.39900000000000002</v>
          </cell>
        </row>
        <row r="711">
          <cell r="A711" t="str">
            <v/>
          </cell>
          <cell r="B711" t="str">
            <v>S8725</v>
          </cell>
          <cell r="C711" t="str">
            <v>SⅡ形　曲　管</v>
          </cell>
          <cell r="D711" t="str">
            <v>φ400　22度1/2</v>
          </cell>
          <cell r="E711">
            <v>0.45800000000000002</v>
          </cell>
        </row>
        <row r="712">
          <cell r="A712" t="str">
            <v/>
          </cell>
          <cell r="B712" t="str">
            <v>S8725</v>
          </cell>
          <cell r="C712" t="str">
            <v>SⅡ形　曲　管</v>
          </cell>
          <cell r="D712" t="str">
            <v>φ75　11度1/4</v>
          </cell>
          <cell r="E712">
            <v>0.28000000000000003</v>
          </cell>
        </row>
        <row r="713">
          <cell r="A713" t="str">
            <v/>
          </cell>
          <cell r="B713" t="str">
            <v>S8725</v>
          </cell>
          <cell r="C713" t="str">
            <v>SⅡ形　曲　管</v>
          </cell>
          <cell r="D713" t="str">
            <v>φ100　11度1/4</v>
          </cell>
          <cell r="E713">
            <v>0.28499999999999998</v>
          </cell>
        </row>
        <row r="714">
          <cell r="A714" t="str">
            <v/>
          </cell>
          <cell r="B714" t="str">
            <v>S8725</v>
          </cell>
          <cell r="C714" t="str">
            <v>SⅡ形　曲　管</v>
          </cell>
          <cell r="D714" t="str">
            <v>φ150　11度1/4</v>
          </cell>
          <cell r="E714">
            <v>0.28999999999999998</v>
          </cell>
        </row>
        <row r="715">
          <cell r="A715" t="str">
            <v/>
          </cell>
          <cell r="B715" t="str">
            <v>S8725</v>
          </cell>
          <cell r="C715" t="str">
            <v>SⅡ形　曲　管</v>
          </cell>
          <cell r="D715" t="str">
            <v>φ200　11度1/4</v>
          </cell>
          <cell r="E715">
            <v>0.30499999999999999</v>
          </cell>
        </row>
        <row r="716">
          <cell r="A716" t="str">
            <v/>
          </cell>
          <cell r="B716" t="str">
            <v>S8725</v>
          </cell>
          <cell r="C716" t="str">
            <v>SⅡ形　曲　管</v>
          </cell>
          <cell r="D716" t="str">
            <v>φ300　11度1/4</v>
          </cell>
          <cell r="E716">
            <v>0.34</v>
          </cell>
        </row>
        <row r="717">
          <cell r="A717" t="str">
            <v/>
          </cell>
          <cell r="B717" t="str">
            <v>S8725</v>
          </cell>
          <cell r="C717" t="str">
            <v>SⅡ形　曲　管</v>
          </cell>
          <cell r="D717" t="str">
            <v>φ400　11度1/4</v>
          </cell>
          <cell r="E717">
            <v>0.38</v>
          </cell>
        </row>
        <row r="718">
          <cell r="A718" t="str">
            <v/>
          </cell>
          <cell r="B718" t="str">
            <v>S8725</v>
          </cell>
          <cell r="C718" t="str">
            <v>SⅡ形　曲　管</v>
          </cell>
          <cell r="D718" t="str">
            <v>φ75　5度5/8</v>
          </cell>
          <cell r="E718">
            <v>0.27500000000000002</v>
          </cell>
        </row>
        <row r="719">
          <cell r="A719" t="str">
            <v/>
          </cell>
          <cell r="B719" t="str">
            <v>S8725</v>
          </cell>
          <cell r="C719" t="str">
            <v>SⅡ形　曲　管</v>
          </cell>
          <cell r="D719" t="str">
            <v>φ100　5度5/8</v>
          </cell>
          <cell r="E719">
            <v>0.28000000000000003</v>
          </cell>
        </row>
        <row r="720">
          <cell r="A720" t="str">
            <v/>
          </cell>
          <cell r="B720" t="str">
            <v>S8725</v>
          </cell>
          <cell r="C720" t="str">
            <v>SⅡ形　曲　管</v>
          </cell>
          <cell r="D720" t="str">
            <v>φ150　5度5/8</v>
          </cell>
          <cell r="E720">
            <v>0.28499999999999998</v>
          </cell>
        </row>
        <row r="721">
          <cell r="A721" t="str">
            <v/>
          </cell>
          <cell r="B721" t="str">
            <v>S8725</v>
          </cell>
          <cell r="C721" t="str">
            <v>SⅡ形　曲　管</v>
          </cell>
          <cell r="D721" t="str">
            <v>φ200　5度5/8</v>
          </cell>
          <cell r="E721">
            <v>0.29499999999999998</v>
          </cell>
        </row>
        <row r="722">
          <cell r="A722" t="str">
            <v/>
          </cell>
          <cell r="B722" t="str">
            <v>S8725</v>
          </cell>
          <cell r="C722" t="str">
            <v>SⅡ形　曲　管</v>
          </cell>
          <cell r="D722" t="str">
            <v>φ300　5度5/8</v>
          </cell>
          <cell r="E722">
            <v>0.32500000000000001</v>
          </cell>
        </row>
        <row r="723">
          <cell r="A723" t="str">
            <v/>
          </cell>
          <cell r="B723" t="str">
            <v>S8725</v>
          </cell>
          <cell r="C723" t="str">
            <v>SⅡ形　曲　管</v>
          </cell>
          <cell r="D723" t="str">
            <v>φ400　5度5/8</v>
          </cell>
          <cell r="E723">
            <v>0.36</v>
          </cell>
        </row>
        <row r="724">
          <cell r="A724" t="str">
            <v/>
          </cell>
          <cell r="B724" t="str">
            <v>S8730</v>
          </cell>
          <cell r="C724" t="str">
            <v>SⅡ形　継　輪</v>
          </cell>
          <cell r="D724" t="str">
            <v>φ75</v>
          </cell>
          <cell r="E724">
            <v>0.18</v>
          </cell>
        </row>
        <row r="725">
          <cell r="A725" t="str">
            <v/>
          </cell>
          <cell r="B725" t="str">
            <v>S8730</v>
          </cell>
          <cell r="C725" t="str">
            <v>SⅡ形　継　輪</v>
          </cell>
          <cell r="D725" t="str">
            <v>φ100</v>
          </cell>
          <cell r="E725">
            <v>0.18</v>
          </cell>
        </row>
        <row r="726">
          <cell r="A726" t="str">
            <v/>
          </cell>
          <cell r="B726" t="str">
            <v>S8730</v>
          </cell>
          <cell r="C726" t="str">
            <v>SⅡ形　継　輪</v>
          </cell>
          <cell r="D726" t="str">
            <v>φ150</v>
          </cell>
          <cell r="E726">
            <v>0.2</v>
          </cell>
        </row>
        <row r="727">
          <cell r="A727" t="str">
            <v/>
          </cell>
          <cell r="B727" t="str">
            <v>S8730</v>
          </cell>
          <cell r="C727" t="str">
            <v>SⅡ形　継　輪</v>
          </cell>
          <cell r="D727" t="str">
            <v>φ200</v>
          </cell>
          <cell r="E727">
            <v>0.2</v>
          </cell>
        </row>
        <row r="728">
          <cell r="A728" t="str">
            <v/>
          </cell>
          <cell r="B728" t="str">
            <v>S8730</v>
          </cell>
          <cell r="C728" t="str">
            <v>SⅡ形　継　輪</v>
          </cell>
          <cell r="D728" t="str">
            <v>φ250</v>
          </cell>
          <cell r="E728">
            <v>0.2</v>
          </cell>
        </row>
        <row r="729">
          <cell r="A729" t="str">
            <v/>
          </cell>
          <cell r="B729" t="str">
            <v>S8730</v>
          </cell>
          <cell r="C729" t="str">
            <v>SⅡ形　継　輪</v>
          </cell>
          <cell r="D729" t="str">
            <v>φ300</v>
          </cell>
          <cell r="E729">
            <v>0.2</v>
          </cell>
        </row>
        <row r="730">
          <cell r="A730" t="str">
            <v/>
          </cell>
          <cell r="B730" t="str">
            <v>S8730</v>
          </cell>
          <cell r="C730" t="str">
            <v>SⅡ形　継　輪</v>
          </cell>
          <cell r="D730" t="str">
            <v>φ350</v>
          </cell>
          <cell r="E730">
            <v>0.2</v>
          </cell>
        </row>
        <row r="731">
          <cell r="A731" t="str">
            <v/>
          </cell>
          <cell r="B731" t="str">
            <v>S8730</v>
          </cell>
          <cell r="C731" t="str">
            <v>SⅡ形　継　輪</v>
          </cell>
          <cell r="D731" t="str">
            <v>φ400</v>
          </cell>
          <cell r="E731">
            <v>0.2</v>
          </cell>
        </row>
        <row r="732">
          <cell r="A732" t="str">
            <v/>
          </cell>
          <cell r="B732" t="str">
            <v>S8730</v>
          </cell>
          <cell r="C732" t="str">
            <v>SⅡ形　継　輪</v>
          </cell>
          <cell r="D732" t="str">
            <v>φ450</v>
          </cell>
          <cell r="E732">
            <v>0.2</v>
          </cell>
        </row>
        <row r="733">
          <cell r="A733" t="str">
            <v/>
          </cell>
          <cell r="B733" t="str">
            <v>S8745</v>
          </cell>
          <cell r="C733" t="str">
            <v>SⅡ形　二受丁字管</v>
          </cell>
          <cell r="D733" t="str">
            <v>φ75×φ75</v>
          </cell>
          <cell r="E733">
            <v>0.42</v>
          </cell>
        </row>
        <row r="734">
          <cell r="A734" t="str">
            <v/>
          </cell>
          <cell r="B734" t="str">
            <v>S8745</v>
          </cell>
          <cell r="C734" t="str">
            <v>SⅡ形　二受丁字管</v>
          </cell>
          <cell r="D734" t="str">
            <v>φ100×φ75</v>
          </cell>
          <cell r="E734">
            <v>0.42</v>
          </cell>
        </row>
        <row r="735">
          <cell r="A735" t="str">
            <v/>
          </cell>
          <cell r="B735" t="str">
            <v>S8745</v>
          </cell>
          <cell r="C735" t="str">
            <v>SⅡ形　二受丁字管</v>
          </cell>
          <cell r="D735" t="str">
            <v>φ100×φ100</v>
          </cell>
          <cell r="E735">
            <v>0.45</v>
          </cell>
        </row>
        <row r="736">
          <cell r="A736" t="str">
            <v/>
          </cell>
          <cell r="B736" t="str">
            <v>S8745</v>
          </cell>
          <cell r="C736" t="str">
            <v>SⅡ形　二受丁字管</v>
          </cell>
          <cell r="D736" t="str">
            <v>φ150×φ75</v>
          </cell>
          <cell r="E736">
            <v>0.42</v>
          </cell>
        </row>
        <row r="737">
          <cell r="A737" t="str">
            <v/>
          </cell>
          <cell r="B737" t="str">
            <v>S8745</v>
          </cell>
          <cell r="C737" t="str">
            <v>SⅡ形　二受丁字管</v>
          </cell>
          <cell r="D737" t="str">
            <v>φ150×φ100</v>
          </cell>
          <cell r="E737">
            <v>0.45</v>
          </cell>
        </row>
        <row r="738">
          <cell r="A738" t="str">
            <v/>
          </cell>
          <cell r="B738" t="str">
            <v>S8745</v>
          </cell>
          <cell r="C738" t="str">
            <v>SⅡ形　二受丁字管</v>
          </cell>
          <cell r="D738" t="str">
            <v>φ150×φ150</v>
          </cell>
          <cell r="E738">
            <v>0.51</v>
          </cell>
        </row>
        <row r="739">
          <cell r="A739" t="str">
            <v/>
          </cell>
          <cell r="B739" t="str">
            <v>S8745</v>
          </cell>
          <cell r="C739" t="str">
            <v>SⅡ形　二受丁字管</v>
          </cell>
          <cell r="D739" t="str">
            <v>φ200×φ100</v>
          </cell>
          <cell r="E739">
            <v>0.45500000000000002</v>
          </cell>
        </row>
        <row r="740">
          <cell r="A740" t="str">
            <v/>
          </cell>
          <cell r="B740" t="str">
            <v>S8745</v>
          </cell>
          <cell r="C740" t="str">
            <v>SⅡ形　二受丁字管</v>
          </cell>
          <cell r="D740" t="str">
            <v>φ200×φ150</v>
          </cell>
          <cell r="E740">
            <v>0.505</v>
          </cell>
        </row>
        <row r="741">
          <cell r="A741" t="str">
            <v/>
          </cell>
          <cell r="B741" t="str">
            <v>S8745</v>
          </cell>
          <cell r="C741" t="str">
            <v>SⅡ形　二受丁字管</v>
          </cell>
          <cell r="D741" t="str">
            <v>φ200×φ200</v>
          </cell>
          <cell r="E741">
            <v>0.56499999999999995</v>
          </cell>
        </row>
        <row r="742">
          <cell r="A742" t="str">
            <v/>
          </cell>
          <cell r="B742" t="str">
            <v>S8745</v>
          </cell>
          <cell r="C742" t="str">
            <v>SⅡ形　二受丁字管</v>
          </cell>
          <cell r="D742" t="str">
            <v>φ300×φ100</v>
          </cell>
          <cell r="E742">
            <v>0.46500000000000002</v>
          </cell>
        </row>
        <row r="743">
          <cell r="A743" t="str">
            <v/>
          </cell>
          <cell r="B743" t="str">
            <v>S8745</v>
          </cell>
          <cell r="C743" t="str">
            <v>SⅡ形　二受丁字管</v>
          </cell>
          <cell r="D743" t="str">
            <v>φ300×φ150</v>
          </cell>
          <cell r="E743">
            <v>0.52500000000000002</v>
          </cell>
        </row>
        <row r="744">
          <cell r="A744" t="str">
            <v/>
          </cell>
          <cell r="B744" t="str">
            <v>S8745</v>
          </cell>
          <cell r="C744" t="str">
            <v>SⅡ形　二受丁字管</v>
          </cell>
          <cell r="D744" t="str">
            <v>φ300×φ200</v>
          </cell>
          <cell r="E744">
            <v>0.57499999999999996</v>
          </cell>
        </row>
        <row r="745">
          <cell r="A745" t="str">
            <v/>
          </cell>
          <cell r="B745" t="str">
            <v>S8745</v>
          </cell>
          <cell r="C745" t="str">
            <v>SⅡ形　二受丁字管</v>
          </cell>
          <cell r="D745" t="str">
            <v>φ300×φ300</v>
          </cell>
          <cell r="E745">
            <v>0.69499999999999995</v>
          </cell>
        </row>
        <row r="746">
          <cell r="A746" t="str">
            <v/>
          </cell>
          <cell r="B746" t="str">
            <v>S8745</v>
          </cell>
          <cell r="C746" t="str">
            <v>SⅡ形　二受丁字管</v>
          </cell>
          <cell r="D746" t="str">
            <v>φ400×φ300</v>
          </cell>
          <cell r="E746">
            <v>0.69</v>
          </cell>
        </row>
        <row r="747">
          <cell r="A747" t="str">
            <v/>
          </cell>
          <cell r="B747" t="str">
            <v>S8745</v>
          </cell>
          <cell r="C747" t="str">
            <v>SⅡ形　二受丁字管</v>
          </cell>
          <cell r="D747" t="str">
            <v>φ400×φ400</v>
          </cell>
          <cell r="E747">
            <v>0.81499999999999995</v>
          </cell>
        </row>
        <row r="748">
          <cell r="A748" t="str">
            <v/>
          </cell>
          <cell r="B748" t="str">
            <v>S8745</v>
          </cell>
          <cell r="C748" t="str">
            <v>SⅡ形　挿受片落管</v>
          </cell>
          <cell r="D748" t="str">
            <v>φ100×φ75</v>
          </cell>
          <cell r="E748">
            <v>0.34</v>
          </cell>
        </row>
        <row r="749">
          <cell r="A749" t="str">
            <v/>
          </cell>
          <cell r="B749" t="str">
            <v>S8745</v>
          </cell>
          <cell r="C749" t="str">
            <v>SⅡ形　挿受片落管</v>
          </cell>
          <cell r="D749" t="str">
            <v>φ150×φ100</v>
          </cell>
          <cell r="E749">
            <v>0.35</v>
          </cell>
        </row>
        <row r="750">
          <cell r="A750" t="str">
            <v/>
          </cell>
          <cell r="B750" t="str">
            <v>S8745</v>
          </cell>
          <cell r="C750" t="str">
            <v>SⅡ形　挿受片落管</v>
          </cell>
          <cell r="D750" t="str">
            <v>φ200×φ100</v>
          </cell>
          <cell r="E750">
            <v>0.45500000000000002</v>
          </cell>
        </row>
        <row r="751">
          <cell r="A751" t="str">
            <v/>
          </cell>
          <cell r="B751" t="str">
            <v>S8745</v>
          </cell>
          <cell r="C751" t="str">
            <v>SⅡ形　挿受片落管</v>
          </cell>
          <cell r="D751" t="str">
            <v>φ200×φ150</v>
          </cell>
          <cell r="E751">
            <v>0.35499999999999998</v>
          </cell>
        </row>
        <row r="752">
          <cell r="A752" t="str">
            <v/>
          </cell>
          <cell r="B752" t="str">
            <v>S8745</v>
          </cell>
          <cell r="C752" t="str">
            <v>SⅡ形　挿受片落管</v>
          </cell>
          <cell r="D752" t="str">
            <v>φ250×φ100</v>
          </cell>
          <cell r="E752">
            <v>0.56000000000000005</v>
          </cell>
        </row>
        <row r="753">
          <cell r="A753" t="str">
            <v/>
          </cell>
          <cell r="B753" t="str">
            <v>S8745</v>
          </cell>
          <cell r="C753" t="str">
            <v>SⅡ形　挿受片落管</v>
          </cell>
          <cell r="D753" t="str">
            <v>φ250×φ150</v>
          </cell>
          <cell r="E753">
            <v>0.46</v>
          </cell>
        </row>
        <row r="754">
          <cell r="A754" t="str">
            <v/>
          </cell>
          <cell r="B754" t="str">
            <v>S8745</v>
          </cell>
          <cell r="C754" t="str">
            <v>SⅡ形　挿受片落管</v>
          </cell>
          <cell r="D754" t="str">
            <v>φ250×φ200</v>
          </cell>
          <cell r="E754">
            <v>0.36499999999999999</v>
          </cell>
        </row>
        <row r="755">
          <cell r="A755" t="str">
            <v/>
          </cell>
          <cell r="B755" t="str">
            <v>S8745</v>
          </cell>
          <cell r="C755" t="str">
            <v>SⅡ形　挿受片落管</v>
          </cell>
          <cell r="D755" t="str">
            <v>φ300×φ100</v>
          </cell>
          <cell r="E755">
            <v>0.66500000000000004</v>
          </cell>
        </row>
        <row r="756">
          <cell r="A756" t="str">
            <v/>
          </cell>
          <cell r="B756" t="str">
            <v>S8745</v>
          </cell>
          <cell r="C756" t="str">
            <v>SⅡ形　挿受片落管</v>
          </cell>
          <cell r="D756" t="str">
            <v>φ300×φ150</v>
          </cell>
          <cell r="E756">
            <v>0.56499999999999995</v>
          </cell>
        </row>
        <row r="757">
          <cell r="A757" t="str">
            <v/>
          </cell>
          <cell r="B757" t="str">
            <v>S8745</v>
          </cell>
          <cell r="C757" t="str">
            <v>SⅡ形　挿受片落管</v>
          </cell>
          <cell r="D757" t="str">
            <v>φ300×φ200</v>
          </cell>
          <cell r="E757">
            <v>0.47</v>
          </cell>
        </row>
        <row r="758">
          <cell r="A758" t="str">
            <v/>
          </cell>
          <cell r="B758" t="str">
            <v>S8745</v>
          </cell>
          <cell r="C758" t="str">
            <v>SⅡ形　挿受片落管</v>
          </cell>
          <cell r="D758" t="str">
            <v>φ350×φ150</v>
          </cell>
          <cell r="E758">
            <v>0.67</v>
          </cell>
        </row>
        <row r="759">
          <cell r="A759" t="str">
            <v/>
          </cell>
          <cell r="B759" t="str">
            <v>S8745</v>
          </cell>
          <cell r="C759" t="str">
            <v>SⅡ形　挿受片落管</v>
          </cell>
          <cell r="D759" t="str">
            <v>φ350×φ200</v>
          </cell>
          <cell r="E759">
            <v>0.57499999999999996</v>
          </cell>
        </row>
        <row r="760">
          <cell r="A760" t="str">
            <v/>
          </cell>
          <cell r="B760" t="str">
            <v>S8745</v>
          </cell>
          <cell r="C760" t="str">
            <v>SⅡ形　挿受片落管</v>
          </cell>
          <cell r="D760" t="str">
            <v>φ350×φ250</v>
          </cell>
          <cell r="E760">
            <v>0.48</v>
          </cell>
        </row>
        <row r="761">
          <cell r="A761" t="str">
            <v/>
          </cell>
          <cell r="B761" t="str">
            <v>S8745</v>
          </cell>
          <cell r="C761" t="str">
            <v>SⅡ形　挿受片落管</v>
          </cell>
          <cell r="D761" t="str">
            <v>φ350×φ300</v>
          </cell>
          <cell r="E761">
            <v>0.38500000000000001</v>
          </cell>
        </row>
        <row r="762">
          <cell r="A762" t="str">
            <v/>
          </cell>
          <cell r="B762" t="str">
            <v>S8745</v>
          </cell>
          <cell r="C762" t="str">
            <v>SⅡ形　挿受片落管</v>
          </cell>
          <cell r="D762" t="str">
            <v>φ400×φ150</v>
          </cell>
          <cell r="E762">
            <v>0.77500000000000002</v>
          </cell>
        </row>
        <row r="763">
          <cell r="A763" t="str">
            <v/>
          </cell>
          <cell r="B763" t="str">
            <v>S8745</v>
          </cell>
          <cell r="C763" t="str">
            <v>SⅡ形　挿受片落管</v>
          </cell>
          <cell r="D763" t="str">
            <v>φ400×φ200</v>
          </cell>
          <cell r="E763">
            <v>0.68</v>
          </cell>
        </row>
        <row r="764">
          <cell r="A764" t="str">
            <v/>
          </cell>
          <cell r="B764" t="str">
            <v>S8745</v>
          </cell>
          <cell r="C764" t="str">
            <v>SⅡ形　挿受片落管</v>
          </cell>
          <cell r="D764" t="str">
            <v>φ400×φ300</v>
          </cell>
          <cell r="E764">
            <v>0.49</v>
          </cell>
        </row>
        <row r="765">
          <cell r="A765" t="str">
            <v/>
          </cell>
          <cell r="B765" t="str">
            <v>S8745</v>
          </cell>
          <cell r="C765" t="str">
            <v>SⅡ形　挿受片落管</v>
          </cell>
          <cell r="D765" t="str">
            <v>φ450×φ200</v>
          </cell>
          <cell r="E765">
            <v>0.78500000000000003</v>
          </cell>
        </row>
        <row r="766">
          <cell r="A766" t="str">
            <v/>
          </cell>
          <cell r="B766" t="str">
            <v>S8745</v>
          </cell>
          <cell r="C766" t="str">
            <v>SⅡ形　挿受片落管</v>
          </cell>
          <cell r="D766" t="str">
            <v>φ450×φ250</v>
          </cell>
          <cell r="E766">
            <v>0.69</v>
          </cell>
        </row>
        <row r="767">
          <cell r="A767" t="str">
            <v/>
          </cell>
          <cell r="B767" t="str">
            <v>S8745</v>
          </cell>
          <cell r="C767" t="str">
            <v>SⅡ形　挿受片落管</v>
          </cell>
          <cell r="D767" t="str">
            <v>φ450×φ300</v>
          </cell>
          <cell r="E767">
            <v>0.59499999999999997</v>
          </cell>
        </row>
        <row r="768">
          <cell r="A768" t="str">
            <v/>
          </cell>
          <cell r="B768" t="str">
            <v>S8745</v>
          </cell>
          <cell r="C768" t="str">
            <v>SⅡ形　挿受片落管</v>
          </cell>
          <cell r="D768" t="str">
            <v>φ450×φ350</v>
          </cell>
          <cell r="E768">
            <v>0.5</v>
          </cell>
        </row>
        <row r="769">
          <cell r="A769" t="str">
            <v/>
          </cell>
          <cell r="B769" t="str">
            <v>S8745</v>
          </cell>
          <cell r="C769" t="str">
            <v>SⅡ形　挿受片落管</v>
          </cell>
          <cell r="D769" t="str">
            <v>φ450×φ400</v>
          </cell>
          <cell r="E769">
            <v>0.40500000000000003</v>
          </cell>
        </row>
        <row r="770">
          <cell r="A770" t="str">
            <v/>
          </cell>
          <cell r="B770" t="str">
            <v>S8745</v>
          </cell>
          <cell r="C770" t="str">
            <v>SⅡ形　受挿片落管</v>
          </cell>
          <cell r="D770" t="str">
            <v>φ100×φ75</v>
          </cell>
          <cell r="E770">
            <v>0.34</v>
          </cell>
        </row>
        <row r="771">
          <cell r="A771" t="str">
            <v/>
          </cell>
          <cell r="B771" t="str">
            <v>S8745</v>
          </cell>
          <cell r="C771" t="str">
            <v>SⅡ形　受挿片落管</v>
          </cell>
          <cell r="D771" t="str">
            <v>φ150×φ100</v>
          </cell>
          <cell r="E771">
            <v>0.34</v>
          </cell>
        </row>
        <row r="772">
          <cell r="A772" t="str">
            <v/>
          </cell>
          <cell r="B772" t="str">
            <v>S8745</v>
          </cell>
          <cell r="C772" t="str">
            <v>SⅡ形　受挿片落管</v>
          </cell>
          <cell r="D772" t="str">
            <v>φ200×φ100</v>
          </cell>
          <cell r="E772">
            <v>0.44500000000000001</v>
          </cell>
        </row>
        <row r="773">
          <cell r="A773" t="str">
            <v/>
          </cell>
          <cell r="B773" t="str">
            <v>S8745</v>
          </cell>
          <cell r="C773" t="str">
            <v>SⅡ形　受挿片落管</v>
          </cell>
          <cell r="D773" t="str">
            <v>φ200×φ150</v>
          </cell>
          <cell r="E773">
            <v>0.35499999999999998</v>
          </cell>
        </row>
        <row r="774">
          <cell r="A774" t="str">
            <v/>
          </cell>
          <cell r="B774" t="str">
            <v>S8745</v>
          </cell>
          <cell r="C774" t="str">
            <v>SⅡ形　受挿片落管</v>
          </cell>
          <cell r="D774" t="str">
            <v>φ250×φ100</v>
          </cell>
          <cell r="E774">
            <v>0.55000000000000004</v>
          </cell>
        </row>
        <row r="775">
          <cell r="A775" t="str">
            <v/>
          </cell>
          <cell r="B775" t="str">
            <v>S8745</v>
          </cell>
          <cell r="C775" t="str">
            <v>SⅡ形　受挿片落管</v>
          </cell>
          <cell r="D775" t="str">
            <v>φ250×φ150</v>
          </cell>
          <cell r="E775">
            <v>0.46</v>
          </cell>
        </row>
        <row r="776">
          <cell r="A776" t="str">
            <v/>
          </cell>
          <cell r="B776" t="str">
            <v>S8745</v>
          </cell>
          <cell r="C776" t="str">
            <v>SⅡ形　受挿片落管</v>
          </cell>
          <cell r="D776" t="str">
            <v>φ250×φ200</v>
          </cell>
          <cell r="E776">
            <v>0.36499999999999999</v>
          </cell>
        </row>
        <row r="777">
          <cell r="A777" t="str">
            <v/>
          </cell>
          <cell r="B777" t="str">
            <v>S8745</v>
          </cell>
          <cell r="C777" t="str">
            <v>SⅡ形　受挿片落管</v>
          </cell>
          <cell r="D777" t="str">
            <v>φ300×φ100</v>
          </cell>
          <cell r="E777">
            <v>0.65500000000000003</v>
          </cell>
        </row>
        <row r="778">
          <cell r="A778" t="str">
            <v/>
          </cell>
          <cell r="B778" t="str">
            <v>S8745</v>
          </cell>
          <cell r="C778" t="str">
            <v>SⅡ形　受挿片落管</v>
          </cell>
          <cell r="D778" t="str">
            <v>φ300×φ150</v>
          </cell>
          <cell r="E778">
            <v>0.56499999999999995</v>
          </cell>
        </row>
        <row r="779">
          <cell r="A779" t="str">
            <v/>
          </cell>
          <cell r="B779" t="str">
            <v>S8745</v>
          </cell>
          <cell r="C779" t="str">
            <v>SⅡ形　受挿片落管</v>
          </cell>
          <cell r="D779" t="str">
            <v>φ300×φ200</v>
          </cell>
          <cell r="E779">
            <v>0.47</v>
          </cell>
        </row>
        <row r="780">
          <cell r="A780" t="str">
            <v/>
          </cell>
          <cell r="B780" t="str">
            <v>S8745</v>
          </cell>
          <cell r="C780" t="str">
            <v>SⅡ形　受挿片落管</v>
          </cell>
          <cell r="D780" t="str">
            <v>φ350×φ150</v>
          </cell>
          <cell r="E780">
            <v>0.67</v>
          </cell>
        </row>
        <row r="781">
          <cell r="A781" t="str">
            <v/>
          </cell>
          <cell r="B781" t="str">
            <v>S8745</v>
          </cell>
          <cell r="C781" t="str">
            <v>SⅡ形　受挿片落管</v>
          </cell>
          <cell r="D781" t="str">
            <v>φ350×φ200</v>
          </cell>
          <cell r="E781">
            <v>0.57499999999999996</v>
          </cell>
        </row>
        <row r="782">
          <cell r="A782" t="str">
            <v/>
          </cell>
          <cell r="B782" t="str">
            <v>S8745</v>
          </cell>
          <cell r="C782" t="str">
            <v>SⅡ形　受挿片落管</v>
          </cell>
          <cell r="D782" t="str">
            <v>φ350×φ250</v>
          </cell>
          <cell r="E782">
            <v>0.48</v>
          </cell>
        </row>
        <row r="783">
          <cell r="A783" t="str">
            <v/>
          </cell>
          <cell r="B783" t="str">
            <v>S8745</v>
          </cell>
          <cell r="C783" t="str">
            <v>SⅡ形　受挿片落管</v>
          </cell>
          <cell r="D783" t="str">
            <v>φ350×φ300</v>
          </cell>
          <cell r="E783">
            <v>0.38500000000000001</v>
          </cell>
        </row>
        <row r="784">
          <cell r="A784" t="str">
            <v/>
          </cell>
          <cell r="B784" t="str">
            <v>S8745</v>
          </cell>
          <cell r="C784" t="str">
            <v>SⅡ形　受挿片落管</v>
          </cell>
          <cell r="D784" t="str">
            <v>φ400×φ150</v>
          </cell>
          <cell r="E784">
            <v>0.77500000000000002</v>
          </cell>
        </row>
        <row r="785">
          <cell r="A785" t="str">
            <v/>
          </cell>
          <cell r="B785" t="str">
            <v>S8745</v>
          </cell>
          <cell r="C785" t="str">
            <v>SⅡ形　受挿片落管</v>
          </cell>
          <cell r="D785" t="str">
            <v>φ400×φ200</v>
          </cell>
          <cell r="E785">
            <v>0.68</v>
          </cell>
        </row>
        <row r="786">
          <cell r="A786" t="str">
            <v/>
          </cell>
          <cell r="B786" t="str">
            <v>S8745</v>
          </cell>
          <cell r="C786" t="str">
            <v>SⅡ形　受挿片落管</v>
          </cell>
          <cell r="D786" t="str">
            <v>φ400×φ300</v>
          </cell>
          <cell r="E786">
            <v>0.49</v>
          </cell>
        </row>
        <row r="787">
          <cell r="A787" t="str">
            <v/>
          </cell>
          <cell r="B787" t="str">
            <v>S8745</v>
          </cell>
          <cell r="C787" t="str">
            <v>SⅡ形　受挿片落管</v>
          </cell>
          <cell r="D787" t="str">
            <v>φ450×φ200</v>
          </cell>
          <cell r="E787">
            <v>0.78500000000000003</v>
          </cell>
        </row>
        <row r="788">
          <cell r="A788" t="str">
            <v/>
          </cell>
          <cell r="B788" t="str">
            <v>S8745</v>
          </cell>
          <cell r="C788" t="str">
            <v>SⅡ形　受挿片落管</v>
          </cell>
          <cell r="D788" t="str">
            <v>φ450×φ250</v>
          </cell>
          <cell r="E788">
            <v>0.69</v>
          </cell>
        </row>
        <row r="789">
          <cell r="A789" t="str">
            <v/>
          </cell>
          <cell r="B789" t="str">
            <v>S8745</v>
          </cell>
          <cell r="C789" t="str">
            <v>SⅡ形　受挿片落管</v>
          </cell>
          <cell r="D789" t="str">
            <v>φ450×φ300</v>
          </cell>
          <cell r="E789">
            <v>0.59499999999999997</v>
          </cell>
        </row>
        <row r="790">
          <cell r="A790" t="str">
            <v/>
          </cell>
          <cell r="B790" t="str">
            <v>S8745</v>
          </cell>
          <cell r="C790" t="str">
            <v>SⅡ形　受挿片落管</v>
          </cell>
          <cell r="D790" t="str">
            <v>φ450×φ350</v>
          </cell>
          <cell r="E790">
            <v>0.5</v>
          </cell>
        </row>
        <row r="791">
          <cell r="A791" t="str">
            <v/>
          </cell>
          <cell r="B791" t="str">
            <v>S8745</v>
          </cell>
          <cell r="C791" t="str">
            <v>SⅡ形　受挿片落管</v>
          </cell>
          <cell r="D791" t="str">
            <v>φ450×φ400</v>
          </cell>
          <cell r="E791">
            <v>0.40500000000000003</v>
          </cell>
        </row>
        <row r="792">
          <cell r="A792" t="str">
            <v/>
          </cell>
          <cell r="B792" t="str">
            <v>S8735</v>
          </cell>
          <cell r="C792" t="str">
            <v>SⅡ形　短管1号</v>
          </cell>
          <cell r="D792" t="str">
            <v>φ75</v>
          </cell>
          <cell r="E792">
            <v>0.13</v>
          </cell>
        </row>
        <row r="793">
          <cell r="A793" t="str">
            <v/>
          </cell>
          <cell r="B793" t="str">
            <v>S8735</v>
          </cell>
          <cell r="C793" t="str">
            <v>SⅡ形　短管1号</v>
          </cell>
          <cell r="D793" t="str">
            <v>φ100</v>
          </cell>
          <cell r="E793">
            <v>0.13</v>
          </cell>
        </row>
        <row r="794">
          <cell r="A794" t="str">
            <v/>
          </cell>
          <cell r="B794" t="str">
            <v>S8735</v>
          </cell>
          <cell r="C794" t="str">
            <v>SⅡ形　短管1号</v>
          </cell>
          <cell r="D794" t="str">
            <v>φ150</v>
          </cell>
          <cell r="E794">
            <v>0.13500000000000001</v>
          </cell>
        </row>
        <row r="795">
          <cell r="A795" t="str">
            <v/>
          </cell>
          <cell r="B795" t="str">
            <v>S8735</v>
          </cell>
          <cell r="C795" t="str">
            <v>SⅡ形　短管1号</v>
          </cell>
          <cell r="D795" t="str">
            <v>φ200</v>
          </cell>
          <cell r="E795">
            <v>0.14000000000000001</v>
          </cell>
        </row>
        <row r="796">
          <cell r="A796" t="str">
            <v/>
          </cell>
          <cell r="B796" t="str">
            <v>S8735</v>
          </cell>
          <cell r="C796" t="str">
            <v>SⅡ形　短管1号</v>
          </cell>
          <cell r="D796" t="str">
            <v>φ300</v>
          </cell>
          <cell r="E796">
            <v>0.15</v>
          </cell>
        </row>
        <row r="797">
          <cell r="A797" t="str">
            <v/>
          </cell>
          <cell r="B797" t="str">
            <v>S8735</v>
          </cell>
          <cell r="C797" t="str">
            <v>SⅡ形　短管1号</v>
          </cell>
          <cell r="D797" t="str">
            <v>φ400</v>
          </cell>
          <cell r="E797">
            <v>0.16</v>
          </cell>
        </row>
        <row r="798">
          <cell r="A798" t="str">
            <v/>
          </cell>
          <cell r="B798" t="str">
            <v>S8735</v>
          </cell>
          <cell r="C798" t="str">
            <v>SⅡ形　短管2号</v>
          </cell>
          <cell r="D798" t="str">
            <v>φ75</v>
          </cell>
          <cell r="E798">
            <v>0.35</v>
          </cell>
        </row>
        <row r="799">
          <cell r="A799" t="str">
            <v/>
          </cell>
          <cell r="B799" t="str">
            <v>S8735</v>
          </cell>
          <cell r="C799" t="str">
            <v>SⅡ形　短管2号</v>
          </cell>
          <cell r="D799" t="str">
            <v>φ100</v>
          </cell>
          <cell r="E799">
            <v>0.36</v>
          </cell>
        </row>
        <row r="800">
          <cell r="A800" t="str">
            <v/>
          </cell>
          <cell r="B800" t="str">
            <v>S8735</v>
          </cell>
          <cell r="C800" t="str">
            <v>SⅡ形　短管2号</v>
          </cell>
          <cell r="D800" t="str">
            <v>φ150</v>
          </cell>
          <cell r="E800">
            <v>0.38</v>
          </cell>
        </row>
        <row r="801">
          <cell r="A801" t="str">
            <v/>
          </cell>
          <cell r="B801" t="str">
            <v>S8735</v>
          </cell>
          <cell r="C801" t="str">
            <v>SⅡ形　短管2号</v>
          </cell>
          <cell r="D801" t="str">
            <v>φ200</v>
          </cell>
          <cell r="E801">
            <v>0.4</v>
          </cell>
        </row>
        <row r="802">
          <cell r="A802" t="str">
            <v/>
          </cell>
          <cell r="B802" t="str">
            <v>S8735</v>
          </cell>
          <cell r="C802" t="str">
            <v>SⅡ形　短管2号</v>
          </cell>
          <cell r="D802" t="str">
            <v>φ300</v>
          </cell>
          <cell r="E802">
            <v>0.44</v>
          </cell>
        </row>
        <row r="803">
          <cell r="A803" t="str">
            <v/>
          </cell>
          <cell r="B803" t="str">
            <v>S8735</v>
          </cell>
          <cell r="C803" t="str">
            <v>SⅡ形　短管2号</v>
          </cell>
          <cell r="D803" t="str">
            <v>φ400</v>
          </cell>
          <cell r="E803">
            <v>0.48</v>
          </cell>
        </row>
        <row r="804">
          <cell r="A804" t="str">
            <v/>
          </cell>
          <cell r="B804" t="str">
            <v>S8755</v>
          </cell>
          <cell r="C804" t="str">
            <v>SⅡ形　F付丁字管</v>
          </cell>
          <cell r="D804" t="str">
            <v>φ75×φ75</v>
          </cell>
          <cell r="E804">
            <v>0.38</v>
          </cell>
        </row>
        <row r="805">
          <cell r="A805" t="str">
            <v/>
          </cell>
          <cell r="B805" t="str">
            <v>S8755</v>
          </cell>
          <cell r="C805" t="str">
            <v>SⅡ形　F付丁字管</v>
          </cell>
          <cell r="D805" t="str">
            <v>φ100×φ75</v>
          </cell>
          <cell r="E805">
            <v>0.38</v>
          </cell>
        </row>
        <row r="806">
          <cell r="A806" t="str">
            <v/>
          </cell>
          <cell r="B806" t="str">
            <v>S8755</v>
          </cell>
          <cell r="C806" t="str">
            <v>SⅡ形　F付丁字管</v>
          </cell>
          <cell r="D806" t="str">
            <v>φ150×φ75</v>
          </cell>
          <cell r="E806">
            <v>0.38</v>
          </cell>
        </row>
        <row r="807">
          <cell r="A807" t="str">
            <v/>
          </cell>
          <cell r="B807" t="str">
            <v>S8755</v>
          </cell>
          <cell r="C807" t="str">
            <v>SⅡ形　F付丁字管</v>
          </cell>
          <cell r="D807" t="str">
            <v>φ200×φ75</v>
          </cell>
          <cell r="E807">
            <v>0.39</v>
          </cell>
        </row>
        <row r="808">
          <cell r="A808" t="str">
            <v/>
          </cell>
          <cell r="B808" t="str">
            <v>S8755</v>
          </cell>
          <cell r="C808" t="str">
            <v>SⅡ形　F付丁字管</v>
          </cell>
          <cell r="D808" t="str">
            <v>φ300×φ75</v>
          </cell>
          <cell r="E808">
            <v>0.41</v>
          </cell>
        </row>
        <row r="809">
          <cell r="A809" t="str">
            <v/>
          </cell>
          <cell r="B809" t="str">
            <v>S8755</v>
          </cell>
          <cell r="C809" t="str">
            <v>SⅡ形　F付丁字管</v>
          </cell>
          <cell r="D809" t="str">
            <v>φ400×φ75</v>
          </cell>
          <cell r="E809">
            <v>0.43</v>
          </cell>
        </row>
        <row r="810">
          <cell r="A810" t="str">
            <v/>
          </cell>
          <cell r="B810" t="str">
            <v>S8756</v>
          </cell>
          <cell r="C810" t="str">
            <v>SⅡ形　F付丁字管</v>
          </cell>
          <cell r="D810" t="str">
            <v>φ100×φ75渦</v>
          </cell>
          <cell r="E810">
            <v>0.38</v>
          </cell>
        </row>
        <row r="811">
          <cell r="A811" t="str">
            <v/>
          </cell>
          <cell r="B811" t="str">
            <v>S8756</v>
          </cell>
          <cell r="C811" t="str">
            <v>SⅡ形　F付丁字管</v>
          </cell>
          <cell r="D811" t="str">
            <v>φ150×φ75渦</v>
          </cell>
          <cell r="E811">
            <v>0.38</v>
          </cell>
        </row>
        <row r="812">
          <cell r="A812" t="str">
            <v/>
          </cell>
          <cell r="B812" t="str">
            <v>S8756</v>
          </cell>
          <cell r="C812" t="str">
            <v>SⅡ形　F付丁字管</v>
          </cell>
          <cell r="D812" t="str">
            <v>φ200×φ75渦</v>
          </cell>
          <cell r="E812">
            <v>0.39</v>
          </cell>
        </row>
        <row r="813">
          <cell r="A813" t="str">
            <v/>
          </cell>
          <cell r="B813" t="str">
            <v>S8756</v>
          </cell>
          <cell r="C813" t="str">
            <v>SⅡ形　F付丁字管</v>
          </cell>
          <cell r="D813" t="str">
            <v>φ300×φ75渦</v>
          </cell>
          <cell r="E813">
            <v>0.41</v>
          </cell>
        </row>
        <row r="814">
          <cell r="A814" t="str">
            <v/>
          </cell>
          <cell r="B814" t="str">
            <v>S8756</v>
          </cell>
          <cell r="C814" t="str">
            <v>SⅡ形　F付丁字管</v>
          </cell>
          <cell r="D814" t="str">
            <v>φ400×φ75渦</v>
          </cell>
          <cell r="E814">
            <v>0.43</v>
          </cell>
        </row>
        <row r="815">
          <cell r="A815" t="str">
            <v/>
          </cell>
          <cell r="B815" t="str">
            <v>S8760</v>
          </cell>
          <cell r="C815" t="str">
            <v>SⅡ形　排水丁字管</v>
          </cell>
          <cell r="D815" t="str">
            <v>φ200×φ100</v>
          </cell>
          <cell r="E815">
            <v>0.27</v>
          </cell>
        </row>
        <row r="816">
          <cell r="A816" t="str">
            <v/>
          </cell>
          <cell r="B816" t="str">
            <v>S8760</v>
          </cell>
          <cell r="C816" t="str">
            <v>SⅡ形　排水丁字管</v>
          </cell>
          <cell r="D816" t="str">
            <v>φ300×φ100</v>
          </cell>
          <cell r="E816">
            <v>0.28999999999999998</v>
          </cell>
        </row>
        <row r="817">
          <cell r="A817" t="str">
            <v/>
          </cell>
          <cell r="B817" t="str">
            <v>S8760</v>
          </cell>
          <cell r="C817" t="str">
            <v>SⅡ形　排水丁字管</v>
          </cell>
          <cell r="D817" t="str">
            <v>φ400×φ150</v>
          </cell>
          <cell r="E817">
            <v>0.37</v>
          </cell>
        </row>
        <row r="818">
          <cell r="A818" t="str">
            <v/>
          </cell>
          <cell r="B818" t="str">
            <v>S8765</v>
          </cell>
          <cell r="C818" t="str">
            <v>SⅡ形　ライナー</v>
          </cell>
          <cell r="D818" t="str">
            <v>φ75</v>
          </cell>
          <cell r="E818">
            <v>3.5000000000000003E-2</v>
          </cell>
        </row>
        <row r="819">
          <cell r="A819" t="str">
            <v/>
          </cell>
          <cell r="B819" t="str">
            <v>S8765</v>
          </cell>
          <cell r="C819" t="str">
            <v>SⅡ形　ライナー</v>
          </cell>
          <cell r="D819" t="str">
            <v>φ100</v>
          </cell>
          <cell r="E819">
            <v>3.5000000000000003E-2</v>
          </cell>
        </row>
        <row r="820">
          <cell r="A820" t="str">
            <v/>
          </cell>
          <cell r="B820" t="str">
            <v>S8765</v>
          </cell>
          <cell r="C820" t="str">
            <v>SⅡ形　ライナー</v>
          </cell>
          <cell r="D820" t="str">
            <v>φ150</v>
          </cell>
          <cell r="E820">
            <v>0.05</v>
          </cell>
        </row>
        <row r="821">
          <cell r="A821" t="str">
            <v/>
          </cell>
          <cell r="B821" t="str">
            <v>S8765</v>
          </cell>
          <cell r="C821" t="str">
            <v>SⅡ形　ライナー</v>
          </cell>
          <cell r="D821" t="str">
            <v>φ200</v>
          </cell>
          <cell r="E821">
            <v>0.05</v>
          </cell>
        </row>
        <row r="822">
          <cell r="A822" t="str">
            <v/>
          </cell>
          <cell r="B822" t="str">
            <v>S8765</v>
          </cell>
          <cell r="C822" t="str">
            <v>SⅡ形　ライナー</v>
          </cell>
          <cell r="D822" t="str">
            <v>φ300</v>
          </cell>
          <cell r="E822">
            <v>6.5000000000000002E-2</v>
          </cell>
        </row>
        <row r="823">
          <cell r="A823" t="str">
            <v/>
          </cell>
          <cell r="B823" t="str">
            <v>S8765</v>
          </cell>
          <cell r="C823" t="str">
            <v>SⅡ形　ライナー</v>
          </cell>
          <cell r="D823" t="str">
            <v>φ400</v>
          </cell>
          <cell r="E823">
            <v>6.5000000000000002E-2</v>
          </cell>
        </row>
        <row r="824">
          <cell r="A824" t="str">
            <v/>
          </cell>
          <cell r="B824" t="str">
            <v>S8740</v>
          </cell>
          <cell r="C824" t="str">
            <v>SⅡ形　栓</v>
          </cell>
          <cell r="D824" t="str">
            <v>φ75</v>
          </cell>
          <cell r="E824">
            <v>0.122</v>
          </cell>
        </row>
        <row r="825">
          <cell r="A825" t="str">
            <v/>
          </cell>
          <cell r="B825" t="str">
            <v>S8740</v>
          </cell>
          <cell r="C825" t="str">
            <v>SⅡ形　栓</v>
          </cell>
          <cell r="D825" t="str">
            <v>φ100</v>
          </cell>
          <cell r="E825">
            <v>0.123</v>
          </cell>
        </row>
        <row r="826">
          <cell r="A826" t="str">
            <v/>
          </cell>
          <cell r="B826" t="str">
            <v>S8740</v>
          </cell>
          <cell r="C826" t="str">
            <v>SⅡ形　栓</v>
          </cell>
          <cell r="D826" t="str">
            <v>φ150</v>
          </cell>
          <cell r="E826">
            <v>0.124</v>
          </cell>
        </row>
        <row r="827">
          <cell r="A827" t="str">
            <v/>
          </cell>
          <cell r="B827" t="str">
            <v>S8740</v>
          </cell>
          <cell r="C827" t="str">
            <v>SⅡ形　栓</v>
          </cell>
          <cell r="D827" t="str">
            <v>φ200</v>
          </cell>
          <cell r="E827">
            <v>0.125</v>
          </cell>
        </row>
        <row r="828">
          <cell r="A828" t="str">
            <v/>
          </cell>
          <cell r="B828" t="str">
            <v>S8740</v>
          </cell>
          <cell r="C828" t="str">
            <v>SⅡ形　栓</v>
          </cell>
          <cell r="D828" t="str">
            <v>φ250</v>
          </cell>
          <cell r="E828">
            <v>0.126</v>
          </cell>
        </row>
        <row r="829">
          <cell r="A829" t="str">
            <v/>
          </cell>
          <cell r="B829" t="str">
            <v>S8740</v>
          </cell>
          <cell r="C829" t="str">
            <v>SⅡ形　栓</v>
          </cell>
          <cell r="D829" t="str">
            <v>φ300</v>
          </cell>
          <cell r="E829">
            <v>0.13700000000000001</v>
          </cell>
        </row>
        <row r="830">
          <cell r="A830" t="str">
            <v/>
          </cell>
          <cell r="B830" t="str">
            <v>S8740</v>
          </cell>
          <cell r="C830" t="str">
            <v>SⅡ形　栓</v>
          </cell>
          <cell r="D830" t="str">
            <v>φ350</v>
          </cell>
          <cell r="E830">
            <v>0.13800000000000001</v>
          </cell>
        </row>
        <row r="831">
          <cell r="A831" t="str">
            <v/>
          </cell>
          <cell r="B831" t="str">
            <v>S8740</v>
          </cell>
          <cell r="C831" t="str">
            <v>SⅡ形　栓</v>
          </cell>
          <cell r="D831" t="str">
            <v>φ400</v>
          </cell>
          <cell r="E831">
            <v>0.13900000000000001</v>
          </cell>
        </row>
        <row r="832">
          <cell r="A832" t="str">
            <v/>
          </cell>
          <cell r="B832" t="str">
            <v>S8740</v>
          </cell>
          <cell r="C832" t="str">
            <v>SⅡ形　栓</v>
          </cell>
          <cell r="D832" t="str">
            <v>φ450</v>
          </cell>
          <cell r="E832">
            <v>0.14000000000000001</v>
          </cell>
        </row>
        <row r="833">
          <cell r="A833" t="str">
            <v/>
          </cell>
          <cell r="B833" t="str">
            <v>S8765</v>
          </cell>
          <cell r="C833" t="str">
            <v>SⅡ形　挿口リング</v>
          </cell>
          <cell r="D833" t="str">
            <v>φ75</v>
          </cell>
        </row>
        <row r="834">
          <cell r="A834" t="str">
            <v/>
          </cell>
          <cell r="B834" t="str">
            <v>S8765</v>
          </cell>
          <cell r="C834" t="str">
            <v>SⅡ形　挿口リング</v>
          </cell>
          <cell r="D834" t="str">
            <v>φ100</v>
          </cell>
        </row>
        <row r="835">
          <cell r="A835" t="str">
            <v/>
          </cell>
          <cell r="B835" t="str">
            <v>S8765</v>
          </cell>
          <cell r="C835" t="str">
            <v>SⅡ形　挿口リング</v>
          </cell>
          <cell r="D835" t="str">
            <v>φ150</v>
          </cell>
        </row>
        <row r="836">
          <cell r="A836" t="str">
            <v/>
          </cell>
          <cell r="B836" t="str">
            <v>S8765</v>
          </cell>
          <cell r="C836" t="str">
            <v>SⅡ形　挿口リング</v>
          </cell>
          <cell r="D836" t="str">
            <v>φ200</v>
          </cell>
        </row>
        <row r="837">
          <cell r="A837" t="str">
            <v/>
          </cell>
          <cell r="B837" t="str">
            <v>S8765</v>
          </cell>
          <cell r="C837" t="str">
            <v>SⅡ形　挿口リング</v>
          </cell>
          <cell r="D837" t="str">
            <v>φ250</v>
          </cell>
        </row>
        <row r="838">
          <cell r="A838" t="str">
            <v/>
          </cell>
          <cell r="B838" t="str">
            <v>S8765</v>
          </cell>
          <cell r="C838" t="str">
            <v>SⅡ形　挿口リング</v>
          </cell>
          <cell r="D838" t="str">
            <v>φ300</v>
          </cell>
        </row>
        <row r="839">
          <cell r="A839" t="str">
            <v/>
          </cell>
          <cell r="B839" t="str">
            <v>S8765</v>
          </cell>
          <cell r="C839" t="str">
            <v>SⅡ形　挿口リング</v>
          </cell>
          <cell r="D839" t="str">
            <v>φ350</v>
          </cell>
        </row>
        <row r="840">
          <cell r="A840" t="str">
            <v/>
          </cell>
          <cell r="B840" t="str">
            <v>S8765</v>
          </cell>
          <cell r="C840" t="str">
            <v>SⅡ形　挿口リング</v>
          </cell>
          <cell r="D840" t="str">
            <v>φ400</v>
          </cell>
        </row>
        <row r="841">
          <cell r="A841" t="str">
            <v/>
          </cell>
          <cell r="B841" t="str">
            <v>S8765</v>
          </cell>
          <cell r="C841" t="str">
            <v>SⅡ形　挿口リング</v>
          </cell>
          <cell r="D841" t="str">
            <v>φ450</v>
          </cell>
        </row>
        <row r="842">
          <cell r="A842" t="str">
            <v/>
          </cell>
          <cell r="B842" t="str">
            <v>S8765</v>
          </cell>
          <cell r="C842" t="str">
            <v>SⅡ形　継手材</v>
          </cell>
          <cell r="D842" t="str">
            <v>φ75</v>
          </cell>
        </row>
        <row r="843">
          <cell r="A843" t="str">
            <v/>
          </cell>
          <cell r="B843" t="str">
            <v>S8765</v>
          </cell>
          <cell r="C843" t="str">
            <v>SⅡ形　継手材</v>
          </cell>
          <cell r="D843" t="str">
            <v>φ100</v>
          </cell>
        </row>
        <row r="844">
          <cell r="A844" t="str">
            <v/>
          </cell>
          <cell r="B844" t="str">
            <v>S8765</v>
          </cell>
          <cell r="C844" t="str">
            <v>SⅡ形　継手材</v>
          </cell>
          <cell r="D844" t="str">
            <v>φ150</v>
          </cell>
        </row>
        <row r="845">
          <cell r="A845" t="str">
            <v/>
          </cell>
          <cell r="B845" t="str">
            <v>S8765</v>
          </cell>
          <cell r="C845" t="str">
            <v>SⅡ形　継手材</v>
          </cell>
          <cell r="D845" t="str">
            <v>φ200</v>
          </cell>
        </row>
        <row r="846">
          <cell r="A846" t="str">
            <v/>
          </cell>
          <cell r="B846" t="str">
            <v>S8765</v>
          </cell>
          <cell r="C846" t="str">
            <v>SⅡ形　継手材</v>
          </cell>
          <cell r="D846" t="str">
            <v>φ250</v>
          </cell>
        </row>
        <row r="847">
          <cell r="A847" t="str">
            <v/>
          </cell>
          <cell r="B847" t="str">
            <v>S8765</v>
          </cell>
          <cell r="C847" t="str">
            <v>SⅡ形　継手材</v>
          </cell>
          <cell r="D847" t="str">
            <v>φ300</v>
          </cell>
        </row>
        <row r="848">
          <cell r="A848" t="str">
            <v/>
          </cell>
          <cell r="B848" t="str">
            <v>S8765</v>
          </cell>
          <cell r="C848" t="str">
            <v>SⅡ形　継手材</v>
          </cell>
          <cell r="D848" t="str">
            <v>φ350</v>
          </cell>
        </row>
        <row r="849">
          <cell r="A849" t="str">
            <v/>
          </cell>
          <cell r="B849" t="str">
            <v>S8765</v>
          </cell>
          <cell r="C849" t="str">
            <v>SⅡ形　継手材</v>
          </cell>
          <cell r="D849" t="str">
            <v>φ400</v>
          </cell>
        </row>
        <row r="850">
          <cell r="A850" t="str">
            <v/>
          </cell>
          <cell r="B850" t="str">
            <v>S8765</v>
          </cell>
          <cell r="C850" t="str">
            <v>SⅡ形　継手材</v>
          </cell>
          <cell r="D850" t="str">
            <v>φ450</v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>
            <v>60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　入力表（1）　"/>
      <sheetName val="　入力表（2）　"/>
      <sheetName val="　印刷　"/>
    </sheetNames>
    <sheetDataSet>
      <sheetData sheetId="0" refreshError="1">
        <row r="4">
          <cell r="A4">
            <v>1</v>
          </cell>
          <cell r="B4" t="str">
            <v>■GX形</v>
          </cell>
        </row>
        <row r="5">
          <cell r="B5" t="str">
            <v>コード</v>
          </cell>
          <cell r="C5" t="str">
            <v>品　名</v>
          </cell>
          <cell r="D5" t="str">
            <v>形　質</v>
          </cell>
          <cell r="E5" t="str">
            <v>延　長</v>
          </cell>
          <cell r="F5" t="str">
            <v>数　量</v>
          </cell>
        </row>
        <row r="6">
          <cell r="A6">
            <v>2</v>
          </cell>
          <cell r="B6" t="str">
            <v>S8712</v>
          </cell>
          <cell r="C6" t="str">
            <v>GX形　直　管</v>
          </cell>
          <cell r="D6" t="str">
            <v>φ75　1種管</v>
          </cell>
          <cell r="E6">
            <v>4</v>
          </cell>
          <cell r="F6">
            <v>1</v>
          </cell>
        </row>
        <row r="7">
          <cell r="A7">
            <v>3</v>
          </cell>
          <cell r="B7" t="str">
            <v>S8712</v>
          </cell>
          <cell r="C7" t="str">
            <v>GX形　直　管</v>
          </cell>
          <cell r="D7" t="str">
            <v>φ100　1種管</v>
          </cell>
          <cell r="E7">
            <v>4</v>
          </cell>
          <cell r="F7">
            <v>1</v>
          </cell>
        </row>
        <row r="8">
          <cell r="A8">
            <v>4</v>
          </cell>
          <cell r="B8" t="str">
            <v>S8712</v>
          </cell>
          <cell r="C8" t="str">
            <v>GX形　直　管</v>
          </cell>
          <cell r="D8" t="str">
            <v>φ150　1種管</v>
          </cell>
          <cell r="E8">
            <v>5</v>
          </cell>
          <cell r="F8">
            <v>45</v>
          </cell>
        </row>
        <row r="9">
          <cell r="A9" t="str">
            <v/>
          </cell>
          <cell r="B9" t="str">
            <v>S8712</v>
          </cell>
          <cell r="C9" t="str">
            <v>GX形　直　管</v>
          </cell>
          <cell r="D9" t="str">
            <v>φ200　1種管</v>
          </cell>
          <cell r="E9">
            <v>5</v>
          </cell>
        </row>
        <row r="10">
          <cell r="A10" t="str">
            <v/>
          </cell>
          <cell r="B10" t="str">
            <v>S8712</v>
          </cell>
          <cell r="C10" t="str">
            <v>GX形　直　管</v>
          </cell>
          <cell r="D10" t="str">
            <v>φ250　1種管</v>
          </cell>
          <cell r="E10">
            <v>5</v>
          </cell>
        </row>
        <row r="11">
          <cell r="A11" t="str">
            <v/>
          </cell>
          <cell r="B11" t="str">
            <v>S8712</v>
          </cell>
          <cell r="C11" t="str">
            <v>GX形　直　管</v>
          </cell>
          <cell r="D11" t="str">
            <v>φ300　1種管</v>
          </cell>
          <cell r="E11">
            <v>6</v>
          </cell>
        </row>
        <row r="12">
          <cell r="A12" t="str">
            <v/>
          </cell>
          <cell r="B12" t="str">
            <v>S8712</v>
          </cell>
          <cell r="C12" t="str">
            <v>GX形　直　管</v>
          </cell>
          <cell r="D12" t="str">
            <v>φ400　1種管</v>
          </cell>
          <cell r="E12">
            <v>6</v>
          </cell>
        </row>
        <row r="13">
          <cell r="A13" t="str">
            <v/>
          </cell>
          <cell r="B13" t="str">
            <v>S8721</v>
          </cell>
          <cell r="C13" t="str">
            <v>GX形　曲　管</v>
          </cell>
          <cell r="D13" t="str">
            <v>φ75　90度</v>
          </cell>
          <cell r="E13">
            <v>0.45</v>
          </cell>
        </row>
        <row r="14">
          <cell r="A14" t="str">
            <v/>
          </cell>
          <cell r="B14" t="str">
            <v>S8721</v>
          </cell>
          <cell r="C14" t="str">
            <v>GX形　曲　管</v>
          </cell>
          <cell r="D14" t="str">
            <v>φ100　90度</v>
          </cell>
          <cell r="E14">
            <v>0.47899999999999998</v>
          </cell>
        </row>
        <row r="15">
          <cell r="A15" t="str">
            <v/>
          </cell>
          <cell r="B15" t="str">
            <v>S8721</v>
          </cell>
          <cell r="C15" t="str">
            <v>GX形　曲　管</v>
          </cell>
          <cell r="D15" t="str">
            <v>φ150　90度</v>
          </cell>
          <cell r="E15">
            <v>0.56799999999999995</v>
          </cell>
        </row>
        <row r="16">
          <cell r="A16" t="str">
            <v/>
          </cell>
          <cell r="B16" t="str">
            <v>S8721</v>
          </cell>
          <cell r="C16" t="str">
            <v>GX形　曲　管</v>
          </cell>
          <cell r="D16" t="str">
            <v>φ200　90度</v>
          </cell>
          <cell r="E16">
            <v>0.66600000000000004</v>
          </cell>
        </row>
        <row r="17">
          <cell r="A17" t="str">
            <v/>
          </cell>
          <cell r="B17" t="str">
            <v>S8721</v>
          </cell>
          <cell r="C17" t="str">
            <v>GX形　曲　管</v>
          </cell>
          <cell r="D17" t="str">
            <v>φ250　90度</v>
          </cell>
          <cell r="E17">
            <v>0.747</v>
          </cell>
        </row>
        <row r="18">
          <cell r="A18" t="str">
            <v/>
          </cell>
          <cell r="B18" t="str">
            <v>S8721</v>
          </cell>
          <cell r="C18" t="str">
            <v>GX形　曲　管</v>
          </cell>
          <cell r="D18" t="str">
            <v>φ300　90度</v>
          </cell>
          <cell r="E18">
            <v>0.71599999999999997</v>
          </cell>
        </row>
        <row r="19">
          <cell r="A19" t="str">
            <v/>
          </cell>
          <cell r="B19" t="str">
            <v>S8721</v>
          </cell>
          <cell r="C19" t="str">
            <v>GX形　曲　管</v>
          </cell>
          <cell r="D19" t="str">
            <v>φ400　90度</v>
          </cell>
          <cell r="E19">
            <v>0.89100000000000001</v>
          </cell>
        </row>
        <row r="20">
          <cell r="A20">
            <v>5</v>
          </cell>
          <cell r="B20" t="str">
            <v>S8721</v>
          </cell>
          <cell r="C20" t="str">
            <v>GX形　曲　管</v>
          </cell>
          <cell r="D20" t="str">
            <v>φ75　45度</v>
          </cell>
          <cell r="E20">
            <v>0.39700000000000002</v>
          </cell>
          <cell r="F20">
            <v>2</v>
          </cell>
        </row>
        <row r="21">
          <cell r="A21">
            <v>6</v>
          </cell>
          <cell r="B21" t="str">
            <v>S8721</v>
          </cell>
          <cell r="C21" t="str">
            <v>GX形　曲　管</v>
          </cell>
          <cell r="D21" t="str">
            <v>φ100　45度</v>
          </cell>
          <cell r="E21">
            <v>0.41599999999999998</v>
          </cell>
          <cell r="F21">
            <v>2</v>
          </cell>
        </row>
        <row r="22">
          <cell r="A22">
            <v>7</v>
          </cell>
          <cell r="B22" t="str">
            <v>S8721</v>
          </cell>
          <cell r="C22" t="str">
            <v>GX形　曲　管</v>
          </cell>
          <cell r="D22" t="str">
            <v>φ150　45度</v>
          </cell>
          <cell r="E22">
            <v>0.46400000000000002</v>
          </cell>
          <cell r="F22">
            <v>7</v>
          </cell>
        </row>
        <row r="23">
          <cell r="A23" t="str">
            <v/>
          </cell>
          <cell r="B23" t="str">
            <v>S8721</v>
          </cell>
          <cell r="C23" t="str">
            <v>GX形　曲　管</v>
          </cell>
          <cell r="D23" t="str">
            <v>φ200　45度</v>
          </cell>
          <cell r="E23">
            <v>0.52200000000000002</v>
          </cell>
        </row>
        <row r="24">
          <cell r="A24" t="str">
            <v/>
          </cell>
          <cell r="B24" t="str">
            <v>S8721</v>
          </cell>
          <cell r="C24" t="str">
            <v>GX形　曲　管</v>
          </cell>
          <cell r="D24" t="str">
            <v>φ250　45度</v>
          </cell>
          <cell r="E24">
            <v>0.56000000000000005</v>
          </cell>
        </row>
        <row r="25">
          <cell r="A25" t="str">
            <v/>
          </cell>
          <cell r="B25" t="str">
            <v>S8721</v>
          </cell>
          <cell r="C25" t="str">
            <v>GX形　曲　管</v>
          </cell>
          <cell r="D25" t="str">
            <v>φ300　45度</v>
          </cell>
          <cell r="E25">
            <v>0.56000000000000005</v>
          </cell>
        </row>
        <row r="26">
          <cell r="A26" t="str">
            <v/>
          </cell>
          <cell r="B26" t="str">
            <v>S8721</v>
          </cell>
          <cell r="C26" t="str">
            <v>GX形　曲　管</v>
          </cell>
          <cell r="D26" t="str">
            <v>φ400　45度</v>
          </cell>
          <cell r="E26">
            <v>0.64100000000000001</v>
          </cell>
        </row>
        <row r="27">
          <cell r="A27" t="str">
            <v/>
          </cell>
          <cell r="B27" t="str">
            <v>S8721</v>
          </cell>
          <cell r="C27" t="str">
            <v>GX形　曲　管</v>
          </cell>
          <cell r="D27" t="str">
            <v>φ75　22度1/2</v>
          </cell>
          <cell r="E27">
            <v>0.36</v>
          </cell>
        </row>
        <row r="28">
          <cell r="A28" t="str">
            <v/>
          </cell>
          <cell r="B28" t="str">
            <v>S8721</v>
          </cell>
          <cell r="C28" t="str">
            <v>GX形　曲　管</v>
          </cell>
          <cell r="D28" t="str">
            <v>φ100　22度1/2</v>
          </cell>
          <cell r="E28">
            <v>0.38</v>
          </cell>
        </row>
        <row r="29">
          <cell r="A29">
            <v>8</v>
          </cell>
          <cell r="B29" t="str">
            <v>S8721</v>
          </cell>
          <cell r="C29" t="str">
            <v>GX形　曲　管</v>
          </cell>
          <cell r="D29" t="str">
            <v>φ150　22度1/2</v>
          </cell>
          <cell r="E29">
            <v>0.40899999999999997</v>
          </cell>
          <cell r="F29">
            <v>2</v>
          </cell>
        </row>
        <row r="30">
          <cell r="A30" t="str">
            <v/>
          </cell>
          <cell r="B30" t="str">
            <v>S8721</v>
          </cell>
          <cell r="C30" t="str">
            <v>GX形　曲　管</v>
          </cell>
          <cell r="D30" t="str">
            <v>φ200　22度1/2</v>
          </cell>
          <cell r="E30">
            <v>0.44900000000000001</v>
          </cell>
        </row>
        <row r="31">
          <cell r="A31" t="str">
            <v/>
          </cell>
          <cell r="B31" t="str">
            <v>S8721</v>
          </cell>
          <cell r="C31" t="str">
            <v>GX形　曲　管</v>
          </cell>
          <cell r="D31" t="str">
            <v>φ250　22度1/2</v>
          </cell>
          <cell r="E31">
            <v>0.45900000000000002</v>
          </cell>
        </row>
        <row r="32">
          <cell r="A32" t="str">
            <v/>
          </cell>
          <cell r="B32" t="str">
            <v>S8721</v>
          </cell>
          <cell r="C32" t="str">
            <v>GX形　曲　管</v>
          </cell>
          <cell r="D32" t="str">
            <v>φ300　22度1/2</v>
          </cell>
          <cell r="E32">
            <v>0.46899999999999997</v>
          </cell>
        </row>
        <row r="33">
          <cell r="A33" t="str">
            <v/>
          </cell>
          <cell r="B33" t="str">
            <v>S8721</v>
          </cell>
          <cell r="C33" t="str">
            <v>GX形　曲　管</v>
          </cell>
          <cell r="D33" t="str">
            <v>φ400　22度1/2</v>
          </cell>
          <cell r="E33">
            <v>0.498</v>
          </cell>
        </row>
        <row r="34">
          <cell r="A34" t="str">
            <v/>
          </cell>
          <cell r="B34" t="str">
            <v>S8721</v>
          </cell>
          <cell r="C34" t="str">
            <v>GX形　曲　管</v>
          </cell>
          <cell r="D34" t="str">
            <v>φ75　11度1/4</v>
          </cell>
          <cell r="E34">
            <v>0.34</v>
          </cell>
        </row>
        <row r="35">
          <cell r="A35" t="str">
            <v/>
          </cell>
          <cell r="B35" t="str">
            <v>S8721</v>
          </cell>
          <cell r="C35" t="str">
            <v>GX形　曲　管</v>
          </cell>
          <cell r="D35" t="str">
            <v>φ100　11度1/4</v>
          </cell>
          <cell r="E35">
            <v>0.36</v>
          </cell>
        </row>
        <row r="36">
          <cell r="A36" t="str">
            <v/>
          </cell>
          <cell r="B36" t="str">
            <v>S8721</v>
          </cell>
          <cell r="C36" t="str">
            <v>GX形　曲　管</v>
          </cell>
          <cell r="D36" t="str">
            <v>φ150　11度1/4</v>
          </cell>
          <cell r="E36">
            <v>0.37</v>
          </cell>
        </row>
        <row r="37">
          <cell r="A37" t="str">
            <v/>
          </cell>
          <cell r="B37" t="str">
            <v>S8721</v>
          </cell>
          <cell r="C37" t="str">
            <v>GX形　曲　管</v>
          </cell>
          <cell r="D37" t="str">
            <v>φ200　11度1/4</v>
          </cell>
          <cell r="E37">
            <v>0.41</v>
          </cell>
        </row>
        <row r="38">
          <cell r="A38" t="str">
            <v/>
          </cell>
          <cell r="B38" t="str">
            <v>S8721</v>
          </cell>
          <cell r="C38" t="str">
            <v>GX形　曲　管</v>
          </cell>
          <cell r="D38" t="str">
            <v>φ250　11度1/4</v>
          </cell>
          <cell r="E38">
            <v>0.41</v>
          </cell>
        </row>
        <row r="39">
          <cell r="A39" t="str">
            <v/>
          </cell>
          <cell r="B39" t="str">
            <v>S8721</v>
          </cell>
          <cell r="C39" t="str">
            <v>GX形　曲　管</v>
          </cell>
          <cell r="D39" t="str">
            <v>φ300　11度1/4</v>
          </cell>
          <cell r="E39">
            <v>0.4</v>
          </cell>
        </row>
        <row r="40">
          <cell r="A40" t="str">
            <v/>
          </cell>
          <cell r="B40" t="str">
            <v>S8721</v>
          </cell>
          <cell r="C40" t="str">
            <v>GX形　曲　管</v>
          </cell>
          <cell r="D40" t="str">
            <v>φ400　11度1/4</v>
          </cell>
          <cell r="E40">
            <v>0.42</v>
          </cell>
        </row>
        <row r="41">
          <cell r="A41" t="str">
            <v/>
          </cell>
          <cell r="B41" t="str">
            <v>S8721</v>
          </cell>
          <cell r="C41" t="str">
            <v>GX形　曲　管</v>
          </cell>
          <cell r="D41" t="str">
            <v>φ75　5度5/8</v>
          </cell>
          <cell r="E41">
            <v>0.34</v>
          </cell>
        </row>
        <row r="42">
          <cell r="A42" t="str">
            <v/>
          </cell>
          <cell r="B42" t="str">
            <v>S8721</v>
          </cell>
          <cell r="C42" t="str">
            <v>GX形　曲　管</v>
          </cell>
          <cell r="D42" t="str">
            <v>φ100　5度5/8</v>
          </cell>
          <cell r="E42">
            <v>0.36</v>
          </cell>
        </row>
        <row r="43">
          <cell r="A43" t="str">
            <v/>
          </cell>
          <cell r="B43" t="str">
            <v>S8721</v>
          </cell>
          <cell r="C43" t="str">
            <v>GX形　曲　管</v>
          </cell>
          <cell r="D43" t="str">
            <v>φ150　5度5/8</v>
          </cell>
          <cell r="E43">
            <v>0.37</v>
          </cell>
        </row>
        <row r="44">
          <cell r="A44" t="str">
            <v/>
          </cell>
          <cell r="B44" t="str">
            <v>S8721</v>
          </cell>
          <cell r="C44" t="str">
            <v>GX形　曲　管</v>
          </cell>
          <cell r="D44" t="str">
            <v>φ200　5度5/8</v>
          </cell>
          <cell r="E44">
            <v>0.41</v>
          </cell>
        </row>
        <row r="45">
          <cell r="A45" t="str">
            <v/>
          </cell>
          <cell r="B45" t="str">
            <v>S8721</v>
          </cell>
          <cell r="C45" t="str">
            <v>GX形　曲　管</v>
          </cell>
          <cell r="D45" t="str">
            <v>φ250　5度5/8</v>
          </cell>
          <cell r="E45">
            <v>0.41</v>
          </cell>
        </row>
        <row r="46">
          <cell r="A46" t="str">
            <v/>
          </cell>
          <cell r="B46" t="str">
            <v>S8721</v>
          </cell>
          <cell r="C46" t="str">
            <v>GX形　曲　管</v>
          </cell>
          <cell r="D46" t="str">
            <v>φ300　5度5/8</v>
          </cell>
          <cell r="E46">
            <v>0.375</v>
          </cell>
        </row>
        <row r="47">
          <cell r="A47" t="str">
            <v/>
          </cell>
          <cell r="B47" t="str">
            <v>S8721</v>
          </cell>
          <cell r="C47" t="str">
            <v>GX形　曲　管</v>
          </cell>
          <cell r="D47" t="str">
            <v>φ400　5度5/8</v>
          </cell>
          <cell r="E47">
            <v>0.39</v>
          </cell>
        </row>
        <row r="48">
          <cell r="A48" t="str">
            <v/>
          </cell>
          <cell r="B48" t="str">
            <v>T7439</v>
          </cell>
          <cell r="C48" t="str">
            <v>GX形　両受曲管</v>
          </cell>
          <cell r="D48" t="str">
            <v>φ75　45度</v>
          </cell>
          <cell r="E48">
            <v>0.13700000000000001</v>
          </cell>
        </row>
        <row r="49">
          <cell r="A49" t="str">
            <v/>
          </cell>
          <cell r="B49" t="str">
            <v>T7440</v>
          </cell>
          <cell r="C49" t="str">
            <v>GX形　両受曲管</v>
          </cell>
          <cell r="D49" t="str">
            <v>φ100　45度</v>
          </cell>
          <cell r="E49">
            <v>0.156</v>
          </cell>
        </row>
        <row r="50">
          <cell r="A50" t="str">
            <v/>
          </cell>
          <cell r="B50" t="str">
            <v>T7441</v>
          </cell>
          <cell r="C50" t="str">
            <v>GX形　両受曲管</v>
          </cell>
          <cell r="D50" t="str">
            <v>φ150　45度</v>
          </cell>
          <cell r="E50">
            <v>0.19400000000000001</v>
          </cell>
        </row>
        <row r="51">
          <cell r="A51" t="str">
            <v/>
          </cell>
          <cell r="B51" t="str">
            <v>T7442</v>
          </cell>
          <cell r="C51" t="str">
            <v>GX形　両受曲管</v>
          </cell>
          <cell r="D51" t="str">
            <v>φ200　45度</v>
          </cell>
          <cell r="E51">
            <v>0.23200000000000001</v>
          </cell>
        </row>
        <row r="52">
          <cell r="A52" t="str">
            <v/>
          </cell>
          <cell r="B52" t="str">
            <v>T7443</v>
          </cell>
          <cell r="C52" t="str">
            <v>GX形　両受曲管</v>
          </cell>
          <cell r="D52" t="str">
            <v>φ250　45度</v>
          </cell>
          <cell r="E52">
            <v>0.27</v>
          </cell>
        </row>
        <row r="53">
          <cell r="A53" t="str">
            <v/>
          </cell>
          <cell r="B53" t="str">
            <v>T7444</v>
          </cell>
          <cell r="C53" t="str">
            <v>GX形　両受曲管</v>
          </cell>
          <cell r="D53" t="str">
            <v>φ300　45度</v>
          </cell>
          <cell r="E53">
            <v>0.25</v>
          </cell>
        </row>
        <row r="54">
          <cell r="A54" t="str">
            <v/>
          </cell>
          <cell r="B54" t="str">
            <v>T7445</v>
          </cell>
          <cell r="C54" t="str">
            <v>GX形　両受曲管</v>
          </cell>
          <cell r="D54" t="str">
            <v>φ400　45度</v>
          </cell>
          <cell r="E54">
            <v>0.33600000000000002</v>
          </cell>
        </row>
        <row r="55">
          <cell r="A55" t="str">
            <v/>
          </cell>
          <cell r="B55" t="str">
            <v>T7445</v>
          </cell>
          <cell r="C55" t="str">
            <v>GX形　両受曲管</v>
          </cell>
          <cell r="D55" t="str">
            <v>φ75　22度1/2</v>
          </cell>
          <cell r="E55">
            <v>0.1</v>
          </cell>
        </row>
        <row r="56">
          <cell r="A56" t="str">
            <v/>
          </cell>
          <cell r="B56" t="str">
            <v>T7447</v>
          </cell>
          <cell r="C56" t="str">
            <v>GX形　両受曲管</v>
          </cell>
          <cell r="D56" t="str">
            <v>φ100　22度1/2</v>
          </cell>
          <cell r="E56">
            <v>0.12</v>
          </cell>
        </row>
        <row r="57">
          <cell r="A57" t="str">
            <v/>
          </cell>
          <cell r="B57" t="str">
            <v>T7448</v>
          </cell>
          <cell r="C57" t="str">
            <v>GX形　両受曲管</v>
          </cell>
          <cell r="D57" t="str">
            <v>φ150　22度1/2</v>
          </cell>
          <cell r="E57">
            <v>0.13900000000000001</v>
          </cell>
        </row>
        <row r="58">
          <cell r="A58" t="str">
            <v/>
          </cell>
          <cell r="B58" t="str">
            <v>T7449</v>
          </cell>
          <cell r="C58" t="str">
            <v>GX形　両受曲管</v>
          </cell>
          <cell r="D58" t="str">
            <v>φ200　22度1/2</v>
          </cell>
          <cell r="E58">
            <v>0.159</v>
          </cell>
        </row>
        <row r="59">
          <cell r="A59" t="str">
            <v/>
          </cell>
          <cell r="B59" t="str">
            <v>T7450</v>
          </cell>
          <cell r="C59" t="str">
            <v>GX形　両受曲管</v>
          </cell>
          <cell r="D59" t="str">
            <v>φ250　22度1/2</v>
          </cell>
          <cell r="E59">
            <v>0.159</v>
          </cell>
        </row>
        <row r="60">
          <cell r="A60" t="str">
            <v/>
          </cell>
          <cell r="B60" t="str">
            <v>T7451</v>
          </cell>
          <cell r="C60" t="str">
            <v>GX形　両受曲管</v>
          </cell>
          <cell r="D60" t="str">
            <v>φ300　22度1/2</v>
          </cell>
          <cell r="E60">
            <v>0.16900000000000001</v>
          </cell>
        </row>
        <row r="61">
          <cell r="A61" t="str">
            <v/>
          </cell>
          <cell r="B61" t="str">
            <v>T7452</v>
          </cell>
          <cell r="C61" t="str">
            <v>GX形　両受曲管</v>
          </cell>
          <cell r="D61" t="str">
            <v>φ400　22度1/2</v>
          </cell>
          <cell r="E61">
            <v>0.20799999999999999</v>
          </cell>
        </row>
        <row r="62">
          <cell r="A62">
            <v>9</v>
          </cell>
          <cell r="B62" t="str">
            <v>S8721</v>
          </cell>
          <cell r="C62" t="str">
            <v>GX形　継　輪</v>
          </cell>
          <cell r="D62" t="str">
            <v>φ75</v>
          </cell>
          <cell r="E62">
            <v>0.19</v>
          </cell>
          <cell r="F62">
            <v>1</v>
          </cell>
        </row>
        <row r="63">
          <cell r="A63">
            <v>10</v>
          </cell>
          <cell r="B63" t="str">
            <v>S8721</v>
          </cell>
          <cell r="C63" t="str">
            <v>GX形　継　輪</v>
          </cell>
          <cell r="D63" t="str">
            <v>φ100</v>
          </cell>
          <cell r="E63">
            <v>0.2</v>
          </cell>
          <cell r="F63">
            <v>1</v>
          </cell>
        </row>
        <row r="64">
          <cell r="A64">
            <v>11</v>
          </cell>
          <cell r="B64" t="str">
            <v>S8721</v>
          </cell>
          <cell r="C64" t="str">
            <v>GX形　継　輪</v>
          </cell>
          <cell r="D64" t="str">
            <v>φ150</v>
          </cell>
          <cell r="E64">
            <v>0.24</v>
          </cell>
          <cell r="F64">
            <v>1</v>
          </cell>
        </row>
        <row r="65">
          <cell r="A65" t="str">
            <v/>
          </cell>
          <cell r="B65" t="str">
            <v>S8721</v>
          </cell>
          <cell r="C65" t="str">
            <v>GX形　継　輪</v>
          </cell>
          <cell r="D65" t="str">
            <v>φ200</v>
          </cell>
          <cell r="E65">
            <v>0.25</v>
          </cell>
        </row>
        <row r="66">
          <cell r="A66" t="str">
            <v/>
          </cell>
          <cell r="B66" t="str">
            <v>S8721</v>
          </cell>
          <cell r="C66" t="str">
            <v>GX形　継　輪</v>
          </cell>
          <cell r="D66" t="str">
            <v>φ250</v>
          </cell>
          <cell r="E66">
            <v>0.25</v>
          </cell>
        </row>
        <row r="67">
          <cell r="A67" t="str">
            <v/>
          </cell>
          <cell r="B67" t="str">
            <v>S8721</v>
          </cell>
          <cell r="C67" t="str">
            <v>GX形　継　輪</v>
          </cell>
          <cell r="D67" t="str">
            <v>φ300</v>
          </cell>
          <cell r="E67">
            <v>0.3</v>
          </cell>
        </row>
        <row r="68">
          <cell r="A68" t="str">
            <v/>
          </cell>
          <cell r="B68" t="str">
            <v>S8721</v>
          </cell>
          <cell r="C68" t="str">
            <v>GX形　継　輪</v>
          </cell>
          <cell r="D68" t="str">
            <v>φ400</v>
          </cell>
          <cell r="E68">
            <v>0.3</v>
          </cell>
        </row>
        <row r="69">
          <cell r="A69" t="str">
            <v/>
          </cell>
          <cell r="B69" t="str">
            <v>S8720</v>
          </cell>
          <cell r="C69" t="str">
            <v>GX形　二受丁字管</v>
          </cell>
          <cell r="D69" t="str">
            <v>φ75×φ75</v>
          </cell>
          <cell r="E69">
            <v>0.44</v>
          </cell>
        </row>
        <row r="70">
          <cell r="A70" t="str">
            <v/>
          </cell>
          <cell r="B70" t="str">
            <v>S8720</v>
          </cell>
          <cell r="C70" t="str">
            <v>GX形　二受丁字管</v>
          </cell>
          <cell r="D70" t="str">
            <v>φ100×φ75</v>
          </cell>
          <cell r="E70">
            <v>0.44</v>
          </cell>
        </row>
        <row r="71">
          <cell r="A71" t="str">
            <v/>
          </cell>
          <cell r="B71" t="str">
            <v>S8720</v>
          </cell>
          <cell r="C71" t="str">
            <v>GX形　二受丁字管</v>
          </cell>
          <cell r="D71" t="str">
            <v>φ100×φ100</v>
          </cell>
          <cell r="E71">
            <v>0.47</v>
          </cell>
        </row>
        <row r="72">
          <cell r="A72" t="str">
            <v/>
          </cell>
          <cell r="B72" t="str">
            <v>S8720</v>
          </cell>
          <cell r="C72" t="str">
            <v>GX形　二受丁字管</v>
          </cell>
          <cell r="D72" t="str">
            <v>φ150×φ75</v>
          </cell>
          <cell r="E72">
            <v>0.45</v>
          </cell>
        </row>
        <row r="73">
          <cell r="A73" t="str">
            <v/>
          </cell>
          <cell r="B73" t="str">
            <v>S8720</v>
          </cell>
          <cell r="C73" t="str">
            <v>GX形　二受丁字管</v>
          </cell>
          <cell r="D73" t="str">
            <v>φ150×φ100</v>
          </cell>
          <cell r="E73">
            <v>0.48</v>
          </cell>
        </row>
        <row r="74">
          <cell r="A74">
            <v>12</v>
          </cell>
          <cell r="B74" t="str">
            <v>S8720</v>
          </cell>
          <cell r="C74" t="str">
            <v>GX形　二受丁字管</v>
          </cell>
          <cell r="D74" t="str">
            <v>φ150×φ150</v>
          </cell>
          <cell r="E74">
            <v>0.56000000000000005</v>
          </cell>
          <cell r="F74">
            <v>1</v>
          </cell>
        </row>
        <row r="75">
          <cell r="A75" t="str">
            <v/>
          </cell>
          <cell r="B75" t="str">
            <v>S8720</v>
          </cell>
          <cell r="C75" t="str">
            <v>GX形　二受丁字管</v>
          </cell>
          <cell r="D75" t="str">
            <v>φ200×φ100</v>
          </cell>
          <cell r="E75">
            <v>0.5</v>
          </cell>
        </row>
        <row r="76">
          <cell r="A76" t="str">
            <v/>
          </cell>
          <cell r="B76" t="str">
            <v>S8720</v>
          </cell>
          <cell r="C76" t="str">
            <v>GX形　二受丁字管</v>
          </cell>
          <cell r="D76" t="str">
            <v>φ200×φ150</v>
          </cell>
          <cell r="E76">
            <v>0.56000000000000005</v>
          </cell>
        </row>
        <row r="77">
          <cell r="A77" t="str">
            <v/>
          </cell>
          <cell r="B77" t="str">
            <v>S8720</v>
          </cell>
          <cell r="C77" t="str">
            <v>GX形　二受丁字管</v>
          </cell>
          <cell r="D77" t="str">
            <v>φ200×φ200</v>
          </cell>
          <cell r="E77">
            <v>0.64</v>
          </cell>
        </row>
        <row r="78">
          <cell r="A78" t="str">
            <v/>
          </cell>
          <cell r="B78" t="str">
            <v>S8720</v>
          </cell>
          <cell r="C78" t="str">
            <v>GX形　二受丁字管</v>
          </cell>
          <cell r="D78" t="str">
            <v>φ250×φ100</v>
          </cell>
          <cell r="E78">
            <v>0.5</v>
          </cell>
        </row>
        <row r="79">
          <cell r="A79" t="str">
            <v/>
          </cell>
          <cell r="B79" t="str">
            <v>S8720</v>
          </cell>
          <cell r="C79" t="str">
            <v>GX形　二受丁字管</v>
          </cell>
          <cell r="D79" t="str">
            <v>φ250×φ150</v>
          </cell>
          <cell r="E79">
            <v>0.56000000000000005</v>
          </cell>
        </row>
        <row r="80">
          <cell r="A80" t="str">
            <v/>
          </cell>
          <cell r="B80" t="str">
            <v>S8720</v>
          </cell>
          <cell r="C80" t="str">
            <v>GX形　二受丁字管</v>
          </cell>
          <cell r="D80" t="str">
            <v>φ250×φ250</v>
          </cell>
          <cell r="E80">
            <v>0.66</v>
          </cell>
        </row>
        <row r="81">
          <cell r="A81" t="str">
            <v/>
          </cell>
          <cell r="B81" t="str">
            <v>S8720</v>
          </cell>
          <cell r="C81" t="str">
            <v>GX形　二受丁字管</v>
          </cell>
          <cell r="D81" t="str">
            <v>φ300×φ100</v>
          </cell>
          <cell r="E81">
            <v>0.48</v>
          </cell>
        </row>
        <row r="82">
          <cell r="A82" t="str">
            <v/>
          </cell>
          <cell r="B82" t="str">
            <v>S8720</v>
          </cell>
          <cell r="C82" t="str">
            <v>GX形　二受丁字管</v>
          </cell>
          <cell r="D82" t="str">
            <v>φ300×φ150</v>
          </cell>
          <cell r="E82">
            <v>0.54</v>
          </cell>
        </row>
        <row r="83">
          <cell r="A83" t="str">
            <v/>
          </cell>
          <cell r="B83" t="str">
            <v>S8720</v>
          </cell>
          <cell r="C83" t="str">
            <v>GX形　二受丁字管</v>
          </cell>
          <cell r="D83" t="str">
            <v>φ300×φ200</v>
          </cell>
          <cell r="E83">
            <v>0.65</v>
          </cell>
        </row>
        <row r="84">
          <cell r="A84" t="str">
            <v/>
          </cell>
          <cell r="B84" t="str">
            <v>S8720</v>
          </cell>
          <cell r="C84" t="str">
            <v>GX形　二受丁字管</v>
          </cell>
          <cell r="D84" t="str">
            <v>φ300×φ300</v>
          </cell>
          <cell r="E84">
            <v>0.79</v>
          </cell>
        </row>
        <row r="85">
          <cell r="A85" t="str">
            <v/>
          </cell>
          <cell r="B85" t="str">
            <v>S8720</v>
          </cell>
          <cell r="C85" t="str">
            <v>GX形　二受丁字管</v>
          </cell>
          <cell r="D85" t="str">
            <v>φ400×φ300</v>
          </cell>
          <cell r="E85">
            <v>0.81</v>
          </cell>
        </row>
        <row r="86">
          <cell r="A86" t="str">
            <v/>
          </cell>
          <cell r="B86" t="str">
            <v>S8720</v>
          </cell>
          <cell r="C86" t="str">
            <v>GX形　二受丁字管</v>
          </cell>
          <cell r="D86" t="str">
            <v>φ400×φ400</v>
          </cell>
          <cell r="E86">
            <v>0.94499999999999995</v>
          </cell>
        </row>
        <row r="87">
          <cell r="A87" t="str">
            <v/>
          </cell>
          <cell r="B87" t="str">
            <v>S8720</v>
          </cell>
          <cell r="C87" t="str">
            <v>ＧＸ形　挿し受片落管</v>
          </cell>
          <cell r="D87" t="str">
            <v>φ100×φ75</v>
          </cell>
          <cell r="E87">
            <v>0.41</v>
          </cell>
        </row>
        <row r="88">
          <cell r="A88" t="str">
            <v/>
          </cell>
          <cell r="B88" t="str">
            <v>S8720</v>
          </cell>
          <cell r="C88" t="str">
            <v>ＧＸ形　挿し受片落管</v>
          </cell>
          <cell r="D88" t="str">
            <v>φ150×φ100</v>
          </cell>
          <cell r="E88">
            <v>0.42</v>
          </cell>
        </row>
        <row r="89">
          <cell r="A89" t="str">
            <v/>
          </cell>
          <cell r="B89" t="str">
            <v>S8720</v>
          </cell>
          <cell r="C89" t="str">
            <v>ＧＸ形　挿し受片落管</v>
          </cell>
          <cell r="D89" t="str">
            <v>φ200×φ150</v>
          </cell>
          <cell r="E89">
            <v>0.44</v>
          </cell>
        </row>
        <row r="90">
          <cell r="A90" t="str">
            <v/>
          </cell>
          <cell r="B90" t="str">
            <v>S8720</v>
          </cell>
          <cell r="C90" t="str">
            <v>ＧＸ形　挿し受片落管</v>
          </cell>
          <cell r="D90" t="str">
            <v>φ250×φ200</v>
          </cell>
          <cell r="E90">
            <v>0.44</v>
          </cell>
        </row>
        <row r="91">
          <cell r="A91" t="str">
            <v/>
          </cell>
          <cell r="B91" t="str">
            <v>S8720</v>
          </cell>
          <cell r="C91" t="str">
            <v>ＧＸ形　挿し受片落管</v>
          </cell>
          <cell r="D91" t="str">
            <v>φ300×φ100</v>
          </cell>
          <cell r="E91">
            <v>0.70499999999999996</v>
          </cell>
        </row>
        <row r="92">
          <cell r="A92" t="str">
            <v/>
          </cell>
          <cell r="B92" t="str">
            <v>S8720</v>
          </cell>
          <cell r="C92" t="str">
            <v>ＧＸ形　挿し受片落管</v>
          </cell>
          <cell r="D92" t="str">
            <v>φ300×φ150</v>
          </cell>
          <cell r="E92">
            <v>0.60499999999999998</v>
          </cell>
        </row>
        <row r="93">
          <cell r="A93" t="str">
            <v/>
          </cell>
          <cell r="B93" t="str">
            <v>S8720</v>
          </cell>
          <cell r="C93" t="str">
            <v>ＧＸ形　挿し受片落管</v>
          </cell>
          <cell r="D93" t="str">
            <v>φ300×φ200</v>
          </cell>
          <cell r="E93">
            <v>0.505</v>
          </cell>
        </row>
        <row r="94">
          <cell r="A94" t="str">
            <v/>
          </cell>
          <cell r="B94" t="str">
            <v>S8720</v>
          </cell>
          <cell r="C94" t="str">
            <v>ＧＸ形　挿し受片落管</v>
          </cell>
          <cell r="D94" t="str">
            <v>φ300×φ250</v>
          </cell>
          <cell r="E94">
            <v>0.40500000000000003</v>
          </cell>
        </row>
        <row r="95">
          <cell r="A95" t="str">
            <v/>
          </cell>
          <cell r="B95" t="str">
            <v>S8720</v>
          </cell>
          <cell r="C95" t="str">
            <v>ＧＸ形　挿し受片落管</v>
          </cell>
          <cell r="D95" t="str">
            <v>φ400×φ200</v>
          </cell>
          <cell r="E95">
            <v>0.71</v>
          </cell>
        </row>
        <row r="96">
          <cell r="A96" t="str">
            <v/>
          </cell>
          <cell r="B96" t="str">
            <v>S8720</v>
          </cell>
          <cell r="C96" t="str">
            <v>ＧＸ形　挿し受片落管</v>
          </cell>
          <cell r="D96" t="str">
            <v>φ400×φ300</v>
          </cell>
          <cell r="E96">
            <v>0.52500000000000002</v>
          </cell>
        </row>
        <row r="97">
          <cell r="A97" t="str">
            <v/>
          </cell>
          <cell r="B97" t="str">
            <v>S8720</v>
          </cell>
          <cell r="C97" t="str">
            <v>ＧＸ形　受挿し片落管</v>
          </cell>
          <cell r="D97" t="str">
            <v>φ100×φ75</v>
          </cell>
          <cell r="E97">
            <v>0.41</v>
          </cell>
        </row>
        <row r="98">
          <cell r="A98" t="str">
            <v/>
          </cell>
          <cell r="B98" t="str">
            <v>S8720</v>
          </cell>
          <cell r="C98" t="str">
            <v>ＧＸ形　受挿し片落管</v>
          </cell>
          <cell r="D98" t="str">
            <v>φ150×φ100</v>
          </cell>
          <cell r="E98">
            <v>0.41</v>
          </cell>
        </row>
        <row r="99">
          <cell r="A99" t="str">
            <v/>
          </cell>
          <cell r="B99" t="str">
            <v>S8720</v>
          </cell>
          <cell r="C99" t="str">
            <v>ＧＸ形　受挿し片落管</v>
          </cell>
          <cell r="D99" t="str">
            <v>φ200×φ150</v>
          </cell>
          <cell r="E99">
            <v>0.42</v>
          </cell>
        </row>
        <row r="100">
          <cell r="A100" t="str">
            <v/>
          </cell>
          <cell r="B100" t="str">
            <v>S8720</v>
          </cell>
          <cell r="C100" t="str">
            <v>ＧＸ形　受挿し片落管</v>
          </cell>
          <cell r="D100" t="str">
            <v>φ250×φ200</v>
          </cell>
          <cell r="E100">
            <v>0.44</v>
          </cell>
        </row>
        <row r="101">
          <cell r="A101" t="str">
            <v/>
          </cell>
          <cell r="B101" t="str">
            <v>S8720</v>
          </cell>
          <cell r="C101" t="str">
            <v>ＧＸ形　受挿し片落管</v>
          </cell>
          <cell r="D101" t="str">
            <v>φ300×φ100</v>
          </cell>
          <cell r="E101">
            <v>0.72</v>
          </cell>
        </row>
        <row r="102">
          <cell r="A102" t="str">
            <v/>
          </cell>
          <cell r="B102" t="str">
            <v>S8720</v>
          </cell>
          <cell r="C102" t="str">
            <v>ＧＸ形　受挿し片落管</v>
          </cell>
          <cell r="D102" t="str">
            <v>φ300×φ150</v>
          </cell>
          <cell r="E102">
            <v>0.62</v>
          </cell>
        </row>
        <row r="103">
          <cell r="A103" t="str">
            <v/>
          </cell>
          <cell r="B103" t="str">
            <v>S8720</v>
          </cell>
          <cell r="C103" t="str">
            <v>ＧＸ形　受挿し片落管</v>
          </cell>
          <cell r="D103" t="str">
            <v>φ300×φ200</v>
          </cell>
          <cell r="E103">
            <v>0.52</v>
          </cell>
        </row>
        <row r="104">
          <cell r="A104" t="str">
            <v/>
          </cell>
          <cell r="B104" t="str">
            <v>S8720</v>
          </cell>
          <cell r="C104" t="str">
            <v>ＧＸ形　受挿し片落管</v>
          </cell>
          <cell r="D104" t="str">
            <v>φ300×φ250</v>
          </cell>
          <cell r="E104">
            <v>0.42</v>
          </cell>
        </row>
        <row r="105">
          <cell r="A105" t="str">
            <v/>
          </cell>
          <cell r="B105" t="str">
            <v>S8720</v>
          </cell>
          <cell r="C105" t="str">
            <v>ＧＸ形　受挿し片落管</v>
          </cell>
          <cell r="D105" t="str">
            <v>φ400×φ200</v>
          </cell>
          <cell r="E105">
            <v>0.73</v>
          </cell>
        </row>
        <row r="106">
          <cell r="A106" t="str">
            <v/>
          </cell>
          <cell r="B106" t="str">
            <v>S8720</v>
          </cell>
          <cell r="C106" t="str">
            <v>ＧＸ形　受挿し片落管</v>
          </cell>
          <cell r="D106" t="str">
            <v>φ400×φ300</v>
          </cell>
          <cell r="E106">
            <v>0.53</v>
          </cell>
        </row>
        <row r="107">
          <cell r="A107">
            <v>13</v>
          </cell>
          <cell r="B107" t="str">
            <v>S8721</v>
          </cell>
          <cell r="C107" t="str">
            <v>GX形　短管１号　</v>
          </cell>
          <cell r="D107" t="str">
            <v>φ75　　7．5Ｋ</v>
          </cell>
          <cell r="E107">
            <v>0.08</v>
          </cell>
          <cell r="F107">
            <v>1</v>
          </cell>
        </row>
        <row r="108">
          <cell r="A108">
            <v>14</v>
          </cell>
          <cell r="B108" t="str">
            <v>S8721</v>
          </cell>
          <cell r="C108" t="str">
            <v>GX形　短管１号　</v>
          </cell>
          <cell r="D108" t="str">
            <v>φ100　　7．5Ｋ</v>
          </cell>
          <cell r="E108">
            <v>0.08</v>
          </cell>
          <cell r="F108">
            <v>1</v>
          </cell>
        </row>
        <row r="109">
          <cell r="A109">
            <v>15</v>
          </cell>
          <cell r="B109" t="str">
            <v>S8721</v>
          </cell>
          <cell r="C109" t="str">
            <v>GX形　短管１号　</v>
          </cell>
          <cell r="D109" t="str">
            <v>φ150　　7．5Ｋ</v>
          </cell>
          <cell r="E109">
            <v>0.09</v>
          </cell>
          <cell r="F109">
            <v>4</v>
          </cell>
        </row>
        <row r="110">
          <cell r="A110" t="str">
            <v/>
          </cell>
          <cell r="B110" t="str">
            <v>S8721</v>
          </cell>
          <cell r="C110" t="str">
            <v>GX形　短管１号　</v>
          </cell>
          <cell r="D110" t="str">
            <v>φ200　　7．5Ｋ</v>
          </cell>
          <cell r="E110">
            <v>0.09</v>
          </cell>
        </row>
        <row r="111">
          <cell r="A111" t="str">
            <v/>
          </cell>
          <cell r="B111" t="str">
            <v>S8721</v>
          </cell>
          <cell r="C111" t="str">
            <v>GX形　短管１号　</v>
          </cell>
          <cell r="D111" t="str">
            <v>φ250　　7．5Ｋ</v>
          </cell>
          <cell r="E111">
            <v>0.1</v>
          </cell>
        </row>
        <row r="112">
          <cell r="A112" t="str">
            <v/>
          </cell>
          <cell r="B112" t="str">
            <v>S8721</v>
          </cell>
          <cell r="C112" t="str">
            <v>GX形　短管１号　</v>
          </cell>
          <cell r="D112" t="str">
            <v>φ300　　7．5Ｋ</v>
          </cell>
          <cell r="E112">
            <v>0.1</v>
          </cell>
        </row>
        <row r="113">
          <cell r="A113" t="str">
            <v/>
          </cell>
          <cell r="B113" t="str">
            <v>S8721</v>
          </cell>
          <cell r="C113" t="str">
            <v>GX形　短管１号　</v>
          </cell>
          <cell r="D113" t="str">
            <v>φ400　　7．5Ｋ</v>
          </cell>
          <cell r="E113">
            <v>0.11</v>
          </cell>
        </row>
        <row r="114">
          <cell r="A114" t="str">
            <v/>
          </cell>
          <cell r="B114" t="str">
            <v>S8721</v>
          </cell>
          <cell r="C114" t="str">
            <v>GX形　短管１号　</v>
          </cell>
          <cell r="D114" t="str">
            <v>φ75　　10．0Ｋ</v>
          </cell>
          <cell r="E114">
            <v>0.08</v>
          </cell>
        </row>
        <row r="115">
          <cell r="A115" t="str">
            <v/>
          </cell>
          <cell r="B115" t="str">
            <v>S8721</v>
          </cell>
          <cell r="C115" t="str">
            <v>GX形　短管１号　</v>
          </cell>
          <cell r="D115" t="str">
            <v>φ100　　10．0Ｋ</v>
          </cell>
          <cell r="E115">
            <v>0.08</v>
          </cell>
        </row>
        <row r="116">
          <cell r="A116" t="str">
            <v/>
          </cell>
          <cell r="B116" t="str">
            <v>S8721</v>
          </cell>
          <cell r="C116" t="str">
            <v>GX形　短管１号　</v>
          </cell>
          <cell r="D116" t="str">
            <v>φ150　　10．0Ｋ</v>
          </cell>
          <cell r="E116">
            <v>0.09</v>
          </cell>
        </row>
        <row r="117">
          <cell r="A117" t="str">
            <v/>
          </cell>
          <cell r="B117" t="str">
            <v>S8721</v>
          </cell>
          <cell r="C117" t="str">
            <v>GX形　短管１号　</v>
          </cell>
          <cell r="D117" t="str">
            <v>φ200　　10．0Ｋ</v>
          </cell>
          <cell r="E117">
            <v>0.09</v>
          </cell>
        </row>
        <row r="118">
          <cell r="A118" t="str">
            <v/>
          </cell>
          <cell r="B118" t="str">
            <v>S8721</v>
          </cell>
          <cell r="C118" t="str">
            <v>GX形　短管１号　</v>
          </cell>
          <cell r="D118" t="str">
            <v>φ250　　10．0Ｋ</v>
          </cell>
          <cell r="E118">
            <v>0.1</v>
          </cell>
        </row>
        <row r="119">
          <cell r="A119" t="str">
            <v/>
          </cell>
          <cell r="B119" t="str">
            <v>S8721</v>
          </cell>
          <cell r="C119" t="str">
            <v>GX形　短管１号　</v>
          </cell>
          <cell r="D119" t="str">
            <v>φ300　　10．0Ｋ</v>
          </cell>
          <cell r="E119">
            <v>0.1</v>
          </cell>
        </row>
        <row r="120">
          <cell r="A120" t="str">
            <v/>
          </cell>
          <cell r="B120" t="str">
            <v>S8721</v>
          </cell>
          <cell r="C120" t="str">
            <v>GX形　短管１号　</v>
          </cell>
          <cell r="D120" t="str">
            <v>φ400　　10．0Ｋ</v>
          </cell>
          <cell r="E120">
            <v>0.11</v>
          </cell>
        </row>
        <row r="121">
          <cell r="A121" t="str">
            <v/>
          </cell>
          <cell r="B121" t="str">
            <v>S8721</v>
          </cell>
          <cell r="C121" t="str">
            <v>GX形　短管２号　</v>
          </cell>
          <cell r="D121" t="str">
            <v>φ75　　7．5Ｋ</v>
          </cell>
          <cell r="E121">
            <v>0.39</v>
          </cell>
        </row>
        <row r="122">
          <cell r="A122" t="str">
            <v/>
          </cell>
          <cell r="B122" t="str">
            <v>S8721</v>
          </cell>
          <cell r="C122" t="str">
            <v>GX形　短管２号　</v>
          </cell>
          <cell r="D122" t="str">
            <v>φ100　　7．5Ｋ</v>
          </cell>
          <cell r="E122">
            <v>0.39</v>
          </cell>
        </row>
        <row r="123">
          <cell r="A123">
            <v>16</v>
          </cell>
          <cell r="B123" t="str">
            <v>S8721</v>
          </cell>
          <cell r="C123" t="str">
            <v>GX形　短管２号　</v>
          </cell>
          <cell r="D123" t="str">
            <v>φ150　　7．5Ｋ</v>
          </cell>
          <cell r="E123">
            <v>0.4</v>
          </cell>
          <cell r="F123">
            <v>1</v>
          </cell>
        </row>
        <row r="124">
          <cell r="A124" t="str">
            <v/>
          </cell>
          <cell r="B124" t="str">
            <v>S8721</v>
          </cell>
          <cell r="C124" t="str">
            <v>GX形　短管２号　</v>
          </cell>
          <cell r="D124" t="str">
            <v>φ200　　7．5Ｋ</v>
          </cell>
          <cell r="E124">
            <v>0.41</v>
          </cell>
        </row>
        <row r="125">
          <cell r="A125" t="str">
            <v/>
          </cell>
          <cell r="B125" t="str">
            <v>S8721</v>
          </cell>
          <cell r="C125" t="str">
            <v>GX形　短管２号　</v>
          </cell>
          <cell r="D125" t="str">
            <v>φ250　　7．5Ｋ</v>
          </cell>
          <cell r="E125">
            <v>0.46</v>
          </cell>
        </row>
        <row r="126">
          <cell r="A126" t="str">
            <v/>
          </cell>
          <cell r="B126" t="str">
            <v>S8721</v>
          </cell>
          <cell r="C126" t="str">
            <v>GX形　短管２号　</v>
          </cell>
          <cell r="D126" t="str">
            <v>φ300　　7．5Ｋ</v>
          </cell>
          <cell r="E126">
            <v>0.48</v>
          </cell>
        </row>
        <row r="127">
          <cell r="A127" t="str">
            <v/>
          </cell>
          <cell r="B127" t="str">
            <v>S8721</v>
          </cell>
          <cell r="C127" t="str">
            <v>GX形　短管２号　</v>
          </cell>
          <cell r="D127" t="str">
            <v>φ400　　7．5Ｋ</v>
          </cell>
          <cell r="E127">
            <v>0.51</v>
          </cell>
        </row>
        <row r="128">
          <cell r="A128" t="str">
            <v/>
          </cell>
          <cell r="B128" t="str">
            <v>S8721</v>
          </cell>
          <cell r="C128" t="str">
            <v>GX形　短管２号　</v>
          </cell>
          <cell r="D128" t="str">
            <v>φ75　　10．0Ｋ</v>
          </cell>
          <cell r="E128">
            <v>0.39</v>
          </cell>
        </row>
        <row r="129">
          <cell r="A129" t="str">
            <v/>
          </cell>
          <cell r="B129" t="str">
            <v>S8721</v>
          </cell>
          <cell r="C129" t="str">
            <v>GX形　短管２号　</v>
          </cell>
          <cell r="D129" t="str">
            <v>φ100　　10．0Ｋ</v>
          </cell>
          <cell r="E129">
            <v>0.39</v>
          </cell>
        </row>
        <row r="130">
          <cell r="A130" t="str">
            <v/>
          </cell>
          <cell r="B130" t="str">
            <v>S8721</v>
          </cell>
          <cell r="C130" t="str">
            <v>GX形　短管２号　</v>
          </cell>
          <cell r="D130" t="str">
            <v>φ150　　10．0Ｋ</v>
          </cell>
          <cell r="E130">
            <v>0.4</v>
          </cell>
        </row>
        <row r="131">
          <cell r="A131" t="str">
            <v/>
          </cell>
          <cell r="B131" t="str">
            <v>S8721</v>
          </cell>
          <cell r="C131" t="str">
            <v>GX形　短管２号　</v>
          </cell>
          <cell r="D131" t="str">
            <v>φ200　　10．0Ｋ</v>
          </cell>
          <cell r="E131">
            <v>0.41</v>
          </cell>
        </row>
        <row r="132">
          <cell r="A132" t="str">
            <v/>
          </cell>
          <cell r="B132" t="str">
            <v>S8721</v>
          </cell>
          <cell r="C132" t="str">
            <v>GX形　短管２号　</v>
          </cell>
          <cell r="D132" t="str">
            <v>φ250　　10．0Ｋ</v>
          </cell>
          <cell r="E132">
            <v>0.46</v>
          </cell>
        </row>
        <row r="133">
          <cell r="A133" t="str">
            <v/>
          </cell>
          <cell r="B133" t="str">
            <v>S8721</v>
          </cell>
          <cell r="C133" t="str">
            <v>GX形　短管２号　</v>
          </cell>
          <cell r="D133" t="str">
            <v>φ300　　10．0Ｋ</v>
          </cell>
          <cell r="E133">
            <v>0.48</v>
          </cell>
        </row>
        <row r="134">
          <cell r="A134" t="str">
            <v/>
          </cell>
          <cell r="B134" t="str">
            <v>S8721</v>
          </cell>
          <cell r="C134" t="str">
            <v>GX形　短管２号　</v>
          </cell>
          <cell r="D134" t="str">
            <v>φ400　　10．0Ｋ</v>
          </cell>
          <cell r="E134">
            <v>0.51</v>
          </cell>
        </row>
        <row r="135">
          <cell r="A135" t="str">
            <v/>
          </cell>
          <cell r="B135" t="str">
            <v>S8721</v>
          </cell>
          <cell r="C135" t="str">
            <v>GX形　両受短管</v>
          </cell>
          <cell r="D135" t="str">
            <v>φ75</v>
          </cell>
          <cell r="E135">
            <v>0.02</v>
          </cell>
        </row>
        <row r="136">
          <cell r="A136" t="str">
            <v/>
          </cell>
          <cell r="B136" t="str">
            <v>S8721</v>
          </cell>
          <cell r="C136" t="str">
            <v>GX形　両受短管</v>
          </cell>
          <cell r="D136" t="str">
            <v>φ100</v>
          </cell>
          <cell r="E136">
            <v>0.02</v>
          </cell>
        </row>
        <row r="137">
          <cell r="A137" t="str">
            <v/>
          </cell>
          <cell r="B137" t="str">
            <v>S8721</v>
          </cell>
          <cell r="C137" t="str">
            <v>GX形　両受短管</v>
          </cell>
          <cell r="D137" t="str">
            <v>φ150</v>
          </cell>
          <cell r="E137">
            <v>0.02</v>
          </cell>
        </row>
        <row r="138">
          <cell r="A138" t="str">
            <v/>
          </cell>
          <cell r="B138" t="str">
            <v>S8721</v>
          </cell>
          <cell r="C138" t="str">
            <v>GX形　両受短管</v>
          </cell>
          <cell r="D138" t="str">
            <v>φ200</v>
          </cell>
          <cell r="E138">
            <v>0.02</v>
          </cell>
        </row>
        <row r="139">
          <cell r="A139" t="str">
            <v/>
          </cell>
          <cell r="B139" t="str">
            <v>S8721</v>
          </cell>
          <cell r="C139" t="str">
            <v>GX形　両受短管</v>
          </cell>
          <cell r="D139" t="str">
            <v>φ250</v>
          </cell>
          <cell r="E139">
            <v>0.02</v>
          </cell>
        </row>
        <row r="140">
          <cell r="A140" t="str">
            <v/>
          </cell>
          <cell r="B140" t="str">
            <v>S8721</v>
          </cell>
          <cell r="C140" t="str">
            <v>GX形　両受短管</v>
          </cell>
          <cell r="D140" t="str">
            <v>φ300</v>
          </cell>
          <cell r="E140">
            <v>0.02</v>
          </cell>
        </row>
        <row r="141">
          <cell r="A141" t="str">
            <v/>
          </cell>
          <cell r="B141" t="str">
            <v>S8721</v>
          </cell>
          <cell r="C141" t="str">
            <v>GX形　両受短管</v>
          </cell>
          <cell r="D141" t="str">
            <v>φ400</v>
          </cell>
          <cell r="E141">
            <v>0.02</v>
          </cell>
        </row>
        <row r="142">
          <cell r="A142" t="str">
            <v/>
          </cell>
          <cell r="B142" t="str">
            <v>S8720</v>
          </cell>
          <cell r="C142" t="str">
            <v>GX形　フランジ付丁字管</v>
          </cell>
          <cell r="D142" t="str">
            <v>φ75×φ75　　7．5Ｋ</v>
          </cell>
          <cell r="E142">
            <v>0.44</v>
          </cell>
        </row>
        <row r="143">
          <cell r="A143" t="str">
            <v/>
          </cell>
          <cell r="B143" t="str">
            <v>S8720</v>
          </cell>
          <cell r="C143" t="str">
            <v>GX形　フランジ付丁字管</v>
          </cell>
          <cell r="D143" t="str">
            <v>φ100×φ75　　7．5Ｋ</v>
          </cell>
          <cell r="E143">
            <v>0.44</v>
          </cell>
        </row>
        <row r="144">
          <cell r="A144">
            <v>17</v>
          </cell>
          <cell r="B144" t="str">
            <v>S8720</v>
          </cell>
          <cell r="C144" t="str">
            <v>GX形　フランジ付丁字管</v>
          </cell>
          <cell r="D144" t="str">
            <v>φ150×φ75　　7．5Ｋ</v>
          </cell>
          <cell r="E144">
            <v>0.45</v>
          </cell>
          <cell r="F144">
            <v>1</v>
          </cell>
        </row>
        <row r="145">
          <cell r="A145" t="str">
            <v/>
          </cell>
          <cell r="B145" t="str">
            <v>S8720</v>
          </cell>
          <cell r="C145" t="str">
            <v>GX形　フランジ付丁字管</v>
          </cell>
          <cell r="D145" t="str">
            <v>φ200×φ75　　7．5Ｋ</v>
          </cell>
          <cell r="E145">
            <v>0.47</v>
          </cell>
        </row>
        <row r="146">
          <cell r="A146" t="str">
            <v/>
          </cell>
          <cell r="B146" t="str">
            <v>S8720</v>
          </cell>
          <cell r="C146" t="str">
            <v>GX形　フランジ付丁字管</v>
          </cell>
          <cell r="D146" t="str">
            <v>φ250×φ75　　7．5Ｋ</v>
          </cell>
          <cell r="E146">
            <v>0.47</v>
          </cell>
        </row>
        <row r="147">
          <cell r="A147" t="str">
            <v/>
          </cell>
          <cell r="B147" t="str">
            <v>S8720</v>
          </cell>
          <cell r="C147" t="str">
            <v>GX形　フランジ付丁字管</v>
          </cell>
          <cell r="D147" t="str">
            <v>φ300×φ75　　7．5Ｋ</v>
          </cell>
          <cell r="E147">
            <v>0.46</v>
          </cell>
        </row>
        <row r="148">
          <cell r="A148" t="str">
            <v/>
          </cell>
          <cell r="B148" t="str">
            <v>S8720</v>
          </cell>
          <cell r="C148" t="str">
            <v>GX形　フランジ付丁字管</v>
          </cell>
          <cell r="D148" t="str">
            <v>φ300×φ100　　7．5Ｋ</v>
          </cell>
          <cell r="E148">
            <v>0.48499999999999999</v>
          </cell>
        </row>
        <row r="149">
          <cell r="A149" t="str">
            <v/>
          </cell>
          <cell r="B149" t="str">
            <v>S8720</v>
          </cell>
          <cell r="C149" t="str">
            <v>GX形　フランジ付丁字管</v>
          </cell>
          <cell r="D149" t="str">
            <v>φ400×φ75　　7．5Ｋ</v>
          </cell>
          <cell r="E149">
            <v>0.46500000000000002</v>
          </cell>
        </row>
        <row r="150">
          <cell r="A150" t="str">
            <v/>
          </cell>
          <cell r="B150" t="str">
            <v>S8720</v>
          </cell>
          <cell r="C150" t="str">
            <v>GX形　フランジ付丁字管</v>
          </cell>
          <cell r="D150" t="str">
            <v>φ400×φ100　　7．5Ｋ</v>
          </cell>
          <cell r="E150">
            <v>0.48499999999999999</v>
          </cell>
        </row>
        <row r="151">
          <cell r="A151" t="str">
            <v/>
          </cell>
          <cell r="B151" t="str">
            <v>S8720</v>
          </cell>
          <cell r="C151" t="str">
            <v>GX形　排水丁字管</v>
          </cell>
          <cell r="D151" t="str">
            <v>φ300×φ100</v>
          </cell>
          <cell r="E151">
            <v>0.28000000000000003</v>
          </cell>
        </row>
        <row r="152">
          <cell r="A152" t="str">
            <v/>
          </cell>
          <cell r="B152" t="str">
            <v>S8720</v>
          </cell>
          <cell r="C152" t="str">
            <v>GX形　排水丁字管</v>
          </cell>
          <cell r="D152" t="str">
            <v>φ400×φ150</v>
          </cell>
          <cell r="E152">
            <v>0.35</v>
          </cell>
        </row>
        <row r="153">
          <cell r="A153" t="str">
            <v/>
          </cell>
          <cell r="B153" t="str">
            <v>S8765</v>
          </cell>
          <cell r="C153" t="str">
            <v>GX形　ライナー</v>
          </cell>
          <cell r="D153" t="str">
            <v>φ75</v>
          </cell>
          <cell r="E153">
            <v>2.9000000000000001E-2</v>
          </cell>
        </row>
        <row r="154">
          <cell r="A154" t="str">
            <v/>
          </cell>
          <cell r="B154" t="str">
            <v>S8765</v>
          </cell>
          <cell r="C154" t="str">
            <v>GX形　ライナー</v>
          </cell>
          <cell r="D154" t="str">
            <v>φ100</v>
          </cell>
          <cell r="E154">
            <v>2.9000000000000001E-2</v>
          </cell>
        </row>
        <row r="155">
          <cell r="A155">
            <v>18</v>
          </cell>
          <cell r="B155" t="str">
            <v>S8765</v>
          </cell>
          <cell r="C155" t="str">
            <v>GX形　ライナー</v>
          </cell>
          <cell r="D155" t="str">
            <v>φ150</v>
          </cell>
          <cell r="E155">
            <v>3.9E-2</v>
          </cell>
          <cell r="F155">
            <v>11</v>
          </cell>
        </row>
        <row r="156">
          <cell r="A156" t="str">
            <v/>
          </cell>
          <cell r="B156" t="str">
            <v>S8765</v>
          </cell>
          <cell r="C156" t="str">
            <v>GX形　ライナー</v>
          </cell>
          <cell r="D156" t="str">
            <v>φ200</v>
          </cell>
          <cell r="E156">
            <v>3.9E-2</v>
          </cell>
        </row>
        <row r="157">
          <cell r="A157" t="str">
            <v/>
          </cell>
          <cell r="B157" t="str">
            <v>S8765</v>
          </cell>
          <cell r="C157" t="str">
            <v>GX形　ライナー</v>
          </cell>
          <cell r="D157" t="str">
            <v>φ250</v>
          </cell>
          <cell r="E157">
            <v>3.9E-2</v>
          </cell>
        </row>
        <row r="158">
          <cell r="A158" t="str">
            <v/>
          </cell>
          <cell r="B158" t="str">
            <v>S8765</v>
          </cell>
          <cell r="C158" t="str">
            <v>GX形　ライナー</v>
          </cell>
          <cell r="D158" t="str">
            <v>φ300</v>
          </cell>
          <cell r="E158">
            <v>5.3999999999999999E-2</v>
          </cell>
        </row>
        <row r="159">
          <cell r="A159" t="str">
            <v/>
          </cell>
          <cell r="B159" t="str">
            <v>S8765</v>
          </cell>
          <cell r="C159" t="str">
            <v>GX形　ライナー</v>
          </cell>
          <cell r="D159" t="str">
            <v>φ400</v>
          </cell>
          <cell r="E159">
            <v>5.5E-2</v>
          </cell>
        </row>
        <row r="160">
          <cell r="A160" t="str">
            <v/>
          </cell>
          <cell r="B160" t="str">
            <v>S8740</v>
          </cell>
          <cell r="C160" t="str">
            <v>GX形　帽</v>
          </cell>
          <cell r="D160" t="str">
            <v>φ75　</v>
          </cell>
        </row>
        <row r="161">
          <cell r="A161" t="str">
            <v/>
          </cell>
          <cell r="B161" t="str">
            <v>S8740</v>
          </cell>
          <cell r="C161" t="str">
            <v>GX形　帽</v>
          </cell>
          <cell r="D161" t="str">
            <v>φ100</v>
          </cell>
        </row>
        <row r="162">
          <cell r="A162" t="str">
            <v/>
          </cell>
          <cell r="B162" t="str">
            <v>S8740</v>
          </cell>
          <cell r="C162" t="str">
            <v>GX形　帽</v>
          </cell>
          <cell r="D162" t="str">
            <v>φ150</v>
          </cell>
        </row>
        <row r="163">
          <cell r="A163" t="str">
            <v/>
          </cell>
          <cell r="B163" t="str">
            <v>S8740</v>
          </cell>
          <cell r="C163" t="str">
            <v>GX形　帽</v>
          </cell>
          <cell r="D163" t="str">
            <v>φ200</v>
          </cell>
        </row>
        <row r="164">
          <cell r="A164" t="str">
            <v/>
          </cell>
          <cell r="B164" t="str">
            <v>S8740</v>
          </cell>
          <cell r="C164" t="str">
            <v>GX形　帽</v>
          </cell>
          <cell r="D164" t="str">
            <v>φ250</v>
          </cell>
        </row>
        <row r="165">
          <cell r="A165" t="str">
            <v/>
          </cell>
          <cell r="B165" t="str">
            <v>S8740</v>
          </cell>
          <cell r="C165" t="str">
            <v>GX形　帽</v>
          </cell>
          <cell r="D165" t="str">
            <v>φ300</v>
          </cell>
        </row>
        <row r="166">
          <cell r="A166" t="str">
            <v/>
          </cell>
          <cell r="B166" t="str">
            <v>S8740</v>
          </cell>
          <cell r="C166" t="str">
            <v>GX形　帽</v>
          </cell>
          <cell r="D166" t="str">
            <v>φ400</v>
          </cell>
        </row>
        <row r="167">
          <cell r="A167">
            <v>19</v>
          </cell>
          <cell r="B167" t="str">
            <v>S8765</v>
          </cell>
          <cell r="C167" t="str">
            <v>GX形　挿口リング</v>
          </cell>
          <cell r="D167" t="str">
            <v>φ75　</v>
          </cell>
          <cell r="F167">
            <v>2</v>
          </cell>
        </row>
        <row r="168">
          <cell r="A168">
            <v>20</v>
          </cell>
          <cell r="B168" t="str">
            <v>S8765</v>
          </cell>
          <cell r="C168" t="str">
            <v>GX形　挿口リング</v>
          </cell>
          <cell r="D168" t="str">
            <v>φ100</v>
          </cell>
          <cell r="F168">
            <v>2</v>
          </cell>
        </row>
        <row r="169">
          <cell r="A169">
            <v>21</v>
          </cell>
          <cell r="B169" t="str">
            <v>S8765</v>
          </cell>
          <cell r="C169" t="str">
            <v>GX形　挿口リング</v>
          </cell>
          <cell r="D169" t="str">
            <v>φ150</v>
          </cell>
          <cell r="F169">
            <v>13</v>
          </cell>
        </row>
        <row r="170">
          <cell r="A170" t="str">
            <v/>
          </cell>
          <cell r="B170" t="str">
            <v>S8765</v>
          </cell>
          <cell r="C170" t="str">
            <v>GX形　挿口リング</v>
          </cell>
          <cell r="D170" t="str">
            <v>φ200</v>
          </cell>
        </row>
        <row r="171">
          <cell r="A171" t="str">
            <v/>
          </cell>
          <cell r="B171" t="str">
            <v>S8765</v>
          </cell>
          <cell r="C171" t="str">
            <v>GX形　挿口リング</v>
          </cell>
          <cell r="D171" t="str">
            <v>φ250</v>
          </cell>
        </row>
        <row r="172">
          <cell r="A172" t="str">
            <v/>
          </cell>
          <cell r="B172" t="str">
            <v>S8765</v>
          </cell>
          <cell r="C172" t="str">
            <v>GX形　挿口リング</v>
          </cell>
          <cell r="D172" t="str">
            <v>φ300</v>
          </cell>
        </row>
        <row r="173">
          <cell r="A173" t="str">
            <v/>
          </cell>
          <cell r="B173" t="str">
            <v>S8765</v>
          </cell>
          <cell r="C173" t="str">
            <v>GX形　挿口リング</v>
          </cell>
          <cell r="D173" t="str">
            <v>φ400</v>
          </cell>
        </row>
        <row r="174">
          <cell r="A174" t="str">
            <v/>
          </cell>
          <cell r="B174" t="str">
            <v>物価版</v>
          </cell>
          <cell r="C174" t="str">
            <v>GX形　挿口リング(継輪用)</v>
          </cell>
          <cell r="D174" t="str">
            <v>φ400</v>
          </cell>
        </row>
        <row r="175">
          <cell r="A175">
            <v>22</v>
          </cell>
          <cell r="B175" t="str">
            <v>S8765</v>
          </cell>
          <cell r="C175" t="str">
            <v>GX形　異形管接合材　</v>
          </cell>
          <cell r="D175" t="str">
            <v>φ75</v>
          </cell>
          <cell r="F175">
            <v>4</v>
          </cell>
        </row>
        <row r="176">
          <cell r="A176">
            <v>23</v>
          </cell>
          <cell r="B176" t="str">
            <v>S8765</v>
          </cell>
          <cell r="C176" t="str">
            <v>GX形　異形管接合材　</v>
          </cell>
          <cell r="D176" t="str">
            <v>φ100</v>
          </cell>
          <cell r="F176">
            <v>4</v>
          </cell>
        </row>
        <row r="177">
          <cell r="A177">
            <v>24</v>
          </cell>
          <cell r="B177" t="str">
            <v>S8765</v>
          </cell>
          <cell r="C177" t="str">
            <v>GX形　異形管接合材　</v>
          </cell>
          <cell r="D177" t="str">
            <v>φ150</v>
          </cell>
          <cell r="F177">
            <v>17</v>
          </cell>
        </row>
        <row r="178">
          <cell r="A178" t="str">
            <v/>
          </cell>
          <cell r="B178" t="str">
            <v>S8765</v>
          </cell>
          <cell r="C178" t="str">
            <v>GX形　異形管接合材　</v>
          </cell>
          <cell r="D178" t="str">
            <v>φ200</v>
          </cell>
          <cell r="F178">
            <v>0</v>
          </cell>
        </row>
        <row r="179">
          <cell r="A179" t="str">
            <v/>
          </cell>
          <cell r="B179" t="str">
            <v>S8765</v>
          </cell>
          <cell r="C179" t="str">
            <v>GX形　異形管接合材　</v>
          </cell>
          <cell r="D179" t="str">
            <v>φ250</v>
          </cell>
          <cell r="F179">
            <v>0</v>
          </cell>
        </row>
        <row r="180">
          <cell r="A180" t="str">
            <v/>
          </cell>
          <cell r="B180" t="str">
            <v>S8765</v>
          </cell>
          <cell r="C180" t="str">
            <v>GX形　異形管接合材　</v>
          </cell>
          <cell r="D180" t="str">
            <v>φ300</v>
          </cell>
          <cell r="F180">
            <v>0</v>
          </cell>
        </row>
        <row r="181">
          <cell r="A181" t="str">
            <v/>
          </cell>
          <cell r="B181" t="str">
            <v>S8765</v>
          </cell>
          <cell r="C181" t="str">
            <v>GX形　異形管接合材　</v>
          </cell>
          <cell r="D181" t="str">
            <v>φ400</v>
          </cell>
          <cell r="F181">
            <v>0</v>
          </cell>
        </row>
        <row r="182">
          <cell r="A182" t="str">
            <v/>
          </cell>
          <cell r="B182" t="str">
            <v>S8765</v>
          </cell>
          <cell r="C182" t="str">
            <v>Ｐ－Ｌｉｎｋ</v>
          </cell>
          <cell r="D182" t="str">
            <v>φ75　接合材料を含む</v>
          </cell>
          <cell r="E182">
            <v>0.18</v>
          </cell>
        </row>
        <row r="183">
          <cell r="A183" t="str">
            <v/>
          </cell>
          <cell r="B183" t="str">
            <v>S8765</v>
          </cell>
          <cell r="C183" t="str">
            <v>Ｐ－Ｌｉｎｋ</v>
          </cell>
          <cell r="D183" t="str">
            <v>φ100　接合材料を含む</v>
          </cell>
          <cell r="E183">
            <v>0.18</v>
          </cell>
        </row>
        <row r="184">
          <cell r="A184" t="str">
            <v/>
          </cell>
          <cell r="B184" t="str">
            <v>S8765</v>
          </cell>
          <cell r="C184" t="str">
            <v>Ｐ－Ｌｉｎｋ</v>
          </cell>
          <cell r="D184" t="str">
            <v>φ150　接合材料を含む</v>
          </cell>
          <cell r="E184">
            <v>0.21</v>
          </cell>
        </row>
        <row r="185">
          <cell r="A185" t="str">
            <v/>
          </cell>
          <cell r="B185" t="str">
            <v>S8765</v>
          </cell>
          <cell r="C185" t="str">
            <v>Ｐ－Ｌｉｎｋ</v>
          </cell>
          <cell r="D185" t="str">
            <v>φ200　接合材料を含む</v>
          </cell>
          <cell r="E185">
            <v>0.22</v>
          </cell>
        </row>
        <row r="186">
          <cell r="A186" t="str">
            <v/>
          </cell>
          <cell r="B186" t="str">
            <v>S8765</v>
          </cell>
          <cell r="C186" t="str">
            <v>Ｐ－Ｌｉｎｋ</v>
          </cell>
          <cell r="D186" t="str">
            <v>φ250　接合材料を含む</v>
          </cell>
          <cell r="E186">
            <v>0.22</v>
          </cell>
        </row>
        <row r="187">
          <cell r="A187" t="str">
            <v/>
          </cell>
          <cell r="B187" t="str">
            <v>S8765</v>
          </cell>
          <cell r="C187" t="str">
            <v>Ｐ－Ｌｉｎｋ</v>
          </cell>
          <cell r="D187" t="str">
            <v>φ300　接合材料を含む</v>
          </cell>
          <cell r="E187">
            <v>0.26700000000000002</v>
          </cell>
        </row>
        <row r="188">
          <cell r="A188" t="str">
            <v/>
          </cell>
          <cell r="B188" t="str">
            <v>S8765</v>
          </cell>
          <cell r="C188" t="str">
            <v>Ｇ－Ｌｉｎｋ</v>
          </cell>
          <cell r="D188" t="str">
            <v>φ75　接合材料を含む</v>
          </cell>
        </row>
        <row r="189">
          <cell r="A189" t="str">
            <v/>
          </cell>
          <cell r="B189" t="str">
            <v>S8765</v>
          </cell>
          <cell r="C189" t="str">
            <v>Ｇ－Ｌｉｎｋ</v>
          </cell>
          <cell r="D189" t="str">
            <v>φ100　接合材料を含む</v>
          </cell>
        </row>
        <row r="190">
          <cell r="A190" t="str">
            <v/>
          </cell>
          <cell r="B190" t="str">
            <v>S8765</v>
          </cell>
          <cell r="C190" t="str">
            <v>Ｇ－Ｌｉｎｋ</v>
          </cell>
          <cell r="D190" t="str">
            <v>φ150　接合材料を含む</v>
          </cell>
        </row>
        <row r="191">
          <cell r="A191" t="str">
            <v/>
          </cell>
          <cell r="B191" t="str">
            <v>S8765</v>
          </cell>
          <cell r="C191" t="str">
            <v>Ｇ－Ｌｉｎｋ</v>
          </cell>
          <cell r="D191" t="str">
            <v>φ200　接合材料を含む</v>
          </cell>
        </row>
        <row r="192">
          <cell r="A192" t="str">
            <v/>
          </cell>
          <cell r="B192" t="str">
            <v>S8765</v>
          </cell>
          <cell r="C192" t="str">
            <v>Ｇ－Ｌｉｎｋ</v>
          </cell>
          <cell r="D192" t="str">
            <v>φ250　接合材料を含む</v>
          </cell>
        </row>
        <row r="193">
          <cell r="A193" t="str">
            <v/>
          </cell>
          <cell r="B193" t="str">
            <v>S8765</v>
          </cell>
          <cell r="C193" t="str">
            <v>Ｇ－Ｌｉｎｋ</v>
          </cell>
          <cell r="D193" t="str">
            <v>φ300　接合材料を含む</v>
          </cell>
        </row>
        <row r="194">
          <cell r="A194">
            <v>25</v>
          </cell>
          <cell r="B194" t="str">
            <v>S8765</v>
          </cell>
          <cell r="C194" t="str">
            <v>GX形　特殊押輪</v>
          </cell>
          <cell r="D194" t="str">
            <v>φ75　接合材料を含む</v>
          </cell>
          <cell r="F194">
            <v>1</v>
          </cell>
        </row>
        <row r="195">
          <cell r="A195">
            <v>26</v>
          </cell>
          <cell r="B195" t="str">
            <v>S8765</v>
          </cell>
          <cell r="C195" t="str">
            <v>GX形　特殊押輪</v>
          </cell>
          <cell r="D195" t="str">
            <v>φ100　接合材料を含む</v>
          </cell>
          <cell r="F195">
            <v>1</v>
          </cell>
        </row>
        <row r="196">
          <cell r="A196">
            <v>27</v>
          </cell>
          <cell r="B196" t="str">
            <v>S8765</v>
          </cell>
          <cell r="C196" t="str">
            <v>GX形　特殊押輪</v>
          </cell>
          <cell r="D196" t="str">
            <v>φ150　接合材料を含む</v>
          </cell>
          <cell r="F196">
            <v>1</v>
          </cell>
        </row>
        <row r="197">
          <cell r="A197" t="str">
            <v/>
          </cell>
          <cell r="B197" t="str">
            <v>S8765</v>
          </cell>
          <cell r="C197" t="str">
            <v>GX形　特殊押輪</v>
          </cell>
          <cell r="D197" t="str">
            <v>φ200　接合材料を含む</v>
          </cell>
        </row>
        <row r="198">
          <cell r="A198" t="str">
            <v/>
          </cell>
          <cell r="B198" t="str">
            <v>S8765</v>
          </cell>
          <cell r="C198" t="str">
            <v>GX形　特殊押輪</v>
          </cell>
          <cell r="D198" t="str">
            <v>φ250　接合材料を含む</v>
          </cell>
        </row>
        <row r="199">
          <cell r="A199" t="str">
            <v/>
          </cell>
          <cell r="B199" t="str">
            <v>S8765</v>
          </cell>
          <cell r="C199" t="str">
            <v>GX形　特殊押輪</v>
          </cell>
          <cell r="D199" t="str">
            <v>φ300　接合材料を含む</v>
          </cell>
        </row>
        <row r="200">
          <cell r="A200" t="str">
            <v/>
          </cell>
          <cell r="B200" t="str">
            <v>S8765</v>
          </cell>
          <cell r="C200" t="str">
            <v>GX形　特殊押輪</v>
          </cell>
          <cell r="D200" t="str">
            <v>φ400　接合材料を含む</v>
          </cell>
        </row>
        <row r="201">
          <cell r="A201" t="str">
            <v/>
          </cell>
          <cell r="B201" t="str">
            <v>S8765</v>
          </cell>
          <cell r="C201" t="str">
            <v>GX形　ゴムリング</v>
          </cell>
          <cell r="D201" t="str">
            <v>φ75</v>
          </cell>
        </row>
        <row r="202">
          <cell r="A202" t="str">
            <v/>
          </cell>
          <cell r="B202" t="str">
            <v>S8765</v>
          </cell>
          <cell r="C202" t="str">
            <v>GX形　ゴムリング</v>
          </cell>
          <cell r="D202" t="str">
            <v>φ100</v>
          </cell>
        </row>
        <row r="203">
          <cell r="A203" t="str">
            <v/>
          </cell>
          <cell r="B203" t="str">
            <v>S8765</v>
          </cell>
          <cell r="C203" t="str">
            <v>GX形　ゴムリング</v>
          </cell>
          <cell r="D203" t="str">
            <v>φ150</v>
          </cell>
        </row>
        <row r="204">
          <cell r="A204" t="str">
            <v/>
          </cell>
          <cell r="B204" t="str">
            <v>S8765</v>
          </cell>
          <cell r="C204" t="str">
            <v>GX形　ゴムリング</v>
          </cell>
          <cell r="D204" t="str">
            <v>φ200</v>
          </cell>
        </row>
        <row r="205">
          <cell r="A205" t="str">
            <v/>
          </cell>
          <cell r="B205" t="str">
            <v>S8765</v>
          </cell>
          <cell r="C205" t="str">
            <v>GX形　ゴムリング</v>
          </cell>
          <cell r="D205" t="str">
            <v>φ250</v>
          </cell>
        </row>
        <row r="206">
          <cell r="A206" t="str">
            <v/>
          </cell>
          <cell r="B206" t="str">
            <v>S8765</v>
          </cell>
          <cell r="C206" t="str">
            <v>GX形　ゴムリング</v>
          </cell>
          <cell r="D206" t="str">
            <v>φ300</v>
          </cell>
        </row>
        <row r="207">
          <cell r="A207" t="str">
            <v/>
          </cell>
          <cell r="B207" t="str">
            <v>S8765</v>
          </cell>
          <cell r="C207" t="str">
            <v>GX形　ゴムリング</v>
          </cell>
          <cell r="D207" t="str">
            <v>φ400</v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>
            <v>28</v>
          </cell>
          <cell r="B219" t="str">
            <v>■NS形</v>
          </cell>
        </row>
        <row r="220">
          <cell r="A220" t="str">
            <v/>
          </cell>
          <cell r="B220" t="str">
            <v>S8713</v>
          </cell>
          <cell r="C220" t="str">
            <v>NS形　直　管</v>
          </cell>
          <cell r="D220" t="str">
            <v>φ75　1種管</v>
          </cell>
          <cell r="E220">
            <v>4</v>
          </cell>
        </row>
        <row r="221">
          <cell r="A221" t="str">
            <v/>
          </cell>
          <cell r="B221" t="str">
            <v>S8713</v>
          </cell>
          <cell r="C221" t="str">
            <v>NS形　直　管</v>
          </cell>
          <cell r="D221" t="str">
            <v>φ100　1種管</v>
          </cell>
          <cell r="E221">
            <v>4</v>
          </cell>
        </row>
        <row r="222">
          <cell r="A222">
            <v>29</v>
          </cell>
          <cell r="B222" t="str">
            <v>S8713</v>
          </cell>
          <cell r="C222" t="str">
            <v>NS形　直　管</v>
          </cell>
          <cell r="D222" t="str">
            <v>φ150　1種管</v>
          </cell>
          <cell r="E222">
            <v>5</v>
          </cell>
          <cell r="F222">
            <v>3</v>
          </cell>
        </row>
        <row r="223">
          <cell r="A223" t="str">
            <v/>
          </cell>
          <cell r="B223" t="str">
            <v>S8713</v>
          </cell>
          <cell r="C223" t="str">
            <v>NS形　直　管</v>
          </cell>
          <cell r="D223" t="str">
            <v>φ200　1種管</v>
          </cell>
          <cell r="E223">
            <v>5</v>
          </cell>
        </row>
        <row r="224">
          <cell r="A224" t="str">
            <v/>
          </cell>
          <cell r="B224" t="str">
            <v>S8713</v>
          </cell>
          <cell r="C224" t="str">
            <v>NS形　直　管</v>
          </cell>
          <cell r="D224" t="str">
            <v>φ300　1種管</v>
          </cell>
          <cell r="E224">
            <v>6</v>
          </cell>
        </row>
        <row r="225">
          <cell r="A225" t="str">
            <v/>
          </cell>
          <cell r="B225" t="str">
            <v>S8713</v>
          </cell>
          <cell r="C225" t="str">
            <v>NS形　直　管</v>
          </cell>
          <cell r="D225" t="str">
            <v>φ400　1種管</v>
          </cell>
          <cell r="E225">
            <v>6</v>
          </cell>
        </row>
        <row r="226">
          <cell r="A226" t="str">
            <v/>
          </cell>
          <cell r="C226" t="str">
            <v>NS形　直　管</v>
          </cell>
          <cell r="D226" t="str">
            <v>φ400　3種管</v>
          </cell>
          <cell r="E226">
            <v>6</v>
          </cell>
        </row>
        <row r="227">
          <cell r="A227" t="str">
            <v/>
          </cell>
          <cell r="B227" t="str">
            <v>S8723</v>
          </cell>
          <cell r="C227" t="str">
            <v>NS形　曲　管</v>
          </cell>
          <cell r="D227" t="str">
            <v>φ75　90度</v>
          </cell>
          <cell r="E227">
            <v>0.47</v>
          </cell>
        </row>
        <row r="228">
          <cell r="A228" t="str">
            <v/>
          </cell>
          <cell r="B228" t="str">
            <v>S8723</v>
          </cell>
          <cell r="C228" t="str">
            <v>NS形　曲　管</v>
          </cell>
          <cell r="D228" t="str">
            <v>φ100　90度</v>
          </cell>
          <cell r="E228">
            <v>0.50900000000000001</v>
          </cell>
        </row>
        <row r="229">
          <cell r="A229" t="str">
            <v/>
          </cell>
          <cell r="B229" t="str">
            <v>S8723</v>
          </cell>
          <cell r="C229" t="str">
            <v>NS形　曲　管</v>
          </cell>
          <cell r="D229" t="str">
            <v>φ150　90度</v>
          </cell>
          <cell r="E229">
            <v>0.58799999999999997</v>
          </cell>
        </row>
        <row r="230">
          <cell r="A230" t="str">
            <v/>
          </cell>
          <cell r="B230" t="str">
            <v>S8723</v>
          </cell>
          <cell r="C230" t="str">
            <v>NS形　曲　管</v>
          </cell>
          <cell r="D230" t="str">
            <v>φ200　90度</v>
          </cell>
          <cell r="E230">
            <v>0.66600000000000004</v>
          </cell>
        </row>
        <row r="231">
          <cell r="A231" t="str">
            <v/>
          </cell>
          <cell r="B231" t="str">
            <v>S8723</v>
          </cell>
          <cell r="C231" t="str">
            <v>NS形　曲　管</v>
          </cell>
          <cell r="D231" t="str">
            <v>φ300　90度</v>
          </cell>
          <cell r="E231">
            <v>0.63100000000000001</v>
          </cell>
        </row>
        <row r="232">
          <cell r="A232" t="str">
            <v/>
          </cell>
          <cell r="B232" t="str">
            <v>S8723</v>
          </cell>
          <cell r="C232" t="str">
            <v>NS形　曲　管</v>
          </cell>
          <cell r="D232" t="str">
            <v>φ400　90度</v>
          </cell>
          <cell r="E232">
            <v>0.82099999999999995</v>
          </cell>
        </row>
        <row r="233">
          <cell r="A233" t="str">
            <v/>
          </cell>
          <cell r="B233" t="str">
            <v>S8723</v>
          </cell>
          <cell r="C233" t="str">
            <v>NS形　曲　管</v>
          </cell>
          <cell r="D233" t="str">
            <v>φ75　45度</v>
          </cell>
          <cell r="E233">
            <v>0.39700000000000002</v>
          </cell>
        </row>
        <row r="234">
          <cell r="A234" t="str">
            <v/>
          </cell>
          <cell r="B234" t="str">
            <v>S8723</v>
          </cell>
          <cell r="C234" t="str">
            <v>NS形　曲　管</v>
          </cell>
          <cell r="D234" t="str">
            <v>φ100　45度</v>
          </cell>
          <cell r="E234">
            <v>0.44600000000000001</v>
          </cell>
        </row>
        <row r="235">
          <cell r="A235" t="str">
            <v/>
          </cell>
          <cell r="B235" t="str">
            <v>S8723</v>
          </cell>
          <cell r="C235" t="str">
            <v>NS形　曲　管</v>
          </cell>
          <cell r="D235" t="str">
            <v>φ150　45度</v>
          </cell>
          <cell r="E235">
            <v>0.44400000000000001</v>
          </cell>
        </row>
        <row r="236">
          <cell r="A236" t="str">
            <v/>
          </cell>
          <cell r="B236" t="str">
            <v>S8723</v>
          </cell>
          <cell r="C236" t="str">
            <v>NS形　曲　管</v>
          </cell>
          <cell r="D236" t="str">
            <v>φ200　45度</v>
          </cell>
          <cell r="E236">
            <v>0.54200000000000004</v>
          </cell>
        </row>
        <row r="237">
          <cell r="A237" t="str">
            <v/>
          </cell>
          <cell r="B237" t="str">
            <v>S8723</v>
          </cell>
          <cell r="C237" t="str">
            <v>NS形　曲　管</v>
          </cell>
          <cell r="D237" t="str">
            <v>φ300　45度</v>
          </cell>
          <cell r="E237">
            <v>0.45</v>
          </cell>
        </row>
        <row r="238">
          <cell r="A238" t="str">
            <v/>
          </cell>
          <cell r="B238" t="str">
            <v>S8723</v>
          </cell>
          <cell r="C238" t="str">
            <v>NS形　曲　管</v>
          </cell>
          <cell r="D238" t="str">
            <v>φ400　45度</v>
          </cell>
          <cell r="E238">
            <v>0.55600000000000005</v>
          </cell>
        </row>
        <row r="239">
          <cell r="A239" t="str">
            <v/>
          </cell>
          <cell r="C239" t="str">
            <v>NS形　両受曲管</v>
          </cell>
          <cell r="D239" t="str">
            <v>φ300　45度</v>
          </cell>
          <cell r="E239">
            <v>0.25</v>
          </cell>
        </row>
        <row r="240">
          <cell r="A240" t="str">
            <v/>
          </cell>
          <cell r="C240" t="str">
            <v>NS形　両受曲管</v>
          </cell>
          <cell r="D240" t="str">
            <v>φ400　45度</v>
          </cell>
          <cell r="E240">
            <v>0.33600000000000002</v>
          </cell>
        </row>
        <row r="241">
          <cell r="A241" t="str">
            <v/>
          </cell>
          <cell r="B241" t="str">
            <v>S8723</v>
          </cell>
          <cell r="C241" t="str">
            <v>NS形　曲　管</v>
          </cell>
          <cell r="D241" t="str">
            <v>φ75　22度1/2</v>
          </cell>
          <cell r="E241">
            <v>0.35</v>
          </cell>
        </row>
        <row r="242">
          <cell r="A242" t="str">
            <v/>
          </cell>
          <cell r="B242" t="str">
            <v>S8723</v>
          </cell>
          <cell r="C242" t="str">
            <v>NS形　曲　管</v>
          </cell>
          <cell r="D242" t="str">
            <v>φ100　22度1/2</v>
          </cell>
          <cell r="E242">
            <v>0.4</v>
          </cell>
        </row>
        <row r="243">
          <cell r="A243" t="str">
            <v/>
          </cell>
          <cell r="B243" t="str">
            <v>S8723</v>
          </cell>
          <cell r="C243" t="str">
            <v>NS形　曲　管</v>
          </cell>
          <cell r="D243" t="str">
            <v>φ150　22度1/2</v>
          </cell>
          <cell r="E243">
            <v>0.44900000000000001</v>
          </cell>
        </row>
        <row r="244">
          <cell r="A244" t="str">
            <v/>
          </cell>
          <cell r="B244" t="str">
            <v>S8723</v>
          </cell>
          <cell r="C244" t="str">
            <v>NS形　曲　管</v>
          </cell>
          <cell r="D244" t="str">
            <v>φ200　22度1/2</v>
          </cell>
          <cell r="E244">
            <v>0.44900000000000001</v>
          </cell>
        </row>
        <row r="245">
          <cell r="A245" t="str">
            <v/>
          </cell>
          <cell r="B245" t="str">
            <v>S8723</v>
          </cell>
          <cell r="C245" t="str">
            <v>NS形　曲　管</v>
          </cell>
          <cell r="D245" t="str">
            <v>φ300　22度1/2</v>
          </cell>
          <cell r="E245">
            <v>0.36399999999999999</v>
          </cell>
        </row>
        <row r="246">
          <cell r="A246" t="str">
            <v/>
          </cell>
          <cell r="B246" t="str">
            <v>S8723</v>
          </cell>
          <cell r="C246" t="str">
            <v>NS形　曲　管</v>
          </cell>
          <cell r="D246" t="str">
            <v>φ400　22度1/2</v>
          </cell>
          <cell r="E246">
            <v>0.42299999999999999</v>
          </cell>
        </row>
        <row r="247">
          <cell r="A247" t="str">
            <v/>
          </cell>
          <cell r="C247" t="str">
            <v>NS形　両受曲管</v>
          </cell>
          <cell r="D247" t="str">
            <v>φ300　22度1/2</v>
          </cell>
          <cell r="E247">
            <v>0.16900000000000001</v>
          </cell>
        </row>
        <row r="248">
          <cell r="A248" t="str">
            <v/>
          </cell>
          <cell r="C248" t="str">
            <v>NS形　両受曲管</v>
          </cell>
          <cell r="D248" t="str">
            <v>φ400　22度1/2</v>
          </cell>
          <cell r="E248">
            <v>0.20799999999999999</v>
          </cell>
        </row>
        <row r="249">
          <cell r="A249" t="str">
            <v/>
          </cell>
          <cell r="B249" t="str">
            <v>S8723</v>
          </cell>
          <cell r="C249" t="str">
            <v>NS形　曲　管</v>
          </cell>
          <cell r="D249" t="str">
            <v>φ75　11度1/4</v>
          </cell>
          <cell r="E249">
            <v>0.35</v>
          </cell>
        </row>
        <row r="250">
          <cell r="A250" t="str">
            <v/>
          </cell>
          <cell r="B250" t="str">
            <v>S8723</v>
          </cell>
          <cell r="C250" t="str">
            <v>NS形　曲　管</v>
          </cell>
          <cell r="D250" t="str">
            <v>φ100　11度1/4</v>
          </cell>
          <cell r="E250">
            <v>0.35</v>
          </cell>
        </row>
        <row r="251">
          <cell r="A251" t="str">
            <v/>
          </cell>
          <cell r="B251" t="str">
            <v>S8723</v>
          </cell>
          <cell r="C251" t="str">
            <v>NS形　曲　管</v>
          </cell>
          <cell r="D251" t="str">
            <v>φ150　11度1/4</v>
          </cell>
          <cell r="E251">
            <v>0.35</v>
          </cell>
        </row>
        <row r="252">
          <cell r="A252" t="str">
            <v/>
          </cell>
          <cell r="B252" t="str">
            <v>S8723</v>
          </cell>
          <cell r="C252" t="str">
            <v>NS形　曲　管</v>
          </cell>
          <cell r="D252" t="str">
            <v>φ200　11度1/4</v>
          </cell>
          <cell r="E252">
            <v>0.45</v>
          </cell>
        </row>
        <row r="253">
          <cell r="A253" t="str">
            <v/>
          </cell>
          <cell r="B253" t="str">
            <v>S8723</v>
          </cell>
          <cell r="C253" t="str">
            <v>NS形　曲　管</v>
          </cell>
          <cell r="D253" t="str">
            <v>φ300　11度1/4</v>
          </cell>
          <cell r="E253">
            <v>0.32</v>
          </cell>
        </row>
        <row r="254">
          <cell r="A254" t="str">
            <v/>
          </cell>
          <cell r="B254" t="str">
            <v>S8723</v>
          </cell>
          <cell r="C254" t="str">
            <v>NS形　曲　管</v>
          </cell>
          <cell r="D254" t="str">
            <v>φ400　11度1/4</v>
          </cell>
          <cell r="E254">
            <v>0.36</v>
          </cell>
        </row>
        <row r="255">
          <cell r="A255" t="str">
            <v/>
          </cell>
          <cell r="B255" t="str">
            <v>S8723</v>
          </cell>
          <cell r="C255" t="str">
            <v>NS形　曲　管</v>
          </cell>
          <cell r="D255" t="str">
            <v>φ75　5度5/8</v>
          </cell>
          <cell r="E255">
            <v>0.35</v>
          </cell>
        </row>
        <row r="256">
          <cell r="A256" t="str">
            <v/>
          </cell>
          <cell r="B256" t="str">
            <v>S8723</v>
          </cell>
          <cell r="C256" t="str">
            <v>NS形　曲　管</v>
          </cell>
          <cell r="D256" t="str">
            <v>φ100　5度5/8</v>
          </cell>
          <cell r="E256">
            <v>0.35</v>
          </cell>
        </row>
        <row r="257">
          <cell r="A257" t="str">
            <v/>
          </cell>
          <cell r="B257" t="str">
            <v>S8723</v>
          </cell>
          <cell r="C257" t="str">
            <v>NS形　曲　管</v>
          </cell>
          <cell r="D257" t="str">
            <v>φ150　5度5/8</v>
          </cell>
          <cell r="E257">
            <v>0.35</v>
          </cell>
        </row>
        <row r="258">
          <cell r="A258" t="str">
            <v/>
          </cell>
          <cell r="B258" t="str">
            <v>S8723</v>
          </cell>
          <cell r="C258" t="str">
            <v>NS形　曲　管</v>
          </cell>
          <cell r="D258" t="str">
            <v>φ200　5度5/8</v>
          </cell>
          <cell r="E258">
            <v>0.45</v>
          </cell>
        </row>
        <row r="259">
          <cell r="A259" t="str">
            <v/>
          </cell>
          <cell r="B259" t="str">
            <v>S8723</v>
          </cell>
          <cell r="C259" t="str">
            <v>NS形　曲　管</v>
          </cell>
          <cell r="D259" t="str">
            <v>φ300　5度5/8</v>
          </cell>
          <cell r="E259">
            <v>0.29499999999999998</v>
          </cell>
        </row>
        <row r="260">
          <cell r="A260" t="str">
            <v/>
          </cell>
          <cell r="B260" t="str">
            <v>S8723</v>
          </cell>
          <cell r="C260" t="str">
            <v>NS形　曲　管</v>
          </cell>
          <cell r="D260" t="str">
            <v>φ400　5度5/8</v>
          </cell>
          <cell r="E260">
            <v>0.32500000000000001</v>
          </cell>
        </row>
        <row r="261">
          <cell r="A261" t="str">
            <v/>
          </cell>
          <cell r="B261" t="str">
            <v>S8723</v>
          </cell>
          <cell r="C261" t="str">
            <v>NS形　継輪（普通押輪）</v>
          </cell>
          <cell r="D261" t="str">
            <v>φ75</v>
          </cell>
          <cell r="E261">
            <v>0.22</v>
          </cell>
        </row>
        <row r="262">
          <cell r="A262" t="str">
            <v/>
          </cell>
          <cell r="B262" t="str">
            <v>S8723</v>
          </cell>
          <cell r="C262" t="str">
            <v>NS形　継輪（普通押輪）</v>
          </cell>
          <cell r="D262" t="str">
            <v>φ100</v>
          </cell>
          <cell r="E262">
            <v>0.22</v>
          </cell>
        </row>
        <row r="263">
          <cell r="A263" t="str">
            <v/>
          </cell>
          <cell r="B263" t="str">
            <v>S8723</v>
          </cell>
          <cell r="C263" t="str">
            <v>NS形　継輪（普通押輪）</v>
          </cell>
          <cell r="D263" t="str">
            <v>φ150</v>
          </cell>
          <cell r="E263">
            <v>0.25</v>
          </cell>
        </row>
        <row r="264">
          <cell r="A264" t="str">
            <v/>
          </cell>
          <cell r="B264" t="str">
            <v>S8723</v>
          </cell>
          <cell r="C264" t="str">
            <v>NS形　継輪（普通押輪）</v>
          </cell>
          <cell r="D264" t="str">
            <v>φ200</v>
          </cell>
          <cell r="E264">
            <v>0.25</v>
          </cell>
        </row>
        <row r="265">
          <cell r="A265" t="str">
            <v/>
          </cell>
          <cell r="B265" t="str">
            <v>S8723</v>
          </cell>
          <cell r="C265" t="str">
            <v>NS形　継輪（普通押輪）</v>
          </cell>
          <cell r="D265" t="str">
            <v>φ250</v>
          </cell>
          <cell r="E265">
            <v>0.25</v>
          </cell>
        </row>
        <row r="266">
          <cell r="A266" t="str">
            <v/>
          </cell>
          <cell r="B266" t="str">
            <v>S8723</v>
          </cell>
          <cell r="C266" t="str">
            <v>NS形　継輪（普通押輪）</v>
          </cell>
          <cell r="D266" t="str">
            <v>φ300</v>
          </cell>
          <cell r="E266">
            <v>0.3</v>
          </cell>
        </row>
        <row r="267">
          <cell r="A267" t="str">
            <v/>
          </cell>
          <cell r="B267" t="str">
            <v>S8723</v>
          </cell>
          <cell r="C267" t="str">
            <v>NS形　継輪（普通押輪）</v>
          </cell>
          <cell r="D267" t="str">
            <v>φ350</v>
          </cell>
          <cell r="E267">
            <v>0.3</v>
          </cell>
        </row>
        <row r="268">
          <cell r="A268" t="str">
            <v/>
          </cell>
          <cell r="B268" t="str">
            <v>S8723</v>
          </cell>
          <cell r="C268" t="str">
            <v>NS形　継輪（普通押輪）</v>
          </cell>
          <cell r="D268" t="str">
            <v>φ400</v>
          </cell>
          <cell r="E268">
            <v>0.3</v>
          </cell>
        </row>
        <row r="269">
          <cell r="A269" t="str">
            <v/>
          </cell>
          <cell r="B269" t="str">
            <v>S8723</v>
          </cell>
          <cell r="C269" t="str">
            <v>NS形　継輪（普通押輪）</v>
          </cell>
          <cell r="D269" t="str">
            <v>φ450</v>
          </cell>
          <cell r="E269">
            <v>0.3</v>
          </cell>
        </row>
        <row r="270">
          <cell r="A270" t="str">
            <v/>
          </cell>
          <cell r="B270" t="str">
            <v>S8723</v>
          </cell>
          <cell r="C270" t="str">
            <v>NS形　継輪（特殊割押輪）</v>
          </cell>
          <cell r="D270" t="str">
            <v>φ75</v>
          </cell>
          <cell r="E270">
            <v>0.22</v>
          </cell>
        </row>
        <row r="271">
          <cell r="A271" t="str">
            <v/>
          </cell>
          <cell r="B271" t="str">
            <v>S8723</v>
          </cell>
          <cell r="C271" t="str">
            <v>NS形　継輪（特殊割押輪）</v>
          </cell>
          <cell r="D271" t="str">
            <v>φ100</v>
          </cell>
          <cell r="E271">
            <v>0.22</v>
          </cell>
        </row>
        <row r="272">
          <cell r="A272" t="str">
            <v/>
          </cell>
          <cell r="B272" t="str">
            <v>S8723</v>
          </cell>
          <cell r="C272" t="str">
            <v>NS形　継輪（特殊割押輪）</v>
          </cell>
          <cell r="D272" t="str">
            <v>φ150</v>
          </cell>
          <cell r="E272">
            <v>0.25</v>
          </cell>
        </row>
        <row r="273">
          <cell r="A273" t="str">
            <v/>
          </cell>
          <cell r="B273" t="str">
            <v>S8723</v>
          </cell>
          <cell r="C273" t="str">
            <v>NS形　継輪（特殊割押輪）</v>
          </cell>
          <cell r="D273" t="str">
            <v>φ200</v>
          </cell>
          <cell r="E273">
            <v>0.25</v>
          </cell>
        </row>
        <row r="274">
          <cell r="A274" t="str">
            <v/>
          </cell>
          <cell r="B274" t="str">
            <v>S8723</v>
          </cell>
          <cell r="C274" t="str">
            <v>NS形　継輪（特殊割押輪）</v>
          </cell>
          <cell r="D274" t="str">
            <v>φ250</v>
          </cell>
          <cell r="E274">
            <v>0.25</v>
          </cell>
        </row>
        <row r="275">
          <cell r="A275" t="str">
            <v/>
          </cell>
          <cell r="B275" t="str">
            <v>S8723</v>
          </cell>
          <cell r="C275" t="str">
            <v>NS形　継輪（特殊割押輪）</v>
          </cell>
          <cell r="D275" t="str">
            <v>φ300</v>
          </cell>
          <cell r="E275">
            <v>0.3</v>
          </cell>
        </row>
        <row r="276">
          <cell r="A276" t="str">
            <v/>
          </cell>
          <cell r="B276" t="str">
            <v>S8723</v>
          </cell>
          <cell r="C276" t="str">
            <v>NS形　継輪（特殊割押輪）</v>
          </cell>
          <cell r="D276" t="str">
            <v>φ350</v>
          </cell>
          <cell r="E276">
            <v>0.3</v>
          </cell>
        </row>
        <row r="277">
          <cell r="A277" t="str">
            <v/>
          </cell>
          <cell r="B277" t="str">
            <v>S8723</v>
          </cell>
          <cell r="C277" t="str">
            <v>NS形　継輪（特殊割押輪）</v>
          </cell>
          <cell r="D277" t="str">
            <v>φ400</v>
          </cell>
          <cell r="E277">
            <v>0.3</v>
          </cell>
        </row>
        <row r="278">
          <cell r="A278" t="str">
            <v/>
          </cell>
          <cell r="B278" t="str">
            <v>S8723</v>
          </cell>
          <cell r="C278" t="str">
            <v>NS形　継輪（特殊割押輪）</v>
          </cell>
          <cell r="D278" t="str">
            <v>φ450</v>
          </cell>
          <cell r="E278">
            <v>0.3</v>
          </cell>
        </row>
        <row r="279">
          <cell r="A279" t="str">
            <v/>
          </cell>
          <cell r="B279" t="str">
            <v>S8722</v>
          </cell>
          <cell r="C279" t="str">
            <v>NS形　二受丁字管</v>
          </cell>
          <cell r="D279" t="str">
            <v>φ75×φ75</v>
          </cell>
          <cell r="E279">
            <v>0.45</v>
          </cell>
        </row>
        <row r="280">
          <cell r="A280" t="str">
            <v/>
          </cell>
          <cell r="B280" t="str">
            <v>S8722</v>
          </cell>
          <cell r="C280" t="str">
            <v>NS形　二受丁字管</v>
          </cell>
          <cell r="D280" t="str">
            <v>φ100×φ75</v>
          </cell>
          <cell r="E280">
            <v>0.45</v>
          </cell>
        </row>
        <row r="281">
          <cell r="A281" t="str">
            <v/>
          </cell>
          <cell r="B281" t="str">
            <v>S8722</v>
          </cell>
          <cell r="C281" t="str">
            <v>NS形　二受丁字管</v>
          </cell>
          <cell r="D281" t="str">
            <v>φ100×φ100</v>
          </cell>
          <cell r="E281">
            <v>0.5</v>
          </cell>
        </row>
        <row r="282">
          <cell r="A282" t="str">
            <v/>
          </cell>
          <cell r="B282" t="str">
            <v>S8722</v>
          </cell>
          <cell r="C282" t="str">
            <v>NS形　二受丁字管</v>
          </cell>
          <cell r="D282" t="str">
            <v>φ150×φ75</v>
          </cell>
          <cell r="E282">
            <v>0.45</v>
          </cell>
        </row>
        <row r="283">
          <cell r="A283" t="str">
            <v/>
          </cell>
          <cell r="B283" t="str">
            <v>S8722</v>
          </cell>
          <cell r="C283" t="str">
            <v>NS形　二受丁字管</v>
          </cell>
          <cell r="D283" t="str">
            <v>φ150×φ100</v>
          </cell>
          <cell r="E283">
            <v>0.55000000000000004</v>
          </cell>
        </row>
        <row r="284">
          <cell r="A284" t="str">
            <v/>
          </cell>
          <cell r="B284" t="str">
            <v>S8722</v>
          </cell>
          <cell r="C284" t="str">
            <v>NS形　二受丁字管</v>
          </cell>
          <cell r="D284" t="str">
            <v>φ150×φ150</v>
          </cell>
          <cell r="E284">
            <v>0.55000000000000004</v>
          </cell>
        </row>
        <row r="285">
          <cell r="A285" t="str">
            <v/>
          </cell>
          <cell r="B285" t="str">
            <v>S8722</v>
          </cell>
          <cell r="C285" t="str">
            <v>NS形　二受丁字管</v>
          </cell>
          <cell r="D285" t="str">
            <v>φ200×φ100</v>
          </cell>
          <cell r="E285">
            <v>0.55000000000000004</v>
          </cell>
        </row>
        <row r="286">
          <cell r="A286" t="str">
            <v/>
          </cell>
          <cell r="B286" t="str">
            <v>S8722</v>
          </cell>
          <cell r="C286" t="str">
            <v>NS形　二受丁字管</v>
          </cell>
          <cell r="D286" t="str">
            <v>φ200×φ150</v>
          </cell>
          <cell r="E286">
            <v>0.55000000000000004</v>
          </cell>
        </row>
        <row r="287">
          <cell r="A287" t="str">
            <v/>
          </cell>
          <cell r="B287" t="str">
            <v>S8722</v>
          </cell>
          <cell r="C287" t="str">
            <v>NS形　二受丁字管</v>
          </cell>
          <cell r="D287" t="str">
            <v>φ200×φ200</v>
          </cell>
          <cell r="E287">
            <v>0.65</v>
          </cell>
        </row>
        <row r="288">
          <cell r="A288" t="str">
            <v/>
          </cell>
          <cell r="B288" t="str">
            <v>S8722</v>
          </cell>
          <cell r="C288" t="str">
            <v>NS形　二受丁字管</v>
          </cell>
          <cell r="D288" t="str">
            <v>φ300×φ100</v>
          </cell>
          <cell r="E288">
            <v>0.43</v>
          </cell>
        </row>
        <row r="289">
          <cell r="A289" t="str">
            <v/>
          </cell>
          <cell r="B289" t="str">
            <v>S8722</v>
          </cell>
          <cell r="C289" t="str">
            <v>NS形　二受丁字管</v>
          </cell>
          <cell r="D289" t="str">
            <v>φ300×φ150</v>
          </cell>
          <cell r="E289">
            <v>0.49</v>
          </cell>
        </row>
        <row r="290">
          <cell r="A290" t="str">
            <v/>
          </cell>
          <cell r="B290" t="str">
            <v>S8722</v>
          </cell>
          <cell r="C290" t="str">
            <v>NS形　二受丁字管</v>
          </cell>
          <cell r="D290" t="str">
            <v>φ300×φ200</v>
          </cell>
          <cell r="E290">
            <v>0.54</v>
          </cell>
        </row>
        <row r="291">
          <cell r="A291" t="str">
            <v/>
          </cell>
          <cell r="B291" t="str">
            <v>S8722</v>
          </cell>
          <cell r="C291" t="str">
            <v>NS形　二受丁字管</v>
          </cell>
          <cell r="D291" t="str">
            <v>φ300×φ300</v>
          </cell>
          <cell r="E291">
            <v>0.66500000000000004</v>
          </cell>
        </row>
        <row r="292">
          <cell r="A292" t="str">
            <v/>
          </cell>
          <cell r="B292" t="str">
            <v>S8722</v>
          </cell>
          <cell r="C292" t="str">
            <v>NS形　二受丁字管</v>
          </cell>
          <cell r="D292" t="str">
            <v>φ400×φ300</v>
          </cell>
          <cell r="E292">
            <v>0.68500000000000005</v>
          </cell>
        </row>
        <row r="293">
          <cell r="A293" t="str">
            <v/>
          </cell>
          <cell r="B293" t="str">
            <v>S8722</v>
          </cell>
          <cell r="C293" t="str">
            <v>NS形　二受丁字管</v>
          </cell>
          <cell r="D293" t="str">
            <v>φ400×φ400</v>
          </cell>
          <cell r="E293">
            <v>0.81</v>
          </cell>
        </row>
        <row r="294">
          <cell r="A294" t="str">
            <v/>
          </cell>
          <cell r="B294" t="str">
            <v>S8722</v>
          </cell>
          <cell r="C294" t="str">
            <v>NS形　挿受片落管</v>
          </cell>
          <cell r="D294" t="str">
            <v>φ100×φ75</v>
          </cell>
          <cell r="E294">
            <v>0.45</v>
          </cell>
        </row>
        <row r="295">
          <cell r="A295" t="str">
            <v/>
          </cell>
          <cell r="B295" t="str">
            <v>S8722</v>
          </cell>
          <cell r="C295" t="str">
            <v>NS形　挿受片落管</v>
          </cell>
          <cell r="D295" t="str">
            <v>φ150×φ100</v>
          </cell>
          <cell r="E295">
            <v>0.45</v>
          </cell>
        </row>
        <row r="296">
          <cell r="A296" t="str">
            <v/>
          </cell>
          <cell r="B296" t="str">
            <v>S8722</v>
          </cell>
          <cell r="C296" t="str">
            <v>NS形　挿受片落管</v>
          </cell>
          <cell r="D296" t="str">
            <v>φ200×φ100</v>
          </cell>
          <cell r="E296">
            <v>0.55000000000000004</v>
          </cell>
        </row>
        <row r="297">
          <cell r="A297" t="str">
            <v/>
          </cell>
          <cell r="B297" t="str">
            <v>S8722</v>
          </cell>
          <cell r="C297" t="str">
            <v>NS形　挿受片落管</v>
          </cell>
          <cell r="D297" t="str">
            <v>φ200×φ150</v>
          </cell>
          <cell r="E297">
            <v>0.45</v>
          </cell>
        </row>
        <row r="298">
          <cell r="A298" t="str">
            <v/>
          </cell>
          <cell r="B298" t="str">
            <v>S8722</v>
          </cell>
          <cell r="C298" t="str">
            <v>NS形　挿受片落管</v>
          </cell>
          <cell r="D298" t="str">
            <v>φ250×φ100</v>
          </cell>
          <cell r="E298">
            <v>0.7</v>
          </cell>
        </row>
        <row r="299">
          <cell r="A299" t="str">
            <v/>
          </cell>
          <cell r="B299" t="str">
            <v>S8722</v>
          </cell>
          <cell r="C299" t="str">
            <v>NS形　挿受片落管</v>
          </cell>
          <cell r="D299" t="str">
            <v>φ250×φ150</v>
          </cell>
          <cell r="E299">
            <v>0.6</v>
          </cell>
        </row>
        <row r="300">
          <cell r="A300" t="str">
            <v/>
          </cell>
          <cell r="B300" t="str">
            <v>S8722</v>
          </cell>
          <cell r="C300" t="str">
            <v>NS形　挿受片落管</v>
          </cell>
          <cell r="D300" t="str">
            <v>φ250×φ200</v>
          </cell>
          <cell r="E300">
            <v>0.5</v>
          </cell>
        </row>
        <row r="301">
          <cell r="A301" t="str">
            <v/>
          </cell>
          <cell r="B301" t="str">
            <v>S8722</v>
          </cell>
          <cell r="C301" t="str">
            <v>NS形　挿受片落管</v>
          </cell>
          <cell r="D301" t="str">
            <v>φ300×φ100</v>
          </cell>
          <cell r="E301">
            <v>0.73499999999999999</v>
          </cell>
        </row>
        <row r="302">
          <cell r="A302" t="str">
            <v/>
          </cell>
          <cell r="B302" t="str">
            <v>S8722</v>
          </cell>
          <cell r="C302" t="str">
            <v>NS形　挿受片落管</v>
          </cell>
          <cell r="D302" t="str">
            <v>φ300×φ150</v>
          </cell>
          <cell r="E302">
            <v>0.63500000000000001</v>
          </cell>
        </row>
        <row r="303">
          <cell r="A303" t="str">
            <v/>
          </cell>
          <cell r="B303" t="str">
            <v>S8722</v>
          </cell>
          <cell r="C303" t="str">
            <v>NS形　挿受片落管</v>
          </cell>
          <cell r="D303" t="str">
            <v>φ300×φ200</v>
          </cell>
          <cell r="E303">
            <v>0.53500000000000003</v>
          </cell>
        </row>
        <row r="304">
          <cell r="A304" t="str">
            <v/>
          </cell>
          <cell r="B304" t="str">
            <v>S8722</v>
          </cell>
          <cell r="C304" t="str">
            <v>NS形　挿受片落管</v>
          </cell>
          <cell r="D304" t="str">
            <v>φ300×φ250</v>
          </cell>
          <cell r="E304">
            <v>0.435</v>
          </cell>
        </row>
        <row r="305">
          <cell r="A305" t="str">
            <v/>
          </cell>
          <cell r="B305" t="str">
            <v>S8722</v>
          </cell>
          <cell r="C305" t="str">
            <v>NS形　挿受片落管</v>
          </cell>
          <cell r="D305" t="str">
            <v>φ350×φ150</v>
          </cell>
          <cell r="E305">
            <v>0.74</v>
          </cell>
        </row>
        <row r="306">
          <cell r="A306" t="str">
            <v/>
          </cell>
          <cell r="B306" t="str">
            <v>S8722</v>
          </cell>
          <cell r="C306" t="str">
            <v>NS形　挿受片落管</v>
          </cell>
          <cell r="D306" t="str">
            <v>φ350×φ200</v>
          </cell>
          <cell r="E306">
            <v>0.64</v>
          </cell>
        </row>
        <row r="307">
          <cell r="A307" t="str">
            <v/>
          </cell>
          <cell r="B307" t="str">
            <v>S8722</v>
          </cell>
          <cell r="C307" t="str">
            <v>NS形　挿受片落管</v>
          </cell>
          <cell r="D307" t="str">
            <v>φ350×φ250</v>
          </cell>
          <cell r="E307">
            <v>0.54</v>
          </cell>
        </row>
        <row r="308">
          <cell r="A308" t="str">
            <v/>
          </cell>
          <cell r="B308" t="str">
            <v>S8722</v>
          </cell>
          <cell r="C308" t="str">
            <v>NS形　挿受片落管</v>
          </cell>
          <cell r="D308" t="str">
            <v>φ350×φ300</v>
          </cell>
          <cell r="E308">
            <v>0.375</v>
          </cell>
        </row>
        <row r="309">
          <cell r="A309" t="str">
            <v/>
          </cell>
          <cell r="B309" t="str">
            <v>S8722</v>
          </cell>
          <cell r="C309" t="str">
            <v>NS形　挿受片落管</v>
          </cell>
          <cell r="D309" t="str">
            <v>φ400×φ150</v>
          </cell>
          <cell r="E309">
            <v>0.85499999999999998</v>
          </cell>
        </row>
        <row r="310">
          <cell r="A310" t="str">
            <v/>
          </cell>
          <cell r="B310" t="str">
            <v>S8722</v>
          </cell>
          <cell r="C310" t="str">
            <v>NS形　挿受片落管</v>
          </cell>
          <cell r="D310" t="str">
            <v>φ400×φ200</v>
          </cell>
          <cell r="E310">
            <v>0.755</v>
          </cell>
        </row>
        <row r="311">
          <cell r="A311" t="str">
            <v/>
          </cell>
          <cell r="B311" t="str">
            <v>S8722</v>
          </cell>
          <cell r="C311" t="str">
            <v>NS形　挿受片落管</v>
          </cell>
          <cell r="D311" t="str">
            <v>φ400×φ250</v>
          </cell>
          <cell r="E311">
            <v>0.65500000000000003</v>
          </cell>
        </row>
        <row r="312">
          <cell r="A312" t="str">
            <v/>
          </cell>
          <cell r="B312" t="str">
            <v>S8722</v>
          </cell>
          <cell r="C312" t="str">
            <v>NS形　挿受片落管</v>
          </cell>
          <cell r="D312" t="str">
            <v>φ400×φ300</v>
          </cell>
          <cell r="E312">
            <v>0.49</v>
          </cell>
        </row>
        <row r="313">
          <cell r="A313" t="str">
            <v/>
          </cell>
          <cell r="B313" t="str">
            <v>S8722</v>
          </cell>
          <cell r="C313" t="str">
            <v>NS形　挿受片落管</v>
          </cell>
          <cell r="D313" t="str">
            <v>φ400×φ350</v>
          </cell>
          <cell r="E313">
            <v>0.39500000000000002</v>
          </cell>
        </row>
        <row r="314">
          <cell r="A314" t="str">
            <v/>
          </cell>
          <cell r="B314" t="str">
            <v>S8722</v>
          </cell>
          <cell r="C314" t="str">
            <v>NS形　挿受片落管</v>
          </cell>
          <cell r="D314" t="str">
            <v>φ450×φ200</v>
          </cell>
          <cell r="E314">
            <v>0.85499999999999998</v>
          </cell>
        </row>
        <row r="315">
          <cell r="A315" t="str">
            <v/>
          </cell>
          <cell r="B315" t="str">
            <v>S8722</v>
          </cell>
          <cell r="C315" t="str">
            <v>NS形　挿受片落管</v>
          </cell>
          <cell r="D315" t="str">
            <v>φ450×φ250</v>
          </cell>
          <cell r="E315">
            <v>0.755</v>
          </cell>
        </row>
        <row r="316">
          <cell r="A316" t="str">
            <v/>
          </cell>
          <cell r="B316" t="str">
            <v>S8722</v>
          </cell>
          <cell r="C316" t="str">
            <v>NS形　挿受片落管</v>
          </cell>
          <cell r="D316" t="str">
            <v>φ450×φ300</v>
          </cell>
          <cell r="E316">
            <v>0.59</v>
          </cell>
        </row>
        <row r="317">
          <cell r="A317" t="str">
            <v/>
          </cell>
          <cell r="B317" t="str">
            <v>S8722</v>
          </cell>
          <cell r="C317" t="str">
            <v>NS形　挿受片落管</v>
          </cell>
          <cell r="D317" t="str">
            <v>φ450×φ350</v>
          </cell>
          <cell r="E317">
            <v>0.495</v>
          </cell>
        </row>
        <row r="318">
          <cell r="A318" t="str">
            <v/>
          </cell>
          <cell r="B318" t="str">
            <v>S8722</v>
          </cell>
          <cell r="C318" t="str">
            <v>NS形　挿受片落管</v>
          </cell>
          <cell r="D318" t="str">
            <v>φ450×φ400</v>
          </cell>
          <cell r="E318">
            <v>0.39500000000000002</v>
          </cell>
        </row>
        <row r="319">
          <cell r="A319" t="str">
            <v/>
          </cell>
          <cell r="B319" t="str">
            <v>S8722</v>
          </cell>
          <cell r="C319" t="str">
            <v>NS形　受挿片落管</v>
          </cell>
          <cell r="D319" t="str">
            <v>φ100×φ75</v>
          </cell>
          <cell r="E319">
            <v>0.45</v>
          </cell>
        </row>
        <row r="320">
          <cell r="A320" t="str">
            <v/>
          </cell>
          <cell r="B320" t="str">
            <v>S8722</v>
          </cell>
          <cell r="C320" t="str">
            <v>NS形　受挿片落管</v>
          </cell>
          <cell r="D320" t="str">
            <v>φ150×φ100</v>
          </cell>
          <cell r="E320">
            <v>0.45</v>
          </cell>
        </row>
        <row r="321">
          <cell r="A321" t="str">
            <v/>
          </cell>
          <cell r="B321" t="str">
            <v>S8722</v>
          </cell>
          <cell r="C321" t="str">
            <v>NS形　受挿片落管</v>
          </cell>
          <cell r="D321" t="str">
            <v>φ200×φ100</v>
          </cell>
          <cell r="E321">
            <v>0.55000000000000004</v>
          </cell>
        </row>
        <row r="322">
          <cell r="A322" t="str">
            <v/>
          </cell>
          <cell r="B322" t="str">
            <v>S8722</v>
          </cell>
          <cell r="C322" t="str">
            <v>NS形　受挿片落管</v>
          </cell>
          <cell r="D322" t="str">
            <v>φ200×φ150</v>
          </cell>
          <cell r="E322">
            <v>0.45</v>
          </cell>
        </row>
        <row r="323">
          <cell r="A323" t="str">
            <v/>
          </cell>
          <cell r="B323" t="str">
            <v>S8722</v>
          </cell>
          <cell r="C323" t="str">
            <v>NS形　受挿片落管</v>
          </cell>
          <cell r="D323" t="str">
            <v>φ250×φ100</v>
          </cell>
          <cell r="E323">
            <v>0.65</v>
          </cell>
        </row>
        <row r="324">
          <cell r="A324" t="str">
            <v/>
          </cell>
          <cell r="B324" t="str">
            <v>S8722</v>
          </cell>
          <cell r="C324" t="str">
            <v>NS形　受挿片落管</v>
          </cell>
          <cell r="D324" t="str">
            <v>φ250×φ150</v>
          </cell>
          <cell r="E324">
            <v>0.55000000000000004</v>
          </cell>
        </row>
        <row r="325">
          <cell r="A325" t="str">
            <v/>
          </cell>
          <cell r="B325" t="str">
            <v>S8722</v>
          </cell>
          <cell r="C325" t="str">
            <v>NS形　受挿片落管</v>
          </cell>
          <cell r="D325" t="str">
            <v>φ250×φ200</v>
          </cell>
          <cell r="E325">
            <v>0.45</v>
          </cell>
        </row>
        <row r="326">
          <cell r="A326" t="str">
            <v/>
          </cell>
          <cell r="B326" t="str">
            <v>S8722</v>
          </cell>
          <cell r="C326" t="str">
            <v>NS形　受挿片落管</v>
          </cell>
          <cell r="D326" t="str">
            <v>φ300×φ100</v>
          </cell>
          <cell r="E326">
            <v>0.68500000000000005</v>
          </cell>
        </row>
        <row r="327">
          <cell r="A327" t="str">
            <v/>
          </cell>
          <cell r="B327" t="str">
            <v>S8722</v>
          </cell>
          <cell r="C327" t="str">
            <v>NS形　受挿片落管</v>
          </cell>
          <cell r="D327" t="str">
            <v>φ300×φ150</v>
          </cell>
          <cell r="E327">
            <v>0.58499999999999996</v>
          </cell>
        </row>
        <row r="328">
          <cell r="A328" t="str">
            <v/>
          </cell>
          <cell r="B328" t="str">
            <v>S8722</v>
          </cell>
          <cell r="C328" t="str">
            <v>NS形　受挿片落管</v>
          </cell>
          <cell r="D328" t="str">
            <v>φ300×φ200</v>
          </cell>
          <cell r="E328">
            <v>0.48499999999999999</v>
          </cell>
        </row>
        <row r="329">
          <cell r="A329" t="str">
            <v/>
          </cell>
          <cell r="B329" t="str">
            <v>S8722</v>
          </cell>
          <cell r="C329" t="str">
            <v>NS形　受挿片落管</v>
          </cell>
          <cell r="D329" t="str">
            <v>φ300×φ250</v>
          </cell>
          <cell r="E329">
            <v>0.435</v>
          </cell>
        </row>
        <row r="330">
          <cell r="A330" t="str">
            <v/>
          </cell>
          <cell r="B330" t="str">
            <v>S8722</v>
          </cell>
          <cell r="C330" t="str">
            <v>NS形　受挿片落管</v>
          </cell>
          <cell r="D330" t="str">
            <v>φ350×φ150</v>
          </cell>
          <cell r="E330">
            <v>0.69</v>
          </cell>
        </row>
        <row r="331">
          <cell r="A331" t="str">
            <v/>
          </cell>
          <cell r="B331" t="str">
            <v>S8722</v>
          </cell>
          <cell r="C331" t="str">
            <v>NS形　受挿片落管</v>
          </cell>
          <cell r="D331" t="str">
            <v>φ350×φ200</v>
          </cell>
          <cell r="E331">
            <v>0.59</v>
          </cell>
        </row>
        <row r="332">
          <cell r="A332" t="str">
            <v/>
          </cell>
          <cell r="B332" t="str">
            <v>S8722</v>
          </cell>
          <cell r="C332" t="str">
            <v>NS形　受挿片落管</v>
          </cell>
          <cell r="D332" t="str">
            <v>φ350×φ250</v>
          </cell>
          <cell r="E332">
            <v>0.54</v>
          </cell>
        </row>
        <row r="333">
          <cell r="A333" t="str">
            <v/>
          </cell>
          <cell r="B333" t="str">
            <v>S8722</v>
          </cell>
          <cell r="C333" t="str">
            <v>NS形　受挿片落管</v>
          </cell>
          <cell r="D333" t="str">
            <v>φ350×φ300</v>
          </cell>
          <cell r="E333">
            <v>0.375</v>
          </cell>
        </row>
        <row r="334">
          <cell r="A334" t="str">
            <v/>
          </cell>
          <cell r="B334" t="str">
            <v>S8722</v>
          </cell>
          <cell r="C334" t="str">
            <v>NS形　受挿片落管</v>
          </cell>
          <cell r="D334" t="str">
            <v>φ400×φ150</v>
          </cell>
          <cell r="E334">
            <v>0.79</v>
          </cell>
        </row>
        <row r="335">
          <cell r="A335" t="str">
            <v/>
          </cell>
          <cell r="B335" t="str">
            <v>S8722</v>
          </cell>
          <cell r="C335" t="str">
            <v>NS形　受挿片落管</v>
          </cell>
          <cell r="D335" t="str">
            <v>φ400×φ200</v>
          </cell>
          <cell r="E335">
            <v>0.69</v>
          </cell>
        </row>
        <row r="336">
          <cell r="A336" t="str">
            <v/>
          </cell>
          <cell r="B336" t="str">
            <v>S8722</v>
          </cell>
          <cell r="C336" t="str">
            <v>NS形　受挿片落管</v>
          </cell>
          <cell r="D336" t="str">
            <v>φ400×φ250</v>
          </cell>
          <cell r="E336">
            <v>0.64</v>
          </cell>
        </row>
        <row r="337">
          <cell r="A337" t="str">
            <v/>
          </cell>
          <cell r="B337" t="str">
            <v>S8722</v>
          </cell>
          <cell r="C337" t="str">
            <v>NS形　受挿片落管</v>
          </cell>
          <cell r="D337" t="str">
            <v>φ400×φ300</v>
          </cell>
          <cell r="E337">
            <v>0.47499999999999998</v>
          </cell>
        </row>
        <row r="338">
          <cell r="A338" t="str">
            <v/>
          </cell>
          <cell r="B338" t="str">
            <v>S8722</v>
          </cell>
          <cell r="C338" t="str">
            <v>NS形　受挿片落管</v>
          </cell>
          <cell r="D338" t="str">
            <v>φ400×φ350</v>
          </cell>
          <cell r="E338">
            <v>0.38</v>
          </cell>
        </row>
        <row r="339">
          <cell r="A339" t="str">
            <v/>
          </cell>
          <cell r="B339" t="str">
            <v>S8722</v>
          </cell>
          <cell r="C339" t="str">
            <v>NS形　受挿片落管</v>
          </cell>
          <cell r="D339" t="str">
            <v>φ450×φ200</v>
          </cell>
          <cell r="E339">
            <v>0.79</v>
          </cell>
        </row>
        <row r="340">
          <cell r="A340" t="str">
            <v/>
          </cell>
          <cell r="B340" t="str">
            <v>S8722</v>
          </cell>
          <cell r="C340" t="str">
            <v>NS形　受挿片落管</v>
          </cell>
          <cell r="D340" t="str">
            <v>φ450×φ250</v>
          </cell>
          <cell r="E340">
            <v>0.74</v>
          </cell>
        </row>
        <row r="341">
          <cell r="A341" t="str">
            <v/>
          </cell>
          <cell r="B341" t="str">
            <v>S8722</v>
          </cell>
          <cell r="C341" t="str">
            <v>NS形　受挿片落管</v>
          </cell>
          <cell r="D341" t="str">
            <v>φ450×φ300</v>
          </cell>
          <cell r="E341">
            <v>0.57499999999999996</v>
          </cell>
        </row>
        <row r="342">
          <cell r="A342" t="str">
            <v/>
          </cell>
          <cell r="B342" t="str">
            <v>S8722</v>
          </cell>
          <cell r="C342" t="str">
            <v>NS形　受挿片落管</v>
          </cell>
          <cell r="D342" t="str">
            <v>φ450×φ350</v>
          </cell>
          <cell r="E342">
            <v>0.48</v>
          </cell>
        </row>
        <row r="343">
          <cell r="A343" t="str">
            <v/>
          </cell>
          <cell r="B343" t="str">
            <v>S8722</v>
          </cell>
          <cell r="C343" t="str">
            <v>NS形　受挿片落管</v>
          </cell>
          <cell r="D343" t="str">
            <v>φ450×φ400</v>
          </cell>
          <cell r="E343">
            <v>0.39500000000000002</v>
          </cell>
        </row>
        <row r="344">
          <cell r="A344" t="str">
            <v/>
          </cell>
          <cell r="B344" t="str">
            <v>S8723</v>
          </cell>
          <cell r="C344" t="str">
            <v>NS形　短管1号</v>
          </cell>
          <cell r="D344" t="str">
            <v>φ75</v>
          </cell>
          <cell r="E344">
            <v>0.15</v>
          </cell>
        </row>
        <row r="345">
          <cell r="A345" t="str">
            <v/>
          </cell>
          <cell r="B345" t="str">
            <v>S8723</v>
          </cell>
          <cell r="C345" t="str">
            <v>NS形　短管1号</v>
          </cell>
          <cell r="D345" t="str">
            <v>φ100</v>
          </cell>
          <cell r="E345">
            <v>0.15</v>
          </cell>
        </row>
        <row r="346">
          <cell r="A346" t="str">
            <v/>
          </cell>
          <cell r="B346" t="str">
            <v>S8723</v>
          </cell>
          <cell r="C346" t="str">
            <v>NS形　短管1号</v>
          </cell>
          <cell r="D346" t="str">
            <v>φ150</v>
          </cell>
          <cell r="E346">
            <v>0.15</v>
          </cell>
        </row>
        <row r="347">
          <cell r="A347" t="str">
            <v/>
          </cell>
          <cell r="B347" t="str">
            <v>S8723</v>
          </cell>
          <cell r="C347" t="str">
            <v>NS形　短管1号</v>
          </cell>
          <cell r="D347" t="str">
            <v>φ200</v>
          </cell>
          <cell r="E347">
            <v>0.15</v>
          </cell>
        </row>
        <row r="348">
          <cell r="A348" t="str">
            <v/>
          </cell>
          <cell r="B348" t="str">
            <v>S8723</v>
          </cell>
          <cell r="C348" t="str">
            <v>NS形　短管1号</v>
          </cell>
          <cell r="D348" t="str">
            <v>φ300</v>
          </cell>
          <cell r="E348">
            <v>0.13500000000000001</v>
          </cell>
        </row>
        <row r="349">
          <cell r="A349" t="str">
            <v/>
          </cell>
          <cell r="B349" t="str">
            <v>S8723</v>
          </cell>
          <cell r="C349" t="str">
            <v>NS形　短管1号</v>
          </cell>
          <cell r="D349" t="str">
            <v>φ400</v>
          </cell>
          <cell r="E349">
            <v>0.14000000000000001</v>
          </cell>
        </row>
        <row r="350">
          <cell r="A350" t="str">
            <v/>
          </cell>
          <cell r="B350" t="str">
            <v>S8723</v>
          </cell>
          <cell r="C350" t="str">
            <v>NS形　短管2号</v>
          </cell>
          <cell r="D350" t="str">
            <v>φ75</v>
          </cell>
          <cell r="E350">
            <v>0.35</v>
          </cell>
        </row>
        <row r="351">
          <cell r="A351" t="str">
            <v/>
          </cell>
          <cell r="B351" t="str">
            <v>S8723</v>
          </cell>
          <cell r="C351" t="str">
            <v>NS形　短管2号</v>
          </cell>
          <cell r="D351" t="str">
            <v>φ100</v>
          </cell>
          <cell r="E351">
            <v>0.35</v>
          </cell>
        </row>
        <row r="352">
          <cell r="A352" t="str">
            <v/>
          </cell>
          <cell r="B352" t="str">
            <v>S8723</v>
          </cell>
          <cell r="C352" t="str">
            <v>NS形　短管2号</v>
          </cell>
          <cell r="D352" t="str">
            <v>φ150</v>
          </cell>
          <cell r="E352">
            <v>0.4</v>
          </cell>
        </row>
        <row r="353">
          <cell r="A353" t="str">
            <v/>
          </cell>
          <cell r="B353" t="str">
            <v>S8723</v>
          </cell>
          <cell r="C353" t="str">
            <v>NS形　短管2号</v>
          </cell>
          <cell r="D353" t="str">
            <v>φ200</v>
          </cell>
          <cell r="E353">
            <v>0.4</v>
          </cell>
        </row>
        <row r="354">
          <cell r="A354" t="str">
            <v/>
          </cell>
          <cell r="B354" t="str">
            <v>S8723</v>
          </cell>
          <cell r="C354" t="str">
            <v>NS形　短管2号</v>
          </cell>
          <cell r="D354" t="str">
            <v>φ300</v>
          </cell>
          <cell r="E354">
            <v>0.41</v>
          </cell>
        </row>
        <row r="355">
          <cell r="A355" t="str">
            <v/>
          </cell>
          <cell r="B355" t="str">
            <v>S8723</v>
          </cell>
          <cell r="C355" t="str">
            <v>NS形　短管2号</v>
          </cell>
          <cell r="D355" t="str">
            <v>φ400</v>
          </cell>
          <cell r="E355">
            <v>0.46500000000000002</v>
          </cell>
        </row>
        <row r="356">
          <cell r="A356" t="str">
            <v/>
          </cell>
          <cell r="B356" t="str">
            <v>S8722</v>
          </cell>
          <cell r="C356" t="str">
            <v>NS形　F付丁字管</v>
          </cell>
          <cell r="D356" t="str">
            <v>φ75×φ75</v>
          </cell>
          <cell r="E356">
            <v>0.45</v>
          </cell>
        </row>
        <row r="357">
          <cell r="A357" t="str">
            <v/>
          </cell>
          <cell r="B357" t="str">
            <v>S8722</v>
          </cell>
          <cell r="C357" t="str">
            <v>NS形　F付丁字管</v>
          </cell>
          <cell r="D357" t="str">
            <v>φ100×φ75</v>
          </cell>
          <cell r="E357">
            <v>0.45</v>
          </cell>
        </row>
        <row r="358">
          <cell r="A358" t="str">
            <v/>
          </cell>
          <cell r="B358" t="str">
            <v>S8722</v>
          </cell>
          <cell r="C358" t="str">
            <v>NS形　F付丁字管</v>
          </cell>
          <cell r="D358" t="str">
            <v>φ150×φ75</v>
          </cell>
          <cell r="E358">
            <v>0.45</v>
          </cell>
        </row>
        <row r="359">
          <cell r="A359" t="str">
            <v/>
          </cell>
          <cell r="B359" t="str">
            <v>S8722</v>
          </cell>
          <cell r="C359" t="str">
            <v>NS形　F付丁字管</v>
          </cell>
          <cell r="D359" t="str">
            <v>φ200×φ75</v>
          </cell>
          <cell r="E359">
            <v>0.55000000000000004</v>
          </cell>
        </row>
        <row r="360">
          <cell r="A360" t="str">
            <v/>
          </cell>
          <cell r="B360" t="str">
            <v>S8722</v>
          </cell>
          <cell r="C360" t="str">
            <v>NS形　F付丁字管</v>
          </cell>
          <cell r="D360" t="str">
            <v>φ300×φ75</v>
          </cell>
          <cell r="E360">
            <v>0.40500000000000003</v>
          </cell>
        </row>
        <row r="361">
          <cell r="A361" t="str">
            <v/>
          </cell>
          <cell r="B361" t="str">
            <v>S8722</v>
          </cell>
          <cell r="C361" t="str">
            <v>NS形　F付丁字管</v>
          </cell>
          <cell r="D361" t="str">
            <v>φ400×φ75</v>
          </cell>
          <cell r="E361">
            <v>0.42499999999999999</v>
          </cell>
        </row>
        <row r="362">
          <cell r="A362" t="str">
            <v/>
          </cell>
          <cell r="B362" t="str">
            <v>S8722</v>
          </cell>
          <cell r="C362" t="str">
            <v>NS形　F付丁字管</v>
          </cell>
          <cell r="D362" t="str">
            <v>φ100×φ75渦</v>
          </cell>
          <cell r="E362">
            <v>0.45</v>
          </cell>
        </row>
        <row r="363">
          <cell r="A363" t="str">
            <v/>
          </cell>
          <cell r="B363" t="str">
            <v>S8722</v>
          </cell>
          <cell r="C363" t="str">
            <v>NS形　F付丁字管</v>
          </cell>
          <cell r="D363" t="str">
            <v>φ150×φ75渦</v>
          </cell>
          <cell r="E363">
            <v>0.45</v>
          </cell>
        </row>
        <row r="364">
          <cell r="A364" t="str">
            <v/>
          </cell>
          <cell r="B364" t="str">
            <v>S8722</v>
          </cell>
          <cell r="C364" t="str">
            <v>NS形　F付丁字管</v>
          </cell>
          <cell r="D364" t="str">
            <v>φ200×φ75渦</v>
          </cell>
          <cell r="E364">
            <v>0.55000000000000004</v>
          </cell>
        </row>
        <row r="365">
          <cell r="A365" t="str">
            <v/>
          </cell>
          <cell r="B365" t="str">
            <v>S8722</v>
          </cell>
          <cell r="C365" t="str">
            <v>NS形　F付丁字管</v>
          </cell>
          <cell r="D365" t="str">
            <v>φ300×φ75渦</v>
          </cell>
          <cell r="E365">
            <v>0.56499999999999995</v>
          </cell>
        </row>
        <row r="366">
          <cell r="A366" t="str">
            <v/>
          </cell>
          <cell r="B366" t="str">
            <v>S8722</v>
          </cell>
          <cell r="C366" t="str">
            <v>NS形　排水丁字管</v>
          </cell>
          <cell r="D366" t="str">
            <v>φ200×φ100</v>
          </cell>
          <cell r="E366">
            <v>0.4</v>
          </cell>
        </row>
        <row r="367">
          <cell r="A367" t="str">
            <v/>
          </cell>
          <cell r="B367" t="str">
            <v>S8722</v>
          </cell>
          <cell r="C367" t="str">
            <v>NS形　排水丁字管</v>
          </cell>
          <cell r="D367" t="str">
            <v>φ300×φ100</v>
          </cell>
          <cell r="E367">
            <v>0.28000000000000003</v>
          </cell>
        </row>
        <row r="368">
          <cell r="A368" t="str">
            <v/>
          </cell>
          <cell r="B368" t="str">
            <v>S8722</v>
          </cell>
          <cell r="C368" t="str">
            <v>NS形　排水丁字管</v>
          </cell>
          <cell r="D368" t="str">
            <v>φ400×φ150</v>
          </cell>
          <cell r="E368">
            <v>0.35</v>
          </cell>
        </row>
        <row r="369">
          <cell r="A369" t="str">
            <v/>
          </cell>
          <cell r="B369" t="str">
            <v>S8765</v>
          </cell>
          <cell r="C369" t="str">
            <v>NS形　ライナー</v>
          </cell>
          <cell r="D369" t="str">
            <v>φ75</v>
          </cell>
          <cell r="E369">
            <v>2.7E-2</v>
          </cell>
        </row>
        <row r="370">
          <cell r="A370" t="str">
            <v/>
          </cell>
          <cell r="B370" t="str">
            <v>S8765</v>
          </cell>
          <cell r="C370" t="str">
            <v>NS形　ライナー</v>
          </cell>
          <cell r="D370" t="str">
            <v>φ100</v>
          </cell>
          <cell r="E370">
            <v>2.7E-2</v>
          </cell>
        </row>
        <row r="371">
          <cell r="A371">
            <v>30</v>
          </cell>
          <cell r="B371" t="str">
            <v>S8765</v>
          </cell>
          <cell r="C371" t="str">
            <v>NS形　ライナー</v>
          </cell>
          <cell r="D371" t="str">
            <v>φ150</v>
          </cell>
          <cell r="E371">
            <v>4.1000000000000002E-2</v>
          </cell>
          <cell r="F371">
            <v>3</v>
          </cell>
        </row>
        <row r="372">
          <cell r="A372" t="str">
            <v/>
          </cell>
          <cell r="B372" t="str">
            <v>S8765</v>
          </cell>
          <cell r="C372" t="str">
            <v>NS形　ライナー</v>
          </cell>
          <cell r="D372" t="str">
            <v>φ200</v>
          </cell>
          <cell r="E372">
            <v>4.1000000000000002E-2</v>
          </cell>
        </row>
        <row r="373">
          <cell r="A373" t="str">
            <v/>
          </cell>
          <cell r="B373" t="str">
            <v>S8765</v>
          </cell>
          <cell r="C373" t="str">
            <v>NS形　ライナー</v>
          </cell>
          <cell r="D373" t="str">
            <v>φ300</v>
          </cell>
          <cell r="E373">
            <v>5.2999999999999999E-2</v>
          </cell>
        </row>
        <row r="374">
          <cell r="A374" t="str">
            <v/>
          </cell>
          <cell r="B374" t="str">
            <v>S8765</v>
          </cell>
          <cell r="C374" t="str">
            <v>NS形　ライナー</v>
          </cell>
          <cell r="D374" t="str">
            <v>φ400</v>
          </cell>
          <cell r="E374">
            <v>5.2999999999999999E-2</v>
          </cell>
        </row>
        <row r="375">
          <cell r="A375" t="str">
            <v/>
          </cell>
          <cell r="B375" t="str">
            <v>S8740</v>
          </cell>
          <cell r="C375" t="str">
            <v>NS形　帽</v>
          </cell>
          <cell r="D375" t="str">
            <v>φ75</v>
          </cell>
        </row>
        <row r="376">
          <cell r="A376" t="str">
            <v/>
          </cell>
          <cell r="B376" t="str">
            <v>S8740</v>
          </cell>
          <cell r="C376" t="str">
            <v>NS形　帽</v>
          </cell>
          <cell r="D376" t="str">
            <v>φ100</v>
          </cell>
        </row>
        <row r="377">
          <cell r="A377" t="str">
            <v/>
          </cell>
          <cell r="B377" t="str">
            <v>S8740</v>
          </cell>
          <cell r="C377" t="str">
            <v>NS形　帽</v>
          </cell>
          <cell r="D377" t="str">
            <v>φ150</v>
          </cell>
        </row>
        <row r="378">
          <cell r="A378" t="str">
            <v/>
          </cell>
          <cell r="B378" t="str">
            <v>S8740</v>
          </cell>
          <cell r="C378" t="str">
            <v>NS形　帽</v>
          </cell>
          <cell r="D378" t="str">
            <v>φ200</v>
          </cell>
        </row>
        <row r="379">
          <cell r="A379" t="str">
            <v/>
          </cell>
          <cell r="B379" t="str">
            <v>S8740</v>
          </cell>
          <cell r="C379" t="str">
            <v>NS形　帽</v>
          </cell>
          <cell r="D379" t="str">
            <v>φ300</v>
          </cell>
        </row>
        <row r="380">
          <cell r="A380" t="str">
            <v/>
          </cell>
          <cell r="B380" t="str">
            <v>S8740</v>
          </cell>
          <cell r="C380" t="str">
            <v>NS形　帽</v>
          </cell>
          <cell r="D380" t="str">
            <v>φ400</v>
          </cell>
        </row>
        <row r="381">
          <cell r="A381" t="str">
            <v/>
          </cell>
          <cell r="B381" t="str">
            <v>S8765</v>
          </cell>
          <cell r="C381" t="str">
            <v>NS形　挿口リング</v>
          </cell>
          <cell r="D381" t="str">
            <v>φ75</v>
          </cell>
        </row>
        <row r="382">
          <cell r="A382" t="str">
            <v/>
          </cell>
          <cell r="B382" t="str">
            <v>S8765</v>
          </cell>
          <cell r="C382" t="str">
            <v>NS形　挿口リング</v>
          </cell>
          <cell r="D382" t="str">
            <v>φ100</v>
          </cell>
        </row>
        <row r="383">
          <cell r="A383" t="str">
            <v/>
          </cell>
          <cell r="B383" t="str">
            <v>S8765</v>
          </cell>
          <cell r="C383" t="str">
            <v>NS形　挿口リング</v>
          </cell>
          <cell r="D383" t="str">
            <v>φ150</v>
          </cell>
        </row>
        <row r="384">
          <cell r="A384" t="str">
            <v/>
          </cell>
          <cell r="B384" t="str">
            <v>S8765</v>
          </cell>
          <cell r="C384" t="str">
            <v>NS形　挿口リング</v>
          </cell>
          <cell r="D384" t="str">
            <v>φ200</v>
          </cell>
        </row>
        <row r="385">
          <cell r="A385" t="str">
            <v/>
          </cell>
          <cell r="B385" t="str">
            <v>S8765</v>
          </cell>
          <cell r="C385" t="str">
            <v>NS形　挿口リング</v>
          </cell>
          <cell r="D385" t="str">
            <v>φ250</v>
          </cell>
        </row>
        <row r="386">
          <cell r="A386" t="str">
            <v/>
          </cell>
          <cell r="B386" t="str">
            <v>S8765</v>
          </cell>
          <cell r="C386" t="str">
            <v>NS形　挿口リング</v>
          </cell>
          <cell r="D386" t="str">
            <v>φ300</v>
          </cell>
        </row>
        <row r="387">
          <cell r="A387" t="str">
            <v/>
          </cell>
          <cell r="B387" t="str">
            <v>S8765</v>
          </cell>
          <cell r="C387" t="str">
            <v>NS形　挿口リング</v>
          </cell>
          <cell r="D387" t="str">
            <v>φ350</v>
          </cell>
        </row>
        <row r="388">
          <cell r="A388" t="str">
            <v/>
          </cell>
          <cell r="B388" t="str">
            <v>S8765</v>
          </cell>
          <cell r="C388" t="str">
            <v>NS形　挿口リング</v>
          </cell>
          <cell r="D388" t="str">
            <v>φ400</v>
          </cell>
        </row>
        <row r="389">
          <cell r="A389" t="str">
            <v/>
          </cell>
          <cell r="B389" t="str">
            <v>S8765</v>
          </cell>
          <cell r="C389" t="str">
            <v>NS形　挿口リング</v>
          </cell>
          <cell r="D389" t="str">
            <v>φ450</v>
          </cell>
        </row>
        <row r="390">
          <cell r="A390" t="str">
            <v/>
          </cell>
          <cell r="B390" t="str">
            <v>S8765</v>
          </cell>
          <cell r="C390" t="str">
            <v>NS形　ゴムリング</v>
          </cell>
          <cell r="D390" t="str">
            <v>φ75</v>
          </cell>
          <cell r="F390">
            <v>0</v>
          </cell>
        </row>
        <row r="391">
          <cell r="A391" t="str">
            <v/>
          </cell>
          <cell r="B391" t="str">
            <v>S8765</v>
          </cell>
          <cell r="C391" t="str">
            <v>NS形　ゴムリング</v>
          </cell>
          <cell r="D391" t="str">
            <v>φ100</v>
          </cell>
          <cell r="F391">
            <v>0</v>
          </cell>
        </row>
        <row r="392">
          <cell r="A392" t="str">
            <v/>
          </cell>
          <cell r="B392" t="str">
            <v>S8765</v>
          </cell>
          <cell r="C392" t="str">
            <v>NS形　ゴムリング</v>
          </cell>
          <cell r="D392" t="str">
            <v>φ150</v>
          </cell>
          <cell r="F392">
            <v>0</v>
          </cell>
        </row>
        <row r="393">
          <cell r="A393" t="str">
            <v/>
          </cell>
          <cell r="B393" t="str">
            <v>S8765</v>
          </cell>
          <cell r="C393" t="str">
            <v>NS形　ゴムリング</v>
          </cell>
          <cell r="D393" t="str">
            <v>φ200</v>
          </cell>
          <cell r="F393">
            <v>0</v>
          </cell>
        </row>
        <row r="394">
          <cell r="A394" t="str">
            <v/>
          </cell>
          <cell r="B394" t="str">
            <v>S8765</v>
          </cell>
          <cell r="C394" t="str">
            <v>NS形　ゴムリング</v>
          </cell>
          <cell r="D394" t="str">
            <v>φ250</v>
          </cell>
          <cell r="F394">
            <v>0</v>
          </cell>
        </row>
        <row r="395">
          <cell r="A395" t="str">
            <v/>
          </cell>
          <cell r="B395" t="str">
            <v>S8765</v>
          </cell>
          <cell r="C395" t="str">
            <v>NS形　ゴムリング</v>
          </cell>
          <cell r="D395" t="str">
            <v>φ300</v>
          </cell>
          <cell r="F395">
            <v>0</v>
          </cell>
        </row>
        <row r="396">
          <cell r="A396" t="str">
            <v/>
          </cell>
          <cell r="B396" t="str">
            <v>S8765</v>
          </cell>
          <cell r="C396" t="str">
            <v>NS形　ゴムリング</v>
          </cell>
          <cell r="D396" t="str">
            <v>φ350</v>
          </cell>
          <cell r="F396">
            <v>0</v>
          </cell>
        </row>
        <row r="397">
          <cell r="A397" t="str">
            <v/>
          </cell>
          <cell r="B397" t="str">
            <v>S8765</v>
          </cell>
          <cell r="C397" t="str">
            <v>NS形　ゴムリング</v>
          </cell>
          <cell r="D397" t="str">
            <v>φ400</v>
          </cell>
          <cell r="F397">
            <v>0</v>
          </cell>
        </row>
        <row r="398">
          <cell r="A398" t="str">
            <v/>
          </cell>
          <cell r="B398" t="str">
            <v>S8765</v>
          </cell>
          <cell r="C398" t="str">
            <v>NS形　ゴムリング</v>
          </cell>
          <cell r="D398" t="str">
            <v>φ450</v>
          </cell>
          <cell r="F398">
            <v>0</v>
          </cell>
        </row>
        <row r="399">
          <cell r="A399" t="str">
            <v/>
          </cell>
          <cell r="B399" t="str">
            <v>S8765</v>
          </cell>
          <cell r="C399" t="str">
            <v>NS形　継輪用継手材</v>
          </cell>
          <cell r="D399" t="str">
            <v>φ75</v>
          </cell>
          <cell r="F399">
            <v>0</v>
          </cell>
        </row>
        <row r="400">
          <cell r="A400" t="str">
            <v/>
          </cell>
          <cell r="B400" t="str">
            <v>S8765</v>
          </cell>
          <cell r="C400" t="str">
            <v>NS形　継輪用継手材</v>
          </cell>
          <cell r="D400" t="str">
            <v>φ100</v>
          </cell>
          <cell r="F400">
            <v>0</v>
          </cell>
        </row>
        <row r="401">
          <cell r="A401" t="str">
            <v/>
          </cell>
          <cell r="B401" t="str">
            <v>S8765</v>
          </cell>
          <cell r="C401" t="str">
            <v>NS形　継輪用継手材</v>
          </cell>
          <cell r="D401" t="str">
            <v>φ150</v>
          </cell>
          <cell r="F401">
            <v>0</v>
          </cell>
        </row>
        <row r="402">
          <cell r="A402" t="str">
            <v/>
          </cell>
          <cell r="B402" t="str">
            <v>S8765</v>
          </cell>
          <cell r="C402" t="str">
            <v>NS形　継輪用継手材</v>
          </cell>
          <cell r="D402" t="str">
            <v>φ200</v>
          </cell>
          <cell r="F402">
            <v>0</v>
          </cell>
        </row>
        <row r="403">
          <cell r="A403" t="str">
            <v/>
          </cell>
          <cell r="C403" t="str">
            <v>NS形　継輪用継手材</v>
          </cell>
          <cell r="D403" t="str">
            <v>φ250</v>
          </cell>
          <cell r="F403">
            <v>0</v>
          </cell>
        </row>
        <row r="404">
          <cell r="A404" t="str">
            <v/>
          </cell>
          <cell r="B404" t="str">
            <v>S8765</v>
          </cell>
          <cell r="C404" t="str">
            <v>NS形　継手材（異形部）</v>
          </cell>
          <cell r="D404" t="str">
            <v>φ300</v>
          </cell>
          <cell r="F404">
            <v>0</v>
          </cell>
        </row>
        <row r="405">
          <cell r="A405" t="str">
            <v/>
          </cell>
          <cell r="B405" t="str">
            <v>S8765</v>
          </cell>
          <cell r="C405" t="str">
            <v>NS形　継手材（異形部）</v>
          </cell>
          <cell r="D405" t="str">
            <v>φ350</v>
          </cell>
          <cell r="F405">
            <v>0</v>
          </cell>
        </row>
        <row r="406">
          <cell r="A406" t="str">
            <v/>
          </cell>
          <cell r="B406" t="str">
            <v>S8765</v>
          </cell>
          <cell r="C406" t="str">
            <v>NS形　継手材（異形部）</v>
          </cell>
          <cell r="D406" t="str">
            <v>φ400</v>
          </cell>
          <cell r="F406">
            <v>0</v>
          </cell>
        </row>
        <row r="407">
          <cell r="A407" t="str">
            <v/>
          </cell>
          <cell r="B407" t="str">
            <v>S8765</v>
          </cell>
          <cell r="C407" t="str">
            <v>NS形　継手材（異形部）</v>
          </cell>
          <cell r="D407" t="str">
            <v>φ450</v>
          </cell>
          <cell r="F407">
            <v>0</v>
          </cell>
        </row>
        <row r="408">
          <cell r="A408" t="str">
            <v/>
          </cell>
          <cell r="B408" t="str">
            <v>S8765</v>
          </cell>
          <cell r="C408" t="str">
            <v>NS形　継輪用継手材（特殊割押輪）</v>
          </cell>
          <cell r="D408" t="str">
            <v>φ75</v>
          </cell>
        </row>
        <row r="409">
          <cell r="A409" t="str">
            <v/>
          </cell>
          <cell r="B409" t="str">
            <v>S8765</v>
          </cell>
          <cell r="C409" t="str">
            <v>NS形　継輪用継手材（特殊割押輪）</v>
          </cell>
          <cell r="D409" t="str">
            <v>φ100</v>
          </cell>
        </row>
        <row r="410">
          <cell r="A410" t="str">
            <v/>
          </cell>
          <cell r="B410" t="str">
            <v>S8765</v>
          </cell>
          <cell r="C410" t="str">
            <v>NS形　継輪用継手材（特殊割押輪）</v>
          </cell>
          <cell r="D410" t="str">
            <v>φ150</v>
          </cell>
        </row>
        <row r="411">
          <cell r="A411" t="str">
            <v/>
          </cell>
          <cell r="B411" t="str">
            <v>S8765</v>
          </cell>
          <cell r="C411" t="str">
            <v>NS形　継輪用継手材（特殊割押輪）</v>
          </cell>
          <cell r="D411" t="str">
            <v>φ200</v>
          </cell>
        </row>
        <row r="412">
          <cell r="A412" t="str">
            <v/>
          </cell>
          <cell r="B412" t="str">
            <v>S8765</v>
          </cell>
          <cell r="C412" t="str">
            <v>NS形　継輪用継手材（特殊割押輪）</v>
          </cell>
          <cell r="D412" t="str">
            <v>φ250</v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6">
          <cell r="A426">
            <v>31</v>
          </cell>
          <cell r="B426" t="str">
            <v>■T形</v>
          </cell>
        </row>
        <row r="427">
          <cell r="B427" t="str">
            <v>コード</v>
          </cell>
          <cell r="C427" t="str">
            <v>品　名</v>
          </cell>
          <cell r="D427" t="str">
            <v>形　質</v>
          </cell>
          <cell r="E427" t="str">
            <v>延　長</v>
          </cell>
          <cell r="F427" t="str">
            <v>数　量</v>
          </cell>
        </row>
        <row r="428">
          <cell r="A428" t="str">
            <v/>
          </cell>
          <cell r="B428" t="str">
            <v>Ｓ8714</v>
          </cell>
          <cell r="C428" t="str">
            <v>T形　直　管</v>
          </cell>
          <cell r="D428" t="str">
            <v>φ75　1種管</v>
          </cell>
          <cell r="E428">
            <v>4</v>
          </cell>
        </row>
        <row r="429">
          <cell r="A429" t="str">
            <v/>
          </cell>
          <cell r="B429" t="str">
            <v>Ｓ8714</v>
          </cell>
          <cell r="C429" t="str">
            <v>T形　直　管</v>
          </cell>
          <cell r="D429" t="str">
            <v>φ100　1種管</v>
          </cell>
          <cell r="E429">
            <v>4</v>
          </cell>
        </row>
        <row r="430">
          <cell r="A430" t="str">
            <v/>
          </cell>
          <cell r="B430" t="str">
            <v>Ｓ8714</v>
          </cell>
          <cell r="C430" t="str">
            <v>T形　直　管</v>
          </cell>
          <cell r="D430" t="str">
            <v>φ150　1種管</v>
          </cell>
          <cell r="E430">
            <v>5</v>
          </cell>
        </row>
        <row r="431">
          <cell r="A431" t="str">
            <v/>
          </cell>
          <cell r="B431" t="str">
            <v>Ｓ8714</v>
          </cell>
          <cell r="C431" t="str">
            <v>T形　直　管</v>
          </cell>
          <cell r="D431" t="str">
            <v>φ200　1種管</v>
          </cell>
          <cell r="E431">
            <v>5</v>
          </cell>
        </row>
        <row r="432">
          <cell r="A432" t="str">
            <v/>
          </cell>
          <cell r="B432" t="str">
            <v>S8727</v>
          </cell>
          <cell r="C432" t="str">
            <v>T形　曲　管</v>
          </cell>
          <cell r="D432" t="str">
            <v>φ75　90度</v>
          </cell>
          <cell r="E432">
            <v>0.39700000000000002</v>
          </cell>
        </row>
        <row r="433">
          <cell r="A433" t="str">
            <v/>
          </cell>
          <cell r="B433" t="str">
            <v>S8727</v>
          </cell>
          <cell r="C433" t="str">
            <v>T形　曲　管</v>
          </cell>
          <cell r="D433" t="str">
            <v>φ100　90度</v>
          </cell>
          <cell r="E433">
            <v>0.41299999999999998</v>
          </cell>
        </row>
        <row r="434">
          <cell r="A434" t="str">
            <v/>
          </cell>
          <cell r="B434" t="str">
            <v>S8727</v>
          </cell>
          <cell r="C434" t="str">
            <v>T形　曲　管</v>
          </cell>
          <cell r="D434" t="str">
            <v>φ150　90度</v>
          </cell>
          <cell r="E434">
            <v>0.47</v>
          </cell>
        </row>
        <row r="435">
          <cell r="A435" t="str">
            <v/>
          </cell>
          <cell r="B435" t="str">
            <v>S8727</v>
          </cell>
          <cell r="C435" t="str">
            <v>T形　曲　管</v>
          </cell>
          <cell r="D435" t="str">
            <v>φ200　90度</v>
          </cell>
          <cell r="E435">
            <v>0.51900000000000002</v>
          </cell>
        </row>
        <row r="436">
          <cell r="A436" t="str">
            <v/>
          </cell>
          <cell r="B436" t="str">
            <v>S8727</v>
          </cell>
          <cell r="C436" t="str">
            <v>T形　曲　管</v>
          </cell>
          <cell r="D436" t="str">
            <v>φ75　45度</v>
          </cell>
          <cell r="E436">
            <v>0.33500000000000002</v>
          </cell>
        </row>
        <row r="437">
          <cell r="A437" t="str">
            <v/>
          </cell>
          <cell r="B437" t="str">
            <v>S8727</v>
          </cell>
          <cell r="C437" t="str">
            <v>T形　曲　管</v>
          </cell>
          <cell r="D437" t="str">
            <v>φ100　45度</v>
          </cell>
          <cell r="E437">
            <v>0.35399999999999998</v>
          </cell>
        </row>
        <row r="438">
          <cell r="A438">
            <v>32</v>
          </cell>
          <cell r="B438" t="str">
            <v>S8727</v>
          </cell>
          <cell r="C438" t="str">
            <v>T形　曲　管</v>
          </cell>
          <cell r="D438" t="str">
            <v>φ150　45度</v>
          </cell>
          <cell r="E438">
            <v>0.39200000000000002</v>
          </cell>
          <cell r="F438">
            <v>4</v>
          </cell>
        </row>
        <row r="439">
          <cell r="A439" t="str">
            <v/>
          </cell>
          <cell r="B439" t="str">
            <v>S8727</v>
          </cell>
          <cell r="C439" t="str">
            <v>T形　曲　管</v>
          </cell>
          <cell r="D439" t="str">
            <v>φ200　45度</v>
          </cell>
          <cell r="E439">
            <v>0.44</v>
          </cell>
        </row>
        <row r="440">
          <cell r="A440" t="str">
            <v/>
          </cell>
          <cell r="B440" t="str">
            <v>S8727</v>
          </cell>
          <cell r="C440" t="str">
            <v>T形　曲　管</v>
          </cell>
          <cell r="D440" t="str">
            <v>φ75　22度1/2</v>
          </cell>
          <cell r="E440">
            <v>0.33900000000000002</v>
          </cell>
        </row>
        <row r="441">
          <cell r="A441" t="str">
            <v/>
          </cell>
          <cell r="B441" t="str">
            <v>S8727</v>
          </cell>
          <cell r="C441" t="str">
            <v>T形　曲　管</v>
          </cell>
          <cell r="D441" t="str">
            <v>φ100　22度1/2</v>
          </cell>
          <cell r="E441">
            <v>0.35799999999999998</v>
          </cell>
        </row>
        <row r="442">
          <cell r="A442">
            <v>33</v>
          </cell>
          <cell r="B442" t="str">
            <v>S8727</v>
          </cell>
          <cell r="C442" t="str">
            <v>T形　曲　管</v>
          </cell>
          <cell r="D442" t="str">
            <v>φ150　22度1/2</v>
          </cell>
          <cell r="E442">
            <v>0.39800000000000002</v>
          </cell>
          <cell r="F442">
            <v>6</v>
          </cell>
        </row>
        <row r="443">
          <cell r="A443" t="str">
            <v/>
          </cell>
          <cell r="B443" t="str">
            <v>S8727</v>
          </cell>
          <cell r="C443" t="str">
            <v>T形　曲　管</v>
          </cell>
          <cell r="D443" t="str">
            <v>φ200　22度1/2</v>
          </cell>
          <cell r="E443">
            <v>0.44800000000000001</v>
          </cell>
        </row>
        <row r="444">
          <cell r="A444" t="str">
            <v/>
          </cell>
          <cell r="B444" t="str">
            <v>S8727</v>
          </cell>
          <cell r="C444" t="str">
            <v>T形　曲　管</v>
          </cell>
          <cell r="D444" t="str">
            <v>φ75　11度1/4</v>
          </cell>
          <cell r="E444">
            <v>0.28499999999999998</v>
          </cell>
        </row>
        <row r="445">
          <cell r="A445" t="str">
            <v/>
          </cell>
          <cell r="B445" t="str">
            <v>S8727</v>
          </cell>
          <cell r="C445" t="str">
            <v>T形　曲　管</v>
          </cell>
          <cell r="D445" t="str">
            <v>φ100　11度1/4</v>
          </cell>
          <cell r="E445">
            <v>0.3</v>
          </cell>
        </row>
        <row r="446">
          <cell r="A446" t="str">
            <v/>
          </cell>
          <cell r="B446" t="str">
            <v>S8727</v>
          </cell>
          <cell r="C446" t="str">
            <v>T形　曲　管</v>
          </cell>
          <cell r="D446" t="str">
            <v>φ150　11度1/4</v>
          </cell>
          <cell r="E446">
            <v>0.33</v>
          </cell>
        </row>
        <row r="447">
          <cell r="A447" t="str">
            <v/>
          </cell>
          <cell r="B447" t="str">
            <v>S8727</v>
          </cell>
          <cell r="C447" t="str">
            <v>T形　曲　管</v>
          </cell>
          <cell r="D447" t="str">
            <v>φ200　11度1/4</v>
          </cell>
          <cell r="E447">
            <v>0.35</v>
          </cell>
        </row>
        <row r="448">
          <cell r="A448" t="str">
            <v/>
          </cell>
          <cell r="B448" t="str">
            <v>S8747</v>
          </cell>
          <cell r="C448" t="str">
            <v>T形　二受丁字管</v>
          </cell>
          <cell r="D448" t="str">
            <v>φ75×φ75</v>
          </cell>
          <cell r="E448">
            <v>0.43</v>
          </cell>
        </row>
        <row r="449">
          <cell r="A449" t="str">
            <v/>
          </cell>
          <cell r="B449" t="str">
            <v>S8747</v>
          </cell>
          <cell r="C449" t="str">
            <v>T形　二受丁字管</v>
          </cell>
          <cell r="D449" t="str">
            <v>φ100×φ75</v>
          </cell>
          <cell r="E449">
            <v>0.45</v>
          </cell>
        </row>
        <row r="450">
          <cell r="A450" t="str">
            <v/>
          </cell>
          <cell r="B450" t="str">
            <v>S8747</v>
          </cell>
          <cell r="C450" t="str">
            <v>T形　二受丁字管</v>
          </cell>
          <cell r="D450" t="str">
            <v>φ100×φ100</v>
          </cell>
          <cell r="E450">
            <v>0.45</v>
          </cell>
        </row>
        <row r="451">
          <cell r="A451" t="str">
            <v/>
          </cell>
          <cell r="B451" t="str">
            <v>S8747</v>
          </cell>
          <cell r="C451" t="str">
            <v>T形　二受丁字管</v>
          </cell>
          <cell r="D451" t="str">
            <v>φ150×φ75</v>
          </cell>
          <cell r="E451">
            <v>0.46</v>
          </cell>
        </row>
        <row r="452">
          <cell r="A452" t="str">
            <v/>
          </cell>
          <cell r="B452" t="str">
            <v>S8747</v>
          </cell>
          <cell r="C452" t="str">
            <v>T形　二受丁字管</v>
          </cell>
          <cell r="D452" t="str">
            <v>φ150×φ100</v>
          </cell>
          <cell r="E452">
            <v>0.46</v>
          </cell>
        </row>
        <row r="453">
          <cell r="A453" t="str">
            <v/>
          </cell>
          <cell r="B453" t="str">
            <v>S8747</v>
          </cell>
          <cell r="C453" t="str">
            <v>T形　二受丁字管</v>
          </cell>
          <cell r="D453" t="str">
            <v>φ150×φ150</v>
          </cell>
          <cell r="E453">
            <v>0.51</v>
          </cell>
        </row>
        <row r="454">
          <cell r="A454" t="str">
            <v/>
          </cell>
          <cell r="B454" t="str">
            <v>S8747</v>
          </cell>
          <cell r="C454" t="str">
            <v>T形　二受丁字管</v>
          </cell>
          <cell r="D454" t="str">
            <v>φ200×φ100</v>
          </cell>
          <cell r="E454">
            <v>0.48</v>
          </cell>
        </row>
        <row r="455">
          <cell r="A455" t="str">
            <v/>
          </cell>
          <cell r="B455" t="str">
            <v>S8747</v>
          </cell>
          <cell r="C455" t="str">
            <v>T形　二受丁字管</v>
          </cell>
          <cell r="D455" t="str">
            <v>φ200×φ150</v>
          </cell>
          <cell r="E455">
            <v>0.56999999999999995</v>
          </cell>
        </row>
        <row r="456">
          <cell r="A456" t="str">
            <v/>
          </cell>
          <cell r="B456" t="str">
            <v>S8747</v>
          </cell>
          <cell r="C456" t="str">
            <v>T形　二受丁字管</v>
          </cell>
          <cell r="D456" t="str">
            <v>φ200×φ200</v>
          </cell>
          <cell r="E456">
            <v>0.56999999999999995</v>
          </cell>
        </row>
        <row r="457">
          <cell r="A457" t="str">
            <v/>
          </cell>
          <cell r="B457" t="str">
            <v>S8747</v>
          </cell>
          <cell r="C457" t="str">
            <v>T形　挿受片落管</v>
          </cell>
          <cell r="D457" t="str">
            <v>φ100×φ75</v>
          </cell>
          <cell r="E457">
            <v>0.375</v>
          </cell>
        </row>
        <row r="458">
          <cell r="A458" t="str">
            <v/>
          </cell>
          <cell r="B458" t="str">
            <v>S8747</v>
          </cell>
          <cell r="C458" t="str">
            <v>T形　挿受片落管</v>
          </cell>
          <cell r="D458" t="str">
            <v>φ150×φ100</v>
          </cell>
          <cell r="E458">
            <v>0.41</v>
          </cell>
        </row>
        <row r="459">
          <cell r="A459" t="str">
            <v/>
          </cell>
          <cell r="B459" t="str">
            <v>S8747</v>
          </cell>
          <cell r="C459" t="str">
            <v>T形　挿受片落管</v>
          </cell>
          <cell r="D459" t="str">
            <v>φ200×φ100</v>
          </cell>
          <cell r="E459">
            <v>0.47</v>
          </cell>
        </row>
        <row r="460">
          <cell r="A460" t="str">
            <v/>
          </cell>
          <cell r="B460" t="str">
            <v>S8747</v>
          </cell>
          <cell r="C460" t="str">
            <v>T形　挿受片落管</v>
          </cell>
          <cell r="D460" t="str">
            <v>φ200×φ150</v>
          </cell>
          <cell r="E460">
            <v>0.42</v>
          </cell>
        </row>
        <row r="461">
          <cell r="A461" t="str">
            <v/>
          </cell>
          <cell r="C461" t="str">
            <v>T形　挿受片落管</v>
          </cell>
          <cell r="D461" t="str">
            <v>φ250×φ100</v>
          </cell>
          <cell r="E461">
            <v>0.53</v>
          </cell>
        </row>
        <row r="462">
          <cell r="A462" t="str">
            <v/>
          </cell>
          <cell r="C462" t="str">
            <v>T形　挿受片落管</v>
          </cell>
          <cell r="D462" t="str">
            <v>φ250×φ150</v>
          </cell>
          <cell r="E462">
            <v>0.48</v>
          </cell>
        </row>
        <row r="463">
          <cell r="A463" t="str">
            <v/>
          </cell>
          <cell r="C463" t="str">
            <v>T形　挿受片落管</v>
          </cell>
          <cell r="D463" t="str">
            <v>φ250×φ200</v>
          </cell>
          <cell r="E463">
            <v>0.435</v>
          </cell>
        </row>
        <row r="464">
          <cell r="A464" t="str">
            <v/>
          </cell>
          <cell r="B464" t="str">
            <v>S8747</v>
          </cell>
          <cell r="C464" t="str">
            <v>T形　受挿片落管</v>
          </cell>
          <cell r="D464" t="str">
            <v>φ100×φ75</v>
          </cell>
          <cell r="E464">
            <v>0.375</v>
          </cell>
        </row>
        <row r="465">
          <cell r="A465" t="str">
            <v/>
          </cell>
          <cell r="B465" t="str">
            <v>S8747</v>
          </cell>
          <cell r="C465" t="str">
            <v>T形　受挿片落管</v>
          </cell>
          <cell r="D465" t="str">
            <v>φ150×φ100</v>
          </cell>
          <cell r="E465">
            <v>0.41</v>
          </cell>
        </row>
        <row r="466">
          <cell r="A466" t="str">
            <v/>
          </cell>
          <cell r="B466" t="str">
            <v>S8747</v>
          </cell>
          <cell r="C466" t="str">
            <v>T形　受挿片落管</v>
          </cell>
          <cell r="D466" t="str">
            <v>φ200×φ100</v>
          </cell>
          <cell r="E466">
            <v>0.47</v>
          </cell>
        </row>
        <row r="467">
          <cell r="A467" t="str">
            <v/>
          </cell>
          <cell r="B467" t="str">
            <v>S8747</v>
          </cell>
          <cell r="C467" t="str">
            <v>T形　受挿片落管</v>
          </cell>
          <cell r="D467" t="str">
            <v>φ200×φ150</v>
          </cell>
          <cell r="E467">
            <v>0.42</v>
          </cell>
        </row>
        <row r="468">
          <cell r="A468" t="str">
            <v/>
          </cell>
          <cell r="C468" t="str">
            <v>T形　受挿片落管</v>
          </cell>
          <cell r="D468" t="str">
            <v>φ250×φ100</v>
          </cell>
          <cell r="E468">
            <v>0.53</v>
          </cell>
        </row>
        <row r="469">
          <cell r="A469" t="str">
            <v/>
          </cell>
          <cell r="C469" t="str">
            <v>T形　受挿片落管</v>
          </cell>
          <cell r="D469" t="str">
            <v>φ250×φ150</v>
          </cell>
          <cell r="E469">
            <v>0.48</v>
          </cell>
        </row>
        <row r="470">
          <cell r="A470" t="str">
            <v/>
          </cell>
          <cell r="C470" t="str">
            <v>T形　受挿片落管</v>
          </cell>
          <cell r="D470" t="str">
            <v>φ250×φ200</v>
          </cell>
          <cell r="E470">
            <v>0.435</v>
          </cell>
        </row>
        <row r="471">
          <cell r="A471" t="str">
            <v/>
          </cell>
          <cell r="B471" t="str">
            <v>S8737</v>
          </cell>
          <cell r="C471" t="str">
            <v>T形　短管1号</v>
          </cell>
          <cell r="D471" t="str">
            <v>φ75</v>
          </cell>
          <cell r="E471">
            <v>0.12</v>
          </cell>
        </row>
        <row r="472">
          <cell r="A472" t="str">
            <v/>
          </cell>
          <cell r="B472" t="str">
            <v>S8737</v>
          </cell>
          <cell r="C472" t="str">
            <v>T形　短管1号</v>
          </cell>
          <cell r="D472" t="str">
            <v>φ100</v>
          </cell>
          <cell r="E472">
            <v>0.12</v>
          </cell>
        </row>
        <row r="473">
          <cell r="A473" t="str">
            <v/>
          </cell>
          <cell r="B473" t="str">
            <v>S8737</v>
          </cell>
          <cell r="C473" t="str">
            <v>T形　短管1号</v>
          </cell>
          <cell r="D473" t="str">
            <v>φ150</v>
          </cell>
          <cell r="E473">
            <v>0.12</v>
          </cell>
        </row>
        <row r="474">
          <cell r="A474" t="str">
            <v/>
          </cell>
          <cell r="B474" t="str">
            <v>S8737</v>
          </cell>
          <cell r="C474" t="str">
            <v>T形　短管1号</v>
          </cell>
          <cell r="D474" t="str">
            <v>φ200</v>
          </cell>
          <cell r="E474">
            <v>0.12</v>
          </cell>
        </row>
        <row r="475">
          <cell r="A475" t="str">
            <v/>
          </cell>
          <cell r="B475" t="str">
            <v>S8737</v>
          </cell>
          <cell r="C475" t="str">
            <v>T形　短管2号</v>
          </cell>
          <cell r="D475" t="str">
            <v>φ75</v>
          </cell>
          <cell r="E475">
            <v>0.33</v>
          </cell>
        </row>
        <row r="476">
          <cell r="A476" t="str">
            <v/>
          </cell>
          <cell r="B476" t="str">
            <v>S8737</v>
          </cell>
          <cell r="C476" t="str">
            <v>T形　短管2号</v>
          </cell>
          <cell r="D476" t="str">
            <v>φ100</v>
          </cell>
          <cell r="E476">
            <v>0.33</v>
          </cell>
        </row>
        <row r="477">
          <cell r="A477">
            <v>34</v>
          </cell>
          <cell r="B477" t="str">
            <v>S8737</v>
          </cell>
          <cell r="C477" t="str">
            <v>T形　短管2号</v>
          </cell>
          <cell r="D477" t="str">
            <v>φ150</v>
          </cell>
          <cell r="E477">
            <v>0.33</v>
          </cell>
          <cell r="F477">
            <v>1</v>
          </cell>
        </row>
        <row r="478">
          <cell r="A478" t="str">
            <v/>
          </cell>
          <cell r="B478" t="str">
            <v>S8737</v>
          </cell>
          <cell r="C478" t="str">
            <v>T形　短管2号</v>
          </cell>
          <cell r="D478" t="str">
            <v>φ200</v>
          </cell>
          <cell r="E478">
            <v>0.33</v>
          </cell>
        </row>
        <row r="479">
          <cell r="A479" t="str">
            <v/>
          </cell>
          <cell r="B479" t="str">
            <v>S8757</v>
          </cell>
          <cell r="C479" t="str">
            <v>T形　F付丁字管</v>
          </cell>
          <cell r="D479" t="str">
            <v>φ75×φ75</v>
          </cell>
          <cell r="E479">
            <v>0.43</v>
          </cell>
        </row>
        <row r="480">
          <cell r="A480" t="str">
            <v/>
          </cell>
          <cell r="B480" t="str">
            <v>S8757</v>
          </cell>
          <cell r="C480" t="str">
            <v>T形　F付丁字管</v>
          </cell>
          <cell r="D480" t="str">
            <v>φ100×φ75</v>
          </cell>
          <cell r="E480">
            <v>0.45</v>
          </cell>
        </row>
        <row r="481">
          <cell r="A481" t="str">
            <v/>
          </cell>
          <cell r="B481" t="str">
            <v>S8757</v>
          </cell>
          <cell r="C481" t="str">
            <v>T形　F付丁字管</v>
          </cell>
          <cell r="D481" t="str">
            <v>φ150×φ75</v>
          </cell>
          <cell r="E481">
            <v>0.46</v>
          </cell>
        </row>
        <row r="482">
          <cell r="A482" t="str">
            <v/>
          </cell>
          <cell r="B482" t="str">
            <v>S8757</v>
          </cell>
          <cell r="C482" t="str">
            <v>T形　F付丁字管</v>
          </cell>
          <cell r="D482" t="str">
            <v>φ200×φ75</v>
          </cell>
          <cell r="E482">
            <v>0.48</v>
          </cell>
        </row>
        <row r="483">
          <cell r="A483" t="str">
            <v/>
          </cell>
          <cell r="B483" t="str">
            <v>S8765</v>
          </cell>
          <cell r="C483" t="str">
            <v>T形　特殊押輪</v>
          </cell>
          <cell r="D483" t="str">
            <v>φ75</v>
          </cell>
          <cell r="F483">
            <v>0</v>
          </cell>
        </row>
        <row r="484">
          <cell r="A484" t="str">
            <v/>
          </cell>
          <cell r="B484" t="str">
            <v>S8765</v>
          </cell>
          <cell r="C484" t="str">
            <v>T形　特殊押輪</v>
          </cell>
          <cell r="D484" t="str">
            <v>φ100</v>
          </cell>
          <cell r="F484">
            <v>0</v>
          </cell>
        </row>
        <row r="485">
          <cell r="A485">
            <v>35</v>
          </cell>
          <cell r="B485" t="str">
            <v>S8765</v>
          </cell>
          <cell r="C485" t="str">
            <v>T形　特殊押輪</v>
          </cell>
          <cell r="D485" t="str">
            <v>φ150</v>
          </cell>
          <cell r="F485">
            <v>10</v>
          </cell>
        </row>
        <row r="486">
          <cell r="A486" t="str">
            <v/>
          </cell>
          <cell r="B486" t="str">
            <v>S8765</v>
          </cell>
          <cell r="C486" t="str">
            <v>T形　特殊押輪</v>
          </cell>
          <cell r="D486" t="str">
            <v>φ200</v>
          </cell>
          <cell r="F486">
            <v>0</v>
          </cell>
        </row>
        <row r="487">
          <cell r="A487" t="str">
            <v/>
          </cell>
          <cell r="C487" t="str">
            <v>T形　特殊押輪</v>
          </cell>
          <cell r="D487" t="str">
            <v>φ250</v>
          </cell>
          <cell r="F487">
            <v>0</v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>
            <v>36</v>
          </cell>
          <cell r="B502" t="str">
            <v>■K形</v>
          </cell>
        </row>
        <row r="503">
          <cell r="B503" t="str">
            <v>コード</v>
          </cell>
          <cell r="C503" t="str">
            <v>品　名</v>
          </cell>
          <cell r="D503" t="str">
            <v>形　質</v>
          </cell>
          <cell r="E503" t="str">
            <v>延　長</v>
          </cell>
          <cell r="F503" t="str">
            <v>数　量</v>
          </cell>
        </row>
        <row r="504">
          <cell r="A504" t="str">
            <v/>
          </cell>
          <cell r="B504" t="str">
            <v>S8714</v>
          </cell>
          <cell r="C504" t="str">
            <v>K形　直　管</v>
          </cell>
          <cell r="D504" t="str">
            <v>φ75　1種管</v>
          </cell>
          <cell r="E504">
            <v>4</v>
          </cell>
        </row>
        <row r="505">
          <cell r="A505" t="str">
            <v/>
          </cell>
          <cell r="B505" t="str">
            <v>S8714</v>
          </cell>
          <cell r="C505" t="str">
            <v>K形　直　管</v>
          </cell>
          <cell r="D505" t="str">
            <v>φ100　1種管</v>
          </cell>
          <cell r="E505">
            <v>4</v>
          </cell>
        </row>
        <row r="506">
          <cell r="A506" t="str">
            <v/>
          </cell>
          <cell r="B506" t="str">
            <v>S8714</v>
          </cell>
          <cell r="C506" t="str">
            <v>K形　直　管</v>
          </cell>
          <cell r="D506" t="str">
            <v>φ150　1種管</v>
          </cell>
          <cell r="E506">
            <v>5</v>
          </cell>
        </row>
        <row r="507">
          <cell r="A507" t="str">
            <v/>
          </cell>
          <cell r="B507" t="str">
            <v>S8714</v>
          </cell>
          <cell r="C507" t="str">
            <v>K形　直　管</v>
          </cell>
          <cell r="D507" t="str">
            <v>φ200　1種管</v>
          </cell>
          <cell r="E507">
            <v>5</v>
          </cell>
        </row>
        <row r="508">
          <cell r="A508" t="str">
            <v/>
          </cell>
          <cell r="B508" t="str">
            <v>S8714</v>
          </cell>
          <cell r="C508" t="str">
            <v>K形　直　管</v>
          </cell>
          <cell r="D508" t="str">
            <v>φ250　1種管</v>
          </cell>
          <cell r="E508">
            <v>5</v>
          </cell>
        </row>
        <row r="509">
          <cell r="A509" t="str">
            <v/>
          </cell>
          <cell r="B509" t="str">
            <v>S8714</v>
          </cell>
          <cell r="C509" t="str">
            <v>K形　直　管</v>
          </cell>
          <cell r="D509" t="str">
            <v>φ300　1種管</v>
          </cell>
          <cell r="E509">
            <v>6</v>
          </cell>
        </row>
        <row r="510">
          <cell r="A510" t="str">
            <v/>
          </cell>
          <cell r="B510" t="str">
            <v>物価版</v>
          </cell>
          <cell r="C510" t="str">
            <v>K形　直　管</v>
          </cell>
          <cell r="D510" t="str">
            <v>φ400　1種管</v>
          </cell>
          <cell r="E510">
            <v>6</v>
          </cell>
        </row>
        <row r="511">
          <cell r="A511" t="str">
            <v/>
          </cell>
          <cell r="B511" t="str">
            <v>物価版</v>
          </cell>
          <cell r="C511" t="str">
            <v>K形　直　管</v>
          </cell>
          <cell r="D511" t="str">
            <v>φ75　2種管</v>
          </cell>
          <cell r="E511">
            <v>4</v>
          </cell>
        </row>
        <row r="512">
          <cell r="A512" t="str">
            <v/>
          </cell>
          <cell r="B512" t="str">
            <v>物価版</v>
          </cell>
          <cell r="C512" t="str">
            <v>K形　直　管</v>
          </cell>
          <cell r="D512" t="str">
            <v>φ100　2種管</v>
          </cell>
          <cell r="E512">
            <v>4</v>
          </cell>
        </row>
        <row r="513">
          <cell r="A513" t="str">
            <v/>
          </cell>
          <cell r="B513" t="str">
            <v>物価版</v>
          </cell>
          <cell r="C513" t="str">
            <v>K形　直　管</v>
          </cell>
          <cell r="D513" t="str">
            <v>φ150　2種管</v>
          </cell>
          <cell r="E513">
            <v>5</v>
          </cell>
        </row>
        <row r="514">
          <cell r="A514" t="str">
            <v/>
          </cell>
          <cell r="B514" t="str">
            <v>物価版</v>
          </cell>
          <cell r="C514" t="str">
            <v>K形　直　管</v>
          </cell>
          <cell r="D514" t="str">
            <v>φ200　2種管</v>
          </cell>
          <cell r="E514">
            <v>5</v>
          </cell>
        </row>
        <row r="515">
          <cell r="A515" t="str">
            <v/>
          </cell>
          <cell r="B515" t="str">
            <v>物価版</v>
          </cell>
          <cell r="C515" t="str">
            <v>K形　直　管</v>
          </cell>
          <cell r="D515" t="str">
            <v>φ250　2種管</v>
          </cell>
          <cell r="E515">
            <v>5</v>
          </cell>
        </row>
        <row r="516">
          <cell r="A516" t="str">
            <v/>
          </cell>
          <cell r="B516" t="str">
            <v>Ｓ8714</v>
          </cell>
          <cell r="C516" t="str">
            <v>K形　直　管</v>
          </cell>
          <cell r="D516" t="str">
            <v>φ300　2種管</v>
          </cell>
          <cell r="E516">
            <v>6</v>
          </cell>
        </row>
        <row r="517">
          <cell r="A517" t="str">
            <v/>
          </cell>
          <cell r="B517" t="str">
            <v>Ｓ8714</v>
          </cell>
          <cell r="C517" t="str">
            <v>K形　直　管</v>
          </cell>
          <cell r="D517" t="str">
            <v>φ400　2種管</v>
          </cell>
          <cell r="E517">
            <v>6</v>
          </cell>
        </row>
        <row r="518">
          <cell r="A518" t="str">
            <v/>
          </cell>
          <cell r="B518" t="str">
            <v>S8727</v>
          </cell>
          <cell r="C518" t="str">
            <v>K形　曲　管</v>
          </cell>
          <cell r="D518" t="str">
            <v>φ75　90度</v>
          </cell>
          <cell r="E518">
            <v>0.58399999999999996</v>
          </cell>
        </row>
        <row r="519">
          <cell r="A519" t="str">
            <v/>
          </cell>
          <cell r="B519" t="str">
            <v>S8727</v>
          </cell>
          <cell r="C519" t="str">
            <v>K形　曲　管</v>
          </cell>
          <cell r="D519" t="str">
            <v>φ100　90度</v>
          </cell>
          <cell r="E519">
            <v>0.58399999999999996</v>
          </cell>
        </row>
        <row r="520">
          <cell r="A520" t="str">
            <v/>
          </cell>
          <cell r="B520" t="str">
            <v>S8727</v>
          </cell>
          <cell r="C520" t="str">
            <v>K形　曲　管</v>
          </cell>
          <cell r="D520" t="str">
            <v>φ150　90度</v>
          </cell>
          <cell r="E520">
            <v>0.71299999999999997</v>
          </cell>
        </row>
        <row r="521">
          <cell r="A521" t="str">
            <v/>
          </cell>
          <cell r="B521" t="str">
            <v>S8727</v>
          </cell>
          <cell r="C521" t="str">
            <v>K形　曲　管</v>
          </cell>
          <cell r="D521" t="str">
            <v>φ200　90度</v>
          </cell>
          <cell r="E521">
            <v>0.872</v>
          </cell>
        </row>
        <row r="522">
          <cell r="A522" t="str">
            <v/>
          </cell>
          <cell r="B522" t="str">
            <v>S8727</v>
          </cell>
          <cell r="C522" t="str">
            <v>K形　曲　管</v>
          </cell>
          <cell r="D522" t="str">
            <v>φ250　90度</v>
          </cell>
          <cell r="E522">
            <v>0.92300000000000004</v>
          </cell>
        </row>
        <row r="523">
          <cell r="A523" t="str">
            <v/>
          </cell>
          <cell r="B523" t="str">
            <v>S8727</v>
          </cell>
          <cell r="C523" t="str">
            <v>K形　曲　管</v>
          </cell>
          <cell r="D523" t="str">
            <v>φ300　90度</v>
          </cell>
          <cell r="E523">
            <v>1.161</v>
          </cell>
        </row>
        <row r="524">
          <cell r="A524" t="str">
            <v/>
          </cell>
          <cell r="B524" t="str">
            <v>S8727</v>
          </cell>
          <cell r="C524" t="str">
            <v>K形　曲　管</v>
          </cell>
          <cell r="D524" t="str">
            <v>φ400　90度</v>
          </cell>
          <cell r="E524">
            <v>1.2430000000000001</v>
          </cell>
        </row>
        <row r="525">
          <cell r="A525" t="str">
            <v/>
          </cell>
          <cell r="B525" t="str">
            <v>S8727</v>
          </cell>
          <cell r="C525" t="str">
            <v>K形　曲　管</v>
          </cell>
          <cell r="D525" t="str">
            <v>φ75　45度</v>
          </cell>
          <cell r="E525">
            <v>0.50600000000000001</v>
          </cell>
        </row>
        <row r="526">
          <cell r="A526" t="str">
            <v/>
          </cell>
          <cell r="B526" t="str">
            <v>S8727</v>
          </cell>
          <cell r="C526" t="str">
            <v>K形　曲　管</v>
          </cell>
          <cell r="D526" t="str">
            <v>φ100　45度</v>
          </cell>
          <cell r="E526">
            <v>0.50600000000000001</v>
          </cell>
        </row>
        <row r="527">
          <cell r="A527" t="str">
            <v/>
          </cell>
          <cell r="B527" t="str">
            <v>S8727</v>
          </cell>
          <cell r="C527" t="str">
            <v>K形　曲　管</v>
          </cell>
          <cell r="D527" t="str">
            <v>φ150　45度</v>
          </cell>
          <cell r="E527">
            <v>0.63400000000000001</v>
          </cell>
        </row>
        <row r="528">
          <cell r="A528" t="str">
            <v/>
          </cell>
          <cell r="B528" t="str">
            <v>S8727</v>
          </cell>
          <cell r="C528" t="str">
            <v>K形　曲　管</v>
          </cell>
          <cell r="D528" t="str">
            <v>φ200　45度</v>
          </cell>
          <cell r="E528">
            <v>0.71499999999999997</v>
          </cell>
        </row>
        <row r="529">
          <cell r="A529" t="str">
            <v/>
          </cell>
          <cell r="B529" t="str">
            <v>S8727</v>
          </cell>
          <cell r="C529" t="str">
            <v>K形　曲　管</v>
          </cell>
          <cell r="D529" t="str">
            <v>φ250　45度</v>
          </cell>
          <cell r="E529">
            <v>0.71599999999999997</v>
          </cell>
        </row>
        <row r="530">
          <cell r="A530" t="str">
            <v/>
          </cell>
          <cell r="B530" t="str">
            <v>S8727</v>
          </cell>
          <cell r="C530" t="str">
            <v>K形　曲　管</v>
          </cell>
          <cell r="D530" t="str">
            <v>φ300　45度</v>
          </cell>
          <cell r="E530">
            <v>0.79700000000000004</v>
          </cell>
        </row>
        <row r="531">
          <cell r="A531" t="str">
            <v/>
          </cell>
          <cell r="B531" t="str">
            <v>S8727</v>
          </cell>
          <cell r="C531" t="str">
            <v>K形　曲　管</v>
          </cell>
          <cell r="D531" t="str">
            <v>φ400　45度</v>
          </cell>
          <cell r="E531">
            <v>0.95699999999999996</v>
          </cell>
        </row>
        <row r="532">
          <cell r="A532" t="str">
            <v/>
          </cell>
          <cell r="B532" t="str">
            <v>S8727</v>
          </cell>
          <cell r="C532" t="str">
            <v>K形　曲　管</v>
          </cell>
          <cell r="D532" t="str">
            <v>φ75　22度1/2</v>
          </cell>
          <cell r="E532">
            <v>0.50600000000000001</v>
          </cell>
        </row>
        <row r="533">
          <cell r="A533" t="str">
            <v/>
          </cell>
          <cell r="B533" t="str">
            <v>S8727</v>
          </cell>
          <cell r="C533" t="str">
            <v>K形　曲　管</v>
          </cell>
          <cell r="D533" t="str">
            <v>φ100　22度1/2</v>
          </cell>
          <cell r="E533">
            <v>0.50600000000000001</v>
          </cell>
        </row>
        <row r="534">
          <cell r="A534" t="str">
            <v/>
          </cell>
          <cell r="B534" t="str">
            <v>S8727</v>
          </cell>
          <cell r="C534" t="str">
            <v>K形　曲　管</v>
          </cell>
          <cell r="D534" t="str">
            <v>φ150　22度1/2</v>
          </cell>
          <cell r="E534">
            <v>0.85399999999999998</v>
          </cell>
        </row>
        <row r="535">
          <cell r="A535" t="str">
            <v/>
          </cell>
          <cell r="B535" t="str">
            <v>S8727</v>
          </cell>
          <cell r="C535" t="str">
            <v>K形　曲　管</v>
          </cell>
          <cell r="D535" t="str">
            <v>φ200　22度1/2</v>
          </cell>
          <cell r="E535">
            <v>0.66500000000000004</v>
          </cell>
        </row>
        <row r="536">
          <cell r="A536" t="str">
            <v/>
          </cell>
          <cell r="B536" t="str">
            <v>S8727</v>
          </cell>
          <cell r="C536" t="str">
            <v>K形　曲　管</v>
          </cell>
          <cell r="D536" t="str">
            <v>φ250　22度1/2</v>
          </cell>
          <cell r="E536">
            <v>0.66600000000000004</v>
          </cell>
        </row>
        <row r="537">
          <cell r="A537" t="str">
            <v/>
          </cell>
          <cell r="B537" t="str">
            <v>S8727</v>
          </cell>
          <cell r="C537" t="str">
            <v>K形　曲　管</v>
          </cell>
          <cell r="D537" t="str">
            <v>φ300　22度1/2</v>
          </cell>
          <cell r="E537">
            <v>0.747</v>
          </cell>
        </row>
        <row r="538">
          <cell r="A538" t="str">
            <v/>
          </cell>
          <cell r="B538" t="str">
            <v>S8727</v>
          </cell>
          <cell r="C538" t="str">
            <v>K形　曲　管</v>
          </cell>
          <cell r="D538" t="str">
            <v>φ400　22度1/2</v>
          </cell>
          <cell r="E538">
            <v>0.95699999999999996</v>
          </cell>
        </row>
        <row r="539">
          <cell r="A539" t="str">
            <v/>
          </cell>
          <cell r="B539" t="str">
            <v>S8727</v>
          </cell>
          <cell r="C539" t="str">
            <v>K形　曲　管</v>
          </cell>
          <cell r="D539" t="str">
            <v>φ75　11度1/4</v>
          </cell>
          <cell r="E539">
            <v>0.78100000000000003</v>
          </cell>
        </row>
        <row r="540">
          <cell r="A540" t="str">
            <v/>
          </cell>
          <cell r="B540" t="str">
            <v>S8727</v>
          </cell>
          <cell r="C540" t="str">
            <v>K形　曲　管</v>
          </cell>
          <cell r="D540" t="str">
            <v>φ100　11度1/4</v>
          </cell>
          <cell r="E540">
            <v>0.78100000000000003</v>
          </cell>
        </row>
        <row r="541">
          <cell r="A541" t="str">
            <v/>
          </cell>
          <cell r="B541" t="str">
            <v>S8727</v>
          </cell>
          <cell r="C541" t="str">
            <v>K形　曲　管</v>
          </cell>
          <cell r="D541" t="str">
            <v>φ150　11度1/4</v>
          </cell>
          <cell r="E541">
            <v>0.78100000000000003</v>
          </cell>
        </row>
        <row r="542">
          <cell r="A542" t="str">
            <v/>
          </cell>
          <cell r="B542" t="str">
            <v>S8727</v>
          </cell>
          <cell r="C542" t="str">
            <v>K形　曲　管</v>
          </cell>
          <cell r="D542" t="str">
            <v>φ200　11度1/4</v>
          </cell>
          <cell r="E542">
            <v>0.97899999999999998</v>
          </cell>
        </row>
        <row r="543">
          <cell r="A543" t="str">
            <v/>
          </cell>
          <cell r="B543" t="str">
            <v>S8727</v>
          </cell>
          <cell r="C543" t="str">
            <v>K形　曲　管</v>
          </cell>
          <cell r="D543" t="str">
            <v>φ250　11度1/4</v>
          </cell>
          <cell r="E543">
            <v>0.98</v>
          </cell>
        </row>
        <row r="544">
          <cell r="A544" t="str">
            <v/>
          </cell>
          <cell r="B544" t="str">
            <v>S8727</v>
          </cell>
          <cell r="C544" t="str">
            <v>K形　曲　管</v>
          </cell>
          <cell r="D544" t="str">
            <v>φ300　11度1/4</v>
          </cell>
          <cell r="E544">
            <v>0.98199999999999998</v>
          </cell>
        </row>
        <row r="545">
          <cell r="A545" t="str">
            <v/>
          </cell>
          <cell r="B545" t="str">
            <v>S8727</v>
          </cell>
          <cell r="C545" t="str">
            <v>K形　曲　管</v>
          </cell>
          <cell r="D545" t="str">
            <v>φ400　11度1/4</v>
          </cell>
          <cell r="E545">
            <v>1.232</v>
          </cell>
        </row>
        <row r="546">
          <cell r="A546" t="str">
            <v/>
          </cell>
          <cell r="B546" t="str">
            <v>S8727</v>
          </cell>
          <cell r="C546" t="str">
            <v>K形　曲　管</v>
          </cell>
          <cell r="D546" t="str">
            <v>φ300　5度5/8</v>
          </cell>
          <cell r="E546">
            <v>1.1779999999999999</v>
          </cell>
        </row>
        <row r="547">
          <cell r="A547" t="str">
            <v/>
          </cell>
          <cell r="B547" t="str">
            <v>S8727</v>
          </cell>
          <cell r="C547" t="str">
            <v>K形　曲　管</v>
          </cell>
          <cell r="D547" t="str">
            <v>φ400　5度5/8</v>
          </cell>
          <cell r="E547">
            <v>1.232</v>
          </cell>
        </row>
        <row r="548">
          <cell r="A548" t="str">
            <v/>
          </cell>
          <cell r="B548" t="str">
            <v>S8732</v>
          </cell>
          <cell r="C548" t="str">
            <v>K形　継　輪</v>
          </cell>
          <cell r="D548" t="str">
            <v>φ75</v>
          </cell>
        </row>
        <row r="549">
          <cell r="A549" t="str">
            <v/>
          </cell>
          <cell r="B549" t="str">
            <v>S8732</v>
          </cell>
          <cell r="C549" t="str">
            <v>K形　継　輪</v>
          </cell>
          <cell r="D549" t="str">
            <v>φ100</v>
          </cell>
        </row>
        <row r="550">
          <cell r="A550">
            <v>37</v>
          </cell>
          <cell r="B550" t="str">
            <v>S8732</v>
          </cell>
          <cell r="C550" t="str">
            <v>K形　継　輪</v>
          </cell>
          <cell r="D550" t="str">
            <v>φ150</v>
          </cell>
          <cell r="F550">
            <v>3</v>
          </cell>
        </row>
        <row r="551">
          <cell r="A551" t="str">
            <v/>
          </cell>
          <cell r="B551" t="str">
            <v>S8732</v>
          </cell>
          <cell r="C551" t="str">
            <v>K形　継　輪</v>
          </cell>
          <cell r="D551" t="str">
            <v>φ200</v>
          </cell>
        </row>
        <row r="552">
          <cell r="A552" t="str">
            <v/>
          </cell>
          <cell r="B552" t="str">
            <v>S8732</v>
          </cell>
          <cell r="C552" t="str">
            <v>K形　継　輪</v>
          </cell>
          <cell r="D552" t="str">
            <v>φ250</v>
          </cell>
        </row>
        <row r="553">
          <cell r="A553" t="str">
            <v/>
          </cell>
          <cell r="B553" t="str">
            <v>S8732</v>
          </cell>
          <cell r="C553" t="str">
            <v>K形　継　輪</v>
          </cell>
          <cell r="D553" t="str">
            <v>φ300</v>
          </cell>
        </row>
        <row r="554">
          <cell r="A554" t="str">
            <v/>
          </cell>
          <cell r="B554" t="str">
            <v>S8732</v>
          </cell>
          <cell r="C554" t="str">
            <v>K形　継　輪</v>
          </cell>
          <cell r="D554" t="str">
            <v>φ350</v>
          </cell>
        </row>
        <row r="555">
          <cell r="A555" t="str">
            <v/>
          </cell>
          <cell r="B555" t="str">
            <v>S8732</v>
          </cell>
          <cell r="C555" t="str">
            <v>K形　継　輪</v>
          </cell>
          <cell r="D555" t="str">
            <v>φ400</v>
          </cell>
        </row>
        <row r="556">
          <cell r="A556" t="str">
            <v/>
          </cell>
          <cell r="B556" t="str">
            <v>S8732</v>
          </cell>
          <cell r="C556" t="str">
            <v>K形　継　輪</v>
          </cell>
          <cell r="D556" t="str">
            <v>φ450</v>
          </cell>
        </row>
        <row r="557">
          <cell r="A557" t="str">
            <v/>
          </cell>
          <cell r="B557" t="str">
            <v>S8747</v>
          </cell>
          <cell r="C557" t="str">
            <v>K形　二受丁字管</v>
          </cell>
          <cell r="D557" t="str">
            <v>φ75×φ75</v>
          </cell>
          <cell r="E557">
            <v>0.64</v>
          </cell>
        </row>
        <row r="558">
          <cell r="A558" t="str">
            <v/>
          </cell>
          <cell r="B558" t="str">
            <v>S8747</v>
          </cell>
          <cell r="C558" t="str">
            <v>K形　二受丁字管</v>
          </cell>
          <cell r="D558" t="str">
            <v>φ100×φ75</v>
          </cell>
          <cell r="E558">
            <v>0.71</v>
          </cell>
        </row>
        <row r="559">
          <cell r="A559" t="str">
            <v/>
          </cell>
          <cell r="B559" t="str">
            <v>S8747</v>
          </cell>
          <cell r="C559" t="str">
            <v>K形　二受丁字管</v>
          </cell>
          <cell r="D559" t="str">
            <v>φ100×φ100</v>
          </cell>
          <cell r="E559">
            <v>0.71</v>
          </cell>
        </row>
        <row r="560">
          <cell r="A560" t="str">
            <v/>
          </cell>
          <cell r="B560" t="str">
            <v>S8747</v>
          </cell>
          <cell r="C560" t="str">
            <v>K形　二受丁字管</v>
          </cell>
          <cell r="D560" t="str">
            <v>φ150×φ75</v>
          </cell>
          <cell r="E560">
            <v>0.79</v>
          </cell>
        </row>
        <row r="561">
          <cell r="A561" t="str">
            <v/>
          </cell>
          <cell r="B561" t="str">
            <v>S8747</v>
          </cell>
          <cell r="C561" t="str">
            <v>K形　二受丁字管</v>
          </cell>
          <cell r="D561" t="str">
            <v>φ150×φ100</v>
          </cell>
          <cell r="E561">
            <v>0.79</v>
          </cell>
        </row>
        <row r="562">
          <cell r="A562" t="str">
            <v/>
          </cell>
          <cell r="B562" t="str">
            <v>S8747</v>
          </cell>
          <cell r="C562" t="str">
            <v>K形　二受丁字管</v>
          </cell>
          <cell r="D562" t="str">
            <v>φ150×φ150</v>
          </cell>
          <cell r="E562">
            <v>0.79</v>
          </cell>
        </row>
        <row r="563">
          <cell r="A563" t="str">
            <v/>
          </cell>
          <cell r="B563" t="str">
            <v>S8747</v>
          </cell>
          <cell r="C563" t="str">
            <v>K形　二受丁字管</v>
          </cell>
          <cell r="D563" t="str">
            <v>φ200×φ100</v>
          </cell>
          <cell r="E563">
            <v>0.76</v>
          </cell>
        </row>
        <row r="564">
          <cell r="A564" t="str">
            <v/>
          </cell>
          <cell r="B564" t="str">
            <v>S8747</v>
          </cell>
          <cell r="C564" t="str">
            <v>K形　二受丁字管</v>
          </cell>
          <cell r="D564" t="str">
            <v>φ200×φ150</v>
          </cell>
          <cell r="E564">
            <v>0.88</v>
          </cell>
        </row>
        <row r="565">
          <cell r="A565" t="str">
            <v/>
          </cell>
          <cell r="B565" t="str">
            <v>S8747</v>
          </cell>
          <cell r="C565" t="str">
            <v>K形　二受丁字管</v>
          </cell>
          <cell r="D565" t="str">
            <v>φ200×φ200</v>
          </cell>
          <cell r="E565">
            <v>0.88</v>
          </cell>
        </row>
        <row r="566">
          <cell r="A566" t="str">
            <v/>
          </cell>
          <cell r="B566" t="str">
            <v>S8747</v>
          </cell>
          <cell r="C566" t="str">
            <v>K形　二受丁字管</v>
          </cell>
          <cell r="D566" t="str">
            <v>φ250×φ100</v>
          </cell>
          <cell r="E566">
            <v>0.83</v>
          </cell>
        </row>
        <row r="567">
          <cell r="A567" t="str">
            <v/>
          </cell>
          <cell r="B567" t="str">
            <v>S8747</v>
          </cell>
          <cell r="C567" t="str">
            <v>K形　二受丁字管</v>
          </cell>
          <cell r="D567" t="str">
            <v>φ250×φ150</v>
          </cell>
          <cell r="E567">
            <v>0.83</v>
          </cell>
        </row>
        <row r="568">
          <cell r="A568" t="str">
            <v/>
          </cell>
          <cell r="B568" t="str">
            <v>S8747</v>
          </cell>
          <cell r="C568" t="str">
            <v>K形　二受丁字管</v>
          </cell>
          <cell r="D568" t="str">
            <v>φ250×φ200</v>
          </cell>
          <cell r="E568">
            <v>0.95</v>
          </cell>
        </row>
        <row r="569">
          <cell r="A569" t="str">
            <v/>
          </cell>
          <cell r="B569" t="str">
            <v>S8747</v>
          </cell>
          <cell r="C569" t="str">
            <v>K形　二受丁字管</v>
          </cell>
          <cell r="D569" t="str">
            <v>φ300×φ100</v>
          </cell>
          <cell r="E569">
            <v>0.84</v>
          </cell>
        </row>
        <row r="570">
          <cell r="A570" t="str">
            <v/>
          </cell>
          <cell r="B570" t="str">
            <v>S8747</v>
          </cell>
          <cell r="C570" t="str">
            <v>K形　二受丁字管</v>
          </cell>
          <cell r="D570" t="str">
            <v>φ300×φ150</v>
          </cell>
          <cell r="E570">
            <v>0.84</v>
          </cell>
        </row>
        <row r="571">
          <cell r="A571" t="str">
            <v/>
          </cell>
          <cell r="B571" t="str">
            <v>S8747</v>
          </cell>
          <cell r="C571" t="str">
            <v>K形　二受丁字管</v>
          </cell>
          <cell r="D571" t="str">
            <v>φ300×φ200</v>
          </cell>
          <cell r="E571">
            <v>1.03</v>
          </cell>
        </row>
        <row r="572">
          <cell r="A572" t="str">
            <v/>
          </cell>
          <cell r="B572" t="str">
            <v>S8747</v>
          </cell>
          <cell r="C572" t="str">
            <v>K形　二受丁字管</v>
          </cell>
          <cell r="D572" t="str">
            <v>φ300×φ300</v>
          </cell>
          <cell r="E572">
            <v>1.03</v>
          </cell>
        </row>
        <row r="573">
          <cell r="A573" t="str">
            <v/>
          </cell>
          <cell r="B573" t="str">
            <v>S8747</v>
          </cell>
          <cell r="C573" t="str">
            <v>K形　二受丁字管</v>
          </cell>
          <cell r="D573" t="str">
            <v>φ350×φ250</v>
          </cell>
          <cell r="E573">
            <v>1.1100000000000001</v>
          </cell>
        </row>
        <row r="574">
          <cell r="A574" t="str">
            <v/>
          </cell>
          <cell r="B574" t="str">
            <v>S8747</v>
          </cell>
          <cell r="C574" t="str">
            <v>K形　二受丁字管</v>
          </cell>
          <cell r="D574" t="str">
            <v>φ350×φ350</v>
          </cell>
          <cell r="E574">
            <v>1.1100000000000001</v>
          </cell>
        </row>
        <row r="575">
          <cell r="A575" t="str">
            <v/>
          </cell>
          <cell r="B575" t="str">
            <v>S8747</v>
          </cell>
          <cell r="C575" t="str">
            <v>K形　二受丁字管</v>
          </cell>
          <cell r="D575" t="str">
            <v>φ400×φ300</v>
          </cell>
          <cell r="E575">
            <v>1.19</v>
          </cell>
        </row>
        <row r="576">
          <cell r="A576" t="str">
            <v/>
          </cell>
          <cell r="B576" t="str">
            <v>S8747</v>
          </cell>
          <cell r="C576" t="str">
            <v>K形　二受丁字管</v>
          </cell>
          <cell r="D576" t="str">
            <v>φ400×φ400</v>
          </cell>
          <cell r="E576">
            <v>1.19</v>
          </cell>
        </row>
        <row r="577">
          <cell r="A577" t="str">
            <v/>
          </cell>
          <cell r="B577" t="str">
            <v>S8747</v>
          </cell>
          <cell r="C577" t="str">
            <v>K形　二受丁字管</v>
          </cell>
          <cell r="D577" t="str">
            <v>φ450×φ300</v>
          </cell>
          <cell r="E577">
            <v>1.26</v>
          </cell>
        </row>
        <row r="578">
          <cell r="A578" t="str">
            <v/>
          </cell>
          <cell r="B578" t="str">
            <v>S8747</v>
          </cell>
          <cell r="C578" t="str">
            <v>K形　二受丁字管</v>
          </cell>
          <cell r="D578" t="str">
            <v>φ450×φ450</v>
          </cell>
          <cell r="E578">
            <v>1.26</v>
          </cell>
        </row>
        <row r="579">
          <cell r="A579" t="str">
            <v/>
          </cell>
          <cell r="B579" t="str">
            <v>S8747</v>
          </cell>
          <cell r="C579" t="str">
            <v>K形　挿受片落管</v>
          </cell>
          <cell r="D579" t="str">
            <v>φ100×φ75</v>
          </cell>
          <cell r="E579">
            <v>0.55000000000000004</v>
          </cell>
        </row>
        <row r="580">
          <cell r="A580" t="str">
            <v/>
          </cell>
          <cell r="B580" t="str">
            <v>S8747</v>
          </cell>
          <cell r="C580" t="str">
            <v>K形　挿受片落管</v>
          </cell>
          <cell r="D580" t="str">
            <v>φ150×φ100</v>
          </cell>
          <cell r="E580">
            <v>0.55000000000000004</v>
          </cell>
        </row>
        <row r="581">
          <cell r="A581" t="str">
            <v/>
          </cell>
          <cell r="B581" t="str">
            <v>S8747</v>
          </cell>
          <cell r="C581" t="str">
            <v>K形　挿受片落管</v>
          </cell>
          <cell r="D581" t="str">
            <v>φ200×φ100</v>
          </cell>
          <cell r="E581">
            <v>0.55000000000000004</v>
          </cell>
        </row>
        <row r="582">
          <cell r="A582" t="str">
            <v/>
          </cell>
          <cell r="B582" t="str">
            <v>S8747</v>
          </cell>
          <cell r="C582" t="str">
            <v>K形　挿受片落管</v>
          </cell>
          <cell r="D582" t="str">
            <v>φ200×φ150</v>
          </cell>
          <cell r="E582">
            <v>0.55500000000000005</v>
          </cell>
        </row>
        <row r="583">
          <cell r="A583" t="str">
            <v/>
          </cell>
          <cell r="B583" t="str">
            <v>S8747</v>
          </cell>
          <cell r="C583" t="str">
            <v>K形　挿受片落管</v>
          </cell>
          <cell r="D583" t="str">
            <v>φ250×φ100</v>
          </cell>
          <cell r="E583">
            <v>0.65</v>
          </cell>
        </row>
        <row r="584">
          <cell r="A584" t="str">
            <v/>
          </cell>
          <cell r="B584" t="str">
            <v>S8747</v>
          </cell>
          <cell r="C584" t="str">
            <v>K形　挿受片落管</v>
          </cell>
          <cell r="D584" t="str">
            <v>φ250×φ150</v>
          </cell>
          <cell r="E584">
            <v>0.65500000000000003</v>
          </cell>
        </row>
        <row r="585">
          <cell r="A585" t="str">
            <v/>
          </cell>
          <cell r="B585" t="str">
            <v>S8747</v>
          </cell>
          <cell r="C585" t="str">
            <v>K形　挿受片落管</v>
          </cell>
          <cell r="D585" t="str">
            <v>φ250×φ200</v>
          </cell>
          <cell r="E585">
            <v>0.66</v>
          </cell>
        </row>
        <row r="586">
          <cell r="A586" t="str">
            <v/>
          </cell>
          <cell r="B586" t="str">
            <v>S8747</v>
          </cell>
          <cell r="C586" t="str">
            <v>K形　挿受片落管</v>
          </cell>
          <cell r="D586" t="str">
            <v>φ300×φ100</v>
          </cell>
          <cell r="E586">
            <v>0.65</v>
          </cell>
        </row>
        <row r="587">
          <cell r="A587" t="str">
            <v/>
          </cell>
          <cell r="B587" t="str">
            <v>S8747</v>
          </cell>
          <cell r="C587" t="str">
            <v>K形　挿受片落管</v>
          </cell>
          <cell r="D587" t="str">
            <v>φ300×φ150</v>
          </cell>
          <cell r="E587">
            <v>0.65500000000000003</v>
          </cell>
        </row>
        <row r="588">
          <cell r="A588" t="str">
            <v/>
          </cell>
          <cell r="B588" t="str">
            <v>S8747</v>
          </cell>
          <cell r="C588" t="str">
            <v>K形　挿受片落管</v>
          </cell>
          <cell r="D588" t="str">
            <v>φ300×φ200</v>
          </cell>
          <cell r="E588">
            <v>0.66</v>
          </cell>
        </row>
        <row r="589">
          <cell r="A589" t="str">
            <v/>
          </cell>
          <cell r="B589" t="str">
            <v>S8747</v>
          </cell>
          <cell r="C589" t="str">
            <v>K形　挿受片落管</v>
          </cell>
          <cell r="D589" t="str">
            <v>φ350×φ150</v>
          </cell>
          <cell r="E589">
            <v>0.65500000000000003</v>
          </cell>
        </row>
        <row r="590">
          <cell r="A590" t="str">
            <v/>
          </cell>
          <cell r="B590" t="str">
            <v>S8747</v>
          </cell>
          <cell r="C590" t="str">
            <v>K形　挿受片落管</v>
          </cell>
          <cell r="D590" t="str">
            <v>φ350×φ200</v>
          </cell>
          <cell r="E590">
            <v>0.66</v>
          </cell>
        </row>
        <row r="591">
          <cell r="A591" t="str">
            <v/>
          </cell>
          <cell r="B591" t="str">
            <v>S8747</v>
          </cell>
          <cell r="C591" t="str">
            <v>K形　挿受片落管</v>
          </cell>
          <cell r="D591" t="str">
            <v>φ350×φ250</v>
          </cell>
          <cell r="E591">
            <v>0.67</v>
          </cell>
        </row>
        <row r="592">
          <cell r="A592" t="str">
            <v/>
          </cell>
          <cell r="B592" t="str">
            <v>S8747</v>
          </cell>
          <cell r="C592" t="str">
            <v>K形　挿受片落管</v>
          </cell>
          <cell r="D592" t="str">
            <v>φ350×φ300</v>
          </cell>
          <cell r="E592">
            <v>0.68</v>
          </cell>
        </row>
        <row r="593">
          <cell r="A593" t="str">
            <v/>
          </cell>
          <cell r="B593" t="str">
            <v>S8747</v>
          </cell>
          <cell r="C593" t="str">
            <v>K形　挿受片落管</v>
          </cell>
          <cell r="D593" t="str">
            <v>φ400×φ150</v>
          </cell>
          <cell r="E593">
            <v>0.77500000000000002</v>
          </cell>
        </row>
        <row r="594">
          <cell r="A594" t="str">
            <v/>
          </cell>
          <cell r="B594" t="str">
            <v>S8747</v>
          </cell>
          <cell r="C594" t="str">
            <v>K形　挿受片落管</v>
          </cell>
          <cell r="D594" t="str">
            <v>φ400×φ200</v>
          </cell>
          <cell r="E594">
            <v>0.78</v>
          </cell>
        </row>
        <row r="595">
          <cell r="A595" t="str">
            <v/>
          </cell>
          <cell r="B595" t="str">
            <v>S8747</v>
          </cell>
          <cell r="C595" t="str">
            <v>K形　挿受片落管</v>
          </cell>
          <cell r="D595" t="str">
            <v>φ400×φ300</v>
          </cell>
          <cell r="E595">
            <v>0.8</v>
          </cell>
        </row>
        <row r="596">
          <cell r="A596" t="str">
            <v/>
          </cell>
          <cell r="B596" t="str">
            <v>S8747</v>
          </cell>
          <cell r="C596" t="str">
            <v>K形　挿受片落管</v>
          </cell>
          <cell r="D596" t="str">
            <v>φ450×φ200</v>
          </cell>
          <cell r="E596">
            <v>0.79</v>
          </cell>
        </row>
        <row r="597">
          <cell r="A597" t="str">
            <v/>
          </cell>
          <cell r="B597" t="str">
            <v>S8747</v>
          </cell>
          <cell r="C597" t="str">
            <v>K形　挿受片落管</v>
          </cell>
          <cell r="D597" t="str">
            <v>φ450×φ250</v>
          </cell>
          <cell r="E597">
            <v>0.8</v>
          </cell>
        </row>
        <row r="598">
          <cell r="A598" t="str">
            <v/>
          </cell>
          <cell r="B598" t="str">
            <v>S8747</v>
          </cell>
          <cell r="C598" t="str">
            <v>K形　挿受片落管</v>
          </cell>
          <cell r="D598" t="str">
            <v>φ450×φ300</v>
          </cell>
          <cell r="E598">
            <v>0.81</v>
          </cell>
        </row>
        <row r="599">
          <cell r="A599" t="str">
            <v/>
          </cell>
          <cell r="B599" t="str">
            <v>S8747</v>
          </cell>
          <cell r="C599" t="str">
            <v>K形　挿受片落管</v>
          </cell>
          <cell r="D599" t="str">
            <v>φ450×φ350</v>
          </cell>
          <cell r="E599">
            <v>0.81</v>
          </cell>
        </row>
        <row r="600">
          <cell r="A600" t="str">
            <v/>
          </cell>
          <cell r="B600" t="str">
            <v>S8747</v>
          </cell>
          <cell r="C600" t="str">
            <v>K形　挿受片落管</v>
          </cell>
          <cell r="D600" t="str">
            <v>φ450×φ400</v>
          </cell>
          <cell r="E600">
            <v>0.82</v>
          </cell>
        </row>
        <row r="601">
          <cell r="A601" t="str">
            <v/>
          </cell>
          <cell r="B601" t="str">
            <v>S8747</v>
          </cell>
          <cell r="C601" t="str">
            <v>K形　受挿片落管</v>
          </cell>
          <cell r="D601" t="str">
            <v>φ100×φ75</v>
          </cell>
          <cell r="E601">
            <v>0.55000000000000004</v>
          </cell>
        </row>
        <row r="602">
          <cell r="A602" t="str">
            <v/>
          </cell>
          <cell r="B602" t="str">
            <v>S8747</v>
          </cell>
          <cell r="C602" t="str">
            <v>K形　受挿片落管</v>
          </cell>
          <cell r="D602" t="str">
            <v>φ150×φ100</v>
          </cell>
          <cell r="E602">
            <v>0.55500000000000005</v>
          </cell>
        </row>
        <row r="603">
          <cell r="A603" t="str">
            <v/>
          </cell>
          <cell r="B603" t="str">
            <v>S8747</v>
          </cell>
          <cell r="C603" t="str">
            <v>K形　受挿片落管</v>
          </cell>
          <cell r="D603" t="str">
            <v>φ200×φ100</v>
          </cell>
          <cell r="E603">
            <v>0.56000000000000005</v>
          </cell>
        </row>
        <row r="604">
          <cell r="A604" t="str">
            <v/>
          </cell>
          <cell r="B604" t="str">
            <v>S8747</v>
          </cell>
          <cell r="C604" t="str">
            <v>K形　受挿片落管</v>
          </cell>
          <cell r="D604" t="str">
            <v>φ200×φ150</v>
          </cell>
          <cell r="E604">
            <v>0.56000000000000005</v>
          </cell>
        </row>
        <row r="605">
          <cell r="A605" t="str">
            <v/>
          </cell>
          <cell r="B605" t="str">
            <v>S8747</v>
          </cell>
          <cell r="C605" t="str">
            <v>K形　受挿片落管</v>
          </cell>
          <cell r="D605" t="str">
            <v>φ250×φ100</v>
          </cell>
          <cell r="E605">
            <v>0.67</v>
          </cell>
        </row>
        <row r="606">
          <cell r="A606" t="str">
            <v/>
          </cell>
          <cell r="B606" t="str">
            <v>S8747</v>
          </cell>
          <cell r="C606" t="str">
            <v>K形　受挿片落管</v>
          </cell>
          <cell r="D606" t="str">
            <v>φ250×φ150</v>
          </cell>
          <cell r="E606">
            <v>0.67</v>
          </cell>
        </row>
        <row r="607">
          <cell r="A607" t="str">
            <v/>
          </cell>
          <cell r="B607" t="str">
            <v>S8747</v>
          </cell>
          <cell r="C607" t="str">
            <v>K形　受挿片落管</v>
          </cell>
          <cell r="D607" t="str">
            <v>φ250×φ200</v>
          </cell>
          <cell r="E607">
            <v>0.67</v>
          </cell>
        </row>
        <row r="608">
          <cell r="A608" t="str">
            <v/>
          </cell>
          <cell r="B608" t="str">
            <v>S8747</v>
          </cell>
          <cell r="C608" t="str">
            <v>K形　受挿片落管</v>
          </cell>
          <cell r="D608" t="str">
            <v>φ300×φ100</v>
          </cell>
          <cell r="E608">
            <v>0.68</v>
          </cell>
        </row>
        <row r="609">
          <cell r="A609" t="str">
            <v/>
          </cell>
          <cell r="B609" t="str">
            <v>S8747</v>
          </cell>
          <cell r="C609" t="str">
            <v>K形　受挿片落管</v>
          </cell>
          <cell r="D609" t="str">
            <v>φ300×φ150</v>
          </cell>
          <cell r="E609">
            <v>0.68</v>
          </cell>
        </row>
        <row r="610">
          <cell r="A610" t="str">
            <v/>
          </cell>
          <cell r="B610" t="str">
            <v>S8747</v>
          </cell>
          <cell r="C610" t="str">
            <v>K形　受挿片落管</v>
          </cell>
          <cell r="D610" t="str">
            <v>φ300×φ200</v>
          </cell>
          <cell r="E610">
            <v>0.68</v>
          </cell>
        </row>
        <row r="611">
          <cell r="A611" t="str">
            <v/>
          </cell>
          <cell r="B611" t="str">
            <v>S8747</v>
          </cell>
          <cell r="C611" t="str">
            <v>K形　受挿片落管</v>
          </cell>
          <cell r="D611" t="str">
            <v>φ350×φ150</v>
          </cell>
          <cell r="E611">
            <v>0.68</v>
          </cell>
        </row>
        <row r="612">
          <cell r="A612" t="str">
            <v/>
          </cell>
          <cell r="B612" t="str">
            <v>S8747</v>
          </cell>
          <cell r="C612" t="str">
            <v>K形　受挿片落管</v>
          </cell>
          <cell r="D612" t="str">
            <v>φ350×φ200</v>
          </cell>
          <cell r="E612">
            <v>0.68</v>
          </cell>
        </row>
        <row r="613">
          <cell r="A613" t="str">
            <v/>
          </cell>
          <cell r="B613" t="str">
            <v>S8747</v>
          </cell>
          <cell r="C613" t="str">
            <v>K形　受挿片落管</v>
          </cell>
          <cell r="D613" t="str">
            <v>φ350×φ250</v>
          </cell>
          <cell r="E613">
            <v>0.68</v>
          </cell>
        </row>
        <row r="614">
          <cell r="A614" t="str">
            <v/>
          </cell>
          <cell r="B614" t="str">
            <v>S8747</v>
          </cell>
          <cell r="C614" t="str">
            <v>K形　受挿片落管</v>
          </cell>
          <cell r="D614" t="str">
            <v>φ350×φ300</v>
          </cell>
          <cell r="E614">
            <v>0.68</v>
          </cell>
        </row>
        <row r="615">
          <cell r="A615" t="str">
            <v/>
          </cell>
          <cell r="B615" t="str">
            <v>S8747</v>
          </cell>
          <cell r="C615" t="str">
            <v>K形　受挿片落管</v>
          </cell>
          <cell r="D615" t="str">
            <v>φ400×φ150</v>
          </cell>
          <cell r="E615">
            <v>0.79</v>
          </cell>
        </row>
        <row r="616">
          <cell r="A616" t="str">
            <v/>
          </cell>
          <cell r="B616" t="str">
            <v>S8747</v>
          </cell>
          <cell r="C616" t="str">
            <v>K形　受挿片落管</v>
          </cell>
          <cell r="D616" t="str">
            <v>φ400×φ200</v>
          </cell>
          <cell r="E616">
            <v>0.79</v>
          </cell>
        </row>
        <row r="617">
          <cell r="A617" t="str">
            <v/>
          </cell>
          <cell r="B617" t="str">
            <v>S8747</v>
          </cell>
          <cell r="C617" t="str">
            <v>K形　受挿片落管</v>
          </cell>
          <cell r="D617" t="str">
            <v>φ400×φ300</v>
          </cell>
          <cell r="E617">
            <v>0.79</v>
          </cell>
        </row>
        <row r="618">
          <cell r="A618" t="str">
            <v/>
          </cell>
          <cell r="B618" t="str">
            <v>S8747</v>
          </cell>
          <cell r="C618" t="str">
            <v>K形　受挿片落管</v>
          </cell>
          <cell r="D618" t="str">
            <v>φ450×φ200</v>
          </cell>
          <cell r="E618">
            <v>0.8</v>
          </cell>
        </row>
        <row r="619">
          <cell r="A619" t="str">
            <v/>
          </cell>
          <cell r="B619" t="str">
            <v>S8747</v>
          </cell>
          <cell r="C619" t="str">
            <v>K形　受挿片落管</v>
          </cell>
          <cell r="D619" t="str">
            <v>φ450×φ250</v>
          </cell>
          <cell r="E619">
            <v>0.8</v>
          </cell>
        </row>
        <row r="620">
          <cell r="A620" t="str">
            <v/>
          </cell>
          <cell r="B620" t="str">
            <v>S8747</v>
          </cell>
          <cell r="C620" t="str">
            <v>K形　受挿片落管</v>
          </cell>
          <cell r="D620" t="str">
            <v>φ450×φ300</v>
          </cell>
          <cell r="E620">
            <v>0.8</v>
          </cell>
        </row>
        <row r="621">
          <cell r="A621" t="str">
            <v/>
          </cell>
          <cell r="B621" t="str">
            <v>S8747</v>
          </cell>
          <cell r="C621" t="str">
            <v>K形　受挿片落管</v>
          </cell>
          <cell r="D621" t="str">
            <v>φ450×φ350</v>
          </cell>
          <cell r="E621">
            <v>0.82</v>
          </cell>
        </row>
        <row r="622">
          <cell r="A622" t="str">
            <v/>
          </cell>
          <cell r="B622" t="str">
            <v>S8747</v>
          </cell>
          <cell r="C622" t="str">
            <v>K形　受挿片落管</v>
          </cell>
          <cell r="D622" t="str">
            <v>φ450×φ400</v>
          </cell>
          <cell r="E622">
            <v>0.82</v>
          </cell>
        </row>
        <row r="623">
          <cell r="A623" t="str">
            <v/>
          </cell>
          <cell r="B623" t="str">
            <v>S8737</v>
          </cell>
          <cell r="C623" t="str">
            <v>K形　短管1号</v>
          </cell>
          <cell r="D623" t="str">
            <v>φ75</v>
          </cell>
          <cell r="E623">
            <v>0.12</v>
          </cell>
        </row>
        <row r="624">
          <cell r="A624" t="str">
            <v/>
          </cell>
          <cell r="B624" t="str">
            <v>S8737</v>
          </cell>
          <cell r="C624" t="str">
            <v>K形　短管1号</v>
          </cell>
          <cell r="D624" t="str">
            <v>φ100</v>
          </cell>
          <cell r="E624">
            <v>0.12</v>
          </cell>
        </row>
        <row r="625">
          <cell r="A625" t="str">
            <v/>
          </cell>
          <cell r="B625" t="str">
            <v>S8737</v>
          </cell>
          <cell r="C625" t="str">
            <v>K形　短管1号</v>
          </cell>
          <cell r="D625" t="str">
            <v>φ150</v>
          </cell>
          <cell r="E625">
            <v>0.12</v>
          </cell>
        </row>
        <row r="626">
          <cell r="A626" t="str">
            <v/>
          </cell>
          <cell r="B626" t="str">
            <v>S8737</v>
          </cell>
          <cell r="C626" t="str">
            <v>K形　短管1号</v>
          </cell>
          <cell r="D626" t="str">
            <v>φ200</v>
          </cell>
          <cell r="E626">
            <v>0.12</v>
          </cell>
        </row>
        <row r="627">
          <cell r="A627" t="str">
            <v/>
          </cell>
          <cell r="B627" t="str">
            <v>S8737</v>
          </cell>
          <cell r="C627" t="str">
            <v>K形　短管1号</v>
          </cell>
          <cell r="D627" t="str">
            <v>φ250</v>
          </cell>
          <cell r="E627">
            <v>0.17</v>
          </cell>
        </row>
        <row r="628">
          <cell r="A628" t="str">
            <v/>
          </cell>
          <cell r="B628" t="str">
            <v>S8737</v>
          </cell>
          <cell r="C628" t="str">
            <v>K形　短管1号</v>
          </cell>
          <cell r="D628" t="str">
            <v>φ300</v>
          </cell>
          <cell r="E628">
            <v>0.17</v>
          </cell>
        </row>
        <row r="629">
          <cell r="A629" t="str">
            <v/>
          </cell>
          <cell r="B629" t="str">
            <v>S8737</v>
          </cell>
          <cell r="C629" t="str">
            <v>K形　短管1号</v>
          </cell>
          <cell r="D629" t="str">
            <v>φ400</v>
          </cell>
          <cell r="E629">
            <v>0.17</v>
          </cell>
        </row>
        <row r="630">
          <cell r="A630" t="str">
            <v/>
          </cell>
          <cell r="B630" t="str">
            <v>S8737</v>
          </cell>
          <cell r="C630" t="str">
            <v>K形　短管2号</v>
          </cell>
          <cell r="D630" t="str">
            <v>φ75</v>
          </cell>
          <cell r="E630">
            <v>0.7</v>
          </cell>
        </row>
        <row r="631">
          <cell r="A631" t="str">
            <v/>
          </cell>
          <cell r="B631" t="str">
            <v>S8737</v>
          </cell>
          <cell r="C631" t="str">
            <v>K形　短管2号</v>
          </cell>
          <cell r="D631" t="str">
            <v>φ100</v>
          </cell>
          <cell r="E631">
            <v>0.7</v>
          </cell>
        </row>
        <row r="632">
          <cell r="A632" t="str">
            <v/>
          </cell>
          <cell r="B632" t="str">
            <v>S8737</v>
          </cell>
          <cell r="C632" t="str">
            <v>K形　短管2号</v>
          </cell>
          <cell r="D632" t="str">
            <v>φ150</v>
          </cell>
          <cell r="E632">
            <v>0.7</v>
          </cell>
        </row>
        <row r="633">
          <cell r="A633" t="str">
            <v/>
          </cell>
          <cell r="B633" t="str">
            <v>S8737</v>
          </cell>
          <cell r="C633" t="str">
            <v>K形　短管2号</v>
          </cell>
          <cell r="D633" t="str">
            <v>φ200</v>
          </cell>
          <cell r="E633">
            <v>0.7</v>
          </cell>
        </row>
        <row r="634">
          <cell r="A634" t="str">
            <v/>
          </cell>
          <cell r="B634" t="str">
            <v>S8737</v>
          </cell>
          <cell r="C634" t="str">
            <v>K形　短管2号</v>
          </cell>
          <cell r="D634" t="str">
            <v>φ250</v>
          </cell>
          <cell r="E634">
            <v>0.7</v>
          </cell>
        </row>
        <row r="635">
          <cell r="A635" t="str">
            <v/>
          </cell>
          <cell r="B635" t="str">
            <v>S8737</v>
          </cell>
          <cell r="C635" t="str">
            <v>K形　短管2号</v>
          </cell>
          <cell r="D635" t="str">
            <v>φ300</v>
          </cell>
          <cell r="E635">
            <v>0.7</v>
          </cell>
        </row>
        <row r="636">
          <cell r="A636" t="str">
            <v/>
          </cell>
          <cell r="B636" t="str">
            <v>S8737</v>
          </cell>
          <cell r="C636" t="str">
            <v>K形　短管2号</v>
          </cell>
          <cell r="D636" t="str">
            <v>φ400</v>
          </cell>
          <cell r="E636">
            <v>0.75</v>
          </cell>
        </row>
        <row r="637">
          <cell r="A637" t="str">
            <v/>
          </cell>
          <cell r="B637" t="str">
            <v>S8757</v>
          </cell>
          <cell r="C637" t="str">
            <v>K形　F付丁字管</v>
          </cell>
          <cell r="D637" t="str">
            <v>φ75×φ75</v>
          </cell>
          <cell r="E637">
            <v>0.63</v>
          </cell>
        </row>
        <row r="638">
          <cell r="A638" t="str">
            <v/>
          </cell>
          <cell r="B638" t="str">
            <v>S8757</v>
          </cell>
          <cell r="C638" t="str">
            <v>K形　F付丁字管</v>
          </cell>
          <cell r="D638" t="str">
            <v>φ100×φ75</v>
          </cell>
          <cell r="E638">
            <v>0.66</v>
          </cell>
        </row>
        <row r="639">
          <cell r="A639" t="str">
            <v/>
          </cell>
          <cell r="B639" t="str">
            <v>S8757</v>
          </cell>
          <cell r="C639" t="str">
            <v>K形　F付丁字管</v>
          </cell>
          <cell r="D639" t="str">
            <v>φ150×φ75</v>
          </cell>
          <cell r="E639">
            <v>0.69</v>
          </cell>
        </row>
        <row r="640">
          <cell r="A640" t="str">
            <v/>
          </cell>
          <cell r="B640" t="str">
            <v>S8757</v>
          </cell>
          <cell r="C640" t="str">
            <v>K形　F付丁字管</v>
          </cell>
          <cell r="D640" t="str">
            <v>φ200×φ75</v>
          </cell>
          <cell r="E640">
            <v>0.71</v>
          </cell>
        </row>
        <row r="641">
          <cell r="A641" t="str">
            <v/>
          </cell>
          <cell r="B641" t="str">
            <v>S8757</v>
          </cell>
          <cell r="C641" t="str">
            <v>K形　F付丁字管</v>
          </cell>
          <cell r="D641" t="str">
            <v>φ250×φ75</v>
          </cell>
          <cell r="E641">
            <v>0.73</v>
          </cell>
        </row>
        <row r="642">
          <cell r="A642" t="str">
            <v/>
          </cell>
          <cell r="B642" t="str">
            <v>S8757</v>
          </cell>
          <cell r="C642" t="str">
            <v>K形　F付丁字管</v>
          </cell>
          <cell r="D642" t="str">
            <v>φ300×φ75</v>
          </cell>
          <cell r="E642">
            <v>0.74</v>
          </cell>
        </row>
        <row r="643">
          <cell r="A643" t="str">
            <v/>
          </cell>
          <cell r="B643" t="str">
            <v>S8757</v>
          </cell>
          <cell r="C643" t="str">
            <v>K形　F付丁字管</v>
          </cell>
          <cell r="D643" t="str">
            <v>φ400×φ75</v>
          </cell>
          <cell r="E643">
            <v>0.77</v>
          </cell>
        </row>
        <row r="644">
          <cell r="A644" t="str">
            <v/>
          </cell>
          <cell r="B644" t="str">
            <v>S8740</v>
          </cell>
          <cell r="C644" t="str">
            <v>K形　栓</v>
          </cell>
          <cell r="D644" t="str">
            <v>φ75</v>
          </cell>
          <cell r="E644">
            <v>9.1999999999999998E-2</v>
          </cell>
        </row>
        <row r="645">
          <cell r="A645" t="str">
            <v/>
          </cell>
          <cell r="B645" t="str">
            <v>S8740</v>
          </cell>
          <cell r="C645" t="str">
            <v>K形　栓</v>
          </cell>
          <cell r="D645" t="str">
            <v>φ100</v>
          </cell>
          <cell r="E645">
            <v>9.2999999999999999E-2</v>
          </cell>
        </row>
        <row r="646">
          <cell r="A646" t="str">
            <v/>
          </cell>
          <cell r="B646" t="str">
            <v>S8740</v>
          </cell>
          <cell r="C646" t="str">
            <v>K形　栓</v>
          </cell>
          <cell r="D646" t="str">
            <v>φ150</v>
          </cell>
          <cell r="E646">
            <v>9.4E-2</v>
          </cell>
        </row>
        <row r="647">
          <cell r="A647" t="str">
            <v/>
          </cell>
          <cell r="B647" t="str">
            <v>S8740</v>
          </cell>
          <cell r="C647" t="str">
            <v>K形　栓</v>
          </cell>
          <cell r="D647" t="str">
            <v>φ200</v>
          </cell>
          <cell r="E647">
            <v>9.5000000000000001E-2</v>
          </cell>
        </row>
        <row r="648">
          <cell r="A648" t="str">
            <v/>
          </cell>
          <cell r="B648" t="str">
            <v>S8740</v>
          </cell>
          <cell r="C648" t="str">
            <v>K形　栓</v>
          </cell>
          <cell r="D648" t="str">
            <v>φ250</v>
          </cell>
          <cell r="E648">
            <v>9.6000000000000002E-2</v>
          </cell>
        </row>
        <row r="649">
          <cell r="A649" t="str">
            <v/>
          </cell>
          <cell r="B649" t="str">
            <v>S8740</v>
          </cell>
          <cell r="C649" t="str">
            <v>K形　栓</v>
          </cell>
          <cell r="D649" t="str">
            <v>φ300</v>
          </cell>
          <cell r="E649">
            <v>0.127</v>
          </cell>
        </row>
        <row r="650">
          <cell r="A650" t="str">
            <v/>
          </cell>
          <cell r="B650" t="str">
            <v>S8740</v>
          </cell>
          <cell r="C650" t="str">
            <v>K形　栓</v>
          </cell>
          <cell r="D650" t="str">
            <v>φ350</v>
          </cell>
          <cell r="E650">
            <v>0.128</v>
          </cell>
        </row>
        <row r="651">
          <cell r="A651" t="str">
            <v/>
          </cell>
          <cell r="B651" t="str">
            <v>S8740</v>
          </cell>
          <cell r="C651" t="str">
            <v>K形　栓</v>
          </cell>
          <cell r="D651" t="str">
            <v>φ400</v>
          </cell>
          <cell r="E651">
            <v>0.129</v>
          </cell>
        </row>
        <row r="652">
          <cell r="A652" t="str">
            <v/>
          </cell>
          <cell r="B652" t="str">
            <v>S8740</v>
          </cell>
          <cell r="C652" t="str">
            <v>K形　栓</v>
          </cell>
          <cell r="D652" t="str">
            <v>φ450</v>
          </cell>
          <cell r="E652">
            <v>0.13</v>
          </cell>
        </row>
        <row r="653">
          <cell r="A653" t="str">
            <v/>
          </cell>
          <cell r="B653" t="str">
            <v>S8765</v>
          </cell>
          <cell r="C653" t="str">
            <v>K形　押輪</v>
          </cell>
          <cell r="D653" t="str">
            <v>φ75</v>
          </cell>
        </row>
        <row r="654">
          <cell r="A654" t="str">
            <v/>
          </cell>
          <cell r="B654" t="str">
            <v>S8765</v>
          </cell>
          <cell r="C654" t="str">
            <v>K形　押輪</v>
          </cell>
          <cell r="D654" t="str">
            <v>φ100</v>
          </cell>
        </row>
        <row r="655">
          <cell r="A655" t="str">
            <v/>
          </cell>
          <cell r="B655" t="str">
            <v>S8765</v>
          </cell>
          <cell r="C655" t="str">
            <v>K形　押輪</v>
          </cell>
          <cell r="D655" t="str">
            <v>φ150</v>
          </cell>
        </row>
        <row r="656">
          <cell r="A656" t="str">
            <v/>
          </cell>
          <cell r="B656" t="str">
            <v>S8765</v>
          </cell>
          <cell r="C656" t="str">
            <v>K形　押輪</v>
          </cell>
          <cell r="D656" t="str">
            <v>φ200</v>
          </cell>
        </row>
        <row r="657">
          <cell r="A657" t="str">
            <v/>
          </cell>
          <cell r="B657" t="str">
            <v>S8765</v>
          </cell>
          <cell r="C657" t="str">
            <v>K形　押輪</v>
          </cell>
          <cell r="D657" t="str">
            <v>φ250</v>
          </cell>
        </row>
        <row r="658">
          <cell r="A658" t="str">
            <v/>
          </cell>
          <cell r="B658" t="str">
            <v>S8765</v>
          </cell>
          <cell r="C658" t="str">
            <v>K形　押輪</v>
          </cell>
          <cell r="D658" t="str">
            <v>φ300</v>
          </cell>
        </row>
        <row r="659">
          <cell r="A659" t="str">
            <v/>
          </cell>
          <cell r="B659" t="str">
            <v>S8765</v>
          </cell>
          <cell r="C659" t="str">
            <v>K形　押輪</v>
          </cell>
          <cell r="D659" t="str">
            <v>φ350</v>
          </cell>
        </row>
        <row r="660">
          <cell r="A660" t="str">
            <v/>
          </cell>
          <cell r="B660" t="str">
            <v>S8765</v>
          </cell>
          <cell r="C660" t="str">
            <v>K形　押輪</v>
          </cell>
          <cell r="D660" t="str">
            <v>φ400</v>
          </cell>
        </row>
        <row r="661">
          <cell r="A661" t="str">
            <v/>
          </cell>
          <cell r="B661" t="str">
            <v>S8765</v>
          </cell>
          <cell r="C661" t="str">
            <v>K形　押輪</v>
          </cell>
          <cell r="D661" t="str">
            <v>φ450</v>
          </cell>
        </row>
        <row r="662">
          <cell r="A662" t="str">
            <v/>
          </cell>
          <cell r="B662" t="str">
            <v>S8765</v>
          </cell>
          <cell r="C662" t="str">
            <v>K形　特殊押輪</v>
          </cell>
          <cell r="D662" t="str">
            <v>φ75</v>
          </cell>
          <cell r="F662">
            <v>0</v>
          </cell>
        </row>
        <row r="663">
          <cell r="A663" t="str">
            <v/>
          </cell>
          <cell r="B663" t="str">
            <v>S8765</v>
          </cell>
          <cell r="C663" t="str">
            <v>K形　特殊押輪</v>
          </cell>
          <cell r="D663" t="str">
            <v>φ100</v>
          </cell>
          <cell r="F663">
            <v>0</v>
          </cell>
        </row>
        <row r="664">
          <cell r="A664">
            <v>38</v>
          </cell>
          <cell r="B664" t="str">
            <v>S8765</v>
          </cell>
          <cell r="C664" t="str">
            <v>K形　特殊押輪</v>
          </cell>
          <cell r="D664" t="str">
            <v>φ150</v>
          </cell>
          <cell r="F664">
            <v>6</v>
          </cell>
        </row>
        <row r="665">
          <cell r="A665" t="str">
            <v/>
          </cell>
          <cell r="B665" t="str">
            <v>S8765</v>
          </cell>
          <cell r="C665" t="str">
            <v>K形　特殊押輪</v>
          </cell>
          <cell r="D665" t="str">
            <v>φ200</v>
          </cell>
          <cell r="F665">
            <v>0</v>
          </cell>
        </row>
        <row r="666">
          <cell r="A666" t="str">
            <v/>
          </cell>
          <cell r="B666" t="str">
            <v>S8765</v>
          </cell>
          <cell r="C666" t="str">
            <v>K形　特殊押輪</v>
          </cell>
          <cell r="D666" t="str">
            <v>φ250</v>
          </cell>
          <cell r="F666">
            <v>0</v>
          </cell>
        </row>
        <row r="667">
          <cell r="A667" t="str">
            <v/>
          </cell>
          <cell r="B667" t="str">
            <v>S8765</v>
          </cell>
          <cell r="C667" t="str">
            <v>K形　特殊押輪</v>
          </cell>
          <cell r="D667" t="str">
            <v>φ300</v>
          </cell>
          <cell r="F667">
            <v>0</v>
          </cell>
        </row>
        <row r="668">
          <cell r="A668" t="str">
            <v/>
          </cell>
          <cell r="B668" t="str">
            <v>S8765</v>
          </cell>
          <cell r="C668" t="str">
            <v>K形　特殊押輪</v>
          </cell>
          <cell r="D668" t="str">
            <v>φ350</v>
          </cell>
          <cell r="F668">
            <v>0</v>
          </cell>
        </row>
        <row r="669">
          <cell r="A669" t="str">
            <v/>
          </cell>
          <cell r="B669" t="str">
            <v>S8765</v>
          </cell>
          <cell r="C669" t="str">
            <v>K形　特殊押輪</v>
          </cell>
          <cell r="D669" t="str">
            <v>φ400</v>
          </cell>
          <cell r="F669">
            <v>0</v>
          </cell>
        </row>
        <row r="670">
          <cell r="A670" t="str">
            <v/>
          </cell>
          <cell r="B670" t="str">
            <v>S8765</v>
          </cell>
          <cell r="C670" t="str">
            <v>K形　特殊押輪</v>
          </cell>
          <cell r="D670" t="str">
            <v>φ450</v>
          </cell>
          <cell r="F670">
            <v>0</v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  <cell r="B685" t="str">
            <v>■SⅡ形</v>
          </cell>
        </row>
        <row r="686">
          <cell r="B686" t="str">
            <v>コード</v>
          </cell>
          <cell r="C686" t="str">
            <v>品　名</v>
          </cell>
          <cell r="D686" t="str">
            <v>形　質</v>
          </cell>
          <cell r="E686" t="str">
            <v>延　長</v>
          </cell>
          <cell r="F686" t="str">
            <v>数　量</v>
          </cell>
        </row>
        <row r="687">
          <cell r="A687" t="str">
            <v/>
          </cell>
          <cell r="B687" t="str">
            <v>S8715</v>
          </cell>
          <cell r="C687" t="str">
            <v>SⅡ形　直　管</v>
          </cell>
          <cell r="D687" t="str">
            <v>φ75　1種管</v>
          </cell>
          <cell r="E687">
            <v>4</v>
          </cell>
        </row>
        <row r="688">
          <cell r="A688" t="str">
            <v/>
          </cell>
          <cell r="B688" t="str">
            <v>S8715</v>
          </cell>
          <cell r="C688" t="str">
            <v>SⅡ形　直　管</v>
          </cell>
          <cell r="D688" t="str">
            <v>φ100　1種管</v>
          </cell>
          <cell r="E688">
            <v>4</v>
          </cell>
        </row>
        <row r="689">
          <cell r="A689" t="str">
            <v/>
          </cell>
          <cell r="B689" t="str">
            <v>S8715</v>
          </cell>
          <cell r="C689" t="str">
            <v>SⅡ形　直　管</v>
          </cell>
          <cell r="D689" t="str">
            <v>φ150　1種管</v>
          </cell>
          <cell r="E689">
            <v>5</v>
          </cell>
        </row>
        <row r="690">
          <cell r="A690" t="str">
            <v/>
          </cell>
          <cell r="B690" t="str">
            <v>S8715</v>
          </cell>
          <cell r="C690" t="str">
            <v>SⅡ形　直　管</v>
          </cell>
          <cell r="D690" t="str">
            <v>φ200　1種管</v>
          </cell>
          <cell r="E690">
            <v>5</v>
          </cell>
        </row>
        <row r="691">
          <cell r="A691" t="str">
            <v/>
          </cell>
          <cell r="B691" t="str">
            <v>S8715</v>
          </cell>
          <cell r="C691" t="str">
            <v>SⅡ形　直　管</v>
          </cell>
          <cell r="D691" t="str">
            <v>φ300　1種管</v>
          </cell>
          <cell r="E691">
            <v>6</v>
          </cell>
        </row>
        <row r="692">
          <cell r="A692" t="str">
            <v/>
          </cell>
          <cell r="B692" t="str">
            <v>S8715</v>
          </cell>
          <cell r="C692" t="str">
            <v>SⅡ形　直　管</v>
          </cell>
          <cell r="D692" t="str">
            <v>φ400　1種管</v>
          </cell>
          <cell r="E692">
            <v>6</v>
          </cell>
        </row>
        <row r="693">
          <cell r="A693" t="str">
            <v/>
          </cell>
          <cell r="B693" t="str">
            <v>S8715</v>
          </cell>
          <cell r="C693" t="str">
            <v>SⅡ形　直　管</v>
          </cell>
          <cell r="D693" t="str">
            <v>φ400　2種管</v>
          </cell>
          <cell r="E693">
            <v>6</v>
          </cell>
        </row>
        <row r="694">
          <cell r="A694" t="str">
            <v/>
          </cell>
          <cell r="B694" t="str">
            <v>S8725</v>
          </cell>
          <cell r="C694" t="str">
            <v>SⅡ形　曲　管</v>
          </cell>
          <cell r="D694" t="str">
            <v>φ75　90度</v>
          </cell>
          <cell r="E694">
            <v>0.39500000000000002</v>
          </cell>
        </row>
        <row r="695">
          <cell r="A695" t="str">
            <v/>
          </cell>
          <cell r="B695" t="str">
            <v>S8725</v>
          </cell>
          <cell r="C695" t="str">
            <v>SⅡ形　曲　管</v>
          </cell>
          <cell r="D695" t="str">
            <v>φ100　90度</v>
          </cell>
          <cell r="E695">
            <v>0.434</v>
          </cell>
        </row>
        <row r="696">
          <cell r="A696" t="str">
            <v/>
          </cell>
          <cell r="B696" t="str">
            <v>S8725</v>
          </cell>
          <cell r="C696" t="str">
            <v>SⅡ形　曲　管</v>
          </cell>
          <cell r="D696" t="str">
            <v>φ150　90度</v>
          </cell>
          <cell r="E696">
            <v>0.47799999999999998</v>
          </cell>
        </row>
        <row r="697">
          <cell r="A697" t="str">
            <v/>
          </cell>
          <cell r="B697" t="str">
            <v>S8725</v>
          </cell>
          <cell r="C697" t="str">
            <v>SⅡ形　曲　管</v>
          </cell>
          <cell r="D697" t="str">
            <v>φ200　90度</v>
          </cell>
          <cell r="E697">
            <v>0.56599999999999995</v>
          </cell>
        </row>
        <row r="698">
          <cell r="A698" t="str">
            <v/>
          </cell>
          <cell r="B698" t="str">
            <v>S8725</v>
          </cell>
          <cell r="C698" t="str">
            <v>SⅡ形　曲　管</v>
          </cell>
          <cell r="D698" t="str">
            <v>φ300　90度</v>
          </cell>
          <cell r="E698">
            <v>0.73599999999999999</v>
          </cell>
        </row>
        <row r="699">
          <cell r="A699" t="str">
            <v/>
          </cell>
          <cell r="B699" t="str">
            <v>S8725</v>
          </cell>
          <cell r="C699" t="str">
            <v>SⅡ形　曲　管</v>
          </cell>
          <cell r="D699" t="str">
            <v>φ400　90度</v>
          </cell>
          <cell r="E699">
            <v>0.91300000000000003</v>
          </cell>
        </row>
        <row r="700">
          <cell r="A700" t="str">
            <v/>
          </cell>
          <cell r="B700" t="str">
            <v>S8725</v>
          </cell>
          <cell r="C700" t="str">
            <v>SⅡ形　曲　管</v>
          </cell>
          <cell r="D700" t="str">
            <v>φ75　45度</v>
          </cell>
          <cell r="E700">
            <v>0.32700000000000001</v>
          </cell>
        </row>
        <row r="701">
          <cell r="A701" t="str">
            <v/>
          </cell>
          <cell r="B701" t="str">
            <v>S8725</v>
          </cell>
          <cell r="C701" t="str">
            <v>SⅡ形　曲　管</v>
          </cell>
          <cell r="D701" t="str">
            <v>φ100　45度</v>
          </cell>
          <cell r="E701">
            <v>0.34599999999999997</v>
          </cell>
        </row>
        <row r="702">
          <cell r="A702" t="str">
            <v/>
          </cell>
          <cell r="B702" t="str">
            <v>S8725</v>
          </cell>
          <cell r="C702" t="str">
            <v>SⅡ形　曲　管</v>
          </cell>
          <cell r="D702" t="str">
            <v>φ150　45度</v>
          </cell>
          <cell r="E702">
            <v>0.36399999999999999</v>
          </cell>
        </row>
        <row r="703">
          <cell r="A703" t="str">
            <v/>
          </cell>
          <cell r="B703" t="str">
            <v>S8725</v>
          </cell>
          <cell r="C703" t="str">
            <v>SⅡ形　曲　管</v>
          </cell>
          <cell r="D703" t="str">
            <v>φ200　45度</v>
          </cell>
          <cell r="E703">
            <v>0.41199999999999998</v>
          </cell>
        </row>
        <row r="704">
          <cell r="A704" t="str">
            <v/>
          </cell>
          <cell r="B704" t="str">
            <v>S8725</v>
          </cell>
          <cell r="C704" t="str">
            <v>SⅡ形　曲　管</v>
          </cell>
          <cell r="D704" t="str">
            <v>φ300　45度</v>
          </cell>
          <cell r="E704">
            <v>0.50800000000000001</v>
          </cell>
        </row>
        <row r="705">
          <cell r="A705" t="str">
            <v/>
          </cell>
          <cell r="B705" t="str">
            <v>S8725</v>
          </cell>
          <cell r="C705" t="str">
            <v>SⅡ形　曲　管</v>
          </cell>
          <cell r="D705" t="str">
            <v>φ400　45度</v>
          </cell>
          <cell r="E705">
            <v>0.60299999999999998</v>
          </cell>
        </row>
        <row r="706">
          <cell r="A706" t="str">
            <v/>
          </cell>
          <cell r="B706" t="str">
            <v>S8725</v>
          </cell>
          <cell r="C706" t="str">
            <v>SⅡ形　曲　管</v>
          </cell>
          <cell r="D706" t="str">
            <v>φ75　22度1/2</v>
          </cell>
          <cell r="E706">
            <v>0.29499999999999998</v>
          </cell>
        </row>
        <row r="707">
          <cell r="A707" t="str">
            <v/>
          </cell>
          <cell r="B707" t="str">
            <v>S8725</v>
          </cell>
          <cell r="C707" t="str">
            <v>SⅡ形　曲　管</v>
          </cell>
          <cell r="D707" t="str">
            <v>φ100　22度1/2</v>
          </cell>
          <cell r="E707">
            <v>0.30499999999999999</v>
          </cell>
        </row>
        <row r="708">
          <cell r="A708" t="str">
            <v/>
          </cell>
          <cell r="B708" t="str">
            <v>S8725</v>
          </cell>
          <cell r="C708" t="str">
            <v>SⅡ形　曲　管</v>
          </cell>
          <cell r="D708" t="str">
            <v>φ150　22度1/2</v>
          </cell>
          <cell r="E708">
            <v>0.314</v>
          </cell>
        </row>
        <row r="709">
          <cell r="A709" t="str">
            <v/>
          </cell>
          <cell r="B709" t="str">
            <v>S8725</v>
          </cell>
          <cell r="C709" t="str">
            <v>SⅡ形　曲　管</v>
          </cell>
          <cell r="D709" t="str">
            <v>φ200　22度1/2</v>
          </cell>
          <cell r="E709">
            <v>0.33900000000000002</v>
          </cell>
        </row>
        <row r="710">
          <cell r="A710" t="str">
            <v/>
          </cell>
          <cell r="B710" t="str">
            <v>S8725</v>
          </cell>
          <cell r="C710" t="str">
            <v>SⅡ形　曲　管</v>
          </cell>
          <cell r="D710" t="str">
            <v>φ300　22度1/2</v>
          </cell>
          <cell r="E710">
            <v>0.39900000000000002</v>
          </cell>
        </row>
        <row r="711">
          <cell r="A711" t="str">
            <v/>
          </cell>
          <cell r="B711" t="str">
            <v>S8725</v>
          </cell>
          <cell r="C711" t="str">
            <v>SⅡ形　曲　管</v>
          </cell>
          <cell r="D711" t="str">
            <v>φ400　22度1/2</v>
          </cell>
          <cell r="E711">
            <v>0.45800000000000002</v>
          </cell>
        </row>
        <row r="712">
          <cell r="A712" t="str">
            <v/>
          </cell>
          <cell r="B712" t="str">
            <v>S8725</v>
          </cell>
          <cell r="C712" t="str">
            <v>SⅡ形　曲　管</v>
          </cell>
          <cell r="D712" t="str">
            <v>φ75　11度1/4</v>
          </cell>
          <cell r="E712">
            <v>0.28000000000000003</v>
          </cell>
        </row>
        <row r="713">
          <cell r="A713" t="str">
            <v/>
          </cell>
          <cell r="B713" t="str">
            <v>S8725</v>
          </cell>
          <cell r="C713" t="str">
            <v>SⅡ形　曲　管</v>
          </cell>
          <cell r="D713" t="str">
            <v>φ100　11度1/4</v>
          </cell>
          <cell r="E713">
            <v>0.28499999999999998</v>
          </cell>
        </row>
        <row r="714">
          <cell r="A714" t="str">
            <v/>
          </cell>
          <cell r="B714" t="str">
            <v>S8725</v>
          </cell>
          <cell r="C714" t="str">
            <v>SⅡ形　曲　管</v>
          </cell>
          <cell r="D714" t="str">
            <v>φ150　11度1/4</v>
          </cell>
          <cell r="E714">
            <v>0.28999999999999998</v>
          </cell>
        </row>
        <row r="715">
          <cell r="A715" t="str">
            <v/>
          </cell>
          <cell r="B715" t="str">
            <v>S8725</v>
          </cell>
          <cell r="C715" t="str">
            <v>SⅡ形　曲　管</v>
          </cell>
          <cell r="D715" t="str">
            <v>φ200　11度1/4</v>
          </cell>
          <cell r="E715">
            <v>0.30499999999999999</v>
          </cell>
        </row>
        <row r="716">
          <cell r="A716" t="str">
            <v/>
          </cell>
          <cell r="B716" t="str">
            <v>S8725</v>
          </cell>
          <cell r="C716" t="str">
            <v>SⅡ形　曲　管</v>
          </cell>
          <cell r="D716" t="str">
            <v>φ300　11度1/4</v>
          </cell>
          <cell r="E716">
            <v>0.34</v>
          </cell>
        </row>
        <row r="717">
          <cell r="A717" t="str">
            <v/>
          </cell>
          <cell r="B717" t="str">
            <v>S8725</v>
          </cell>
          <cell r="C717" t="str">
            <v>SⅡ形　曲　管</v>
          </cell>
          <cell r="D717" t="str">
            <v>φ400　11度1/4</v>
          </cell>
          <cell r="E717">
            <v>0.38</v>
          </cell>
        </row>
        <row r="718">
          <cell r="A718" t="str">
            <v/>
          </cell>
          <cell r="B718" t="str">
            <v>S8725</v>
          </cell>
          <cell r="C718" t="str">
            <v>SⅡ形　曲　管</v>
          </cell>
          <cell r="D718" t="str">
            <v>φ75　5度5/8</v>
          </cell>
          <cell r="E718">
            <v>0.27500000000000002</v>
          </cell>
        </row>
        <row r="719">
          <cell r="A719" t="str">
            <v/>
          </cell>
          <cell r="B719" t="str">
            <v>S8725</v>
          </cell>
          <cell r="C719" t="str">
            <v>SⅡ形　曲　管</v>
          </cell>
          <cell r="D719" t="str">
            <v>φ100　5度5/8</v>
          </cell>
          <cell r="E719">
            <v>0.28000000000000003</v>
          </cell>
        </row>
        <row r="720">
          <cell r="A720" t="str">
            <v/>
          </cell>
          <cell r="B720" t="str">
            <v>S8725</v>
          </cell>
          <cell r="C720" t="str">
            <v>SⅡ形　曲　管</v>
          </cell>
          <cell r="D720" t="str">
            <v>φ150　5度5/8</v>
          </cell>
          <cell r="E720">
            <v>0.28499999999999998</v>
          </cell>
        </row>
        <row r="721">
          <cell r="A721" t="str">
            <v/>
          </cell>
          <cell r="B721" t="str">
            <v>S8725</v>
          </cell>
          <cell r="C721" t="str">
            <v>SⅡ形　曲　管</v>
          </cell>
          <cell r="D721" t="str">
            <v>φ200　5度5/8</v>
          </cell>
          <cell r="E721">
            <v>0.29499999999999998</v>
          </cell>
        </row>
        <row r="722">
          <cell r="A722" t="str">
            <v/>
          </cell>
          <cell r="B722" t="str">
            <v>S8725</v>
          </cell>
          <cell r="C722" t="str">
            <v>SⅡ形　曲　管</v>
          </cell>
          <cell r="D722" t="str">
            <v>φ300　5度5/8</v>
          </cell>
          <cell r="E722">
            <v>0.32500000000000001</v>
          </cell>
        </row>
        <row r="723">
          <cell r="A723" t="str">
            <v/>
          </cell>
          <cell r="B723" t="str">
            <v>S8725</v>
          </cell>
          <cell r="C723" t="str">
            <v>SⅡ形　曲　管</v>
          </cell>
          <cell r="D723" t="str">
            <v>φ400　5度5/8</v>
          </cell>
          <cell r="E723">
            <v>0.36</v>
          </cell>
        </row>
        <row r="724">
          <cell r="A724" t="str">
            <v/>
          </cell>
          <cell r="B724" t="str">
            <v>S8730</v>
          </cell>
          <cell r="C724" t="str">
            <v>SⅡ形　継　輪</v>
          </cell>
          <cell r="D724" t="str">
            <v>φ75</v>
          </cell>
          <cell r="E724">
            <v>0.18</v>
          </cell>
        </row>
        <row r="725">
          <cell r="A725" t="str">
            <v/>
          </cell>
          <cell r="B725" t="str">
            <v>S8730</v>
          </cell>
          <cell r="C725" t="str">
            <v>SⅡ形　継　輪</v>
          </cell>
          <cell r="D725" t="str">
            <v>φ100</v>
          </cell>
          <cell r="E725">
            <v>0.18</v>
          </cell>
        </row>
        <row r="726">
          <cell r="A726" t="str">
            <v/>
          </cell>
          <cell r="B726" t="str">
            <v>S8730</v>
          </cell>
          <cell r="C726" t="str">
            <v>SⅡ形　継　輪</v>
          </cell>
          <cell r="D726" t="str">
            <v>φ150</v>
          </cell>
          <cell r="E726">
            <v>0.2</v>
          </cell>
        </row>
        <row r="727">
          <cell r="A727" t="str">
            <v/>
          </cell>
          <cell r="B727" t="str">
            <v>S8730</v>
          </cell>
          <cell r="C727" t="str">
            <v>SⅡ形　継　輪</v>
          </cell>
          <cell r="D727" t="str">
            <v>φ200</v>
          </cell>
          <cell r="E727">
            <v>0.2</v>
          </cell>
        </row>
        <row r="728">
          <cell r="A728" t="str">
            <v/>
          </cell>
          <cell r="B728" t="str">
            <v>S8730</v>
          </cell>
          <cell r="C728" t="str">
            <v>SⅡ形　継　輪</v>
          </cell>
          <cell r="D728" t="str">
            <v>φ250</v>
          </cell>
          <cell r="E728">
            <v>0.2</v>
          </cell>
        </row>
        <row r="729">
          <cell r="A729" t="str">
            <v/>
          </cell>
          <cell r="B729" t="str">
            <v>S8730</v>
          </cell>
          <cell r="C729" t="str">
            <v>SⅡ形　継　輪</v>
          </cell>
          <cell r="D729" t="str">
            <v>φ300</v>
          </cell>
          <cell r="E729">
            <v>0.2</v>
          </cell>
        </row>
        <row r="730">
          <cell r="A730" t="str">
            <v/>
          </cell>
          <cell r="B730" t="str">
            <v>S8730</v>
          </cell>
          <cell r="C730" t="str">
            <v>SⅡ形　継　輪</v>
          </cell>
          <cell r="D730" t="str">
            <v>φ350</v>
          </cell>
          <cell r="E730">
            <v>0.2</v>
          </cell>
        </row>
        <row r="731">
          <cell r="A731" t="str">
            <v/>
          </cell>
          <cell r="B731" t="str">
            <v>S8730</v>
          </cell>
          <cell r="C731" t="str">
            <v>SⅡ形　継　輪</v>
          </cell>
          <cell r="D731" t="str">
            <v>φ400</v>
          </cell>
          <cell r="E731">
            <v>0.2</v>
          </cell>
        </row>
        <row r="732">
          <cell r="A732" t="str">
            <v/>
          </cell>
          <cell r="B732" t="str">
            <v>S8730</v>
          </cell>
          <cell r="C732" t="str">
            <v>SⅡ形　継　輪</v>
          </cell>
          <cell r="D732" t="str">
            <v>φ450</v>
          </cell>
          <cell r="E732">
            <v>0.2</v>
          </cell>
        </row>
        <row r="733">
          <cell r="A733" t="str">
            <v/>
          </cell>
          <cell r="B733" t="str">
            <v>S8745</v>
          </cell>
          <cell r="C733" t="str">
            <v>SⅡ形　二受丁字管</v>
          </cell>
          <cell r="D733" t="str">
            <v>φ75×φ75</v>
          </cell>
          <cell r="E733">
            <v>0.42</v>
          </cell>
        </row>
        <row r="734">
          <cell r="A734" t="str">
            <v/>
          </cell>
          <cell r="B734" t="str">
            <v>S8745</v>
          </cell>
          <cell r="C734" t="str">
            <v>SⅡ形　二受丁字管</v>
          </cell>
          <cell r="D734" t="str">
            <v>φ100×φ75</v>
          </cell>
          <cell r="E734">
            <v>0.42</v>
          </cell>
        </row>
        <row r="735">
          <cell r="A735" t="str">
            <v/>
          </cell>
          <cell r="B735" t="str">
            <v>S8745</v>
          </cell>
          <cell r="C735" t="str">
            <v>SⅡ形　二受丁字管</v>
          </cell>
          <cell r="D735" t="str">
            <v>φ100×φ100</v>
          </cell>
          <cell r="E735">
            <v>0.45</v>
          </cell>
        </row>
        <row r="736">
          <cell r="A736" t="str">
            <v/>
          </cell>
          <cell r="B736" t="str">
            <v>S8745</v>
          </cell>
          <cell r="C736" t="str">
            <v>SⅡ形　二受丁字管</v>
          </cell>
          <cell r="D736" t="str">
            <v>φ150×φ75</v>
          </cell>
          <cell r="E736">
            <v>0.42</v>
          </cell>
        </row>
        <row r="737">
          <cell r="A737" t="str">
            <v/>
          </cell>
          <cell r="B737" t="str">
            <v>S8745</v>
          </cell>
          <cell r="C737" t="str">
            <v>SⅡ形　二受丁字管</v>
          </cell>
          <cell r="D737" t="str">
            <v>φ150×φ100</v>
          </cell>
          <cell r="E737">
            <v>0.45</v>
          </cell>
        </row>
        <row r="738">
          <cell r="A738" t="str">
            <v/>
          </cell>
          <cell r="B738" t="str">
            <v>S8745</v>
          </cell>
          <cell r="C738" t="str">
            <v>SⅡ形　二受丁字管</v>
          </cell>
          <cell r="D738" t="str">
            <v>φ150×φ150</v>
          </cell>
          <cell r="E738">
            <v>0.51</v>
          </cell>
        </row>
        <row r="739">
          <cell r="A739" t="str">
            <v/>
          </cell>
          <cell r="B739" t="str">
            <v>S8745</v>
          </cell>
          <cell r="C739" t="str">
            <v>SⅡ形　二受丁字管</v>
          </cell>
          <cell r="D739" t="str">
            <v>φ200×φ100</v>
          </cell>
          <cell r="E739">
            <v>0.45500000000000002</v>
          </cell>
        </row>
        <row r="740">
          <cell r="A740" t="str">
            <v/>
          </cell>
          <cell r="B740" t="str">
            <v>S8745</v>
          </cell>
          <cell r="C740" t="str">
            <v>SⅡ形　二受丁字管</v>
          </cell>
          <cell r="D740" t="str">
            <v>φ200×φ150</v>
          </cell>
          <cell r="E740">
            <v>0.505</v>
          </cell>
        </row>
        <row r="741">
          <cell r="A741" t="str">
            <v/>
          </cell>
          <cell r="B741" t="str">
            <v>S8745</v>
          </cell>
          <cell r="C741" t="str">
            <v>SⅡ形　二受丁字管</v>
          </cell>
          <cell r="D741" t="str">
            <v>φ200×φ200</v>
          </cell>
          <cell r="E741">
            <v>0.56499999999999995</v>
          </cell>
        </row>
        <row r="742">
          <cell r="A742" t="str">
            <v/>
          </cell>
          <cell r="B742" t="str">
            <v>S8745</v>
          </cell>
          <cell r="C742" t="str">
            <v>SⅡ形　二受丁字管</v>
          </cell>
          <cell r="D742" t="str">
            <v>φ300×φ100</v>
          </cell>
          <cell r="E742">
            <v>0.46500000000000002</v>
          </cell>
        </row>
        <row r="743">
          <cell r="A743" t="str">
            <v/>
          </cell>
          <cell r="B743" t="str">
            <v>S8745</v>
          </cell>
          <cell r="C743" t="str">
            <v>SⅡ形　二受丁字管</v>
          </cell>
          <cell r="D743" t="str">
            <v>φ300×φ150</v>
          </cell>
          <cell r="E743">
            <v>0.52500000000000002</v>
          </cell>
        </row>
        <row r="744">
          <cell r="A744" t="str">
            <v/>
          </cell>
          <cell r="B744" t="str">
            <v>S8745</v>
          </cell>
          <cell r="C744" t="str">
            <v>SⅡ形　二受丁字管</v>
          </cell>
          <cell r="D744" t="str">
            <v>φ300×φ200</v>
          </cell>
          <cell r="E744">
            <v>0.57499999999999996</v>
          </cell>
        </row>
        <row r="745">
          <cell r="A745" t="str">
            <v/>
          </cell>
          <cell r="B745" t="str">
            <v>S8745</v>
          </cell>
          <cell r="C745" t="str">
            <v>SⅡ形　二受丁字管</v>
          </cell>
          <cell r="D745" t="str">
            <v>φ300×φ300</v>
          </cell>
          <cell r="E745">
            <v>0.69499999999999995</v>
          </cell>
        </row>
        <row r="746">
          <cell r="A746" t="str">
            <v/>
          </cell>
          <cell r="B746" t="str">
            <v>S8745</v>
          </cell>
          <cell r="C746" t="str">
            <v>SⅡ形　二受丁字管</v>
          </cell>
          <cell r="D746" t="str">
            <v>φ400×φ300</v>
          </cell>
          <cell r="E746">
            <v>0.69</v>
          </cell>
        </row>
        <row r="747">
          <cell r="A747" t="str">
            <v/>
          </cell>
          <cell r="B747" t="str">
            <v>S8745</v>
          </cell>
          <cell r="C747" t="str">
            <v>SⅡ形　二受丁字管</v>
          </cell>
          <cell r="D747" t="str">
            <v>φ400×φ400</v>
          </cell>
          <cell r="E747">
            <v>0.81499999999999995</v>
          </cell>
        </row>
        <row r="748">
          <cell r="A748" t="str">
            <v/>
          </cell>
          <cell r="B748" t="str">
            <v>S8745</v>
          </cell>
          <cell r="C748" t="str">
            <v>SⅡ形　挿受片落管</v>
          </cell>
          <cell r="D748" t="str">
            <v>φ100×φ75</v>
          </cell>
          <cell r="E748">
            <v>0.34</v>
          </cell>
        </row>
        <row r="749">
          <cell r="A749" t="str">
            <v/>
          </cell>
          <cell r="B749" t="str">
            <v>S8745</v>
          </cell>
          <cell r="C749" t="str">
            <v>SⅡ形　挿受片落管</v>
          </cell>
          <cell r="D749" t="str">
            <v>φ150×φ100</v>
          </cell>
          <cell r="E749">
            <v>0.35</v>
          </cell>
        </row>
        <row r="750">
          <cell r="A750" t="str">
            <v/>
          </cell>
          <cell r="B750" t="str">
            <v>S8745</v>
          </cell>
          <cell r="C750" t="str">
            <v>SⅡ形　挿受片落管</v>
          </cell>
          <cell r="D750" t="str">
            <v>φ200×φ100</v>
          </cell>
          <cell r="E750">
            <v>0.45500000000000002</v>
          </cell>
        </row>
        <row r="751">
          <cell r="A751" t="str">
            <v/>
          </cell>
          <cell r="B751" t="str">
            <v>S8745</v>
          </cell>
          <cell r="C751" t="str">
            <v>SⅡ形　挿受片落管</v>
          </cell>
          <cell r="D751" t="str">
            <v>φ200×φ150</v>
          </cell>
          <cell r="E751">
            <v>0.35499999999999998</v>
          </cell>
        </row>
        <row r="752">
          <cell r="A752" t="str">
            <v/>
          </cell>
          <cell r="B752" t="str">
            <v>S8745</v>
          </cell>
          <cell r="C752" t="str">
            <v>SⅡ形　挿受片落管</v>
          </cell>
          <cell r="D752" t="str">
            <v>φ250×φ100</v>
          </cell>
          <cell r="E752">
            <v>0.56000000000000005</v>
          </cell>
        </row>
        <row r="753">
          <cell r="A753" t="str">
            <v/>
          </cell>
          <cell r="B753" t="str">
            <v>S8745</v>
          </cell>
          <cell r="C753" t="str">
            <v>SⅡ形　挿受片落管</v>
          </cell>
          <cell r="D753" t="str">
            <v>φ250×φ150</v>
          </cell>
          <cell r="E753">
            <v>0.46</v>
          </cell>
        </row>
        <row r="754">
          <cell r="A754" t="str">
            <v/>
          </cell>
          <cell r="B754" t="str">
            <v>S8745</v>
          </cell>
          <cell r="C754" t="str">
            <v>SⅡ形　挿受片落管</v>
          </cell>
          <cell r="D754" t="str">
            <v>φ250×φ200</v>
          </cell>
          <cell r="E754">
            <v>0.36499999999999999</v>
          </cell>
        </row>
        <row r="755">
          <cell r="A755" t="str">
            <v/>
          </cell>
          <cell r="B755" t="str">
            <v>S8745</v>
          </cell>
          <cell r="C755" t="str">
            <v>SⅡ形　挿受片落管</v>
          </cell>
          <cell r="D755" t="str">
            <v>φ300×φ100</v>
          </cell>
          <cell r="E755">
            <v>0.66500000000000004</v>
          </cell>
        </row>
        <row r="756">
          <cell r="A756" t="str">
            <v/>
          </cell>
          <cell r="B756" t="str">
            <v>S8745</v>
          </cell>
          <cell r="C756" t="str">
            <v>SⅡ形　挿受片落管</v>
          </cell>
          <cell r="D756" t="str">
            <v>φ300×φ150</v>
          </cell>
          <cell r="E756">
            <v>0.56499999999999995</v>
          </cell>
        </row>
        <row r="757">
          <cell r="A757" t="str">
            <v/>
          </cell>
          <cell r="B757" t="str">
            <v>S8745</v>
          </cell>
          <cell r="C757" t="str">
            <v>SⅡ形　挿受片落管</v>
          </cell>
          <cell r="D757" t="str">
            <v>φ300×φ200</v>
          </cell>
          <cell r="E757">
            <v>0.47</v>
          </cell>
        </row>
        <row r="758">
          <cell r="A758" t="str">
            <v/>
          </cell>
          <cell r="B758" t="str">
            <v>S8745</v>
          </cell>
          <cell r="C758" t="str">
            <v>SⅡ形　挿受片落管</v>
          </cell>
          <cell r="D758" t="str">
            <v>φ350×φ150</v>
          </cell>
          <cell r="E758">
            <v>0.67</v>
          </cell>
        </row>
        <row r="759">
          <cell r="A759" t="str">
            <v/>
          </cell>
          <cell r="B759" t="str">
            <v>S8745</v>
          </cell>
          <cell r="C759" t="str">
            <v>SⅡ形　挿受片落管</v>
          </cell>
          <cell r="D759" t="str">
            <v>φ350×φ200</v>
          </cell>
          <cell r="E759">
            <v>0.57499999999999996</v>
          </cell>
        </row>
        <row r="760">
          <cell r="A760" t="str">
            <v/>
          </cell>
          <cell r="B760" t="str">
            <v>S8745</v>
          </cell>
          <cell r="C760" t="str">
            <v>SⅡ形　挿受片落管</v>
          </cell>
          <cell r="D760" t="str">
            <v>φ350×φ250</v>
          </cell>
          <cell r="E760">
            <v>0.48</v>
          </cell>
        </row>
        <row r="761">
          <cell r="A761" t="str">
            <v/>
          </cell>
          <cell r="B761" t="str">
            <v>S8745</v>
          </cell>
          <cell r="C761" t="str">
            <v>SⅡ形　挿受片落管</v>
          </cell>
          <cell r="D761" t="str">
            <v>φ350×φ300</v>
          </cell>
          <cell r="E761">
            <v>0.38500000000000001</v>
          </cell>
        </row>
        <row r="762">
          <cell r="A762" t="str">
            <v/>
          </cell>
          <cell r="B762" t="str">
            <v>S8745</v>
          </cell>
          <cell r="C762" t="str">
            <v>SⅡ形　挿受片落管</v>
          </cell>
          <cell r="D762" t="str">
            <v>φ400×φ150</v>
          </cell>
          <cell r="E762">
            <v>0.77500000000000002</v>
          </cell>
        </row>
        <row r="763">
          <cell r="A763" t="str">
            <v/>
          </cell>
          <cell r="B763" t="str">
            <v>S8745</v>
          </cell>
          <cell r="C763" t="str">
            <v>SⅡ形　挿受片落管</v>
          </cell>
          <cell r="D763" t="str">
            <v>φ400×φ200</v>
          </cell>
          <cell r="E763">
            <v>0.68</v>
          </cell>
        </row>
        <row r="764">
          <cell r="A764" t="str">
            <v/>
          </cell>
          <cell r="B764" t="str">
            <v>S8745</v>
          </cell>
          <cell r="C764" t="str">
            <v>SⅡ形　挿受片落管</v>
          </cell>
          <cell r="D764" t="str">
            <v>φ400×φ300</v>
          </cell>
          <cell r="E764">
            <v>0.49</v>
          </cell>
        </row>
        <row r="765">
          <cell r="A765" t="str">
            <v/>
          </cell>
          <cell r="B765" t="str">
            <v>S8745</v>
          </cell>
          <cell r="C765" t="str">
            <v>SⅡ形　挿受片落管</v>
          </cell>
          <cell r="D765" t="str">
            <v>φ450×φ200</v>
          </cell>
          <cell r="E765">
            <v>0.78500000000000003</v>
          </cell>
        </row>
        <row r="766">
          <cell r="A766" t="str">
            <v/>
          </cell>
          <cell r="B766" t="str">
            <v>S8745</v>
          </cell>
          <cell r="C766" t="str">
            <v>SⅡ形　挿受片落管</v>
          </cell>
          <cell r="D766" t="str">
            <v>φ450×φ250</v>
          </cell>
          <cell r="E766">
            <v>0.69</v>
          </cell>
        </row>
        <row r="767">
          <cell r="A767" t="str">
            <v/>
          </cell>
          <cell r="B767" t="str">
            <v>S8745</v>
          </cell>
          <cell r="C767" t="str">
            <v>SⅡ形　挿受片落管</v>
          </cell>
          <cell r="D767" t="str">
            <v>φ450×φ300</v>
          </cell>
          <cell r="E767">
            <v>0.59499999999999997</v>
          </cell>
        </row>
        <row r="768">
          <cell r="A768" t="str">
            <v/>
          </cell>
          <cell r="B768" t="str">
            <v>S8745</v>
          </cell>
          <cell r="C768" t="str">
            <v>SⅡ形　挿受片落管</v>
          </cell>
          <cell r="D768" t="str">
            <v>φ450×φ350</v>
          </cell>
          <cell r="E768">
            <v>0.5</v>
          </cell>
        </row>
        <row r="769">
          <cell r="A769" t="str">
            <v/>
          </cell>
          <cell r="B769" t="str">
            <v>S8745</v>
          </cell>
          <cell r="C769" t="str">
            <v>SⅡ形　挿受片落管</v>
          </cell>
          <cell r="D769" t="str">
            <v>φ450×φ400</v>
          </cell>
          <cell r="E769">
            <v>0.40500000000000003</v>
          </cell>
        </row>
        <row r="770">
          <cell r="A770" t="str">
            <v/>
          </cell>
          <cell r="B770" t="str">
            <v>S8745</v>
          </cell>
          <cell r="C770" t="str">
            <v>SⅡ形　受挿片落管</v>
          </cell>
          <cell r="D770" t="str">
            <v>φ100×φ75</v>
          </cell>
          <cell r="E770">
            <v>0.34</v>
          </cell>
        </row>
        <row r="771">
          <cell r="A771" t="str">
            <v/>
          </cell>
          <cell r="B771" t="str">
            <v>S8745</v>
          </cell>
          <cell r="C771" t="str">
            <v>SⅡ形　受挿片落管</v>
          </cell>
          <cell r="D771" t="str">
            <v>φ150×φ100</v>
          </cell>
          <cell r="E771">
            <v>0.34</v>
          </cell>
        </row>
        <row r="772">
          <cell r="A772" t="str">
            <v/>
          </cell>
          <cell r="B772" t="str">
            <v>S8745</v>
          </cell>
          <cell r="C772" t="str">
            <v>SⅡ形　受挿片落管</v>
          </cell>
          <cell r="D772" t="str">
            <v>φ200×φ100</v>
          </cell>
          <cell r="E772">
            <v>0.44500000000000001</v>
          </cell>
        </row>
        <row r="773">
          <cell r="A773" t="str">
            <v/>
          </cell>
          <cell r="B773" t="str">
            <v>S8745</v>
          </cell>
          <cell r="C773" t="str">
            <v>SⅡ形　受挿片落管</v>
          </cell>
          <cell r="D773" t="str">
            <v>φ200×φ150</v>
          </cell>
          <cell r="E773">
            <v>0.35499999999999998</v>
          </cell>
        </row>
        <row r="774">
          <cell r="A774" t="str">
            <v/>
          </cell>
          <cell r="B774" t="str">
            <v>S8745</v>
          </cell>
          <cell r="C774" t="str">
            <v>SⅡ形　受挿片落管</v>
          </cell>
          <cell r="D774" t="str">
            <v>φ250×φ100</v>
          </cell>
          <cell r="E774">
            <v>0.55000000000000004</v>
          </cell>
        </row>
        <row r="775">
          <cell r="A775" t="str">
            <v/>
          </cell>
          <cell r="B775" t="str">
            <v>S8745</v>
          </cell>
          <cell r="C775" t="str">
            <v>SⅡ形　受挿片落管</v>
          </cell>
          <cell r="D775" t="str">
            <v>φ250×φ150</v>
          </cell>
          <cell r="E775">
            <v>0.46</v>
          </cell>
        </row>
        <row r="776">
          <cell r="A776" t="str">
            <v/>
          </cell>
          <cell r="B776" t="str">
            <v>S8745</v>
          </cell>
          <cell r="C776" t="str">
            <v>SⅡ形　受挿片落管</v>
          </cell>
          <cell r="D776" t="str">
            <v>φ250×φ200</v>
          </cell>
          <cell r="E776">
            <v>0.36499999999999999</v>
          </cell>
        </row>
        <row r="777">
          <cell r="A777" t="str">
            <v/>
          </cell>
          <cell r="B777" t="str">
            <v>S8745</v>
          </cell>
          <cell r="C777" t="str">
            <v>SⅡ形　受挿片落管</v>
          </cell>
          <cell r="D777" t="str">
            <v>φ300×φ100</v>
          </cell>
          <cell r="E777">
            <v>0.65500000000000003</v>
          </cell>
        </row>
        <row r="778">
          <cell r="A778" t="str">
            <v/>
          </cell>
          <cell r="B778" t="str">
            <v>S8745</v>
          </cell>
          <cell r="C778" t="str">
            <v>SⅡ形　受挿片落管</v>
          </cell>
          <cell r="D778" t="str">
            <v>φ300×φ150</v>
          </cell>
          <cell r="E778">
            <v>0.56499999999999995</v>
          </cell>
        </row>
        <row r="779">
          <cell r="A779" t="str">
            <v/>
          </cell>
          <cell r="B779" t="str">
            <v>S8745</v>
          </cell>
          <cell r="C779" t="str">
            <v>SⅡ形　受挿片落管</v>
          </cell>
          <cell r="D779" t="str">
            <v>φ300×φ200</v>
          </cell>
          <cell r="E779">
            <v>0.47</v>
          </cell>
        </row>
        <row r="780">
          <cell r="A780" t="str">
            <v/>
          </cell>
          <cell r="B780" t="str">
            <v>S8745</v>
          </cell>
          <cell r="C780" t="str">
            <v>SⅡ形　受挿片落管</v>
          </cell>
          <cell r="D780" t="str">
            <v>φ350×φ150</v>
          </cell>
          <cell r="E780">
            <v>0.67</v>
          </cell>
        </row>
        <row r="781">
          <cell r="A781" t="str">
            <v/>
          </cell>
          <cell r="B781" t="str">
            <v>S8745</v>
          </cell>
          <cell r="C781" t="str">
            <v>SⅡ形　受挿片落管</v>
          </cell>
          <cell r="D781" t="str">
            <v>φ350×φ200</v>
          </cell>
          <cell r="E781">
            <v>0.57499999999999996</v>
          </cell>
        </row>
        <row r="782">
          <cell r="A782" t="str">
            <v/>
          </cell>
          <cell r="B782" t="str">
            <v>S8745</v>
          </cell>
          <cell r="C782" t="str">
            <v>SⅡ形　受挿片落管</v>
          </cell>
          <cell r="D782" t="str">
            <v>φ350×φ250</v>
          </cell>
          <cell r="E782">
            <v>0.48</v>
          </cell>
        </row>
        <row r="783">
          <cell r="A783" t="str">
            <v/>
          </cell>
          <cell r="B783" t="str">
            <v>S8745</v>
          </cell>
          <cell r="C783" t="str">
            <v>SⅡ形　受挿片落管</v>
          </cell>
          <cell r="D783" t="str">
            <v>φ350×φ300</v>
          </cell>
          <cell r="E783">
            <v>0.38500000000000001</v>
          </cell>
        </row>
        <row r="784">
          <cell r="A784" t="str">
            <v/>
          </cell>
          <cell r="B784" t="str">
            <v>S8745</v>
          </cell>
          <cell r="C784" t="str">
            <v>SⅡ形　受挿片落管</v>
          </cell>
          <cell r="D784" t="str">
            <v>φ400×φ150</v>
          </cell>
          <cell r="E784">
            <v>0.77500000000000002</v>
          </cell>
        </row>
        <row r="785">
          <cell r="A785" t="str">
            <v/>
          </cell>
          <cell r="B785" t="str">
            <v>S8745</v>
          </cell>
          <cell r="C785" t="str">
            <v>SⅡ形　受挿片落管</v>
          </cell>
          <cell r="D785" t="str">
            <v>φ400×φ200</v>
          </cell>
          <cell r="E785">
            <v>0.68</v>
          </cell>
        </row>
        <row r="786">
          <cell r="A786" t="str">
            <v/>
          </cell>
          <cell r="B786" t="str">
            <v>S8745</v>
          </cell>
          <cell r="C786" t="str">
            <v>SⅡ形　受挿片落管</v>
          </cell>
          <cell r="D786" t="str">
            <v>φ400×φ300</v>
          </cell>
          <cell r="E786">
            <v>0.49</v>
          </cell>
        </row>
        <row r="787">
          <cell r="A787" t="str">
            <v/>
          </cell>
          <cell r="B787" t="str">
            <v>S8745</v>
          </cell>
          <cell r="C787" t="str">
            <v>SⅡ形　受挿片落管</v>
          </cell>
          <cell r="D787" t="str">
            <v>φ450×φ200</v>
          </cell>
          <cell r="E787">
            <v>0.78500000000000003</v>
          </cell>
        </row>
        <row r="788">
          <cell r="A788" t="str">
            <v/>
          </cell>
          <cell r="B788" t="str">
            <v>S8745</v>
          </cell>
          <cell r="C788" t="str">
            <v>SⅡ形　受挿片落管</v>
          </cell>
          <cell r="D788" t="str">
            <v>φ450×φ250</v>
          </cell>
          <cell r="E788">
            <v>0.69</v>
          </cell>
        </row>
        <row r="789">
          <cell r="A789" t="str">
            <v/>
          </cell>
          <cell r="B789" t="str">
            <v>S8745</v>
          </cell>
          <cell r="C789" t="str">
            <v>SⅡ形　受挿片落管</v>
          </cell>
          <cell r="D789" t="str">
            <v>φ450×φ300</v>
          </cell>
          <cell r="E789">
            <v>0.59499999999999997</v>
          </cell>
        </row>
        <row r="790">
          <cell r="A790" t="str">
            <v/>
          </cell>
          <cell r="B790" t="str">
            <v>S8745</v>
          </cell>
          <cell r="C790" t="str">
            <v>SⅡ形　受挿片落管</v>
          </cell>
          <cell r="D790" t="str">
            <v>φ450×φ350</v>
          </cell>
          <cell r="E790">
            <v>0.5</v>
          </cell>
        </row>
        <row r="791">
          <cell r="A791" t="str">
            <v/>
          </cell>
          <cell r="B791" t="str">
            <v>S8745</v>
          </cell>
          <cell r="C791" t="str">
            <v>SⅡ形　受挿片落管</v>
          </cell>
          <cell r="D791" t="str">
            <v>φ450×φ400</v>
          </cell>
          <cell r="E791">
            <v>0.40500000000000003</v>
          </cell>
        </row>
        <row r="792">
          <cell r="A792" t="str">
            <v/>
          </cell>
          <cell r="B792" t="str">
            <v>S8735</v>
          </cell>
          <cell r="C792" t="str">
            <v>SⅡ形　短管1号</v>
          </cell>
          <cell r="D792" t="str">
            <v>φ75</v>
          </cell>
          <cell r="E792">
            <v>0.13</v>
          </cell>
        </row>
        <row r="793">
          <cell r="A793" t="str">
            <v/>
          </cell>
          <cell r="B793" t="str">
            <v>S8735</v>
          </cell>
          <cell r="C793" t="str">
            <v>SⅡ形　短管1号</v>
          </cell>
          <cell r="D793" t="str">
            <v>φ100</v>
          </cell>
          <cell r="E793">
            <v>0.13</v>
          </cell>
        </row>
        <row r="794">
          <cell r="A794" t="str">
            <v/>
          </cell>
          <cell r="B794" t="str">
            <v>S8735</v>
          </cell>
          <cell r="C794" t="str">
            <v>SⅡ形　短管1号</v>
          </cell>
          <cell r="D794" t="str">
            <v>φ150</v>
          </cell>
          <cell r="E794">
            <v>0.13500000000000001</v>
          </cell>
        </row>
        <row r="795">
          <cell r="A795" t="str">
            <v/>
          </cell>
          <cell r="B795" t="str">
            <v>S8735</v>
          </cell>
          <cell r="C795" t="str">
            <v>SⅡ形　短管1号</v>
          </cell>
          <cell r="D795" t="str">
            <v>φ200</v>
          </cell>
          <cell r="E795">
            <v>0.14000000000000001</v>
          </cell>
        </row>
        <row r="796">
          <cell r="A796" t="str">
            <v/>
          </cell>
          <cell r="B796" t="str">
            <v>S8735</v>
          </cell>
          <cell r="C796" t="str">
            <v>SⅡ形　短管1号</v>
          </cell>
          <cell r="D796" t="str">
            <v>φ300</v>
          </cell>
          <cell r="E796">
            <v>0.15</v>
          </cell>
        </row>
        <row r="797">
          <cell r="A797" t="str">
            <v/>
          </cell>
          <cell r="B797" t="str">
            <v>S8735</v>
          </cell>
          <cell r="C797" t="str">
            <v>SⅡ形　短管1号</v>
          </cell>
          <cell r="D797" t="str">
            <v>φ400</v>
          </cell>
          <cell r="E797">
            <v>0.16</v>
          </cell>
        </row>
        <row r="798">
          <cell r="A798" t="str">
            <v/>
          </cell>
          <cell r="B798" t="str">
            <v>S8735</v>
          </cell>
          <cell r="C798" t="str">
            <v>SⅡ形　短管2号</v>
          </cell>
          <cell r="D798" t="str">
            <v>φ75</v>
          </cell>
          <cell r="E798">
            <v>0.35</v>
          </cell>
        </row>
        <row r="799">
          <cell r="A799" t="str">
            <v/>
          </cell>
          <cell r="B799" t="str">
            <v>S8735</v>
          </cell>
          <cell r="C799" t="str">
            <v>SⅡ形　短管2号</v>
          </cell>
          <cell r="D799" t="str">
            <v>φ100</v>
          </cell>
          <cell r="E799">
            <v>0.36</v>
          </cell>
        </row>
        <row r="800">
          <cell r="A800" t="str">
            <v/>
          </cell>
          <cell r="B800" t="str">
            <v>S8735</v>
          </cell>
          <cell r="C800" t="str">
            <v>SⅡ形　短管2号</v>
          </cell>
          <cell r="D800" t="str">
            <v>φ150</v>
          </cell>
          <cell r="E800">
            <v>0.38</v>
          </cell>
        </row>
        <row r="801">
          <cell r="A801" t="str">
            <v/>
          </cell>
          <cell r="B801" t="str">
            <v>S8735</v>
          </cell>
          <cell r="C801" t="str">
            <v>SⅡ形　短管2号</v>
          </cell>
          <cell r="D801" t="str">
            <v>φ200</v>
          </cell>
          <cell r="E801">
            <v>0.4</v>
          </cell>
        </row>
        <row r="802">
          <cell r="A802" t="str">
            <v/>
          </cell>
          <cell r="B802" t="str">
            <v>S8735</v>
          </cell>
          <cell r="C802" t="str">
            <v>SⅡ形　短管2号</v>
          </cell>
          <cell r="D802" t="str">
            <v>φ300</v>
          </cell>
          <cell r="E802">
            <v>0.44</v>
          </cell>
        </row>
        <row r="803">
          <cell r="A803" t="str">
            <v/>
          </cell>
          <cell r="B803" t="str">
            <v>S8735</v>
          </cell>
          <cell r="C803" t="str">
            <v>SⅡ形　短管2号</v>
          </cell>
          <cell r="D803" t="str">
            <v>φ400</v>
          </cell>
          <cell r="E803">
            <v>0.48</v>
          </cell>
        </row>
        <row r="804">
          <cell r="A804" t="str">
            <v/>
          </cell>
          <cell r="B804" t="str">
            <v>S8755</v>
          </cell>
          <cell r="C804" t="str">
            <v>SⅡ形　F付丁字管</v>
          </cell>
          <cell r="D804" t="str">
            <v>φ75×φ75</v>
          </cell>
          <cell r="E804">
            <v>0.38</v>
          </cell>
        </row>
        <row r="805">
          <cell r="A805" t="str">
            <v/>
          </cell>
          <cell r="B805" t="str">
            <v>S8755</v>
          </cell>
          <cell r="C805" t="str">
            <v>SⅡ形　F付丁字管</v>
          </cell>
          <cell r="D805" t="str">
            <v>φ100×φ75</v>
          </cell>
          <cell r="E805">
            <v>0.38</v>
          </cell>
        </row>
        <row r="806">
          <cell r="A806" t="str">
            <v/>
          </cell>
          <cell r="B806" t="str">
            <v>S8755</v>
          </cell>
          <cell r="C806" t="str">
            <v>SⅡ形　F付丁字管</v>
          </cell>
          <cell r="D806" t="str">
            <v>φ150×φ75</v>
          </cell>
          <cell r="E806">
            <v>0.38</v>
          </cell>
        </row>
        <row r="807">
          <cell r="A807" t="str">
            <v/>
          </cell>
          <cell r="B807" t="str">
            <v>S8755</v>
          </cell>
          <cell r="C807" t="str">
            <v>SⅡ形　F付丁字管</v>
          </cell>
          <cell r="D807" t="str">
            <v>φ200×φ75</v>
          </cell>
          <cell r="E807">
            <v>0.39</v>
          </cell>
        </row>
        <row r="808">
          <cell r="A808" t="str">
            <v/>
          </cell>
          <cell r="B808" t="str">
            <v>S8755</v>
          </cell>
          <cell r="C808" t="str">
            <v>SⅡ形　F付丁字管</v>
          </cell>
          <cell r="D808" t="str">
            <v>φ300×φ75</v>
          </cell>
          <cell r="E808">
            <v>0.41</v>
          </cell>
        </row>
        <row r="809">
          <cell r="A809" t="str">
            <v/>
          </cell>
          <cell r="B809" t="str">
            <v>S8755</v>
          </cell>
          <cell r="C809" t="str">
            <v>SⅡ形　F付丁字管</v>
          </cell>
          <cell r="D809" t="str">
            <v>φ400×φ75</v>
          </cell>
          <cell r="E809">
            <v>0.43</v>
          </cell>
        </row>
        <row r="810">
          <cell r="A810" t="str">
            <v/>
          </cell>
          <cell r="B810" t="str">
            <v>S8756</v>
          </cell>
          <cell r="C810" t="str">
            <v>SⅡ形　F付丁字管</v>
          </cell>
          <cell r="D810" t="str">
            <v>φ100×φ75渦</v>
          </cell>
          <cell r="E810">
            <v>0.38</v>
          </cell>
        </row>
        <row r="811">
          <cell r="A811" t="str">
            <v/>
          </cell>
          <cell r="B811" t="str">
            <v>S8756</v>
          </cell>
          <cell r="C811" t="str">
            <v>SⅡ形　F付丁字管</v>
          </cell>
          <cell r="D811" t="str">
            <v>φ150×φ75渦</v>
          </cell>
          <cell r="E811">
            <v>0.38</v>
          </cell>
        </row>
        <row r="812">
          <cell r="A812" t="str">
            <v/>
          </cell>
          <cell r="B812" t="str">
            <v>S8756</v>
          </cell>
          <cell r="C812" t="str">
            <v>SⅡ形　F付丁字管</v>
          </cell>
          <cell r="D812" t="str">
            <v>φ200×φ75渦</v>
          </cell>
          <cell r="E812">
            <v>0.39</v>
          </cell>
        </row>
        <row r="813">
          <cell r="A813" t="str">
            <v/>
          </cell>
          <cell r="B813" t="str">
            <v>S8756</v>
          </cell>
          <cell r="C813" t="str">
            <v>SⅡ形　F付丁字管</v>
          </cell>
          <cell r="D813" t="str">
            <v>φ300×φ75渦</v>
          </cell>
          <cell r="E813">
            <v>0.41</v>
          </cell>
        </row>
        <row r="814">
          <cell r="A814" t="str">
            <v/>
          </cell>
          <cell r="B814" t="str">
            <v>S8756</v>
          </cell>
          <cell r="C814" t="str">
            <v>SⅡ形　F付丁字管</v>
          </cell>
          <cell r="D814" t="str">
            <v>φ400×φ75渦</v>
          </cell>
          <cell r="E814">
            <v>0.43</v>
          </cell>
        </row>
        <row r="815">
          <cell r="A815" t="str">
            <v/>
          </cell>
          <cell r="B815" t="str">
            <v>S8760</v>
          </cell>
          <cell r="C815" t="str">
            <v>SⅡ形　排水丁字管</v>
          </cell>
          <cell r="D815" t="str">
            <v>φ200×φ100</v>
          </cell>
          <cell r="E815">
            <v>0.27</v>
          </cell>
        </row>
        <row r="816">
          <cell r="A816" t="str">
            <v/>
          </cell>
          <cell r="B816" t="str">
            <v>S8760</v>
          </cell>
          <cell r="C816" t="str">
            <v>SⅡ形　排水丁字管</v>
          </cell>
          <cell r="D816" t="str">
            <v>φ300×φ100</v>
          </cell>
          <cell r="E816">
            <v>0.28999999999999998</v>
          </cell>
        </row>
        <row r="817">
          <cell r="A817" t="str">
            <v/>
          </cell>
          <cell r="B817" t="str">
            <v>S8760</v>
          </cell>
          <cell r="C817" t="str">
            <v>SⅡ形　排水丁字管</v>
          </cell>
          <cell r="D817" t="str">
            <v>φ400×φ150</v>
          </cell>
          <cell r="E817">
            <v>0.37</v>
          </cell>
        </row>
        <row r="818">
          <cell r="A818" t="str">
            <v/>
          </cell>
          <cell r="B818" t="str">
            <v>S8765</v>
          </cell>
          <cell r="C818" t="str">
            <v>SⅡ形　ライナー</v>
          </cell>
          <cell r="D818" t="str">
            <v>φ75</v>
          </cell>
          <cell r="E818">
            <v>3.5000000000000003E-2</v>
          </cell>
        </row>
        <row r="819">
          <cell r="A819" t="str">
            <v/>
          </cell>
          <cell r="B819" t="str">
            <v>S8765</v>
          </cell>
          <cell r="C819" t="str">
            <v>SⅡ形　ライナー</v>
          </cell>
          <cell r="D819" t="str">
            <v>φ100</v>
          </cell>
          <cell r="E819">
            <v>3.5000000000000003E-2</v>
          </cell>
        </row>
        <row r="820">
          <cell r="A820" t="str">
            <v/>
          </cell>
          <cell r="B820" t="str">
            <v>S8765</v>
          </cell>
          <cell r="C820" t="str">
            <v>SⅡ形　ライナー</v>
          </cell>
          <cell r="D820" t="str">
            <v>φ150</v>
          </cell>
          <cell r="E820">
            <v>0.05</v>
          </cell>
        </row>
        <row r="821">
          <cell r="A821" t="str">
            <v/>
          </cell>
          <cell r="B821" t="str">
            <v>S8765</v>
          </cell>
          <cell r="C821" t="str">
            <v>SⅡ形　ライナー</v>
          </cell>
          <cell r="D821" t="str">
            <v>φ200</v>
          </cell>
          <cell r="E821">
            <v>0.05</v>
          </cell>
        </row>
        <row r="822">
          <cell r="A822" t="str">
            <v/>
          </cell>
          <cell r="B822" t="str">
            <v>S8765</v>
          </cell>
          <cell r="C822" t="str">
            <v>SⅡ形　ライナー</v>
          </cell>
          <cell r="D822" t="str">
            <v>φ300</v>
          </cell>
          <cell r="E822">
            <v>6.5000000000000002E-2</v>
          </cell>
        </row>
        <row r="823">
          <cell r="A823" t="str">
            <v/>
          </cell>
          <cell r="B823" t="str">
            <v>S8765</v>
          </cell>
          <cell r="C823" t="str">
            <v>SⅡ形　ライナー</v>
          </cell>
          <cell r="D823" t="str">
            <v>φ400</v>
          </cell>
          <cell r="E823">
            <v>6.5000000000000002E-2</v>
          </cell>
        </row>
        <row r="824">
          <cell r="A824" t="str">
            <v/>
          </cell>
          <cell r="B824" t="str">
            <v>S8740</v>
          </cell>
          <cell r="C824" t="str">
            <v>SⅡ形　栓</v>
          </cell>
          <cell r="D824" t="str">
            <v>φ75</v>
          </cell>
          <cell r="E824">
            <v>0.122</v>
          </cell>
        </row>
        <row r="825">
          <cell r="A825" t="str">
            <v/>
          </cell>
          <cell r="B825" t="str">
            <v>S8740</v>
          </cell>
          <cell r="C825" t="str">
            <v>SⅡ形　栓</v>
          </cell>
          <cell r="D825" t="str">
            <v>φ100</v>
          </cell>
          <cell r="E825">
            <v>0.123</v>
          </cell>
        </row>
        <row r="826">
          <cell r="A826" t="str">
            <v/>
          </cell>
          <cell r="B826" t="str">
            <v>S8740</v>
          </cell>
          <cell r="C826" t="str">
            <v>SⅡ形　栓</v>
          </cell>
          <cell r="D826" t="str">
            <v>φ150</v>
          </cell>
          <cell r="E826">
            <v>0.124</v>
          </cell>
        </row>
        <row r="827">
          <cell r="A827" t="str">
            <v/>
          </cell>
          <cell r="B827" t="str">
            <v>S8740</v>
          </cell>
          <cell r="C827" t="str">
            <v>SⅡ形　栓</v>
          </cell>
          <cell r="D827" t="str">
            <v>φ200</v>
          </cell>
          <cell r="E827">
            <v>0.125</v>
          </cell>
        </row>
        <row r="828">
          <cell r="A828" t="str">
            <v/>
          </cell>
          <cell r="B828" t="str">
            <v>S8740</v>
          </cell>
          <cell r="C828" t="str">
            <v>SⅡ形　栓</v>
          </cell>
          <cell r="D828" t="str">
            <v>φ250</v>
          </cell>
          <cell r="E828">
            <v>0.126</v>
          </cell>
        </row>
        <row r="829">
          <cell r="A829" t="str">
            <v/>
          </cell>
          <cell r="B829" t="str">
            <v>S8740</v>
          </cell>
          <cell r="C829" t="str">
            <v>SⅡ形　栓</v>
          </cell>
          <cell r="D829" t="str">
            <v>φ300</v>
          </cell>
          <cell r="E829">
            <v>0.13700000000000001</v>
          </cell>
        </row>
        <row r="830">
          <cell r="A830" t="str">
            <v/>
          </cell>
          <cell r="B830" t="str">
            <v>S8740</v>
          </cell>
          <cell r="C830" t="str">
            <v>SⅡ形　栓</v>
          </cell>
          <cell r="D830" t="str">
            <v>φ350</v>
          </cell>
          <cell r="E830">
            <v>0.13800000000000001</v>
          </cell>
        </row>
        <row r="831">
          <cell r="A831" t="str">
            <v/>
          </cell>
          <cell r="B831" t="str">
            <v>S8740</v>
          </cell>
          <cell r="C831" t="str">
            <v>SⅡ形　栓</v>
          </cell>
          <cell r="D831" t="str">
            <v>φ400</v>
          </cell>
          <cell r="E831">
            <v>0.13900000000000001</v>
          </cell>
        </row>
        <row r="832">
          <cell r="A832" t="str">
            <v/>
          </cell>
          <cell r="B832" t="str">
            <v>S8740</v>
          </cell>
          <cell r="C832" t="str">
            <v>SⅡ形　栓</v>
          </cell>
          <cell r="D832" t="str">
            <v>φ450</v>
          </cell>
          <cell r="E832">
            <v>0.14000000000000001</v>
          </cell>
        </row>
        <row r="833">
          <cell r="A833" t="str">
            <v/>
          </cell>
          <cell r="B833" t="str">
            <v>S8765</v>
          </cell>
          <cell r="C833" t="str">
            <v>SⅡ形　挿口リング</v>
          </cell>
          <cell r="D833" t="str">
            <v>φ75</v>
          </cell>
        </row>
        <row r="834">
          <cell r="A834" t="str">
            <v/>
          </cell>
          <cell r="B834" t="str">
            <v>S8765</v>
          </cell>
          <cell r="C834" t="str">
            <v>SⅡ形　挿口リング</v>
          </cell>
          <cell r="D834" t="str">
            <v>φ100</v>
          </cell>
        </row>
        <row r="835">
          <cell r="A835" t="str">
            <v/>
          </cell>
          <cell r="B835" t="str">
            <v>S8765</v>
          </cell>
          <cell r="C835" t="str">
            <v>SⅡ形　挿口リング</v>
          </cell>
          <cell r="D835" t="str">
            <v>φ150</v>
          </cell>
        </row>
        <row r="836">
          <cell r="A836" t="str">
            <v/>
          </cell>
          <cell r="B836" t="str">
            <v>S8765</v>
          </cell>
          <cell r="C836" t="str">
            <v>SⅡ形　挿口リング</v>
          </cell>
          <cell r="D836" t="str">
            <v>φ200</v>
          </cell>
        </row>
        <row r="837">
          <cell r="A837" t="str">
            <v/>
          </cell>
          <cell r="B837" t="str">
            <v>S8765</v>
          </cell>
          <cell r="C837" t="str">
            <v>SⅡ形　挿口リング</v>
          </cell>
          <cell r="D837" t="str">
            <v>φ250</v>
          </cell>
        </row>
        <row r="838">
          <cell r="A838" t="str">
            <v/>
          </cell>
          <cell r="B838" t="str">
            <v>S8765</v>
          </cell>
          <cell r="C838" t="str">
            <v>SⅡ形　挿口リング</v>
          </cell>
          <cell r="D838" t="str">
            <v>φ300</v>
          </cell>
        </row>
        <row r="839">
          <cell r="A839" t="str">
            <v/>
          </cell>
          <cell r="B839" t="str">
            <v>S8765</v>
          </cell>
          <cell r="C839" t="str">
            <v>SⅡ形　挿口リング</v>
          </cell>
          <cell r="D839" t="str">
            <v>φ350</v>
          </cell>
        </row>
        <row r="840">
          <cell r="A840" t="str">
            <v/>
          </cell>
          <cell r="B840" t="str">
            <v>S8765</v>
          </cell>
          <cell r="C840" t="str">
            <v>SⅡ形　挿口リング</v>
          </cell>
          <cell r="D840" t="str">
            <v>φ400</v>
          </cell>
        </row>
        <row r="841">
          <cell r="A841" t="str">
            <v/>
          </cell>
          <cell r="B841" t="str">
            <v>S8765</v>
          </cell>
          <cell r="C841" t="str">
            <v>SⅡ形　挿口リング</v>
          </cell>
          <cell r="D841" t="str">
            <v>φ450</v>
          </cell>
        </row>
        <row r="842">
          <cell r="A842" t="str">
            <v/>
          </cell>
          <cell r="B842" t="str">
            <v>S8765</v>
          </cell>
          <cell r="C842" t="str">
            <v>SⅡ形　継手材</v>
          </cell>
          <cell r="D842" t="str">
            <v>φ75</v>
          </cell>
          <cell r="F842">
            <v>0</v>
          </cell>
        </row>
        <row r="843">
          <cell r="A843" t="str">
            <v/>
          </cell>
          <cell r="B843" t="str">
            <v>S8765</v>
          </cell>
          <cell r="C843" t="str">
            <v>SⅡ形　継手材</v>
          </cell>
          <cell r="D843" t="str">
            <v>φ100</v>
          </cell>
          <cell r="F843">
            <v>0</v>
          </cell>
        </row>
        <row r="844">
          <cell r="A844" t="str">
            <v/>
          </cell>
          <cell r="B844" t="str">
            <v>S8765</v>
          </cell>
          <cell r="C844" t="str">
            <v>SⅡ形　継手材</v>
          </cell>
          <cell r="D844" t="str">
            <v>φ150</v>
          </cell>
          <cell r="F844">
            <v>0</v>
          </cell>
        </row>
        <row r="845">
          <cell r="A845" t="str">
            <v/>
          </cell>
          <cell r="B845" t="str">
            <v>S8765</v>
          </cell>
          <cell r="C845" t="str">
            <v>SⅡ形　継手材</v>
          </cell>
          <cell r="D845" t="str">
            <v>φ200</v>
          </cell>
          <cell r="F845">
            <v>0</v>
          </cell>
        </row>
        <row r="846">
          <cell r="A846" t="str">
            <v/>
          </cell>
          <cell r="B846" t="str">
            <v>S8765</v>
          </cell>
          <cell r="C846" t="str">
            <v>SⅡ形　継手材</v>
          </cell>
          <cell r="D846" t="str">
            <v>φ250</v>
          </cell>
          <cell r="F846">
            <v>0</v>
          </cell>
        </row>
        <row r="847">
          <cell r="A847" t="str">
            <v/>
          </cell>
          <cell r="B847" t="str">
            <v>S8765</v>
          </cell>
          <cell r="C847" t="str">
            <v>SⅡ形　継手材</v>
          </cell>
          <cell r="D847" t="str">
            <v>φ300</v>
          </cell>
          <cell r="F847">
            <v>0</v>
          </cell>
        </row>
        <row r="848">
          <cell r="A848" t="str">
            <v/>
          </cell>
          <cell r="B848" t="str">
            <v>S8765</v>
          </cell>
          <cell r="C848" t="str">
            <v>SⅡ形　継手材</v>
          </cell>
          <cell r="D848" t="str">
            <v>φ350</v>
          </cell>
          <cell r="F848">
            <v>0</v>
          </cell>
        </row>
        <row r="849">
          <cell r="A849" t="str">
            <v/>
          </cell>
          <cell r="B849" t="str">
            <v>S8765</v>
          </cell>
          <cell r="C849" t="str">
            <v>SⅡ形　継手材</v>
          </cell>
          <cell r="D849" t="str">
            <v>φ400</v>
          </cell>
          <cell r="F849">
            <v>0</v>
          </cell>
        </row>
        <row r="850">
          <cell r="A850" t="str">
            <v/>
          </cell>
          <cell r="B850" t="str">
            <v>S8765</v>
          </cell>
          <cell r="C850" t="str">
            <v>SⅡ形　継手材</v>
          </cell>
          <cell r="D850" t="str">
            <v>φ450</v>
          </cell>
          <cell r="F850">
            <v>0</v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>
            <v>38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E202"/>
  <sheetViews>
    <sheetView tabSelected="1" view="pageBreakPreview" topLeftCell="A151" zoomScaleNormal="100" zoomScaleSheetLayoutView="100" workbookViewId="0">
      <selection activeCell="S12" sqref="S12"/>
    </sheetView>
  </sheetViews>
  <sheetFormatPr defaultRowHeight="18"/>
  <cols>
    <col min="1" max="1" width="5.8984375" style="20" customWidth="1"/>
    <col min="2" max="8" width="8.796875" style="21"/>
    <col min="9" max="9" width="8.796875" style="21" customWidth="1"/>
    <col min="10" max="10" width="8.796875" style="21"/>
    <col min="11" max="12" width="9.69921875" style="21" bestFit="1" customWidth="1"/>
    <col min="13" max="13" width="8.796875" style="21"/>
    <col min="14" max="15" width="8.796875" style="20"/>
    <col min="16" max="16" width="9.5" style="20" bestFit="1" customWidth="1"/>
    <col min="17" max="22" width="8.796875" style="20"/>
    <col min="23" max="27" width="8.09765625" style="23" customWidth="1"/>
    <col min="28" max="30" width="8.796875" style="23"/>
    <col min="31" max="16384" width="8.796875" style="21"/>
  </cols>
  <sheetData>
    <row r="1" spans="1:30">
      <c r="B1" s="20" t="s">
        <v>68</v>
      </c>
      <c r="W1" s="22"/>
      <c r="X1" s="22"/>
      <c r="Y1" s="22"/>
      <c r="Z1" s="22"/>
      <c r="AA1" s="22"/>
    </row>
    <row r="2" spans="1:30">
      <c r="B2" s="75" t="s">
        <v>7</v>
      </c>
      <c r="C2" s="75"/>
      <c r="D2" s="75"/>
      <c r="E2" s="75"/>
      <c r="F2" s="75"/>
      <c r="G2" s="75"/>
      <c r="H2" s="75"/>
      <c r="I2" s="75"/>
      <c r="J2" s="75"/>
      <c r="K2" s="47" t="s">
        <v>8</v>
      </c>
      <c r="L2" s="47" t="s">
        <v>6</v>
      </c>
      <c r="M2" s="47" t="s">
        <v>9</v>
      </c>
      <c r="N2" s="79" t="s">
        <v>0</v>
      </c>
      <c r="O2" s="79"/>
      <c r="P2" s="79"/>
      <c r="Q2" s="79"/>
      <c r="R2" s="79" t="s">
        <v>6</v>
      </c>
      <c r="S2" s="79"/>
      <c r="T2" s="79"/>
      <c r="U2" s="79"/>
      <c r="V2" s="26"/>
      <c r="W2" s="80" t="s">
        <v>71</v>
      </c>
      <c r="X2" s="80"/>
      <c r="Y2" s="80"/>
      <c r="Z2" s="80"/>
      <c r="AA2" s="80"/>
      <c r="AB2" s="80"/>
      <c r="AC2" s="80"/>
      <c r="AD2" s="80"/>
    </row>
    <row r="3" spans="1:30">
      <c r="B3" s="27" t="s">
        <v>141</v>
      </c>
      <c r="C3" s="27" t="s">
        <v>69</v>
      </c>
      <c r="D3" s="27" t="s">
        <v>19</v>
      </c>
      <c r="E3" s="27" t="s">
        <v>21</v>
      </c>
      <c r="F3" s="7" t="s">
        <v>70</v>
      </c>
      <c r="G3" s="7" t="s">
        <v>22</v>
      </c>
      <c r="H3" s="6"/>
      <c r="I3" s="7"/>
      <c r="J3" s="27"/>
      <c r="K3" s="27"/>
      <c r="L3" s="27"/>
      <c r="M3" s="27"/>
      <c r="N3" s="28" t="s">
        <v>114</v>
      </c>
      <c r="O3" s="28" t="s">
        <v>4</v>
      </c>
      <c r="P3" s="79" t="s">
        <v>5</v>
      </c>
      <c r="Q3" s="79"/>
      <c r="R3" s="28" t="s">
        <v>114</v>
      </c>
      <c r="S3" s="28" t="s">
        <v>4</v>
      </c>
      <c r="T3" s="79" t="s">
        <v>5</v>
      </c>
      <c r="U3" s="79"/>
      <c r="V3" s="29" t="s">
        <v>3</v>
      </c>
      <c r="W3" s="30">
        <v>1.5</v>
      </c>
      <c r="X3" s="30">
        <v>2</v>
      </c>
      <c r="Y3" s="31">
        <v>2.5</v>
      </c>
      <c r="Z3" s="31">
        <v>2.5</v>
      </c>
      <c r="AA3" s="31">
        <v>3</v>
      </c>
      <c r="AB3" s="31">
        <v>3.5</v>
      </c>
      <c r="AC3" s="31">
        <v>4</v>
      </c>
      <c r="AD3" s="31">
        <v>4</v>
      </c>
    </row>
    <row r="4" spans="1:30">
      <c r="B4" s="32"/>
      <c r="C4" s="32"/>
      <c r="D4" s="32"/>
      <c r="E4" s="32"/>
      <c r="F4" s="2"/>
      <c r="G4" s="2" t="s">
        <v>20</v>
      </c>
      <c r="H4" s="2"/>
      <c r="I4" s="2"/>
      <c r="J4" s="32"/>
      <c r="K4" s="32"/>
      <c r="L4" s="32"/>
      <c r="M4" s="32"/>
      <c r="N4" s="33"/>
      <c r="O4" s="33"/>
      <c r="P4" s="48" t="s">
        <v>1</v>
      </c>
      <c r="Q4" s="48" t="s">
        <v>2</v>
      </c>
      <c r="R4" s="34"/>
      <c r="S4" s="34"/>
      <c r="T4" s="48" t="s">
        <v>1</v>
      </c>
      <c r="U4" s="48" t="s">
        <v>2</v>
      </c>
      <c r="V4" s="34"/>
      <c r="W4" s="35" t="s">
        <v>10</v>
      </c>
      <c r="X4" s="35" t="s">
        <v>11</v>
      </c>
      <c r="Y4" s="35" t="s">
        <v>12</v>
      </c>
      <c r="Z4" s="35" t="s">
        <v>13</v>
      </c>
      <c r="AA4" s="35" t="s">
        <v>14</v>
      </c>
      <c r="AB4" s="35" t="s">
        <v>15</v>
      </c>
      <c r="AC4" s="35" t="s">
        <v>16</v>
      </c>
      <c r="AD4" s="35" t="s">
        <v>17</v>
      </c>
    </row>
    <row r="5" spans="1:30">
      <c r="A5" s="39" t="s">
        <v>72</v>
      </c>
      <c r="B5" s="36"/>
      <c r="C5" s="36">
        <v>1.6</v>
      </c>
      <c r="D5" s="36"/>
      <c r="E5" s="36"/>
      <c r="F5" s="36"/>
      <c r="G5" s="36"/>
      <c r="H5" s="36"/>
      <c r="I5" s="36"/>
      <c r="J5" s="36"/>
      <c r="K5" s="37">
        <f>(B5+C5+D5+E5+F5+G5+J5+H5+I5)-0.25*(+P5+Q5)-0.5*V5</f>
        <v>1.1000000000000001</v>
      </c>
      <c r="L5" s="36"/>
      <c r="M5" s="38">
        <v>1</v>
      </c>
      <c r="N5" s="38"/>
      <c r="O5" s="38"/>
      <c r="P5" s="38"/>
      <c r="Q5" s="38"/>
      <c r="R5" s="38"/>
      <c r="S5" s="38"/>
      <c r="T5" s="38"/>
      <c r="U5" s="38"/>
      <c r="V5" s="38">
        <v>1</v>
      </c>
      <c r="W5" s="4"/>
      <c r="X5" s="4"/>
      <c r="Y5" s="4"/>
      <c r="Z5" s="4"/>
      <c r="AA5" s="4">
        <f>+B5+C5+D5+E5+F5+G5+H5+I5+J5-AB5</f>
        <v>1.1000000000000001</v>
      </c>
      <c r="AB5" s="4">
        <f>0.5*M5</f>
        <v>0.5</v>
      </c>
      <c r="AC5" s="4"/>
      <c r="AD5" s="4"/>
    </row>
    <row r="6" spans="1:30">
      <c r="A6" s="39" t="s">
        <v>26</v>
      </c>
      <c r="B6" s="36">
        <f>SUM(B5:B5)</f>
        <v>0</v>
      </c>
      <c r="C6" s="36">
        <f>SUM(C5:C5)</f>
        <v>1.6</v>
      </c>
      <c r="D6" s="36">
        <f>SUM(D5:D5)</f>
        <v>0</v>
      </c>
      <c r="E6" s="36">
        <f>SUM(E5:E5)</f>
        <v>0</v>
      </c>
      <c r="F6" s="36">
        <f>SUM(F5:F5)</f>
        <v>0</v>
      </c>
      <c r="G6" s="36"/>
      <c r="H6" s="36"/>
      <c r="I6" s="36"/>
      <c r="J6" s="36"/>
      <c r="K6" s="36">
        <f>SUM(K5:K5)</f>
        <v>1.1000000000000001</v>
      </c>
      <c r="L6" s="36"/>
      <c r="M6" s="38">
        <f>SUM(M5:M5)</f>
        <v>1</v>
      </c>
      <c r="N6" s="38"/>
      <c r="O6" s="38"/>
      <c r="P6" s="38"/>
      <c r="Q6" s="38"/>
      <c r="R6" s="38"/>
      <c r="S6" s="38"/>
      <c r="T6" s="38"/>
      <c r="U6" s="38"/>
      <c r="V6" s="38">
        <f>SUM(V5:V5)</f>
        <v>1</v>
      </c>
      <c r="W6" s="4">
        <f>SUM(W5)</f>
        <v>0</v>
      </c>
      <c r="X6" s="4">
        <f t="shared" ref="X6:AD6" si="0">SUM(X5)</f>
        <v>0</v>
      </c>
      <c r="Y6" s="4">
        <f t="shared" si="0"/>
        <v>0</v>
      </c>
      <c r="Z6" s="4">
        <f t="shared" si="0"/>
        <v>0</v>
      </c>
      <c r="AA6" s="4">
        <f t="shared" si="0"/>
        <v>1.1000000000000001</v>
      </c>
      <c r="AB6" s="4">
        <f t="shared" si="0"/>
        <v>0.5</v>
      </c>
      <c r="AC6" s="4">
        <f t="shared" si="0"/>
        <v>0</v>
      </c>
      <c r="AD6" s="4">
        <f t="shared" si="0"/>
        <v>0</v>
      </c>
    </row>
    <row r="7" spans="1:30">
      <c r="A7" s="39"/>
      <c r="M7" s="20"/>
      <c r="W7" s="5"/>
      <c r="X7" s="5"/>
      <c r="Y7" s="5"/>
      <c r="Z7" s="5"/>
      <c r="AA7" s="5"/>
      <c r="AB7" s="5"/>
      <c r="AC7" s="5"/>
      <c r="AD7" s="5"/>
    </row>
    <row r="8" spans="1:30">
      <c r="B8" s="20" t="s">
        <v>90</v>
      </c>
      <c r="W8" s="22"/>
      <c r="X8" s="22"/>
      <c r="Y8" s="22"/>
      <c r="Z8" s="22"/>
      <c r="AA8" s="22"/>
    </row>
    <row r="9" spans="1:30">
      <c r="B9" s="75" t="s">
        <v>7</v>
      </c>
      <c r="C9" s="75"/>
      <c r="D9" s="75"/>
      <c r="E9" s="75"/>
      <c r="F9" s="75"/>
      <c r="G9" s="75"/>
      <c r="H9" s="75"/>
      <c r="I9" s="75"/>
      <c r="J9" s="75"/>
      <c r="K9" s="47" t="s">
        <v>8</v>
      </c>
      <c r="L9" s="47" t="s">
        <v>6</v>
      </c>
      <c r="M9" s="47" t="s">
        <v>9</v>
      </c>
      <c r="N9" s="79" t="s">
        <v>0</v>
      </c>
      <c r="O9" s="79"/>
      <c r="P9" s="79"/>
      <c r="Q9" s="79"/>
      <c r="R9" s="79" t="s">
        <v>6</v>
      </c>
      <c r="S9" s="79"/>
      <c r="T9" s="79"/>
      <c r="U9" s="79"/>
      <c r="V9" s="26"/>
      <c r="W9" s="80" t="s">
        <v>71</v>
      </c>
      <c r="X9" s="80"/>
      <c r="Y9" s="80"/>
      <c r="Z9" s="80"/>
      <c r="AA9" s="80"/>
      <c r="AB9" s="80"/>
      <c r="AC9" s="80"/>
      <c r="AD9" s="80"/>
    </row>
    <row r="10" spans="1:30">
      <c r="B10" s="27" t="s">
        <v>141</v>
      </c>
      <c r="C10" s="27" t="s">
        <v>69</v>
      </c>
      <c r="D10" s="27" t="s">
        <v>19</v>
      </c>
      <c r="E10" s="27" t="s">
        <v>21</v>
      </c>
      <c r="F10" s="7" t="s">
        <v>70</v>
      </c>
      <c r="G10" s="7" t="s">
        <v>22</v>
      </c>
      <c r="H10" s="6"/>
      <c r="I10" s="7"/>
      <c r="J10" s="27"/>
      <c r="K10" s="27"/>
      <c r="L10" s="27"/>
      <c r="M10" s="27"/>
      <c r="N10" s="28" t="s">
        <v>114</v>
      </c>
      <c r="O10" s="28" t="s">
        <v>4</v>
      </c>
      <c r="P10" s="79" t="s">
        <v>5</v>
      </c>
      <c r="Q10" s="79"/>
      <c r="R10" s="28" t="s">
        <v>114</v>
      </c>
      <c r="S10" s="28" t="s">
        <v>4</v>
      </c>
      <c r="T10" s="79" t="s">
        <v>5</v>
      </c>
      <c r="U10" s="79"/>
      <c r="V10" s="29" t="s">
        <v>3</v>
      </c>
      <c r="W10" s="30">
        <v>1.5</v>
      </c>
      <c r="X10" s="30">
        <v>2</v>
      </c>
      <c r="Y10" s="31">
        <v>2.5</v>
      </c>
      <c r="Z10" s="31">
        <v>2.5</v>
      </c>
      <c r="AA10" s="31">
        <v>3</v>
      </c>
      <c r="AB10" s="31">
        <v>3.5</v>
      </c>
      <c r="AC10" s="31">
        <v>4</v>
      </c>
      <c r="AD10" s="31">
        <v>4</v>
      </c>
    </row>
    <row r="11" spans="1:30">
      <c r="B11" s="32"/>
      <c r="C11" s="32"/>
      <c r="D11" s="32"/>
      <c r="E11" s="32"/>
      <c r="F11" s="2"/>
      <c r="G11" s="2" t="s">
        <v>20</v>
      </c>
      <c r="H11" s="2"/>
      <c r="I11" s="2"/>
      <c r="J11" s="32"/>
      <c r="K11" s="32"/>
      <c r="L11" s="32"/>
      <c r="M11" s="32"/>
      <c r="N11" s="33"/>
      <c r="O11" s="33"/>
      <c r="P11" s="48" t="s">
        <v>1</v>
      </c>
      <c r="Q11" s="48" t="s">
        <v>2</v>
      </c>
      <c r="R11" s="34"/>
      <c r="S11" s="34"/>
      <c r="T11" s="48" t="s">
        <v>1</v>
      </c>
      <c r="U11" s="48" t="s">
        <v>2</v>
      </c>
      <c r="V11" s="34"/>
      <c r="W11" s="35" t="s">
        <v>10</v>
      </c>
      <c r="X11" s="35" t="s">
        <v>11</v>
      </c>
      <c r="Y11" s="35" t="s">
        <v>12</v>
      </c>
      <c r="Z11" s="35" t="s">
        <v>13</v>
      </c>
      <c r="AA11" s="35" t="s">
        <v>14</v>
      </c>
      <c r="AB11" s="35" t="s">
        <v>15</v>
      </c>
      <c r="AC11" s="35" t="s">
        <v>16</v>
      </c>
      <c r="AD11" s="35" t="s">
        <v>17</v>
      </c>
    </row>
    <row r="12" spans="1:30">
      <c r="A12" s="39"/>
      <c r="B12" s="36">
        <v>3</v>
      </c>
      <c r="C12" s="36"/>
      <c r="D12" s="36"/>
      <c r="E12" s="36"/>
      <c r="F12" s="36"/>
      <c r="G12" s="36"/>
      <c r="H12" s="36"/>
      <c r="I12" s="36"/>
      <c r="J12" s="36"/>
      <c r="K12" s="37"/>
      <c r="L12" s="36">
        <f>+(B12+C12+D12+E12+F12+G12+H12+I12+J12)-0.38*(T12+U12)-0.5*V12</f>
        <v>2.5</v>
      </c>
      <c r="M12" s="38"/>
      <c r="N12" s="38"/>
      <c r="O12" s="38"/>
      <c r="P12" s="38"/>
      <c r="Q12" s="38"/>
      <c r="R12" s="38"/>
      <c r="S12" s="38"/>
      <c r="T12" s="38"/>
      <c r="U12" s="38"/>
      <c r="V12" s="38">
        <v>1</v>
      </c>
      <c r="W12" s="4"/>
      <c r="X12" s="4">
        <f>0.5*M12</f>
        <v>0</v>
      </c>
      <c r="Y12" s="4"/>
      <c r="Z12" s="4"/>
      <c r="AA12" s="4"/>
      <c r="AB12" s="4"/>
      <c r="AC12" s="4"/>
      <c r="AD12" s="4"/>
    </row>
    <row r="13" spans="1:30">
      <c r="A13" s="39" t="s">
        <v>26</v>
      </c>
      <c r="B13" s="36">
        <f>SUM(B12:B12)</f>
        <v>3</v>
      </c>
      <c r="C13" s="36">
        <f>SUM(C12:C12)</f>
        <v>0</v>
      </c>
      <c r="D13" s="36">
        <f>SUM(D12:D12)</f>
        <v>0</v>
      </c>
      <c r="E13" s="36">
        <f>SUM(E12:E12)</f>
        <v>0</v>
      </c>
      <c r="F13" s="36">
        <f>SUM(F12:F12)</f>
        <v>0</v>
      </c>
      <c r="G13" s="36"/>
      <c r="H13" s="36"/>
      <c r="I13" s="36"/>
      <c r="J13" s="36"/>
      <c r="K13" s="36"/>
      <c r="L13" s="36">
        <f>SUM(L12:L12)</f>
        <v>2.5</v>
      </c>
      <c r="M13" s="38"/>
      <c r="N13" s="38"/>
      <c r="O13" s="38"/>
      <c r="P13" s="38"/>
      <c r="Q13" s="38"/>
      <c r="R13" s="38">
        <f>SUM(R12:R12)</f>
        <v>0</v>
      </c>
      <c r="S13" s="38">
        <f>SUM(S12:S12)</f>
        <v>0</v>
      </c>
      <c r="T13" s="38">
        <f>SUM(T12:T12)</f>
        <v>0</v>
      </c>
      <c r="U13" s="38">
        <f>SUM(U12:U12)</f>
        <v>0</v>
      </c>
      <c r="V13" s="38">
        <f>SUM(V12:V12)</f>
        <v>1</v>
      </c>
      <c r="W13" s="4">
        <f>SUM(W12)</f>
        <v>0</v>
      </c>
      <c r="X13" s="4">
        <f t="shared" ref="X13:AD13" si="1">SUM(X12)</f>
        <v>0</v>
      </c>
      <c r="Y13" s="4">
        <f t="shared" si="1"/>
        <v>0</v>
      </c>
      <c r="Z13" s="4">
        <f t="shared" si="1"/>
        <v>0</v>
      </c>
      <c r="AA13" s="4">
        <f t="shared" si="1"/>
        <v>0</v>
      </c>
      <c r="AB13" s="4">
        <f t="shared" si="1"/>
        <v>0</v>
      </c>
      <c r="AC13" s="4">
        <f t="shared" si="1"/>
        <v>0</v>
      </c>
      <c r="AD13" s="4">
        <f t="shared" si="1"/>
        <v>0</v>
      </c>
    </row>
    <row r="14" spans="1:30">
      <c r="M14" s="20"/>
      <c r="W14" s="5"/>
      <c r="X14" s="5"/>
      <c r="Y14" s="5"/>
      <c r="Z14" s="5"/>
      <c r="AA14" s="5"/>
      <c r="AB14" s="5"/>
      <c r="AC14" s="5"/>
      <c r="AD14" s="5"/>
    </row>
    <row r="15" spans="1:30">
      <c r="B15" s="20" t="s">
        <v>146</v>
      </c>
      <c r="W15" s="22"/>
      <c r="X15" s="22"/>
      <c r="Y15" s="22"/>
      <c r="Z15" s="22"/>
      <c r="AA15" s="22"/>
    </row>
    <row r="16" spans="1:30">
      <c r="B16" s="75" t="s">
        <v>7</v>
      </c>
      <c r="C16" s="75"/>
      <c r="D16" s="75"/>
      <c r="E16" s="75"/>
      <c r="F16" s="75"/>
      <c r="G16" s="75"/>
      <c r="H16" s="75"/>
      <c r="I16" s="75"/>
      <c r="J16" s="75"/>
      <c r="K16" s="47" t="s">
        <v>8</v>
      </c>
      <c r="L16" s="47" t="s">
        <v>6</v>
      </c>
      <c r="M16" s="47" t="s">
        <v>9</v>
      </c>
      <c r="N16" s="79" t="s">
        <v>0</v>
      </c>
      <c r="O16" s="79"/>
      <c r="P16" s="79"/>
      <c r="Q16" s="79"/>
      <c r="R16" s="79" t="s">
        <v>6</v>
      </c>
      <c r="S16" s="79"/>
      <c r="T16" s="79"/>
      <c r="U16" s="79"/>
      <c r="V16" s="26"/>
      <c r="W16" s="80" t="s">
        <v>71</v>
      </c>
      <c r="X16" s="80"/>
      <c r="Y16" s="80"/>
      <c r="Z16" s="80"/>
      <c r="AA16" s="80"/>
      <c r="AB16" s="80"/>
      <c r="AC16" s="80"/>
      <c r="AD16" s="80"/>
    </row>
    <row r="17" spans="1:30">
      <c r="B17" s="27" t="s">
        <v>141</v>
      </c>
      <c r="C17" s="27" t="s">
        <v>69</v>
      </c>
      <c r="D17" s="27" t="s">
        <v>19</v>
      </c>
      <c r="E17" s="27" t="s">
        <v>21</v>
      </c>
      <c r="F17" s="7" t="s">
        <v>70</v>
      </c>
      <c r="G17" s="7" t="s">
        <v>22</v>
      </c>
      <c r="H17" s="6"/>
      <c r="I17" s="7"/>
      <c r="J17" s="27"/>
      <c r="K17" s="27"/>
      <c r="L17" s="27"/>
      <c r="M17" s="27"/>
      <c r="N17" s="28" t="s">
        <v>114</v>
      </c>
      <c r="O17" s="28" t="s">
        <v>4</v>
      </c>
      <c r="P17" s="79" t="s">
        <v>5</v>
      </c>
      <c r="Q17" s="79"/>
      <c r="R17" s="28" t="s">
        <v>114</v>
      </c>
      <c r="S17" s="28" t="s">
        <v>4</v>
      </c>
      <c r="T17" s="79" t="s">
        <v>5</v>
      </c>
      <c r="U17" s="79"/>
      <c r="V17" s="29" t="s">
        <v>3</v>
      </c>
      <c r="W17" s="30">
        <v>1.5</v>
      </c>
      <c r="X17" s="30">
        <v>2</v>
      </c>
      <c r="Y17" s="31">
        <v>2.5</v>
      </c>
      <c r="Z17" s="31">
        <v>2.5</v>
      </c>
      <c r="AA17" s="31">
        <v>3</v>
      </c>
      <c r="AB17" s="31">
        <v>3.5</v>
      </c>
      <c r="AC17" s="31">
        <v>4</v>
      </c>
      <c r="AD17" s="31">
        <v>4</v>
      </c>
    </row>
    <row r="18" spans="1:30">
      <c r="B18" s="32"/>
      <c r="C18" s="32"/>
      <c r="D18" s="32"/>
      <c r="E18" s="32"/>
      <c r="F18" s="2"/>
      <c r="G18" s="2" t="s">
        <v>20</v>
      </c>
      <c r="H18" s="2"/>
      <c r="I18" s="2"/>
      <c r="J18" s="32"/>
      <c r="K18" s="32"/>
      <c r="L18" s="32"/>
      <c r="M18" s="32"/>
      <c r="N18" s="33"/>
      <c r="O18" s="33"/>
      <c r="P18" s="48" t="s">
        <v>1</v>
      </c>
      <c r="Q18" s="48" t="s">
        <v>2</v>
      </c>
      <c r="R18" s="34"/>
      <c r="S18" s="34"/>
      <c r="T18" s="48" t="s">
        <v>1</v>
      </c>
      <c r="U18" s="48" t="s">
        <v>2</v>
      </c>
      <c r="V18" s="34"/>
      <c r="W18" s="35" t="s">
        <v>10</v>
      </c>
      <c r="X18" s="35" t="s">
        <v>11</v>
      </c>
      <c r="Y18" s="35" t="s">
        <v>12</v>
      </c>
      <c r="Z18" s="35" t="s">
        <v>13</v>
      </c>
      <c r="AA18" s="35" t="s">
        <v>14</v>
      </c>
      <c r="AB18" s="35" t="s">
        <v>15</v>
      </c>
      <c r="AC18" s="35" t="s">
        <v>16</v>
      </c>
      <c r="AD18" s="35" t="s">
        <v>17</v>
      </c>
    </row>
    <row r="19" spans="1:30">
      <c r="A19" s="39" t="s">
        <v>72</v>
      </c>
      <c r="B19" s="36"/>
      <c r="C19" s="36"/>
      <c r="D19" s="36">
        <v>1.5</v>
      </c>
      <c r="E19" s="36"/>
      <c r="F19" s="36"/>
      <c r="G19" s="36"/>
      <c r="H19" s="36"/>
      <c r="I19" s="36"/>
      <c r="J19" s="36"/>
      <c r="K19" s="37">
        <f>(B19+C19+D19+E19+F19+G19+J19+H19+I19)-0.4*(+P19+Q19)-0.5*V19</f>
        <v>1</v>
      </c>
      <c r="L19" s="36">
        <f>+(B19+C19+D19+E19+F19+G19+H19+I19+J19)-0.4*(T19+U19)-0.5*V19</f>
        <v>1</v>
      </c>
      <c r="M19" s="38">
        <v>3</v>
      </c>
      <c r="N19" s="38"/>
      <c r="O19" s="38">
        <v>1</v>
      </c>
      <c r="P19" s="38"/>
      <c r="Q19" s="38"/>
      <c r="R19" s="38"/>
      <c r="S19" s="38">
        <v>1</v>
      </c>
      <c r="T19" s="38"/>
      <c r="U19" s="38"/>
      <c r="V19" s="38">
        <v>1</v>
      </c>
      <c r="W19" s="4"/>
      <c r="X19" s="4">
        <f>0.5*M19</f>
        <v>1.5</v>
      </c>
      <c r="Y19" s="4"/>
      <c r="Z19" s="4"/>
      <c r="AA19" s="4"/>
      <c r="AB19" s="4"/>
      <c r="AC19" s="4"/>
      <c r="AD19" s="4"/>
    </row>
    <row r="20" spans="1:30">
      <c r="A20" s="39" t="s">
        <v>26</v>
      </c>
      <c r="B20" s="36">
        <f>SUM(B19:B19)</f>
        <v>0</v>
      </c>
      <c r="C20" s="36">
        <f>SUM(C19:C19)</f>
        <v>0</v>
      </c>
      <c r="D20" s="36">
        <f>SUM(D19:D19)</f>
        <v>1.5</v>
      </c>
      <c r="E20" s="36">
        <f>SUM(E19:E19)</f>
        <v>0</v>
      </c>
      <c r="F20" s="36">
        <f>SUM(F19:F19)</f>
        <v>0</v>
      </c>
      <c r="G20" s="36"/>
      <c r="H20" s="36"/>
      <c r="I20" s="36"/>
      <c r="J20" s="36"/>
      <c r="K20" s="36">
        <f t="shared" ref="K20:V20" si="2">SUM(K19:K19)</f>
        <v>1</v>
      </c>
      <c r="L20" s="36">
        <f t="shared" si="2"/>
        <v>1</v>
      </c>
      <c r="M20" s="38">
        <f t="shared" si="2"/>
        <v>3</v>
      </c>
      <c r="N20" s="38">
        <f t="shared" si="2"/>
        <v>0</v>
      </c>
      <c r="O20" s="38">
        <f t="shared" si="2"/>
        <v>1</v>
      </c>
      <c r="P20" s="38">
        <f t="shared" si="2"/>
        <v>0</v>
      </c>
      <c r="Q20" s="38">
        <f t="shared" si="2"/>
        <v>0</v>
      </c>
      <c r="R20" s="38">
        <f t="shared" si="2"/>
        <v>0</v>
      </c>
      <c r="S20" s="38">
        <f t="shared" si="2"/>
        <v>1</v>
      </c>
      <c r="T20" s="38">
        <f t="shared" si="2"/>
        <v>0</v>
      </c>
      <c r="U20" s="38">
        <f t="shared" si="2"/>
        <v>0</v>
      </c>
      <c r="V20" s="38">
        <f t="shared" si="2"/>
        <v>1</v>
      </c>
      <c r="W20" s="4">
        <f>SUM(W19)</f>
        <v>0</v>
      </c>
      <c r="X20" s="4">
        <f t="shared" ref="X20:AD20" si="3">SUM(X19)</f>
        <v>1.5</v>
      </c>
      <c r="Y20" s="4">
        <f t="shared" si="3"/>
        <v>0</v>
      </c>
      <c r="Z20" s="4">
        <f t="shared" si="3"/>
        <v>0</v>
      </c>
      <c r="AA20" s="4">
        <f t="shared" si="3"/>
        <v>0</v>
      </c>
      <c r="AB20" s="4">
        <f t="shared" si="3"/>
        <v>0</v>
      </c>
      <c r="AC20" s="4">
        <f t="shared" si="3"/>
        <v>0</v>
      </c>
      <c r="AD20" s="4">
        <f t="shared" si="3"/>
        <v>0</v>
      </c>
    </row>
    <row r="21" spans="1:30">
      <c r="M21" s="20"/>
      <c r="W21" s="8"/>
      <c r="X21" s="8"/>
      <c r="Y21" s="8"/>
      <c r="Z21" s="8"/>
      <c r="AA21" s="8"/>
      <c r="AB21" s="8"/>
      <c r="AC21" s="8"/>
      <c r="AD21" s="8"/>
    </row>
    <row r="22" spans="1:30">
      <c r="B22" s="20" t="s">
        <v>73</v>
      </c>
      <c r="W22" s="22"/>
      <c r="X22" s="22"/>
      <c r="Y22" s="22"/>
      <c r="Z22" s="22"/>
      <c r="AA22" s="22"/>
    </row>
    <row r="23" spans="1:30">
      <c r="B23" s="75" t="s">
        <v>7</v>
      </c>
      <c r="C23" s="75"/>
      <c r="D23" s="75"/>
      <c r="E23" s="75"/>
      <c r="F23" s="75"/>
      <c r="G23" s="75"/>
      <c r="H23" s="75"/>
      <c r="I23" s="75"/>
      <c r="J23" s="75"/>
      <c r="K23" s="47" t="s">
        <v>8</v>
      </c>
      <c r="L23" s="47" t="s">
        <v>6</v>
      </c>
      <c r="M23" s="47" t="s">
        <v>9</v>
      </c>
      <c r="N23" s="79" t="s">
        <v>0</v>
      </c>
      <c r="O23" s="79"/>
      <c r="P23" s="79"/>
      <c r="Q23" s="79"/>
      <c r="R23" s="79" t="s">
        <v>6</v>
      </c>
      <c r="S23" s="79"/>
      <c r="T23" s="79"/>
      <c r="U23" s="79"/>
      <c r="V23" s="26"/>
      <c r="W23" s="80" t="s">
        <v>71</v>
      </c>
      <c r="X23" s="80"/>
      <c r="Y23" s="80"/>
      <c r="Z23" s="80"/>
      <c r="AA23" s="80"/>
      <c r="AB23" s="80"/>
      <c r="AC23" s="80"/>
      <c r="AD23" s="80"/>
    </row>
    <row r="24" spans="1:30">
      <c r="B24" s="27" t="s">
        <v>141</v>
      </c>
      <c r="C24" s="27" t="s">
        <v>69</v>
      </c>
      <c r="D24" s="27" t="s">
        <v>19</v>
      </c>
      <c r="E24" s="27" t="s">
        <v>21</v>
      </c>
      <c r="F24" s="7" t="s">
        <v>70</v>
      </c>
      <c r="G24" s="7" t="s">
        <v>22</v>
      </c>
      <c r="H24" s="6"/>
      <c r="I24" s="7"/>
      <c r="J24" s="27"/>
      <c r="K24" s="27"/>
      <c r="L24" s="27"/>
      <c r="M24" s="27"/>
      <c r="N24" s="28" t="s">
        <v>114</v>
      </c>
      <c r="O24" s="28" t="s">
        <v>4</v>
      </c>
      <c r="P24" s="79" t="s">
        <v>5</v>
      </c>
      <c r="Q24" s="79"/>
      <c r="R24" s="28" t="s">
        <v>114</v>
      </c>
      <c r="S24" s="28" t="s">
        <v>4</v>
      </c>
      <c r="T24" s="79" t="s">
        <v>5</v>
      </c>
      <c r="U24" s="79"/>
      <c r="V24" s="29" t="s">
        <v>3</v>
      </c>
      <c r="W24" s="30">
        <v>1.5</v>
      </c>
      <c r="X24" s="30">
        <v>2</v>
      </c>
      <c r="Y24" s="31">
        <v>2.5</v>
      </c>
      <c r="Z24" s="31">
        <v>2.5</v>
      </c>
      <c r="AA24" s="31">
        <v>3</v>
      </c>
      <c r="AB24" s="31">
        <v>3.5</v>
      </c>
      <c r="AC24" s="31">
        <v>4</v>
      </c>
      <c r="AD24" s="31">
        <v>4</v>
      </c>
    </row>
    <row r="25" spans="1:30">
      <c r="B25" s="32"/>
      <c r="C25" s="32"/>
      <c r="D25" s="32"/>
      <c r="E25" s="32"/>
      <c r="F25" s="2"/>
      <c r="G25" s="2" t="s">
        <v>20</v>
      </c>
      <c r="H25" s="2"/>
      <c r="I25" s="2"/>
      <c r="J25" s="32"/>
      <c r="K25" s="32"/>
      <c r="L25" s="32"/>
      <c r="M25" s="32"/>
      <c r="N25" s="33"/>
      <c r="O25" s="33"/>
      <c r="P25" s="48" t="s">
        <v>1</v>
      </c>
      <c r="Q25" s="48" t="s">
        <v>2</v>
      </c>
      <c r="R25" s="34"/>
      <c r="S25" s="34"/>
      <c r="T25" s="48" t="s">
        <v>1</v>
      </c>
      <c r="U25" s="48" t="s">
        <v>2</v>
      </c>
      <c r="V25" s="34"/>
      <c r="W25" s="35" t="s">
        <v>10</v>
      </c>
      <c r="X25" s="35" t="s">
        <v>11</v>
      </c>
      <c r="Y25" s="35" t="s">
        <v>12</v>
      </c>
      <c r="Z25" s="35" t="s">
        <v>13</v>
      </c>
      <c r="AA25" s="35" t="s">
        <v>14</v>
      </c>
      <c r="AB25" s="35" t="s">
        <v>15</v>
      </c>
      <c r="AC25" s="35" t="s">
        <v>16</v>
      </c>
      <c r="AD25" s="35" t="s">
        <v>17</v>
      </c>
    </row>
    <row r="26" spans="1:30">
      <c r="B26" s="36"/>
      <c r="C26" s="36"/>
      <c r="D26" s="36">
        <v>2.1</v>
      </c>
      <c r="E26" s="36"/>
      <c r="F26" s="36"/>
      <c r="G26" s="36"/>
      <c r="H26" s="36"/>
      <c r="I26" s="36"/>
      <c r="J26" s="36"/>
      <c r="K26" s="37"/>
      <c r="L26" s="36">
        <f>+(B26+C26+D26+E26+F26+G26+H26+I26+J26)-0.4*(T26+U26)-0.5*V26</f>
        <v>1.6</v>
      </c>
      <c r="M26" s="38"/>
      <c r="N26" s="38"/>
      <c r="O26" s="38"/>
      <c r="P26" s="38"/>
      <c r="Q26" s="38"/>
      <c r="R26" s="38"/>
      <c r="S26" s="38">
        <v>1</v>
      </c>
      <c r="T26" s="38"/>
      <c r="U26" s="38"/>
      <c r="V26" s="38">
        <v>1</v>
      </c>
      <c r="W26" s="4"/>
      <c r="X26" s="4"/>
      <c r="Y26" s="4"/>
      <c r="Z26" s="4"/>
      <c r="AA26" s="4"/>
      <c r="AB26" s="4"/>
      <c r="AC26" s="4"/>
      <c r="AD26" s="4"/>
    </row>
    <row r="27" spans="1:30">
      <c r="B27" s="36"/>
      <c r="C27" s="36">
        <v>110.6</v>
      </c>
      <c r="D27" s="36"/>
      <c r="E27" s="36"/>
      <c r="F27" s="36"/>
      <c r="G27" s="36"/>
      <c r="H27" s="36"/>
      <c r="I27" s="36"/>
      <c r="J27" s="36"/>
      <c r="K27" s="37"/>
      <c r="L27" s="36">
        <f t="shared" ref="L27:L42" si="4">+(B27+C27+D27+E27+F27+G27+H27+I27+J27)-0.4*(T27+U27)-0.5*V27</f>
        <v>110.6</v>
      </c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4"/>
      <c r="X27" s="4"/>
      <c r="Y27" s="4"/>
      <c r="Z27" s="4"/>
      <c r="AA27" s="4"/>
      <c r="AB27" s="4"/>
      <c r="AC27" s="4"/>
      <c r="AD27" s="4"/>
    </row>
    <row r="28" spans="1:30">
      <c r="B28" s="36"/>
      <c r="C28" s="36">
        <v>67.8</v>
      </c>
      <c r="D28" s="36"/>
      <c r="E28" s="36"/>
      <c r="F28" s="36"/>
      <c r="G28" s="36"/>
      <c r="H28" s="36"/>
      <c r="I28" s="36"/>
      <c r="J28" s="36"/>
      <c r="K28" s="37"/>
      <c r="L28" s="36">
        <f t="shared" si="4"/>
        <v>67.8</v>
      </c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4"/>
      <c r="X28" s="4"/>
      <c r="Y28" s="4"/>
      <c r="Z28" s="4"/>
      <c r="AA28" s="4"/>
      <c r="AB28" s="4"/>
      <c r="AC28" s="4"/>
      <c r="AD28" s="4"/>
    </row>
    <row r="29" spans="1:30">
      <c r="B29" s="36"/>
      <c r="C29" s="36"/>
      <c r="D29" s="36">
        <v>25.6</v>
      </c>
      <c r="E29" s="36"/>
      <c r="F29" s="36"/>
      <c r="G29" s="36"/>
      <c r="H29" s="36"/>
      <c r="I29" s="36"/>
      <c r="J29" s="36"/>
      <c r="K29" s="37"/>
      <c r="L29" s="36">
        <f t="shared" si="4"/>
        <v>25.6</v>
      </c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4"/>
      <c r="X29" s="4"/>
      <c r="Y29" s="4"/>
      <c r="Z29" s="4"/>
      <c r="AA29" s="4"/>
      <c r="AB29" s="4"/>
      <c r="AC29" s="4"/>
      <c r="AD29" s="4"/>
    </row>
    <row r="30" spans="1:30">
      <c r="B30" s="36"/>
      <c r="C30" s="36">
        <v>33</v>
      </c>
      <c r="D30" s="36"/>
      <c r="E30" s="36"/>
      <c r="F30" s="36"/>
      <c r="G30" s="36"/>
      <c r="H30" s="36"/>
      <c r="I30" s="36"/>
      <c r="J30" s="36"/>
      <c r="K30" s="37"/>
      <c r="L30" s="36">
        <f t="shared" si="4"/>
        <v>33</v>
      </c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4"/>
      <c r="X30" s="4"/>
      <c r="Y30" s="4"/>
      <c r="Z30" s="4"/>
      <c r="AA30" s="4"/>
      <c r="AB30" s="4"/>
      <c r="AC30" s="4"/>
      <c r="AD30" s="4"/>
    </row>
    <row r="31" spans="1:30">
      <c r="B31" s="36"/>
      <c r="C31" s="36"/>
      <c r="D31" s="36">
        <v>2.1</v>
      </c>
      <c r="E31" s="36"/>
      <c r="F31" s="36"/>
      <c r="G31" s="36"/>
      <c r="H31" s="36"/>
      <c r="I31" s="36"/>
      <c r="J31" s="36"/>
      <c r="K31" s="37"/>
      <c r="L31" s="36">
        <f t="shared" si="4"/>
        <v>2.1</v>
      </c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4"/>
      <c r="X31" s="4"/>
      <c r="Y31" s="4"/>
      <c r="Z31" s="4"/>
      <c r="AA31" s="4"/>
      <c r="AB31" s="4"/>
      <c r="AC31" s="4"/>
      <c r="AD31" s="4"/>
    </row>
    <row r="32" spans="1:30">
      <c r="B32" s="36"/>
      <c r="C32" s="36">
        <v>2.5</v>
      </c>
      <c r="D32" s="36"/>
      <c r="E32" s="36"/>
      <c r="F32" s="36"/>
      <c r="G32" s="36"/>
      <c r="H32" s="36"/>
      <c r="I32" s="36"/>
      <c r="J32" s="36"/>
      <c r="K32" s="37"/>
      <c r="L32" s="36">
        <f t="shared" si="4"/>
        <v>2.5</v>
      </c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4"/>
      <c r="X32" s="4"/>
      <c r="Y32" s="4"/>
      <c r="Z32" s="4"/>
      <c r="AA32" s="4"/>
      <c r="AB32" s="4"/>
      <c r="AC32" s="4"/>
      <c r="AD32" s="4"/>
    </row>
    <row r="33" spans="1:30">
      <c r="B33" s="36"/>
      <c r="C33" s="36">
        <v>113.4</v>
      </c>
      <c r="D33" s="36"/>
      <c r="E33" s="36"/>
      <c r="F33" s="36"/>
      <c r="G33" s="36"/>
      <c r="H33" s="36"/>
      <c r="I33" s="36"/>
      <c r="J33" s="36"/>
      <c r="K33" s="37"/>
      <c r="L33" s="36">
        <f t="shared" si="4"/>
        <v>113.4</v>
      </c>
      <c r="M33" s="38"/>
      <c r="N33" s="38"/>
      <c r="O33" s="38"/>
      <c r="P33" s="38"/>
      <c r="Q33" s="38"/>
      <c r="R33" s="38"/>
      <c r="S33" s="38">
        <v>1</v>
      </c>
      <c r="T33" s="38"/>
      <c r="U33" s="38"/>
      <c r="V33" s="38"/>
      <c r="W33" s="4"/>
      <c r="X33" s="4"/>
      <c r="Y33" s="4"/>
      <c r="Z33" s="4"/>
      <c r="AA33" s="4"/>
      <c r="AB33" s="4"/>
      <c r="AC33" s="4"/>
      <c r="AD33" s="4"/>
    </row>
    <row r="34" spans="1:30">
      <c r="B34" s="36">
        <v>7.3</v>
      </c>
      <c r="C34" s="36"/>
      <c r="D34" s="36"/>
      <c r="E34" s="36"/>
      <c r="F34" s="36"/>
      <c r="G34" s="36"/>
      <c r="H34" s="36"/>
      <c r="I34" s="36"/>
      <c r="J34" s="36"/>
      <c r="K34" s="37"/>
      <c r="L34" s="36">
        <f t="shared" si="4"/>
        <v>7.3</v>
      </c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4"/>
      <c r="X34" s="4"/>
      <c r="Y34" s="4"/>
      <c r="Z34" s="4"/>
      <c r="AA34" s="4"/>
      <c r="AB34" s="4"/>
      <c r="AC34" s="4"/>
      <c r="AD34" s="4"/>
    </row>
    <row r="35" spans="1:30">
      <c r="B35" s="36">
        <v>21.9</v>
      </c>
      <c r="C35" s="36"/>
      <c r="D35" s="36"/>
      <c r="E35" s="36"/>
      <c r="F35" s="36"/>
      <c r="G35" s="36"/>
      <c r="H35" s="36"/>
      <c r="I35" s="36"/>
      <c r="J35" s="36"/>
      <c r="K35" s="37"/>
      <c r="L35" s="36">
        <f t="shared" si="4"/>
        <v>21.9</v>
      </c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4"/>
      <c r="X35" s="4"/>
      <c r="Y35" s="4"/>
      <c r="Z35" s="4"/>
      <c r="AA35" s="4"/>
      <c r="AB35" s="4"/>
      <c r="AC35" s="4"/>
      <c r="AD35" s="4"/>
    </row>
    <row r="36" spans="1:30">
      <c r="B36" s="36"/>
      <c r="C36" s="36">
        <v>69.599999999999994</v>
      </c>
      <c r="D36" s="36"/>
      <c r="E36" s="36"/>
      <c r="F36" s="36"/>
      <c r="G36" s="36"/>
      <c r="H36" s="36"/>
      <c r="I36" s="36"/>
      <c r="J36" s="36"/>
      <c r="K36" s="37"/>
      <c r="L36" s="36">
        <f t="shared" si="4"/>
        <v>69.099999999999994</v>
      </c>
      <c r="M36" s="38"/>
      <c r="N36" s="38"/>
      <c r="O36" s="38"/>
      <c r="P36" s="38"/>
      <c r="Q36" s="38"/>
      <c r="R36" s="38"/>
      <c r="S36" s="38"/>
      <c r="T36" s="38"/>
      <c r="U36" s="38"/>
      <c r="V36" s="38">
        <v>1</v>
      </c>
      <c r="W36" s="4"/>
      <c r="X36" s="4"/>
      <c r="Y36" s="4"/>
      <c r="Z36" s="4"/>
      <c r="AA36" s="4"/>
      <c r="AB36" s="4"/>
      <c r="AC36" s="4"/>
      <c r="AD36" s="4"/>
    </row>
    <row r="37" spans="1:30">
      <c r="B37" s="36">
        <v>148.19999999999999</v>
      </c>
      <c r="C37" s="36"/>
      <c r="D37" s="36"/>
      <c r="E37" s="36"/>
      <c r="F37" s="36"/>
      <c r="G37" s="36"/>
      <c r="H37" s="36"/>
      <c r="I37" s="36"/>
      <c r="J37" s="36"/>
      <c r="K37" s="37"/>
      <c r="L37" s="36">
        <f t="shared" si="4"/>
        <v>148.19999999999999</v>
      </c>
      <c r="M37" s="38"/>
      <c r="N37" s="38"/>
      <c r="O37" s="38"/>
      <c r="P37" s="38"/>
      <c r="Q37" s="38"/>
      <c r="R37" s="38">
        <v>1</v>
      </c>
      <c r="S37" s="38">
        <v>1</v>
      </c>
      <c r="T37" s="38"/>
      <c r="U37" s="38"/>
      <c r="V37" s="38"/>
      <c r="W37" s="4"/>
      <c r="X37" s="4"/>
      <c r="Y37" s="4"/>
      <c r="Z37" s="4"/>
      <c r="AA37" s="4"/>
      <c r="AB37" s="4"/>
      <c r="AC37" s="4"/>
      <c r="AD37" s="4"/>
    </row>
    <row r="38" spans="1:30">
      <c r="B38" s="36"/>
      <c r="C38" s="36">
        <v>35.700000000000003</v>
      </c>
      <c r="D38" s="36"/>
      <c r="E38" s="36"/>
      <c r="F38" s="36"/>
      <c r="G38" s="36"/>
      <c r="H38" s="36"/>
      <c r="I38" s="36"/>
      <c r="J38" s="36"/>
      <c r="K38" s="37"/>
      <c r="L38" s="36">
        <f t="shared" si="4"/>
        <v>35.700000000000003</v>
      </c>
      <c r="M38" s="38"/>
      <c r="N38" s="38"/>
      <c r="O38" s="38"/>
      <c r="P38" s="38"/>
      <c r="Q38" s="38"/>
      <c r="R38" s="38">
        <v>1</v>
      </c>
      <c r="S38" s="38"/>
      <c r="T38" s="38"/>
      <c r="U38" s="38"/>
      <c r="V38" s="38"/>
      <c r="W38" s="4"/>
      <c r="X38" s="4"/>
      <c r="Y38" s="4"/>
      <c r="Z38" s="4"/>
      <c r="AA38" s="4"/>
      <c r="AB38" s="4"/>
      <c r="AC38" s="4"/>
      <c r="AD38" s="4"/>
    </row>
    <row r="39" spans="1:30">
      <c r="B39" s="36"/>
      <c r="C39" s="36">
        <v>8.8000000000000007</v>
      </c>
      <c r="D39" s="36"/>
      <c r="E39" s="36"/>
      <c r="F39" s="36"/>
      <c r="G39" s="36"/>
      <c r="H39" s="36"/>
      <c r="I39" s="36"/>
      <c r="J39" s="36"/>
      <c r="K39" s="37"/>
      <c r="L39" s="36">
        <f t="shared" si="4"/>
        <v>8.8000000000000007</v>
      </c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4"/>
      <c r="X39" s="4"/>
      <c r="Y39" s="4"/>
      <c r="Z39" s="4"/>
      <c r="AA39" s="4"/>
      <c r="AB39" s="4"/>
      <c r="AC39" s="4"/>
      <c r="AD39" s="4"/>
    </row>
    <row r="40" spans="1:30">
      <c r="B40" s="36"/>
      <c r="C40" s="36"/>
      <c r="D40" s="36"/>
      <c r="E40" s="36"/>
      <c r="F40" s="36">
        <v>2.2000000000000002</v>
      </c>
      <c r="G40" s="36"/>
      <c r="H40" s="36"/>
      <c r="I40" s="36"/>
      <c r="J40" s="36"/>
      <c r="K40" s="37"/>
      <c r="L40" s="36">
        <f t="shared" si="4"/>
        <v>2.2000000000000002</v>
      </c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4"/>
      <c r="X40" s="4"/>
      <c r="Y40" s="4"/>
      <c r="Z40" s="4"/>
      <c r="AA40" s="4"/>
      <c r="AB40" s="4"/>
      <c r="AC40" s="4"/>
      <c r="AD40" s="4"/>
    </row>
    <row r="41" spans="1:30">
      <c r="B41" s="36">
        <v>13.7</v>
      </c>
      <c r="C41" s="36"/>
      <c r="D41" s="36"/>
      <c r="E41" s="36"/>
      <c r="F41" s="36"/>
      <c r="G41" s="36"/>
      <c r="H41" s="36"/>
      <c r="I41" s="36"/>
      <c r="J41" s="36"/>
      <c r="K41" s="37"/>
      <c r="L41" s="36">
        <f t="shared" si="4"/>
        <v>13.7</v>
      </c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4"/>
      <c r="X41" s="4"/>
      <c r="Y41" s="4"/>
      <c r="Z41" s="4"/>
      <c r="AA41" s="4"/>
      <c r="AB41" s="4"/>
      <c r="AC41" s="4"/>
      <c r="AD41" s="4"/>
    </row>
    <row r="42" spans="1:30">
      <c r="B42" s="36">
        <v>38.799999999999997</v>
      </c>
      <c r="C42" s="36"/>
      <c r="D42" s="36"/>
      <c r="E42" s="36"/>
      <c r="F42" s="36"/>
      <c r="G42" s="36"/>
      <c r="H42" s="36"/>
      <c r="I42" s="36"/>
      <c r="J42" s="36"/>
      <c r="K42" s="37"/>
      <c r="L42" s="36">
        <f t="shared" si="4"/>
        <v>38.799999999999997</v>
      </c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4"/>
      <c r="X42" s="4"/>
      <c r="Y42" s="4"/>
      <c r="Z42" s="4"/>
      <c r="AA42" s="4"/>
      <c r="AB42" s="4"/>
      <c r="AC42" s="4"/>
      <c r="AD42" s="4"/>
    </row>
    <row r="43" spans="1:30">
      <c r="A43" s="39" t="s">
        <v>26</v>
      </c>
      <c r="B43" s="36">
        <f t="shared" ref="B43:G43" si="5">SUM(B26:B42)</f>
        <v>229.89999999999998</v>
      </c>
      <c r="C43" s="36">
        <f t="shared" si="5"/>
        <v>441.4</v>
      </c>
      <c r="D43" s="36">
        <f t="shared" si="5"/>
        <v>29.800000000000004</v>
      </c>
      <c r="E43" s="36">
        <f t="shared" si="5"/>
        <v>0</v>
      </c>
      <c r="F43" s="36">
        <f t="shared" si="5"/>
        <v>2.2000000000000002</v>
      </c>
      <c r="G43" s="36">
        <f t="shared" si="5"/>
        <v>0</v>
      </c>
      <c r="H43" s="36"/>
      <c r="I43" s="36"/>
      <c r="J43" s="36"/>
      <c r="K43" s="36"/>
      <c r="L43" s="36">
        <f>SUM(L26:L42)</f>
        <v>702.3</v>
      </c>
      <c r="M43" s="38"/>
      <c r="N43" s="38"/>
      <c r="O43" s="38"/>
      <c r="P43" s="38"/>
      <c r="Q43" s="38"/>
      <c r="R43" s="38">
        <f>SUM(R26:R42)</f>
        <v>2</v>
      </c>
      <c r="S43" s="38">
        <f>SUM(S26:S42)</f>
        <v>3</v>
      </c>
      <c r="T43" s="38">
        <f>SUM(T26:T42)</f>
        <v>0</v>
      </c>
      <c r="U43" s="38">
        <f>SUM(U26:U42)</f>
        <v>0</v>
      </c>
      <c r="V43" s="38">
        <f>SUM(V26:V42)</f>
        <v>2</v>
      </c>
      <c r="W43" s="4"/>
      <c r="X43" s="4"/>
      <c r="Y43" s="4"/>
      <c r="Z43" s="4"/>
      <c r="AA43" s="4"/>
      <c r="AB43" s="4"/>
      <c r="AC43" s="4"/>
      <c r="AD43" s="4"/>
    </row>
    <row r="44" spans="1:30">
      <c r="M44" s="20"/>
      <c r="W44" s="8"/>
      <c r="X44" s="8"/>
      <c r="Y44" s="8"/>
      <c r="Z44" s="8"/>
      <c r="AA44" s="8"/>
      <c r="AB44" s="8"/>
      <c r="AC44" s="8"/>
      <c r="AD44" s="8"/>
    </row>
    <row r="45" spans="1:30">
      <c r="B45" s="20" t="s">
        <v>74</v>
      </c>
      <c r="W45" s="22"/>
      <c r="X45" s="22"/>
      <c r="Y45" s="22"/>
      <c r="Z45" s="22"/>
      <c r="AA45" s="22"/>
    </row>
    <row r="46" spans="1:30">
      <c r="B46" s="75" t="s">
        <v>7</v>
      </c>
      <c r="C46" s="75"/>
      <c r="D46" s="75"/>
      <c r="E46" s="75"/>
      <c r="F46" s="75"/>
      <c r="G46" s="75"/>
      <c r="H46" s="75"/>
      <c r="I46" s="75"/>
      <c r="J46" s="75"/>
      <c r="K46" s="47" t="s">
        <v>8</v>
      </c>
      <c r="L46" s="47" t="s">
        <v>6</v>
      </c>
      <c r="M46" s="47" t="s">
        <v>9</v>
      </c>
      <c r="N46" s="79" t="s">
        <v>0</v>
      </c>
      <c r="O46" s="79"/>
      <c r="P46" s="79"/>
      <c r="Q46" s="79"/>
      <c r="R46" s="79" t="s">
        <v>6</v>
      </c>
      <c r="S46" s="79"/>
      <c r="T46" s="79"/>
      <c r="U46" s="79"/>
      <c r="V46" s="26"/>
      <c r="W46" s="80" t="s">
        <v>71</v>
      </c>
      <c r="X46" s="80"/>
      <c r="Y46" s="80"/>
      <c r="Z46" s="80"/>
      <c r="AA46" s="80"/>
      <c r="AB46" s="80"/>
      <c r="AC46" s="80"/>
      <c r="AD46" s="80"/>
    </row>
    <row r="47" spans="1:30">
      <c r="B47" s="27" t="s">
        <v>141</v>
      </c>
      <c r="C47" s="27" t="s">
        <v>69</v>
      </c>
      <c r="D47" s="27" t="s">
        <v>19</v>
      </c>
      <c r="E47" s="27" t="s">
        <v>21</v>
      </c>
      <c r="F47" s="7" t="s">
        <v>70</v>
      </c>
      <c r="G47" s="7" t="s">
        <v>22</v>
      </c>
      <c r="H47" s="6"/>
      <c r="I47" s="7"/>
      <c r="J47" s="27"/>
      <c r="K47" s="27"/>
      <c r="L47" s="27"/>
      <c r="M47" s="27"/>
      <c r="N47" s="28" t="s">
        <v>114</v>
      </c>
      <c r="O47" s="28" t="s">
        <v>4</v>
      </c>
      <c r="P47" s="79" t="s">
        <v>5</v>
      </c>
      <c r="Q47" s="79"/>
      <c r="R47" s="28" t="s">
        <v>114</v>
      </c>
      <c r="S47" s="28" t="s">
        <v>4</v>
      </c>
      <c r="T47" s="79" t="s">
        <v>5</v>
      </c>
      <c r="U47" s="79"/>
      <c r="V47" s="29" t="s">
        <v>3</v>
      </c>
      <c r="W47" s="30">
        <v>1.5</v>
      </c>
      <c r="X47" s="30">
        <v>2</v>
      </c>
      <c r="Y47" s="31">
        <v>2.5</v>
      </c>
      <c r="Z47" s="31">
        <v>2.5</v>
      </c>
      <c r="AA47" s="31">
        <v>3</v>
      </c>
      <c r="AB47" s="31">
        <v>3.5</v>
      </c>
      <c r="AC47" s="31">
        <v>4</v>
      </c>
      <c r="AD47" s="31">
        <v>4</v>
      </c>
    </row>
    <row r="48" spans="1:30">
      <c r="B48" s="32"/>
      <c r="C48" s="32"/>
      <c r="D48" s="32"/>
      <c r="E48" s="32"/>
      <c r="F48" s="2"/>
      <c r="G48" s="2" t="s">
        <v>20</v>
      </c>
      <c r="H48" s="2"/>
      <c r="I48" s="2"/>
      <c r="J48" s="32"/>
      <c r="K48" s="32"/>
      <c r="L48" s="32"/>
      <c r="M48" s="32"/>
      <c r="N48" s="33"/>
      <c r="O48" s="33"/>
      <c r="P48" s="48" t="s">
        <v>1</v>
      </c>
      <c r="Q48" s="48" t="s">
        <v>2</v>
      </c>
      <c r="R48" s="34"/>
      <c r="S48" s="34"/>
      <c r="T48" s="48" t="s">
        <v>1</v>
      </c>
      <c r="U48" s="48" t="s">
        <v>2</v>
      </c>
      <c r="V48" s="34"/>
      <c r="W48" s="35" t="s">
        <v>10</v>
      </c>
      <c r="X48" s="35" t="s">
        <v>11</v>
      </c>
      <c r="Y48" s="35" t="s">
        <v>12</v>
      </c>
      <c r="Z48" s="35" t="s">
        <v>13</v>
      </c>
      <c r="AA48" s="35" t="s">
        <v>14</v>
      </c>
      <c r="AB48" s="35" t="s">
        <v>15</v>
      </c>
      <c r="AC48" s="35" t="s">
        <v>16</v>
      </c>
      <c r="AD48" s="35" t="s">
        <v>17</v>
      </c>
    </row>
    <row r="49" spans="1:30">
      <c r="B49" s="36"/>
      <c r="C49" s="36">
        <v>3.2</v>
      </c>
      <c r="D49" s="36"/>
      <c r="E49" s="36"/>
      <c r="F49" s="36"/>
      <c r="G49" s="36"/>
      <c r="H49" s="36"/>
      <c r="I49" s="36"/>
      <c r="J49" s="36"/>
      <c r="K49" s="37">
        <f>(B49+C49+D49+E49+F49+G49+J49+H49+I49)-0.47*(+P49+Q49)-0.8*V49</f>
        <v>3.2</v>
      </c>
      <c r="L49" s="36"/>
      <c r="M49" s="38">
        <v>1</v>
      </c>
      <c r="N49" s="38"/>
      <c r="O49" s="38"/>
      <c r="P49" s="38"/>
      <c r="Q49" s="38"/>
      <c r="R49" s="38"/>
      <c r="S49" s="38"/>
      <c r="T49" s="38"/>
      <c r="U49" s="38"/>
      <c r="V49" s="38"/>
      <c r="W49" s="4"/>
      <c r="X49" s="4">
        <f>+B49+C49+D49+E49+F49+G49+H49+I49+J49-Z49</f>
        <v>2.4000000000000004</v>
      </c>
      <c r="Y49" s="4"/>
      <c r="Z49" s="4">
        <f>0.8*M49</f>
        <v>0.8</v>
      </c>
      <c r="AA49" s="4"/>
      <c r="AB49" s="4"/>
      <c r="AC49" s="4"/>
      <c r="AD49" s="4"/>
    </row>
    <row r="50" spans="1:30">
      <c r="B50" s="36"/>
      <c r="C50" s="36"/>
      <c r="D50" s="36">
        <v>3.7</v>
      </c>
      <c r="E50" s="36"/>
      <c r="F50" s="36"/>
      <c r="G50" s="36"/>
      <c r="H50" s="36"/>
      <c r="I50" s="36"/>
      <c r="J50" s="36"/>
      <c r="K50" s="37">
        <f t="shared" ref="K50:K54" si="6">(B50+C50+D50+E50+F50+G50+J50+H50+I50)-0.47*(+P50+Q50)-0.8*V50</f>
        <v>3.7</v>
      </c>
      <c r="L50" s="36"/>
      <c r="M50" s="38">
        <v>2</v>
      </c>
      <c r="N50" s="38">
        <v>1</v>
      </c>
      <c r="O50" s="38"/>
      <c r="P50" s="38"/>
      <c r="Q50" s="38"/>
      <c r="R50" s="38"/>
      <c r="S50" s="38"/>
      <c r="T50" s="38"/>
      <c r="U50" s="38"/>
      <c r="V50" s="38"/>
      <c r="W50" s="4"/>
      <c r="X50" s="4">
        <f t="shared" ref="X50:X54" si="7">+B50+C50+D50+E50+F50+G50+H50+I50+J50-Z50</f>
        <v>2.1</v>
      </c>
      <c r="Y50" s="4"/>
      <c r="Z50" s="4">
        <f t="shared" ref="Z50:Z54" si="8">0.8*M50</f>
        <v>1.6</v>
      </c>
      <c r="AA50" s="4"/>
      <c r="AB50" s="4"/>
      <c r="AC50" s="4"/>
      <c r="AD50" s="4"/>
    </row>
    <row r="51" spans="1:30">
      <c r="B51" s="36"/>
      <c r="C51" s="36">
        <v>5.4</v>
      </c>
      <c r="D51" s="36"/>
      <c r="E51" s="36"/>
      <c r="F51" s="36"/>
      <c r="G51" s="36"/>
      <c r="H51" s="36"/>
      <c r="I51" s="36"/>
      <c r="J51" s="36"/>
      <c r="K51" s="37">
        <f t="shared" si="6"/>
        <v>5.4</v>
      </c>
      <c r="L51" s="36"/>
      <c r="M51" s="38">
        <v>5</v>
      </c>
      <c r="N51" s="38"/>
      <c r="O51" s="38"/>
      <c r="P51" s="38"/>
      <c r="Q51" s="38"/>
      <c r="R51" s="38"/>
      <c r="S51" s="38"/>
      <c r="T51" s="38"/>
      <c r="U51" s="38"/>
      <c r="V51" s="38"/>
      <c r="W51" s="4"/>
      <c r="X51" s="4">
        <f t="shared" si="7"/>
        <v>1.4000000000000004</v>
      </c>
      <c r="Y51" s="4"/>
      <c r="Z51" s="4">
        <f t="shared" si="8"/>
        <v>4</v>
      </c>
      <c r="AA51" s="4"/>
      <c r="AB51" s="4"/>
      <c r="AC51" s="4"/>
      <c r="AD51" s="4"/>
    </row>
    <row r="52" spans="1:30">
      <c r="B52" s="36"/>
      <c r="C52" s="36">
        <v>28.9</v>
      </c>
      <c r="D52" s="36"/>
      <c r="E52" s="36"/>
      <c r="F52" s="36"/>
      <c r="G52" s="36"/>
      <c r="H52" s="36"/>
      <c r="I52" s="36"/>
      <c r="J52" s="36"/>
      <c r="K52" s="37">
        <f t="shared" si="6"/>
        <v>28.9</v>
      </c>
      <c r="L52" s="36"/>
      <c r="M52" s="38">
        <v>8</v>
      </c>
      <c r="N52" s="38">
        <v>1</v>
      </c>
      <c r="O52" s="38"/>
      <c r="P52" s="38"/>
      <c r="Q52" s="38"/>
      <c r="R52" s="38"/>
      <c r="S52" s="38"/>
      <c r="T52" s="38"/>
      <c r="U52" s="38"/>
      <c r="V52" s="38"/>
      <c r="W52" s="4"/>
      <c r="X52" s="4">
        <f t="shared" si="7"/>
        <v>22.5</v>
      </c>
      <c r="Y52" s="4"/>
      <c r="Z52" s="4">
        <f t="shared" si="8"/>
        <v>6.4</v>
      </c>
      <c r="AA52" s="4"/>
      <c r="AB52" s="4"/>
      <c r="AC52" s="4"/>
      <c r="AD52" s="4"/>
    </row>
    <row r="53" spans="1:30">
      <c r="B53" s="36"/>
      <c r="C53" s="36">
        <v>27.6</v>
      </c>
      <c r="D53" s="36"/>
      <c r="E53" s="36"/>
      <c r="F53" s="36"/>
      <c r="G53" s="36"/>
      <c r="H53" s="36"/>
      <c r="I53" s="36"/>
      <c r="J53" s="36"/>
      <c r="K53" s="37">
        <f t="shared" si="6"/>
        <v>27.6</v>
      </c>
      <c r="L53" s="36"/>
      <c r="M53" s="38">
        <v>13</v>
      </c>
      <c r="N53" s="38">
        <v>1</v>
      </c>
      <c r="O53" s="38"/>
      <c r="P53" s="38"/>
      <c r="Q53" s="38"/>
      <c r="R53" s="38"/>
      <c r="S53" s="38"/>
      <c r="T53" s="38"/>
      <c r="U53" s="38"/>
      <c r="V53" s="38"/>
      <c r="W53" s="4"/>
      <c r="X53" s="4">
        <f t="shared" si="7"/>
        <v>17.200000000000003</v>
      </c>
      <c r="Y53" s="4"/>
      <c r="Z53" s="4">
        <f t="shared" si="8"/>
        <v>10.4</v>
      </c>
      <c r="AA53" s="4"/>
      <c r="AB53" s="4"/>
      <c r="AC53" s="4"/>
      <c r="AD53" s="4"/>
    </row>
    <row r="54" spans="1:30">
      <c r="B54" s="36"/>
      <c r="C54" s="36">
        <v>157</v>
      </c>
      <c r="D54" s="36"/>
      <c r="E54" s="36"/>
      <c r="F54" s="36"/>
      <c r="G54" s="36"/>
      <c r="H54" s="36"/>
      <c r="I54" s="36"/>
      <c r="J54" s="36"/>
      <c r="K54" s="37">
        <f t="shared" si="6"/>
        <v>157</v>
      </c>
      <c r="L54" s="36"/>
      <c r="M54" s="38">
        <v>53</v>
      </c>
      <c r="N54" s="38">
        <v>3</v>
      </c>
      <c r="O54" s="38">
        <v>1</v>
      </c>
      <c r="P54" s="38"/>
      <c r="Q54" s="38"/>
      <c r="R54" s="38"/>
      <c r="S54" s="38"/>
      <c r="T54" s="38"/>
      <c r="U54" s="38"/>
      <c r="V54" s="38"/>
      <c r="W54" s="4"/>
      <c r="X54" s="4">
        <f t="shared" si="7"/>
        <v>114.6</v>
      </c>
      <c r="Y54" s="4"/>
      <c r="Z54" s="4">
        <f t="shared" si="8"/>
        <v>42.400000000000006</v>
      </c>
      <c r="AA54" s="4"/>
      <c r="AB54" s="4"/>
      <c r="AC54" s="4"/>
      <c r="AD54" s="4"/>
    </row>
    <row r="55" spans="1:30">
      <c r="A55" s="39" t="s">
        <v>26</v>
      </c>
      <c r="B55" s="36">
        <f t="shared" ref="B55:K55" si="9">SUM(B49:B54)</f>
        <v>0</v>
      </c>
      <c r="C55" s="36">
        <f t="shared" si="9"/>
        <v>222.1</v>
      </c>
      <c r="D55" s="36">
        <f t="shared" si="9"/>
        <v>3.7</v>
      </c>
      <c r="E55" s="36">
        <f t="shared" si="9"/>
        <v>0</v>
      </c>
      <c r="F55" s="36">
        <f t="shared" si="9"/>
        <v>0</v>
      </c>
      <c r="G55" s="36">
        <f t="shared" si="9"/>
        <v>0</v>
      </c>
      <c r="H55" s="36">
        <f t="shared" si="9"/>
        <v>0</v>
      </c>
      <c r="I55" s="36">
        <f t="shared" si="9"/>
        <v>0</v>
      </c>
      <c r="J55" s="36">
        <f t="shared" si="9"/>
        <v>0</v>
      </c>
      <c r="K55" s="36">
        <f t="shared" si="9"/>
        <v>225.8</v>
      </c>
      <c r="L55" s="36"/>
      <c r="M55" s="38">
        <f>SUM(M49:M54)</f>
        <v>82</v>
      </c>
      <c r="N55" s="38">
        <f>SUM(N49:N54)</f>
        <v>6</v>
      </c>
      <c r="O55" s="38">
        <f>SUM(O49:O54)</f>
        <v>1</v>
      </c>
      <c r="P55" s="38">
        <f>SUM(P49:P54)</f>
        <v>0</v>
      </c>
      <c r="Q55" s="38">
        <f>SUM(Q49:Q54)</f>
        <v>0</v>
      </c>
      <c r="R55" s="38"/>
      <c r="S55" s="38"/>
      <c r="T55" s="38"/>
      <c r="U55" s="38"/>
      <c r="V55" s="38">
        <f t="shared" ref="V55:AD55" si="10">SUM(V49:V54)</f>
        <v>0</v>
      </c>
      <c r="W55" s="4">
        <f t="shared" si="10"/>
        <v>0</v>
      </c>
      <c r="X55" s="4">
        <f t="shared" si="10"/>
        <v>160.19999999999999</v>
      </c>
      <c r="Y55" s="4">
        <f t="shared" si="10"/>
        <v>0</v>
      </c>
      <c r="Z55" s="4">
        <f t="shared" si="10"/>
        <v>65.600000000000009</v>
      </c>
      <c r="AA55" s="4">
        <f t="shared" si="10"/>
        <v>0</v>
      </c>
      <c r="AB55" s="4">
        <f t="shared" si="10"/>
        <v>0</v>
      </c>
      <c r="AC55" s="4">
        <f t="shared" si="10"/>
        <v>0</v>
      </c>
      <c r="AD55" s="4">
        <f t="shared" si="10"/>
        <v>0</v>
      </c>
    </row>
    <row r="56" spans="1:30">
      <c r="M56" s="20"/>
      <c r="W56" s="8"/>
      <c r="X56" s="8"/>
      <c r="Y56" s="8"/>
      <c r="Z56" s="8"/>
      <c r="AA56" s="8"/>
      <c r="AB56" s="8"/>
      <c r="AC56" s="8"/>
      <c r="AD56" s="8"/>
    </row>
    <row r="57" spans="1:30">
      <c r="B57" s="20" t="s">
        <v>23</v>
      </c>
      <c r="W57" s="22"/>
      <c r="X57" s="22"/>
      <c r="Y57" s="22"/>
      <c r="Z57" s="22"/>
      <c r="AA57" s="22"/>
    </row>
    <row r="58" spans="1:30">
      <c r="B58" s="75" t="s">
        <v>7</v>
      </c>
      <c r="C58" s="75"/>
      <c r="D58" s="75"/>
      <c r="E58" s="75"/>
      <c r="F58" s="75"/>
      <c r="G58" s="75"/>
      <c r="H58" s="75"/>
      <c r="I58" s="75"/>
      <c r="J58" s="75"/>
      <c r="K58" s="47" t="s">
        <v>8</v>
      </c>
      <c r="L58" s="47" t="s">
        <v>6</v>
      </c>
      <c r="M58" s="47" t="s">
        <v>9</v>
      </c>
      <c r="N58" s="79" t="s">
        <v>0</v>
      </c>
      <c r="O58" s="79"/>
      <c r="P58" s="79"/>
      <c r="Q58" s="79"/>
      <c r="R58" s="79" t="s">
        <v>6</v>
      </c>
      <c r="S58" s="79"/>
      <c r="T58" s="79"/>
      <c r="U58" s="79"/>
      <c r="V58" s="26"/>
      <c r="W58" s="80" t="s">
        <v>71</v>
      </c>
      <c r="X58" s="80"/>
      <c r="Y58" s="80"/>
      <c r="Z58" s="80"/>
      <c r="AA58" s="80"/>
      <c r="AB58" s="80"/>
      <c r="AC58" s="80"/>
      <c r="AD58" s="80"/>
    </row>
    <row r="59" spans="1:30">
      <c r="B59" s="27" t="s">
        <v>141</v>
      </c>
      <c r="C59" s="27" t="s">
        <v>69</v>
      </c>
      <c r="D59" s="27" t="s">
        <v>19</v>
      </c>
      <c r="E59" s="27" t="s">
        <v>148</v>
      </c>
      <c r="F59" s="7" t="s">
        <v>70</v>
      </c>
      <c r="G59" s="7" t="s">
        <v>22</v>
      </c>
      <c r="H59" s="6"/>
      <c r="I59" s="7"/>
      <c r="J59" s="27"/>
      <c r="K59" s="27"/>
      <c r="L59" s="27"/>
      <c r="M59" s="27"/>
      <c r="N59" s="28" t="s">
        <v>114</v>
      </c>
      <c r="O59" s="28" t="s">
        <v>4</v>
      </c>
      <c r="P59" s="79" t="s">
        <v>5</v>
      </c>
      <c r="Q59" s="79"/>
      <c r="R59" s="28" t="s">
        <v>114</v>
      </c>
      <c r="S59" s="28" t="s">
        <v>4</v>
      </c>
      <c r="T59" s="79" t="s">
        <v>5</v>
      </c>
      <c r="U59" s="79"/>
      <c r="V59" s="29" t="s">
        <v>3</v>
      </c>
      <c r="W59" s="30">
        <v>1.5</v>
      </c>
      <c r="X59" s="30">
        <v>2</v>
      </c>
      <c r="Y59" s="31">
        <v>2.5</v>
      </c>
      <c r="Z59" s="31">
        <v>2.5</v>
      </c>
      <c r="AA59" s="31">
        <v>3</v>
      </c>
      <c r="AB59" s="31">
        <v>3.5</v>
      </c>
      <c r="AC59" s="31">
        <v>4</v>
      </c>
      <c r="AD59" s="31">
        <v>4</v>
      </c>
    </row>
    <row r="60" spans="1:30">
      <c r="B60" s="32"/>
      <c r="C60" s="32"/>
      <c r="D60" s="32"/>
      <c r="E60" s="32" t="s">
        <v>147</v>
      </c>
      <c r="F60" s="2"/>
      <c r="G60" s="2" t="s">
        <v>20</v>
      </c>
      <c r="H60" s="2"/>
      <c r="I60" s="2"/>
      <c r="J60" s="32"/>
      <c r="K60" s="32"/>
      <c r="L60" s="32"/>
      <c r="M60" s="32"/>
      <c r="N60" s="33"/>
      <c r="O60" s="33"/>
      <c r="P60" s="48" t="s">
        <v>1</v>
      </c>
      <c r="Q60" s="48" t="s">
        <v>2</v>
      </c>
      <c r="R60" s="34"/>
      <c r="S60" s="34"/>
      <c r="T60" s="48" t="s">
        <v>1</v>
      </c>
      <c r="U60" s="48" t="s">
        <v>2</v>
      </c>
      <c r="V60" s="34"/>
      <c r="W60" s="35" t="s">
        <v>10</v>
      </c>
      <c r="X60" s="35" t="s">
        <v>11</v>
      </c>
      <c r="Y60" s="35" t="s">
        <v>12</v>
      </c>
      <c r="Z60" s="35" t="s">
        <v>13</v>
      </c>
      <c r="AA60" s="35" t="s">
        <v>14</v>
      </c>
      <c r="AB60" s="35" t="s">
        <v>15</v>
      </c>
      <c r="AC60" s="35" t="s">
        <v>16</v>
      </c>
      <c r="AD60" s="35" t="s">
        <v>17</v>
      </c>
    </row>
    <row r="61" spans="1:30">
      <c r="B61" s="36"/>
      <c r="C61" s="36">
        <v>2.8</v>
      </c>
      <c r="D61" s="36"/>
      <c r="E61" s="36"/>
      <c r="F61" s="36"/>
      <c r="G61" s="36"/>
      <c r="H61" s="36"/>
      <c r="I61" s="36"/>
      <c r="J61" s="36"/>
      <c r="K61" s="37">
        <f t="shared" ref="K61:K67" si="11">(B61+C61+D61+E61+F61+G61+J61+H61+I61)-0.47*(+P61+Q61)-0.8*V61</f>
        <v>2.8</v>
      </c>
      <c r="L61" s="36"/>
      <c r="M61" s="38">
        <v>2</v>
      </c>
      <c r="N61" s="38"/>
      <c r="O61" s="38"/>
      <c r="P61" s="38"/>
      <c r="Q61" s="38"/>
      <c r="R61" s="38"/>
      <c r="S61" s="38"/>
      <c r="T61" s="38"/>
      <c r="U61" s="38"/>
      <c r="V61" s="38"/>
      <c r="W61" s="4"/>
      <c r="X61" s="4">
        <f>+B61+C61+D61+E61+F61+G61+H61+I61+J61-Z61</f>
        <v>1.1999999999999997</v>
      </c>
      <c r="Y61" s="4"/>
      <c r="Z61" s="4">
        <f>0.8*M61</f>
        <v>1.6</v>
      </c>
      <c r="AA61" s="4"/>
      <c r="AB61" s="4"/>
      <c r="AC61" s="4"/>
      <c r="AD61" s="4"/>
    </row>
    <row r="62" spans="1:30">
      <c r="B62" s="36"/>
      <c r="C62" s="36">
        <v>1.4</v>
      </c>
      <c r="D62" s="36"/>
      <c r="E62" s="36"/>
      <c r="F62" s="36"/>
      <c r="G62" s="36"/>
      <c r="H62" s="36"/>
      <c r="I62" s="36"/>
      <c r="J62" s="36"/>
      <c r="K62" s="37">
        <f t="shared" si="11"/>
        <v>1.4</v>
      </c>
      <c r="L62" s="36"/>
      <c r="M62" s="38">
        <v>1</v>
      </c>
      <c r="N62" s="38"/>
      <c r="O62" s="38"/>
      <c r="P62" s="38"/>
      <c r="Q62" s="38"/>
      <c r="R62" s="38"/>
      <c r="S62" s="38"/>
      <c r="T62" s="38"/>
      <c r="U62" s="38"/>
      <c r="V62" s="38"/>
      <c r="W62" s="4"/>
      <c r="X62" s="4">
        <f t="shared" ref="X62:X68" si="12">+B62+C62+D62+E62+F62+G62+H62+I62+J62-Z62</f>
        <v>0.59999999999999987</v>
      </c>
      <c r="Y62" s="4"/>
      <c r="Z62" s="4">
        <f t="shared" ref="Z62:Z68" si="13">0.8*M62</f>
        <v>0.8</v>
      </c>
      <c r="AA62" s="4"/>
      <c r="AB62" s="4"/>
      <c r="AC62" s="4"/>
      <c r="AD62" s="4"/>
    </row>
    <row r="63" spans="1:30">
      <c r="B63" s="36">
        <v>24.3</v>
      </c>
      <c r="C63" s="36"/>
      <c r="D63" s="36"/>
      <c r="E63" s="36"/>
      <c r="F63" s="36"/>
      <c r="G63" s="36"/>
      <c r="H63" s="36"/>
      <c r="I63" s="36"/>
      <c r="J63" s="36"/>
      <c r="K63" s="37">
        <f t="shared" si="11"/>
        <v>24.3</v>
      </c>
      <c r="L63" s="36"/>
      <c r="M63" s="38">
        <v>8</v>
      </c>
      <c r="N63" s="38">
        <v>1</v>
      </c>
      <c r="O63" s="38">
        <v>1</v>
      </c>
      <c r="P63" s="38"/>
      <c r="Q63" s="38"/>
      <c r="R63" s="38"/>
      <c r="S63" s="38"/>
      <c r="T63" s="38"/>
      <c r="U63" s="38"/>
      <c r="V63" s="38"/>
      <c r="W63" s="4"/>
      <c r="X63" s="4">
        <f t="shared" si="12"/>
        <v>17.899999999999999</v>
      </c>
      <c r="Y63" s="4"/>
      <c r="Z63" s="4">
        <f t="shared" si="13"/>
        <v>6.4</v>
      </c>
      <c r="AA63" s="4"/>
      <c r="AB63" s="4"/>
      <c r="AC63" s="4"/>
      <c r="AD63" s="4"/>
    </row>
    <row r="64" spans="1:30">
      <c r="B64" s="36">
        <v>48</v>
      </c>
      <c r="C64" s="36"/>
      <c r="D64" s="36"/>
      <c r="E64" s="36"/>
      <c r="F64" s="36"/>
      <c r="G64" s="36"/>
      <c r="H64" s="36"/>
      <c r="I64" s="36"/>
      <c r="J64" s="36"/>
      <c r="K64" s="37">
        <f t="shared" si="11"/>
        <v>48</v>
      </c>
      <c r="L64" s="36"/>
      <c r="M64" s="38">
        <v>13</v>
      </c>
      <c r="N64" s="38">
        <v>1</v>
      </c>
      <c r="O64" s="38">
        <v>1</v>
      </c>
      <c r="P64" s="38"/>
      <c r="Q64" s="38"/>
      <c r="R64" s="38"/>
      <c r="S64" s="38"/>
      <c r="T64" s="38"/>
      <c r="U64" s="38"/>
      <c r="V64" s="38"/>
      <c r="W64" s="4"/>
      <c r="X64" s="4">
        <f t="shared" si="12"/>
        <v>37.6</v>
      </c>
      <c r="Y64" s="4"/>
      <c r="Z64" s="4">
        <f t="shared" si="13"/>
        <v>10.4</v>
      </c>
      <c r="AA64" s="4"/>
      <c r="AB64" s="4"/>
      <c r="AC64" s="4"/>
      <c r="AD64" s="4"/>
    </row>
    <row r="65" spans="1:30">
      <c r="B65" s="36"/>
      <c r="C65" s="36">
        <v>4.5999999999999996</v>
      </c>
      <c r="D65" s="36"/>
      <c r="E65" s="36"/>
      <c r="F65" s="36"/>
      <c r="G65" s="36"/>
      <c r="H65" s="36"/>
      <c r="I65" s="36"/>
      <c r="J65" s="36"/>
      <c r="K65" s="37">
        <f t="shared" si="11"/>
        <v>4.5999999999999996</v>
      </c>
      <c r="L65" s="36"/>
      <c r="M65" s="38">
        <v>2</v>
      </c>
      <c r="N65" s="38">
        <v>1</v>
      </c>
      <c r="O65" s="38"/>
      <c r="P65" s="38"/>
      <c r="Q65" s="38"/>
      <c r="R65" s="38"/>
      <c r="S65" s="38"/>
      <c r="T65" s="38"/>
      <c r="U65" s="38"/>
      <c r="V65" s="38"/>
      <c r="W65" s="4"/>
      <c r="X65" s="4">
        <f t="shared" si="12"/>
        <v>2.9999999999999996</v>
      </c>
      <c r="Y65" s="4"/>
      <c r="Z65" s="4">
        <f t="shared" si="13"/>
        <v>1.6</v>
      </c>
      <c r="AA65" s="4"/>
      <c r="AB65" s="4"/>
      <c r="AC65" s="4"/>
      <c r="AD65" s="4"/>
    </row>
    <row r="66" spans="1:30">
      <c r="B66" s="36"/>
      <c r="C66" s="36"/>
      <c r="D66" s="36"/>
      <c r="E66" s="36">
        <v>9</v>
      </c>
      <c r="F66" s="36"/>
      <c r="G66" s="36"/>
      <c r="H66" s="36"/>
      <c r="I66" s="36"/>
      <c r="J66" s="36"/>
      <c r="K66" s="37">
        <f>(B66+C66+D66+E66+F66+G66+J66+H66+I66)-0.47*(+P66+Q66)-0.8*V66</f>
        <v>8.5299999999999994</v>
      </c>
      <c r="L66" s="36"/>
      <c r="M66" s="38">
        <v>1</v>
      </c>
      <c r="N66" s="38"/>
      <c r="O66" s="38"/>
      <c r="P66" s="38"/>
      <c r="Q66" s="38">
        <v>1</v>
      </c>
      <c r="R66" s="38"/>
      <c r="S66" s="38"/>
      <c r="T66" s="38"/>
      <c r="U66" s="38"/>
      <c r="V66" s="38"/>
      <c r="W66" s="4"/>
      <c r="X66" s="4">
        <f t="shared" si="12"/>
        <v>8.1999999999999993</v>
      </c>
      <c r="Y66" s="4"/>
      <c r="Z66" s="4">
        <f t="shared" si="13"/>
        <v>0.8</v>
      </c>
      <c r="AA66" s="4"/>
      <c r="AB66" s="4"/>
      <c r="AC66" s="4"/>
      <c r="AD66" s="4"/>
    </row>
    <row r="67" spans="1:30">
      <c r="B67" s="36"/>
      <c r="C67" s="36"/>
      <c r="D67" s="36"/>
      <c r="E67" s="36"/>
      <c r="F67" s="36"/>
      <c r="G67" s="36">
        <v>2.7</v>
      </c>
      <c r="H67" s="36"/>
      <c r="I67" s="36"/>
      <c r="J67" s="36"/>
      <c r="K67" s="37">
        <f t="shared" si="11"/>
        <v>2.7</v>
      </c>
      <c r="L67" s="36"/>
      <c r="M67" s="38">
        <v>2</v>
      </c>
      <c r="N67" s="38"/>
      <c r="O67" s="38"/>
      <c r="P67" s="38"/>
      <c r="Q67" s="38"/>
      <c r="R67" s="38"/>
      <c r="S67" s="38"/>
      <c r="T67" s="38"/>
      <c r="U67" s="38"/>
      <c r="V67" s="38"/>
      <c r="W67" s="4"/>
      <c r="X67" s="4">
        <f t="shared" si="12"/>
        <v>1.1000000000000001</v>
      </c>
      <c r="Y67" s="4"/>
      <c r="Z67" s="4">
        <f t="shared" si="13"/>
        <v>1.6</v>
      </c>
      <c r="AA67" s="4"/>
      <c r="AB67" s="4"/>
      <c r="AC67" s="4"/>
      <c r="AD67" s="4"/>
    </row>
    <row r="68" spans="1:30">
      <c r="B68" s="36"/>
      <c r="C68" s="36">
        <v>12.4</v>
      </c>
      <c r="D68" s="36"/>
      <c r="E68" s="36"/>
      <c r="F68" s="36"/>
      <c r="G68" s="36"/>
      <c r="H68" s="36"/>
      <c r="I68" s="36"/>
      <c r="J68" s="36"/>
      <c r="K68" s="37">
        <f>(B68+C68+D68+E68+F68+G68+J68+H68+I68)-0.47*(+P68+Q68)-0.8*V68</f>
        <v>11.129999999999999</v>
      </c>
      <c r="L68" s="36"/>
      <c r="M68" s="38">
        <v>6</v>
      </c>
      <c r="N68" s="38"/>
      <c r="O68" s="38"/>
      <c r="P68" s="38">
        <v>1</v>
      </c>
      <c r="Q68" s="38"/>
      <c r="R68" s="38"/>
      <c r="S68" s="38"/>
      <c r="T68" s="38"/>
      <c r="U68" s="38"/>
      <c r="V68" s="38">
        <v>1</v>
      </c>
      <c r="W68" s="4"/>
      <c r="X68" s="4">
        <f t="shared" si="12"/>
        <v>7.6</v>
      </c>
      <c r="Y68" s="4"/>
      <c r="Z68" s="4">
        <f t="shared" si="13"/>
        <v>4.8000000000000007</v>
      </c>
      <c r="AA68" s="4"/>
      <c r="AB68" s="4"/>
      <c r="AC68" s="4"/>
      <c r="AD68" s="4"/>
    </row>
    <row r="69" spans="1:30">
      <c r="A69" s="39" t="s">
        <v>26</v>
      </c>
      <c r="B69" s="36">
        <f t="shared" ref="B69:K69" si="14">SUM(B61:B68)</f>
        <v>72.3</v>
      </c>
      <c r="C69" s="36">
        <f t="shared" si="14"/>
        <v>21.2</v>
      </c>
      <c r="D69" s="36">
        <f t="shared" si="14"/>
        <v>0</v>
      </c>
      <c r="E69" s="36">
        <f t="shared" si="14"/>
        <v>9</v>
      </c>
      <c r="F69" s="36">
        <f t="shared" si="14"/>
        <v>0</v>
      </c>
      <c r="G69" s="36">
        <f t="shared" si="14"/>
        <v>2.7</v>
      </c>
      <c r="H69" s="36">
        <f t="shared" si="14"/>
        <v>0</v>
      </c>
      <c r="I69" s="36">
        <f t="shared" si="14"/>
        <v>0</v>
      </c>
      <c r="J69" s="36">
        <f t="shared" si="14"/>
        <v>0</v>
      </c>
      <c r="K69" s="36">
        <f t="shared" si="14"/>
        <v>103.46</v>
      </c>
      <c r="L69" s="36"/>
      <c r="M69" s="38">
        <f t="shared" ref="M69:R69" si="15">SUM(M61:M68)</f>
        <v>35</v>
      </c>
      <c r="N69" s="38">
        <f t="shared" si="15"/>
        <v>3</v>
      </c>
      <c r="O69" s="38">
        <f t="shared" si="15"/>
        <v>2</v>
      </c>
      <c r="P69" s="38">
        <f t="shared" si="15"/>
        <v>1</v>
      </c>
      <c r="Q69" s="38">
        <f t="shared" si="15"/>
        <v>1</v>
      </c>
      <c r="R69" s="38">
        <f t="shared" si="15"/>
        <v>0</v>
      </c>
      <c r="S69" s="38"/>
      <c r="T69" s="38"/>
      <c r="U69" s="38"/>
      <c r="V69" s="38">
        <f t="shared" ref="V69:AD69" si="16">SUM(V61:V68)</f>
        <v>1</v>
      </c>
      <c r="W69" s="4">
        <f t="shared" si="16"/>
        <v>0</v>
      </c>
      <c r="X69" s="4">
        <f t="shared" si="16"/>
        <v>77.199999999999989</v>
      </c>
      <c r="Y69" s="4">
        <f t="shared" si="16"/>
        <v>0</v>
      </c>
      <c r="Z69" s="4">
        <f t="shared" si="16"/>
        <v>28.000000000000007</v>
      </c>
      <c r="AA69" s="4">
        <f t="shared" si="16"/>
        <v>0</v>
      </c>
      <c r="AB69" s="4">
        <f t="shared" si="16"/>
        <v>0</v>
      </c>
      <c r="AC69" s="4">
        <f t="shared" si="16"/>
        <v>0</v>
      </c>
      <c r="AD69" s="4">
        <f t="shared" si="16"/>
        <v>0</v>
      </c>
    </row>
    <row r="70" spans="1:30">
      <c r="M70" s="20"/>
      <c r="W70" s="8"/>
      <c r="X70" s="8"/>
      <c r="Y70" s="8"/>
      <c r="Z70" s="8"/>
      <c r="AA70" s="8"/>
      <c r="AB70" s="8"/>
      <c r="AC70" s="8"/>
      <c r="AD70" s="8"/>
    </row>
    <row r="71" spans="1:30">
      <c r="B71" s="20" t="s">
        <v>85</v>
      </c>
      <c r="W71" s="22"/>
      <c r="X71" s="22"/>
      <c r="Y71" s="22"/>
      <c r="Z71" s="40"/>
      <c r="AA71" s="22"/>
    </row>
    <row r="72" spans="1:30">
      <c r="B72" s="75" t="s">
        <v>7</v>
      </c>
      <c r="C72" s="75"/>
      <c r="D72" s="75"/>
      <c r="E72" s="75"/>
      <c r="F72" s="75"/>
      <c r="G72" s="75"/>
      <c r="H72" s="75"/>
      <c r="I72" s="75"/>
      <c r="J72" s="75"/>
      <c r="K72" s="47" t="s">
        <v>8</v>
      </c>
      <c r="L72" s="47" t="s">
        <v>6</v>
      </c>
      <c r="M72" s="47" t="s">
        <v>9</v>
      </c>
      <c r="N72" s="79" t="s">
        <v>0</v>
      </c>
      <c r="O72" s="79"/>
      <c r="P72" s="79"/>
      <c r="Q72" s="79"/>
      <c r="R72" s="79" t="s">
        <v>6</v>
      </c>
      <c r="S72" s="79"/>
      <c r="T72" s="79"/>
      <c r="U72" s="79"/>
      <c r="V72" s="26"/>
      <c r="W72" s="80" t="s">
        <v>71</v>
      </c>
      <c r="X72" s="80"/>
      <c r="Y72" s="80"/>
      <c r="Z72" s="80"/>
      <c r="AA72" s="80"/>
      <c r="AB72" s="80"/>
      <c r="AC72" s="80"/>
      <c r="AD72" s="80"/>
    </row>
    <row r="73" spans="1:30">
      <c r="B73" s="27" t="s">
        <v>141</v>
      </c>
      <c r="C73" s="27" t="s">
        <v>69</v>
      </c>
      <c r="D73" s="27" t="s">
        <v>19</v>
      </c>
      <c r="E73" s="27" t="s">
        <v>21</v>
      </c>
      <c r="F73" s="7" t="s">
        <v>70</v>
      </c>
      <c r="G73" s="7" t="s">
        <v>22</v>
      </c>
      <c r="H73" s="6"/>
      <c r="I73" s="7"/>
      <c r="J73" s="27"/>
      <c r="K73" s="27"/>
      <c r="L73" s="27"/>
      <c r="M73" s="27"/>
      <c r="N73" s="28" t="s">
        <v>114</v>
      </c>
      <c r="O73" s="28" t="s">
        <v>4</v>
      </c>
      <c r="P73" s="79" t="s">
        <v>5</v>
      </c>
      <c r="Q73" s="79"/>
      <c r="R73" s="28" t="s">
        <v>114</v>
      </c>
      <c r="S73" s="28" t="s">
        <v>4</v>
      </c>
      <c r="T73" s="79" t="s">
        <v>5</v>
      </c>
      <c r="U73" s="79"/>
      <c r="V73" s="29" t="s">
        <v>3</v>
      </c>
      <c r="W73" s="30">
        <v>1.5</v>
      </c>
      <c r="X73" s="30">
        <v>2</v>
      </c>
      <c r="Y73" s="31">
        <v>2.5</v>
      </c>
      <c r="Z73" s="31">
        <v>2.5</v>
      </c>
      <c r="AA73" s="31">
        <v>3</v>
      </c>
      <c r="AB73" s="31">
        <v>3.5</v>
      </c>
      <c r="AC73" s="31">
        <v>4</v>
      </c>
      <c r="AD73" s="31">
        <v>4</v>
      </c>
    </row>
    <row r="74" spans="1:30">
      <c r="B74" s="32"/>
      <c r="C74" s="32"/>
      <c r="D74" s="32"/>
      <c r="E74" s="32"/>
      <c r="F74" s="2"/>
      <c r="G74" s="2" t="s">
        <v>20</v>
      </c>
      <c r="H74" s="2"/>
      <c r="I74" s="2"/>
      <c r="J74" s="32"/>
      <c r="K74" s="32"/>
      <c r="L74" s="32"/>
      <c r="M74" s="32"/>
      <c r="N74" s="33"/>
      <c r="O74" s="33"/>
      <c r="P74" s="48" t="s">
        <v>1</v>
      </c>
      <c r="Q74" s="48" t="s">
        <v>2</v>
      </c>
      <c r="R74" s="34"/>
      <c r="S74" s="34"/>
      <c r="T74" s="48" t="s">
        <v>1</v>
      </c>
      <c r="U74" s="48" t="s">
        <v>2</v>
      </c>
      <c r="V74" s="34"/>
      <c r="W74" s="35" t="s">
        <v>10</v>
      </c>
      <c r="X74" s="35" t="s">
        <v>11</v>
      </c>
      <c r="Y74" s="35" t="s">
        <v>12</v>
      </c>
      <c r="Z74" s="35" t="s">
        <v>13</v>
      </c>
      <c r="AA74" s="35" t="s">
        <v>14</v>
      </c>
      <c r="AB74" s="35" t="s">
        <v>15</v>
      </c>
      <c r="AC74" s="35" t="s">
        <v>16</v>
      </c>
      <c r="AD74" s="35" t="s">
        <v>17</v>
      </c>
    </row>
    <row r="75" spans="1:30">
      <c r="B75" s="36"/>
      <c r="C75" s="36"/>
      <c r="D75" s="36">
        <v>1.3</v>
      </c>
      <c r="E75" s="36"/>
      <c r="F75" s="36"/>
      <c r="G75" s="36"/>
      <c r="H75" s="36"/>
      <c r="I75" s="36"/>
      <c r="J75" s="36"/>
      <c r="K75" s="37">
        <f>(B75+C75+D75+E75+F75+G75+J75+H75+I75)-0.47*(+P75+Q75)-0.8*V75</f>
        <v>1.3</v>
      </c>
      <c r="L75" s="36">
        <f>+B75+C75+D75+E75+F75+G75+H75+I75+J75-0.4*(+T75+U75)-0.8*V75</f>
        <v>1.3</v>
      </c>
      <c r="M75" s="38">
        <v>1</v>
      </c>
      <c r="N75" s="38"/>
      <c r="O75" s="38"/>
      <c r="P75" s="38"/>
      <c r="Q75" s="38"/>
      <c r="R75" s="38"/>
      <c r="S75" s="38"/>
      <c r="T75" s="38"/>
      <c r="U75" s="38"/>
      <c r="V75" s="38"/>
      <c r="W75" s="4"/>
      <c r="X75" s="4">
        <f t="shared" ref="X75:X80" si="17">+B75+C75+D75+E75+F75+G75+H75+I75+J75-Z75</f>
        <v>0.5</v>
      </c>
      <c r="Y75" s="4"/>
      <c r="Z75" s="4">
        <f>0.8*M75</f>
        <v>0.8</v>
      </c>
      <c r="AA75" s="4"/>
      <c r="AB75" s="4"/>
      <c r="AC75" s="4"/>
      <c r="AD75" s="4"/>
    </row>
    <row r="76" spans="1:30">
      <c r="B76" s="36"/>
      <c r="C76" s="36">
        <v>107.2</v>
      </c>
      <c r="D76" s="36"/>
      <c r="E76" s="36"/>
      <c r="F76" s="36"/>
      <c r="G76" s="36"/>
      <c r="H76" s="36"/>
      <c r="I76" s="36"/>
      <c r="J76" s="36"/>
      <c r="K76" s="37">
        <f t="shared" ref="K76:K80" si="18">(B76+C76+D76+E76+F76+G76+J76+H76+I76)-0.47*(+P76+Q76)-0.8*V76</f>
        <v>107.2</v>
      </c>
      <c r="L76" s="36">
        <f t="shared" ref="L76:L80" si="19">+B76+C76+D76+E76+F76+G76+H76+I76+J76-0.4*(+T76+U76)-0.8*V76</f>
        <v>107.2</v>
      </c>
      <c r="M76" s="38">
        <v>34</v>
      </c>
      <c r="N76" s="38"/>
      <c r="O76" s="38">
        <v>1</v>
      </c>
      <c r="P76" s="38"/>
      <c r="Q76" s="38"/>
      <c r="R76" s="38"/>
      <c r="S76" s="38"/>
      <c r="T76" s="38"/>
      <c r="U76" s="38"/>
      <c r="V76" s="38"/>
      <c r="W76" s="4"/>
      <c r="X76" s="4">
        <f t="shared" si="17"/>
        <v>80</v>
      </c>
      <c r="Y76" s="4"/>
      <c r="Z76" s="4">
        <f t="shared" ref="Z76:Z80" si="20">0.8*M76</f>
        <v>27.200000000000003</v>
      </c>
      <c r="AA76" s="4"/>
      <c r="AB76" s="4"/>
      <c r="AC76" s="4"/>
      <c r="AD76" s="4"/>
    </row>
    <row r="77" spans="1:30">
      <c r="B77" s="36"/>
      <c r="C77" s="36">
        <v>63.4</v>
      </c>
      <c r="D77" s="36"/>
      <c r="E77" s="36"/>
      <c r="F77" s="36"/>
      <c r="G77" s="36"/>
      <c r="H77" s="36"/>
      <c r="I77" s="36"/>
      <c r="J77" s="36"/>
      <c r="K77" s="37">
        <f t="shared" si="18"/>
        <v>63.4</v>
      </c>
      <c r="L77" s="36">
        <f t="shared" si="19"/>
        <v>63.4</v>
      </c>
      <c r="M77" s="38">
        <v>15</v>
      </c>
      <c r="N77" s="38">
        <v>1</v>
      </c>
      <c r="O77" s="38"/>
      <c r="P77" s="38"/>
      <c r="Q77" s="38"/>
      <c r="R77" s="38"/>
      <c r="S77" s="38"/>
      <c r="T77" s="38"/>
      <c r="U77" s="38"/>
      <c r="V77" s="38"/>
      <c r="W77" s="4"/>
      <c r="X77" s="4">
        <f t="shared" si="17"/>
        <v>51.4</v>
      </c>
      <c r="Y77" s="4"/>
      <c r="Z77" s="4">
        <f t="shared" si="20"/>
        <v>12</v>
      </c>
      <c r="AA77" s="4"/>
      <c r="AB77" s="4"/>
      <c r="AC77" s="4"/>
      <c r="AD77" s="4"/>
    </row>
    <row r="78" spans="1:30">
      <c r="B78" s="36"/>
      <c r="C78" s="36"/>
      <c r="D78" s="36">
        <v>25.9</v>
      </c>
      <c r="E78" s="36"/>
      <c r="F78" s="36"/>
      <c r="G78" s="36"/>
      <c r="H78" s="36"/>
      <c r="I78" s="36"/>
      <c r="J78" s="36"/>
      <c r="K78" s="37">
        <f t="shared" si="18"/>
        <v>25.9</v>
      </c>
      <c r="L78" s="36">
        <f t="shared" si="19"/>
        <v>25.9</v>
      </c>
      <c r="M78" s="38">
        <v>5</v>
      </c>
      <c r="N78" s="38"/>
      <c r="O78" s="38"/>
      <c r="P78" s="38"/>
      <c r="Q78" s="38"/>
      <c r="R78" s="38"/>
      <c r="S78" s="38"/>
      <c r="T78" s="38"/>
      <c r="U78" s="38"/>
      <c r="V78" s="38"/>
      <c r="W78" s="4"/>
      <c r="X78" s="4">
        <f t="shared" si="17"/>
        <v>21.9</v>
      </c>
      <c r="Y78" s="4"/>
      <c r="Z78" s="4">
        <f t="shared" si="20"/>
        <v>4</v>
      </c>
      <c r="AA78" s="4"/>
      <c r="AB78" s="4"/>
      <c r="AC78" s="4"/>
      <c r="AD78" s="4"/>
    </row>
    <row r="79" spans="1:30">
      <c r="B79" s="36"/>
      <c r="C79" s="36">
        <v>29</v>
      </c>
      <c r="D79" s="36"/>
      <c r="E79" s="36"/>
      <c r="F79" s="36"/>
      <c r="G79" s="36"/>
      <c r="H79" s="36"/>
      <c r="I79" s="36"/>
      <c r="J79" s="36"/>
      <c r="K79" s="37">
        <f t="shared" si="18"/>
        <v>29</v>
      </c>
      <c r="L79" s="36">
        <f t="shared" si="19"/>
        <v>29</v>
      </c>
      <c r="M79" s="38">
        <v>7</v>
      </c>
      <c r="N79" s="38"/>
      <c r="O79" s="38"/>
      <c r="P79" s="38"/>
      <c r="Q79" s="38"/>
      <c r="R79" s="38"/>
      <c r="S79" s="38"/>
      <c r="T79" s="38"/>
      <c r="U79" s="38"/>
      <c r="V79" s="38"/>
      <c r="W79" s="4"/>
      <c r="X79" s="4">
        <f t="shared" si="17"/>
        <v>23.4</v>
      </c>
      <c r="Y79" s="4"/>
      <c r="Z79" s="4">
        <f t="shared" si="20"/>
        <v>5.6000000000000005</v>
      </c>
      <c r="AA79" s="4"/>
      <c r="AB79" s="4"/>
      <c r="AC79" s="4"/>
      <c r="AD79" s="4"/>
    </row>
    <row r="80" spans="1:30">
      <c r="B80" s="36"/>
      <c r="C80" s="36">
        <v>6.7</v>
      </c>
      <c r="D80" s="36"/>
      <c r="E80" s="36"/>
      <c r="F80" s="36"/>
      <c r="G80" s="36"/>
      <c r="H80" s="36"/>
      <c r="I80" s="36"/>
      <c r="J80" s="36"/>
      <c r="K80" s="37">
        <f t="shared" si="18"/>
        <v>6.7</v>
      </c>
      <c r="L80" s="36">
        <f t="shared" si="19"/>
        <v>6.7</v>
      </c>
      <c r="M80" s="38">
        <v>4</v>
      </c>
      <c r="N80" s="38"/>
      <c r="O80" s="38">
        <v>1</v>
      </c>
      <c r="P80" s="38"/>
      <c r="Q80" s="38"/>
      <c r="R80" s="38"/>
      <c r="S80" s="38"/>
      <c r="T80" s="38"/>
      <c r="U80" s="38"/>
      <c r="V80" s="38"/>
      <c r="W80" s="4"/>
      <c r="X80" s="4">
        <f t="shared" si="17"/>
        <v>3.5</v>
      </c>
      <c r="Y80" s="4"/>
      <c r="Z80" s="4">
        <f t="shared" si="20"/>
        <v>3.2</v>
      </c>
      <c r="AA80" s="4"/>
      <c r="AB80" s="4"/>
      <c r="AC80" s="4"/>
      <c r="AD80" s="4"/>
    </row>
    <row r="81" spans="2:30">
      <c r="B81" s="36">
        <f t="shared" ref="B81:V81" si="21">SUM(B75:B80)</f>
        <v>0</v>
      </c>
      <c r="C81" s="36">
        <f t="shared" si="21"/>
        <v>206.29999999999998</v>
      </c>
      <c r="D81" s="36">
        <f t="shared" si="21"/>
        <v>27.2</v>
      </c>
      <c r="E81" s="36">
        <f t="shared" si="21"/>
        <v>0</v>
      </c>
      <c r="F81" s="36">
        <f t="shared" si="21"/>
        <v>0</v>
      </c>
      <c r="G81" s="36">
        <f t="shared" si="21"/>
        <v>0</v>
      </c>
      <c r="H81" s="36">
        <f t="shared" si="21"/>
        <v>0</v>
      </c>
      <c r="I81" s="36">
        <f t="shared" si="21"/>
        <v>0</v>
      </c>
      <c r="J81" s="36">
        <f t="shared" si="21"/>
        <v>0</v>
      </c>
      <c r="K81" s="36">
        <f t="shared" si="21"/>
        <v>233.5</v>
      </c>
      <c r="L81" s="36">
        <f t="shared" si="21"/>
        <v>233.5</v>
      </c>
      <c r="M81" s="38">
        <f t="shared" si="21"/>
        <v>66</v>
      </c>
      <c r="N81" s="38">
        <f t="shared" si="21"/>
        <v>1</v>
      </c>
      <c r="O81" s="38">
        <f t="shared" si="21"/>
        <v>2</v>
      </c>
      <c r="P81" s="38">
        <f t="shared" si="21"/>
        <v>0</v>
      </c>
      <c r="Q81" s="38">
        <f t="shared" si="21"/>
        <v>0</v>
      </c>
      <c r="R81" s="38">
        <f t="shared" si="21"/>
        <v>0</v>
      </c>
      <c r="S81" s="38">
        <f t="shared" si="21"/>
        <v>0</v>
      </c>
      <c r="T81" s="38">
        <f t="shared" si="21"/>
        <v>0</v>
      </c>
      <c r="U81" s="38">
        <f t="shared" si="21"/>
        <v>0</v>
      </c>
      <c r="V81" s="38">
        <f t="shared" si="21"/>
        <v>0</v>
      </c>
      <c r="W81" s="4"/>
      <c r="X81" s="4">
        <f>SUM(X75:X80)</f>
        <v>180.70000000000002</v>
      </c>
      <c r="Y81" s="4"/>
      <c r="Z81" s="4">
        <f>SUM(Z75:Z80)</f>
        <v>52.800000000000004</v>
      </c>
      <c r="AA81" s="4"/>
      <c r="AB81" s="4"/>
      <c r="AC81" s="4"/>
      <c r="AD81" s="4"/>
    </row>
    <row r="82" spans="2:30">
      <c r="M82" s="20"/>
      <c r="W82" s="8"/>
      <c r="X82" s="8" t="s">
        <v>67</v>
      </c>
      <c r="Y82" s="8"/>
      <c r="Z82" s="8" t="s">
        <v>87</v>
      </c>
      <c r="AA82" s="8"/>
      <c r="AB82" s="8"/>
      <c r="AC82" s="8"/>
      <c r="AD82" s="8"/>
    </row>
    <row r="83" spans="2:30">
      <c r="B83" s="20" t="s">
        <v>88</v>
      </c>
      <c r="W83" s="22"/>
      <c r="X83" s="22"/>
      <c r="Y83" s="22"/>
      <c r="Z83" s="40"/>
      <c r="AA83" s="22"/>
    </row>
    <row r="84" spans="2:30">
      <c r="B84" s="75" t="s">
        <v>7</v>
      </c>
      <c r="C84" s="75"/>
      <c r="D84" s="75"/>
      <c r="E84" s="75"/>
      <c r="F84" s="75"/>
      <c r="G84" s="75"/>
      <c r="H84" s="75"/>
      <c r="I84" s="75"/>
      <c r="J84" s="75"/>
      <c r="K84" s="47" t="s">
        <v>8</v>
      </c>
      <c r="L84" s="47" t="s">
        <v>6</v>
      </c>
      <c r="M84" s="47" t="s">
        <v>9</v>
      </c>
      <c r="N84" s="79" t="s">
        <v>0</v>
      </c>
      <c r="O84" s="79"/>
      <c r="P84" s="79"/>
      <c r="Q84" s="79"/>
      <c r="R84" s="79" t="s">
        <v>6</v>
      </c>
      <c r="S84" s="79"/>
      <c r="T84" s="79"/>
      <c r="U84" s="79"/>
      <c r="V84" s="26"/>
      <c r="W84" s="80" t="s">
        <v>71</v>
      </c>
      <c r="X84" s="80"/>
      <c r="Y84" s="80"/>
      <c r="Z84" s="80"/>
      <c r="AA84" s="80"/>
      <c r="AB84" s="80"/>
      <c r="AC84" s="80"/>
      <c r="AD84" s="80"/>
    </row>
    <row r="85" spans="2:30">
      <c r="B85" s="27" t="s">
        <v>141</v>
      </c>
      <c r="C85" s="27" t="s">
        <v>69</v>
      </c>
      <c r="D85" s="27" t="s">
        <v>19</v>
      </c>
      <c r="E85" s="27" t="s">
        <v>21</v>
      </c>
      <c r="F85" s="7" t="s">
        <v>70</v>
      </c>
      <c r="G85" s="7" t="s">
        <v>22</v>
      </c>
      <c r="H85" s="6"/>
      <c r="I85" s="7"/>
      <c r="J85" s="27"/>
      <c r="K85" s="27"/>
      <c r="L85" s="27"/>
      <c r="M85" s="27"/>
      <c r="N85" s="28" t="s">
        <v>114</v>
      </c>
      <c r="O85" s="28" t="s">
        <v>4</v>
      </c>
      <c r="P85" s="79" t="s">
        <v>5</v>
      </c>
      <c r="Q85" s="79"/>
      <c r="R85" s="28" t="s">
        <v>114</v>
      </c>
      <c r="S85" s="28" t="s">
        <v>4</v>
      </c>
      <c r="T85" s="79" t="s">
        <v>5</v>
      </c>
      <c r="U85" s="79"/>
      <c r="V85" s="29" t="s">
        <v>3</v>
      </c>
      <c r="W85" s="30">
        <v>1.5</v>
      </c>
      <c r="X85" s="30">
        <v>2</v>
      </c>
      <c r="Y85" s="31">
        <v>2.5</v>
      </c>
      <c r="Z85" s="31">
        <v>2.5</v>
      </c>
      <c r="AA85" s="31">
        <v>3</v>
      </c>
      <c r="AB85" s="31">
        <v>3.5</v>
      </c>
      <c r="AC85" s="31">
        <v>4</v>
      </c>
      <c r="AD85" s="31">
        <v>4</v>
      </c>
    </row>
    <row r="86" spans="2:30">
      <c r="B86" s="32"/>
      <c r="C86" s="32"/>
      <c r="D86" s="32"/>
      <c r="E86" s="32"/>
      <c r="F86" s="2"/>
      <c r="G86" s="2" t="s">
        <v>20</v>
      </c>
      <c r="H86" s="2"/>
      <c r="I86" s="2"/>
      <c r="J86" s="32"/>
      <c r="K86" s="32"/>
      <c r="L86" s="32"/>
      <c r="M86" s="32"/>
      <c r="N86" s="33"/>
      <c r="O86" s="33"/>
      <c r="P86" s="48" t="s">
        <v>1</v>
      </c>
      <c r="Q86" s="48" t="s">
        <v>2</v>
      </c>
      <c r="R86" s="34"/>
      <c r="S86" s="34"/>
      <c r="T86" s="48" t="s">
        <v>1</v>
      </c>
      <c r="U86" s="48" t="s">
        <v>2</v>
      </c>
      <c r="V86" s="34"/>
      <c r="W86" s="35" t="s">
        <v>10</v>
      </c>
      <c r="X86" s="35" t="s">
        <v>11</v>
      </c>
      <c r="Y86" s="35" t="s">
        <v>12</v>
      </c>
      <c r="Z86" s="35" t="s">
        <v>13</v>
      </c>
      <c r="AA86" s="35" t="s">
        <v>14</v>
      </c>
      <c r="AB86" s="35" t="s">
        <v>15</v>
      </c>
      <c r="AC86" s="35" t="s">
        <v>16</v>
      </c>
      <c r="AD86" s="35" t="s">
        <v>17</v>
      </c>
    </row>
    <row r="87" spans="2:30">
      <c r="B87" s="36"/>
      <c r="C87" s="36">
        <v>72.5</v>
      </c>
      <c r="D87" s="36"/>
      <c r="E87" s="36"/>
      <c r="F87" s="36"/>
      <c r="G87" s="36"/>
      <c r="H87" s="36"/>
      <c r="I87" s="36"/>
      <c r="J87" s="36"/>
      <c r="K87" s="37">
        <f>(B87+C87+D87+E87+F87+G87+J87+H87+I87)-0.47*(+P87+Q87)-0.8*V87</f>
        <v>72.5</v>
      </c>
      <c r="L87" s="36">
        <f>+B87+C87+D87+E87+F87+G87+H87+I87+J87-0.4*(+T87+U87)-0.8*V87</f>
        <v>72.5</v>
      </c>
      <c r="M87" s="38">
        <v>5</v>
      </c>
      <c r="N87" s="38"/>
      <c r="O87" s="38"/>
      <c r="P87" s="38"/>
      <c r="Q87" s="38"/>
      <c r="R87" s="38"/>
      <c r="S87" s="38"/>
      <c r="T87" s="38"/>
      <c r="U87" s="38"/>
      <c r="V87" s="38"/>
      <c r="W87" s="4"/>
      <c r="X87" s="4">
        <f t="shared" ref="X87:X90" si="22">+B87+C87+D87+E87+F87+G87+H87+I87+J87-Z87</f>
        <v>68.5</v>
      </c>
      <c r="Y87" s="4"/>
      <c r="Z87" s="4">
        <f>0.8*M87</f>
        <v>4</v>
      </c>
      <c r="AA87" s="4"/>
      <c r="AB87" s="4"/>
      <c r="AC87" s="4"/>
      <c r="AD87" s="4"/>
    </row>
    <row r="88" spans="2:30">
      <c r="B88" s="36"/>
      <c r="C88" s="36"/>
      <c r="D88" s="36">
        <v>2.8</v>
      </c>
      <c r="E88" s="36"/>
      <c r="F88" s="36"/>
      <c r="G88" s="36"/>
      <c r="H88" s="36"/>
      <c r="I88" s="36"/>
      <c r="J88" s="36"/>
      <c r="K88" s="37">
        <f t="shared" ref="K88:K90" si="23">(B88+C88+D88+E88+F88+G88+J88+H88+I88)-0.47*(+P88+Q88)-0.8*V88</f>
        <v>2.8</v>
      </c>
      <c r="L88" s="36">
        <f t="shared" ref="L88:L90" si="24">+B88+C88+D88+E88+F88+G88+H88+I88+J88-0.4*(+T88+U88)-0.8*V88</f>
        <v>2.8</v>
      </c>
      <c r="M88" s="38">
        <v>1</v>
      </c>
      <c r="N88" s="38"/>
      <c r="O88" s="38"/>
      <c r="P88" s="38"/>
      <c r="Q88" s="38"/>
      <c r="R88" s="38"/>
      <c r="S88" s="38"/>
      <c r="T88" s="38"/>
      <c r="U88" s="38"/>
      <c r="V88" s="38"/>
      <c r="W88" s="4"/>
      <c r="X88" s="4">
        <f t="shared" si="22"/>
        <v>1.9999999999999998</v>
      </c>
      <c r="Y88" s="4"/>
      <c r="Z88" s="4">
        <f t="shared" ref="Z88:Z90" si="25">0.8*M88</f>
        <v>0.8</v>
      </c>
      <c r="AA88" s="4"/>
      <c r="AB88" s="4"/>
      <c r="AC88" s="4"/>
      <c r="AD88" s="4"/>
    </row>
    <row r="89" spans="2:30">
      <c r="B89" s="36"/>
      <c r="C89" s="36">
        <v>5.7</v>
      </c>
      <c r="D89" s="36"/>
      <c r="E89" s="36"/>
      <c r="F89" s="36"/>
      <c r="G89" s="36"/>
      <c r="H89" s="36"/>
      <c r="I89" s="36"/>
      <c r="J89" s="36"/>
      <c r="K89" s="37">
        <f t="shared" si="23"/>
        <v>5.7</v>
      </c>
      <c r="L89" s="36">
        <f t="shared" si="24"/>
        <v>5.7</v>
      </c>
      <c r="M89" s="38">
        <v>1</v>
      </c>
      <c r="N89" s="38"/>
      <c r="O89" s="38"/>
      <c r="P89" s="38"/>
      <c r="Q89" s="38"/>
      <c r="R89" s="38">
        <v>1</v>
      </c>
      <c r="S89" s="38"/>
      <c r="T89" s="38"/>
      <c r="U89" s="38"/>
      <c r="V89" s="38"/>
      <c r="W89" s="4"/>
      <c r="X89" s="4">
        <f t="shared" si="22"/>
        <v>4.9000000000000004</v>
      </c>
      <c r="Y89" s="4"/>
      <c r="Z89" s="4">
        <f t="shared" si="25"/>
        <v>0.8</v>
      </c>
      <c r="AA89" s="4"/>
      <c r="AB89" s="4"/>
      <c r="AC89" s="4"/>
      <c r="AD89" s="4"/>
    </row>
    <row r="90" spans="2:30">
      <c r="B90" s="36">
        <v>5.6</v>
      </c>
      <c r="C90" s="36"/>
      <c r="D90" s="36"/>
      <c r="E90" s="36"/>
      <c r="F90" s="36"/>
      <c r="G90" s="36"/>
      <c r="H90" s="36"/>
      <c r="I90" s="36"/>
      <c r="J90" s="36"/>
      <c r="K90" s="37">
        <f t="shared" si="23"/>
        <v>5.6</v>
      </c>
      <c r="L90" s="36">
        <f t="shared" si="24"/>
        <v>5.6</v>
      </c>
      <c r="M90" s="38">
        <v>3</v>
      </c>
      <c r="N90" s="38"/>
      <c r="O90" s="38"/>
      <c r="P90" s="38"/>
      <c r="Q90" s="38"/>
      <c r="R90" s="38"/>
      <c r="S90" s="38"/>
      <c r="T90" s="38"/>
      <c r="U90" s="38"/>
      <c r="V90" s="38"/>
      <c r="W90" s="4"/>
      <c r="X90" s="4">
        <f t="shared" si="22"/>
        <v>3.1999999999999993</v>
      </c>
      <c r="Y90" s="4"/>
      <c r="Z90" s="4">
        <f t="shared" si="25"/>
        <v>2.4000000000000004</v>
      </c>
      <c r="AA90" s="4"/>
      <c r="AB90" s="4"/>
      <c r="AC90" s="4"/>
      <c r="AD90" s="4"/>
    </row>
    <row r="91" spans="2:30">
      <c r="B91" s="36">
        <f t="shared" ref="B91:V91" si="26">SUM(B87:B90)</f>
        <v>5.6</v>
      </c>
      <c r="C91" s="36">
        <f t="shared" si="26"/>
        <v>78.2</v>
      </c>
      <c r="D91" s="36">
        <f t="shared" si="26"/>
        <v>2.8</v>
      </c>
      <c r="E91" s="36">
        <f t="shared" si="26"/>
        <v>0</v>
      </c>
      <c r="F91" s="36">
        <f t="shared" si="26"/>
        <v>0</v>
      </c>
      <c r="G91" s="36">
        <f t="shared" si="26"/>
        <v>0</v>
      </c>
      <c r="H91" s="36">
        <f t="shared" si="26"/>
        <v>0</v>
      </c>
      <c r="I91" s="36">
        <f t="shared" si="26"/>
        <v>0</v>
      </c>
      <c r="J91" s="36">
        <f t="shared" si="26"/>
        <v>0</v>
      </c>
      <c r="K91" s="36">
        <f t="shared" si="26"/>
        <v>86.6</v>
      </c>
      <c r="L91" s="36">
        <f t="shared" si="26"/>
        <v>86.6</v>
      </c>
      <c r="M91" s="38">
        <f t="shared" si="26"/>
        <v>10</v>
      </c>
      <c r="N91" s="38">
        <f t="shared" si="26"/>
        <v>0</v>
      </c>
      <c r="O91" s="38">
        <f t="shared" si="26"/>
        <v>0</v>
      </c>
      <c r="P91" s="38">
        <f t="shared" si="26"/>
        <v>0</v>
      </c>
      <c r="Q91" s="38">
        <f t="shared" si="26"/>
        <v>0</v>
      </c>
      <c r="R91" s="38">
        <f t="shared" si="26"/>
        <v>1</v>
      </c>
      <c r="S91" s="38">
        <f t="shared" si="26"/>
        <v>0</v>
      </c>
      <c r="T91" s="38">
        <f t="shared" si="26"/>
        <v>0</v>
      </c>
      <c r="U91" s="38">
        <f t="shared" si="26"/>
        <v>0</v>
      </c>
      <c r="V91" s="38">
        <f t="shared" si="26"/>
        <v>0</v>
      </c>
      <c r="W91" s="4"/>
      <c r="X91" s="4">
        <f>SUM(X87:X90)</f>
        <v>78.600000000000009</v>
      </c>
      <c r="Y91" s="4"/>
      <c r="Z91" s="4">
        <f>SUM(Z87:Z90)</f>
        <v>8</v>
      </c>
      <c r="AA91" s="4"/>
      <c r="AB91" s="4"/>
      <c r="AC91" s="4"/>
      <c r="AD91" s="4"/>
    </row>
    <row r="92" spans="2:30">
      <c r="M92" s="20"/>
      <c r="W92" s="8"/>
      <c r="X92" s="8"/>
      <c r="Y92" s="8"/>
      <c r="Z92" s="8"/>
      <c r="AA92" s="8"/>
      <c r="AB92" s="8"/>
      <c r="AC92" s="8"/>
      <c r="AD92" s="8"/>
    </row>
    <row r="93" spans="2:30">
      <c r="B93" s="20" t="s">
        <v>91</v>
      </c>
      <c r="W93" s="22"/>
      <c r="X93" s="22"/>
      <c r="Y93" s="22"/>
      <c r="Z93" s="40"/>
      <c r="AA93" s="22"/>
    </row>
    <row r="94" spans="2:30">
      <c r="B94" s="75" t="s">
        <v>7</v>
      </c>
      <c r="C94" s="75"/>
      <c r="D94" s="75"/>
      <c r="E94" s="75"/>
      <c r="F94" s="75"/>
      <c r="G94" s="75"/>
      <c r="H94" s="75"/>
      <c r="I94" s="75"/>
      <c r="J94" s="75"/>
      <c r="K94" s="47" t="s">
        <v>8</v>
      </c>
      <c r="L94" s="47" t="s">
        <v>6</v>
      </c>
      <c r="M94" s="47" t="s">
        <v>9</v>
      </c>
      <c r="N94" s="79" t="s">
        <v>0</v>
      </c>
      <c r="O94" s="79"/>
      <c r="P94" s="79"/>
      <c r="Q94" s="79"/>
      <c r="R94" s="79" t="s">
        <v>6</v>
      </c>
      <c r="S94" s="79"/>
      <c r="T94" s="79"/>
      <c r="U94" s="79"/>
      <c r="V94" s="26"/>
      <c r="W94" s="80" t="s">
        <v>71</v>
      </c>
      <c r="X94" s="80"/>
      <c r="Y94" s="80"/>
      <c r="Z94" s="80"/>
      <c r="AA94" s="80"/>
      <c r="AB94" s="80"/>
      <c r="AC94" s="80"/>
      <c r="AD94" s="80"/>
    </row>
    <row r="95" spans="2:30">
      <c r="B95" s="27" t="s">
        <v>141</v>
      </c>
      <c r="C95" s="27" t="s">
        <v>69</v>
      </c>
      <c r="D95" s="27" t="s">
        <v>19</v>
      </c>
      <c r="E95" s="27" t="s">
        <v>21</v>
      </c>
      <c r="F95" s="7" t="s">
        <v>70</v>
      </c>
      <c r="G95" s="7" t="s">
        <v>22</v>
      </c>
      <c r="H95" s="6"/>
      <c r="I95" s="7"/>
      <c r="J95" s="27"/>
      <c r="K95" s="27"/>
      <c r="L95" s="27"/>
      <c r="M95" s="27"/>
      <c r="N95" s="28" t="s">
        <v>114</v>
      </c>
      <c r="O95" s="28" t="s">
        <v>4</v>
      </c>
      <c r="P95" s="79" t="s">
        <v>5</v>
      </c>
      <c r="Q95" s="79"/>
      <c r="R95" s="28" t="s">
        <v>114</v>
      </c>
      <c r="S95" s="28" t="s">
        <v>4</v>
      </c>
      <c r="T95" s="79" t="s">
        <v>5</v>
      </c>
      <c r="U95" s="79"/>
      <c r="V95" s="29" t="s">
        <v>3</v>
      </c>
      <c r="W95" s="30">
        <v>1.5</v>
      </c>
      <c r="X95" s="30">
        <v>2</v>
      </c>
      <c r="Y95" s="31">
        <v>2.5</v>
      </c>
      <c r="Z95" s="31">
        <v>2.5</v>
      </c>
      <c r="AA95" s="31">
        <v>3</v>
      </c>
      <c r="AB95" s="31">
        <v>3.5</v>
      </c>
      <c r="AC95" s="31">
        <v>4</v>
      </c>
      <c r="AD95" s="31">
        <v>4</v>
      </c>
    </row>
    <row r="96" spans="2:30">
      <c r="B96" s="32"/>
      <c r="C96" s="32"/>
      <c r="D96" s="32"/>
      <c r="E96" s="32"/>
      <c r="F96" s="2"/>
      <c r="G96" s="2" t="s">
        <v>20</v>
      </c>
      <c r="H96" s="2"/>
      <c r="I96" s="2"/>
      <c r="J96" s="32"/>
      <c r="K96" s="32"/>
      <c r="L96" s="32"/>
      <c r="M96" s="32"/>
      <c r="N96" s="33"/>
      <c r="O96" s="33"/>
      <c r="P96" s="48" t="s">
        <v>1</v>
      </c>
      <c r="Q96" s="48" t="s">
        <v>2</v>
      </c>
      <c r="R96" s="34"/>
      <c r="S96" s="34"/>
      <c r="T96" s="48" t="s">
        <v>1</v>
      </c>
      <c r="U96" s="48" t="s">
        <v>2</v>
      </c>
      <c r="V96" s="34"/>
      <c r="W96" s="35" t="s">
        <v>10</v>
      </c>
      <c r="X96" s="35" t="s">
        <v>11</v>
      </c>
      <c r="Y96" s="35" t="s">
        <v>12</v>
      </c>
      <c r="Z96" s="35" t="s">
        <v>13</v>
      </c>
      <c r="AA96" s="35" t="s">
        <v>14</v>
      </c>
      <c r="AB96" s="35" t="s">
        <v>15</v>
      </c>
      <c r="AC96" s="35" t="s">
        <v>16</v>
      </c>
      <c r="AD96" s="35" t="s">
        <v>17</v>
      </c>
    </row>
    <row r="97" spans="1:30">
      <c r="B97" s="36"/>
      <c r="C97" s="36">
        <v>17.2</v>
      </c>
      <c r="D97" s="36"/>
      <c r="E97" s="36"/>
      <c r="F97" s="36"/>
      <c r="G97" s="36"/>
      <c r="H97" s="36"/>
      <c r="I97" s="36"/>
      <c r="J97" s="36"/>
      <c r="K97" s="37">
        <f>(B97+C97+D97+E97+F97+G97+J97+H97+I97)-0.47*(+P97+Q97)-0.8*V97</f>
        <v>17.2</v>
      </c>
      <c r="L97" s="36">
        <f>+B97+C97+D97+E97+F97+G97+H97+I97+J97-0.47*(+T97+U97)-0.8*V97</f>
        <v>17.2</v>
      </c>
      <c r="M97" s="38">
        <v>7</v>
      </c>
      <c r="N97" s="38">
        <v>1</v>
      </c>
      <c r="O97" s="38">
        <v>1</v>
      </c>
      <c r="P97" s="38"/>
      <c r="Q97" s="38"/>
      <c r="R97" s="38"/>
      <c r="S97" s="38"/>
      <c r="T97" s="38"/>
      <c r="U97" s="38"/>
      <c r="V97" s="38"/>
      <c r="W97" s="4"/>
      <c r="X97" s="4">
        <f t="shared" ref="X97:X100" si="27">+B97+C97+D97+E97+F97+G97+H97+I97+J97-Z97</f>
        <v>11.599999999999998</v>
      </c>
      <c r="Y97" s="4"/>
      <c r="Z97" s="4">
        <f>0.8*M97</f>
        <v>5.6000000000000005</v>
      </c>
      <c r="AA97" s="4"/>
      <c r="AB97" s="4"/>
      <c r="AC97" s="4"/>
      <c r="AD97" s="4"/>
    </row>
    <row r="98" spans="1:30">
      <c r="B98" s="36"/>
      <c r="C98" s="36">
        <v>343.23</v>
      </c>
      <c r="D98" s="36"/>
      <c r="E98" s="36"/>
      <c r="F98" s="36"/>
      <c r="G98" s="36"/>
      <c r="H98" s="36"/>
      <c r="I98" s="36"/>
      <c r="J98" s="36"/>
      <c r="K98" s="37">
        <f t="shared" ref="K98:K100" si="28">(B98+C98+D98+E98+F98+G98+J98+H98+I98)-0.47*(+P98+Q98)-0.8*V98</f>
        <v>343.23</v>
      </c>
      <c r="L98" s="36">
        <f t="shared" ref="L98:L100" si="29">+B98+C98+D98+E98+F98+G98+H98+I98+J98-0.47*(+T98+U98)-0.8*V98</f>
        <v>343.23</v>
      </c>
      <c r="M98" s="38">
        <v>36</v>
      </c>
      <c r="N98" s="38">
        <v>5</v>
      </c>
      <c r="O98" s="38">
        <v>6</v>
      </c>
      <c r="P98" s="38"/>
      <c r="Q98" s="38"/>
      <c r="R98" s="38"/>
      <c r="S98" s="38">
        <v>1</v>
      </c>
      <c r="T98" s="38"/>
      <c r="U98" s="38"/>
      <c r="V98" s="38"/>
      <c r="W98" s="4"/>
      <c r="X98" s="4">
        <f t="shared" si="27"/>
        <v>314.43</v>
      </c>
      <c r="Y98" s="4"/>
      <c r="Z98" s="4">
        <f t="shared" ref="Z98:Z100" si="30">0.8*M98</f>
        <v>28.8</v>
      </c>
      <c r="AA98" s="4"/>
      <c r="AB98" s="4"/>
      <c r="AC98" s="4"/>
      <c r="AD98" s="4"/>
    </row>
    <row r="99" spans="1:30">
      <c r="B99" s="36"/>
      <c r="C99" s="36">
        <v>87.6</v>
      </c>
      <c r="D99" s="36"/>
      <c r="E99" s="36"/>
      <c r="F99" s="36"/>
      <c r="G99" s="36"/>
      <c r="H99" s="36"/>
      <c r="I99" s="36"/>
      <c r="J99" s="36"/>
      <c r="K99" s="37">
        <f t="shared" si="28"/>
        <v>87.6</v>
      </c>
      <c r="L99" s="36">
        <f t="shared" si="29"/>
        <v>87.6</v>
      </c>
      <c r="M99" s="38">
        <v>9</v>
      </c>
      <c r="N99" s="38">
        <v>1</v>
      </c>
      <c r="O99" s="38"/>
      <c r="P99" s="38"/>
      <c r="Q99" s="38"/>
      <c r="R99" s="38">
        <v>4</v>
      </c>
      <c r="S99" s="38"/>
      <c r="T99" s="38"/>
      <c r="U99" s="38"/>
      <c r="V99" s="38"/>
      <c r="W99" s="4"/>
      <c r="X99" s="4">
        <f t="shared" si="27"/>
        <v>80.399999999999991</v>
      </c>
      <c r="Y99" s="4"/>
      <c r="Z99" s="4">
        <f t="shared" si="30"/>
        <v>7.2</v>
      </c>
      <c r="AA99" s="4"/>
      <c r="AB99" s="4"/>
      <c r="AC99" s="4"/>
      <c r="AD99" s="4"/>
    </row>
    <row r="100" spans="1:30">
      <c r="B100" s="36"/>
      <c r="C100" s="36"/>
      <c r="D100" s="36"/>
      <c r="E100" s="36"/>
      <c r="F100" s="36"/>
      <c r="G100" s="36"/>
      <c r="H100" s="36"/>
      <c r="I100" s="36"/>
      <c r="J100" s="36"/>
      <c r="K100" s="37">
        <f t="shared" si="28"/>
        <v>0</v>
      </c>
      <c r="L100" s="36">
        <f t="shared" si="29"/>
        <v>0</v>
      </c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4"/>
      <c r="X100" s="4">
        <f t="shared" si="27"/>
        <v>0</v>
      </c>
      <c r="Y100" s="4"/>
      <c r="Z100" s="4">
        <f t="shared" si="30"/>
        <v>0</v>
      </c>
      <c r="AA100" s="4"/>
      <c r="AB100" s="4"/>
      <c r="AC100" s="4"/>
      <c r="AD100" s="4"/>
    </row>
    <row r="101" spans="1:30">
      <c r="B101" s="36">
        <f t="shared" ref="B101:V101" si="31">SUM(B97:B100)</f>
        <v>0</v>
      </c>
      <c r="C101" s="36">
        <f t="shared" si="31"/>
        <v>448.03</v>
      </c>
      <c r="D101" s="36">
        <f t="shared" si="31"/>
        <v>0</v>
      </c>
      <c r="E101" s="36">
        <f t="shared" si="31"/>
        <v>0</v>
      </c>
      <c r="F101" s="36">
        <f t="shared" si="31"/>
        <v>0</v>
      </c>
      <c r="G101" s="36">
        <f t="shared" si="31"/>
        <v>0</v>
      </c>
      <c r="H101" s="36">
        <f t="shared" si="31"/>
        <v>0</v>
      </c>
      <c r="I101" s="36">
        <f t="shared" si="31"/>
        <v>0</v>
      </c>
      <c r="J101" s="36">
        <f t="shared" si="31"/>
        <v>0</v>
      </c>
      <c r="K101" s="36">
        <f t="shared" si="31"/>
        <v>448.03</v>
      </c>
      <c r="L101" s="36">
        <f t="shared" si="31"/>
        <v>448.03</v>
      </c>
      <c r="M101" s="38">
        <f t="shared" si="31"/>
        <v>52</v>
      </c>
      <c r="N101" s="38">
        <f t="shared" si="31"/>
        <v>7</v>
      </c>
      <c r="O101" s="38">
        <f t="shared" si="31"/>
        <v>7</v>
      </c>
      <c r="P101" s="38">
        <f t="shared" si="31"/>
        <v>0</v>
      </c>
      <c r="Q101" s="38">
        <f t="shared" si="31"/>
        <v>0</v>
      </c>
      <c r="R101" s="38">
        <f t="shared" si="31"/>
        <v>4</v>
      </c>
      <c r="S101" s="38">
        <f t="shared" si="31"/>
        <v>1</v>
      </c>
      <c r="T101" s="38">
        <f t="shared" si="31"/>
        <v>0</v>
      </c>
      <c r="U101" s="38">
        <f t="shared" si="31"/>
        <v>0</v>
      </c>
      <c r="V101" s="38">
        <f t="shared" si="31"/>
        <v>0</v>
      </c>
      <c r="W101" s="4"/>
      <c r="X101" s="4">
        <f>SUM(X97:X100)</f>
        <v>406.43</v>
      </c>
      <c r="Y101" s="4"/>
      <c r="Z101" s="4">
        <f>SUM(Z97:Z100)</f>
        <v>41.6</v>
      </c>
      <c r="AA101" s="4"/>
      <c r="AB101" s="4"/>
      <c r="AC101" s="4"/>
      <c r="AD101" s="4"/>
    </row>
    <row r="102" spans="1:30">
      <c r="M102" s="20"/>
      <c r="W102" s="8"/>
      <c r="X102" s="8" t="s">
        <v>67</v>
      </c>
      <c r="Y102" s="8"/>
      <c r="Z102" s="8" t="s">
        <v>99</v>
      </c>
      <c r="AA102" s="8"/>
      <c r="AB102" s="8"/>
      <c r="AC102" s="8"/>
      <c r="AD102" s="8"/>
    </row>
    <row r="103" spans="1:30">
      <c r="B103" s="20" t="s">
        <v>89</v>
      </c>
      <c r="W103" s="22"/>
      <c r="X103" s="22"/>
      <c r="Y103" s="22"/>
      <c r="Z103" s="22"/>
      <c r="AA103" s="22"/>
    </row>
    <row r="104" spans="1:30">
      <c r="B104" s="75" t="s">
        <v>7</v>
      </c>
      <c r="C104" s="75"/>
      <c r="D104" s="75"/>
      <c r="E104" s="75"/>
      <c r="F104" s="75"/>
      <c r="G104" s="75"/>
      <c r="H104" s="75"/>
      <c r="I104" s="75"/>
      <c r="J104" s="75"/>
      <c r="K104" s="47" t="s">
        <v>8</v>
      </c>
      <c r="L104" s="47" t="s">
        <v>6</v>
      </c>
      <c r="M104" s="47" t="s">
        <v>9</v>
      </c>
      <c r="N104" s="79" t="s">
        <v>0</v>
      </c>
      <c r="O104" s="79"/>
      <c r="P104" s="79"/>
      <c r="Q104" s="79"/>
      <c r="R104" s="79" t="s">
        <v>6</v>
      </c>
      <c r="S104" s="79"/>
      <c r="T104" s="79"/>
      <c r="U104" s="79"/>
      <c r="V104" s="26"/>
      <c r="W104" s="80" t="s">
        <v>71</v>
      </c>
      <c r="X104" s="80"/>
      <c r="Y104" s="80"/>
      <c r="Z104" s="80"/>
      <c r="AA104" s="80"/>
      <c r="AB104" s="80"/>
      <c r="AC104" s="80"/>
      <c r="AD104" s="80"/>
    </row>
    <row r="105" spans="1:30">
      <c r="B105" s="27" t="s">
        <v>141</v>
      </c>
      <c r="C105" s="27" t="s">
        <v>69</v>
      </c>
      <c r="D105" s="27" t="s">
        <v>19</v>
      </c>
      <c r="E105" s="27" t="s">
        <v>21</v>
      </c>
      <c r="F105" s="7" t="s">
        <v>70</v>
      </c>
      <c r="G105" s="7" t="s">
        <v>22</v>
      </c>
      <c r="H105" s="6"/>
      <c r="I105" s="7"/>
      <c r="J105" s="27"/>
      <c r="K105" s="27"/>
      <c r="L105" s="27"/>
      <c r="M105" s="27"/>
      <c r="N105" s="28" t="s">
        <v>114</v>
      </c>
      <c r="O105" s="28" t="s">
        <v>4</v>
      </c>
      <c r="P105" s="79" t="s">
        <v>5</v>
      </c>
      <c r="Q105" s="79"/>
      <c r="R105" s="28" t="s">
        <v>114</v>
      </c>
      <c r="S105" s="28" t="s">
        <v>4</v>
      </c>
      <c r="T105" s="79" t="s">
        <v>5</v>
      </c>
      <c r="U105" s="79"/>
      <c r="V105" s="29" t="s">
        <v>3</v>
      </c>
      <c r="W105" s="30">
        <v>1.5</v>
      </c>
      <c r="X105" s="30">
        <v>2</v>
      </c>
      <c r="Y105" s="31">
        <v>2.5</v>
      </c>
      <c r="Z105" s="31">
        <v>2.5</v>
      </c>
      <c r="AA105" s="31">
        <v>3</v>
      </c>
      <c r="AB105" s="31">
        <v>3.5</v>
      </c>
      <c r="AC105" s="31">
        <v>4</v>
      </c>
      <c r="AD105" s="31">
        <v>4</v>
      </c>
    </row>
    <row r="106" spans="1:30">
      <c r="B106" s="32"/>
      <c r="C106" s="32"/>
      <c r="D106" s="32"/>
      <c r="E106" s="32"/>
      <c r="F106" s="2"/>
      <c r="G106" s="2" t="s">
        <v>20</v>
      </c>
      <c r="H106" s="2"/>
      <c r="I106" s="2"/>
      <c r="J106" s="32"/>
      <c r="K106" s="32"/>
      <c r="L106" s="32"/>
      <c r="M106" s="32"/>
      <c r="N106" s="33"/>
      <c r="O106" s="33"/>
      <c r="P106" s="48" t="s">
        <v>1</v>
      </c>
      <c r="Q106" s="48" t="s">
        <v>2</v>
      </c>
      <c r="R106" s="34"/>
      <c r="S106" s="34"/>
      <c r="T106" s="48" t="s">
        <v>1</v>
      </c>
      <c r="U106" s="48" t="s">
        <v>2</v>
      </c>
      <c r="V106" s="34"/>
      <c r="W106" s="35" t="s">
        <v>10</v>
      </c>
      <c r="X106" s="35" t="s">
        <v>11</v>
      </c>
      <c r="Y106" s="35" t="s">
        <v>12</v>
      </c>
      <c r="Z106" s="35" t="s">
        <v>13</v>
      </c>
      <c r="AA106" s="35" t="s">
        <v>14</v>
      </c>
      <c r="AB106" s="35" t="s">
        <v>15</v>
      </c>
      <c r="AC106" s="35" t="s">
        <v>16</v>
      </c>
      <c r="AD106" s="35" t="s">
        <v>17</v>
      </c>
    </row>
    <row r="107" spans="1:30">
      <c r="B107" s="36">
        <v>5.0999999999999996</v>
      </c>
      <c r="C107" s="36"/>
      <c r="D107" s="36"/>
      <c r="E107" s="36"/>
      <c r="F107" s="36"/>
      <c r="G107" s="36"/>
      <c r="H107" s="36"/>
      <c r="I107" s="36"/>
      <c r="J107" s="36"/>
      <c r="K107" s="37"/>
      <c r="L107" s="36">
        <f>+(B107+C107+D107+E107+F107+G107+H107+I107+J107)-0.47*(T107+U107)-0.8*V107</f>
        <v>4.3</v>
      </c>
      <c r="M107" s="38"/>
      <c r="N107" s="38"/>
      <c r="O107" s="38"/>
      <c r="P107" s="38"/>
      <c r="Q107" s="38"/>
      <c r="R107" s="38"/>
      <c r="S107" s="38"/>
      <c r="T107" s="38"/>
      <c r="U107" s="38"/>
      <c r="V107" s="38">
        <v>1</v>
      </c>
      <c r="W107" s="4"/>
      <c r="X107" s="4">
        <f t="shared" ref="X107:X109" si="32">+B107+C107+D107+E107+F107+G107+H107+I107+J107-Z107</f>
        <v>5.0999999999999996</v>
      </c>
      <c r="Y107" s="4"/>
      <c r="Z107" s="4">
        <f>0.8*M107</f>
        <v>0</v>
      </c>
      <c r="AA107" s="4"/>
      <c r="AB107" s="4"/>
      <c r="AC107" s="4"/>
      <c r="AD107" s="4"/>
    </row>
    <row r="108" spans="1:30">
      <c r="B108" s="36"/>
      <c r="C108" s="36"/>
      <c r="D108" s="36"/>
      <c r="E108" s="36"/>
      <c r="F108" s="36"/>
      <c r="G108" s="36">
        <v>4.0999999999999996</v>
      </c>
      <c r="H108" s="36"/>
      <c r="I108" s="36"/>
      <c r="J108" s="36"/>
      <c r="K108" s="37"/>
      <c r="L108" s="36">
        <f>+(B108+C108+D108+E108+F108+G108+H108+I108+J108)-0.47*(T108+U108)-0.8*V108</f>
        <v>3.3</v>
      </c>
      <c r="M108" s="38"/>
      <c r="N108" s="38"/>
      <c r="O108" s="38"/>
      <c r="P108" s="38"/>
      <c r="Q108" s="38"/>
      <c r="R108" s="38"/>
      <c r="S108" s="38"/>
      <c r="T108" s="38"/>
      <c r="U108" s="38"/>
      <c r="V108" s="38">
        <v>1</v>
      </c>
      <c r="W108" s="4"/>
      <c r="X108" s="4">
        <f t="shared" si="32"/>
        <v>4.0999999999999996</v>
      </c>
      <c r="Y108" s="4"/>
      <c r="Z108" s="4">
        <f t="shared" ref="Z108:Z109" si="33">0.8*M108</f>
        <v>0</v>
      </c>
      <c r="AA108" s="4"/>
      <c r="AB108" s="4"/>
      <c r="AC108" s="4"/>
      <c r="AD108" s="4"/>
    </row>
    <row r="109" spans="1:30">
      <c r="B109" s="36"/>
      <c r="C109" s="36">
        <v>3.6</v>
      </c>
      <c r="D109" s="36"/>
      <c r="E109" s="36"/>
      <c r="F109" s="36"/>
      <c r="G109" s="36"/>
      <c r="H109" s="36"/>
      <c r="I109" s="36"/>
      <c r="J109" s="36"/>
      <c r="K109" s="37"/>
      <c r="L109" s="36">
        <f>+(B109+C109+D109+E109+F109+G109+H109+I109+J109)-0.47*(T109+U109)-0.8*V109</f>
        <v>3.6</v>
      </c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4"/>
      <c r="X109" s="4">
        <f t="shared" si="32"/>
        <v>3.6</v>
      </c>
      <c r="Y109" s="4"/>
      <c r="Z109" s="4">
        <f t="shared" si="33"/>
        <v>0</v>
      </c>
      <c r="AA109" s="4"/>
      <c r="AB109" s="4"/>
      <c r="AC109" s="4"/>
      <c r="AD109" s="4"/>
    </row>
    <row r="110" spans="1:30">
      <c r="A110" s="39" t="s">
        <v>26</v>
      </c>
      <c r="B110" s="36">
        <f t="shared" ref="B110:G110" si="34">SUM(B107:B109)</f>
        <v>5.0999999999999996</v>
      </c>
      <c r="C110" s="36">
        <f t="shared" si="34"/>
        <v>3.6</v>
      </c>
      <c r="D110" s="36">
        <f t="shared" si="34"/>
        <v>0</v>
      </c>
      <c r="E110" s="36">
        <f t="shared" si="34"/>
        <v>0</v>
      </c>
      <c r="F110" s="36">
        <f t="shared" si="34"/>
        <v>0</v>
      </c>
      <c r="G110" s="36">
        <f t="shared" si="34"/>
        <v>4.0999999999999996</v>
      </c>
      <c r="H110" s="36"/>
      <c r="I110" s="36"/>
      <c r="J110" s="36"/>
      <c r="K110" s="36"/>
      <c r="L110" s="36">
        <f>SUM(L107:L109)</f>
        <v>11.2</v>
      </c>
      <c r="M110" s="38"/>
      <c r="N110" s="38"/>
      <c r="O110" s="38"/>
      <c r="P110" s="38"/>
      <c r="Q110" s="38"/>
      <c r="R110" s="38">
        <f t="shared" ref="R110:AD110" si="35">SUM(R107:R109)</f>
        <v>0</v>
      </c>
      <c r="S110" s="38">
        <f t="shared" si="35"/>
        <v>0</v>
      </c>
      <c r="T110" s="38">
        <f t="shared" si="35"/>
        <v>0</v>
      </c>
      <c r="U110" s="38">
        <f t="shared" si="35"/>
        <v>0</v>
      </c>
      <c r="V110" s="38">
        <f t="shared" si="35"/>
        <v>2</v>
      </c>
      <c r="W110" s="4">
        <f t="shared" si="35"/>
        <v>0</v>
      </c>
      <c r="X110" s="4">
        <f t="shared" si="35"/>
        <v>12.799999999999999</v>
      </c>
      <c r="Y110" s="4">
        <f t="shared" si="35"/>
        <v>0</v>
      </c>
      <c r="Z110" s="4">
        <f t="shared" si="35"/>
        <v>0</v>
      </c>
      <c r="AA110" s="4">
        <f t="shared" si="35"/>
        <v>0</v>
      </c>
      <c r="AB110" s="4">
        <f t="shared" si="35"/>
        <v>0</v>
      </c>
      <c r="AC110" s="4">
        <f t="shared" si="35"/>
        <v>0</v>
      </c>
      <c r="AD110" s="4">
        <f t="shared" si="35"/>
        <v>0</v>
      </c>
    </row>
    <row r="111" spans="1:30">
      <c r="M111" s="20"/>
      <c r="W111" s="8"/>
      <c r="X111" s="8"/>
      <c r="Y111" s="8"/>
      <c r="Z111" s="8"/>
      <c r="AA111" s="8"/>
      <c r="AB111" s="8"/>
      <c r="AC111" s="8"/>
      <c r="AD111" s="8"/>
    </row>
    <row r="112" spans="1:30">
      <c r="B112" s="3" t="s">
        <v>111</v>
      </c>
      <c r="C112" s="1"/>
      <c r="D112" s="1"/>
      <c r="E112" s="1" t="s">
        <v>112</v>
      </c>
      <c r="W112" s="22"/>
      <c r="X112" s="22"/>
      <c r="Y112" s="22"/>
      <c r="Z112" s="22"/>
      <c r="AA112" s="22"/>
    </row>
    <row r="113" spans="1:30">
      <c r="B113" s="75" t="s">
        <v>7</v>
      </c>
      <c r="C113" s="75"/>
      <c r="D113" s="75"/>
      <c r="E113" s="75"/>
      <c r="F113" s="75"/>
      <c r="G113" s="75"/>
      <c r="H113" s="75"/>
      <c r="I113" s="75"/>
      <c r="J113" s="75"/>
      <c r="K113" s="47" t="s">
        <v>8</v>
      </c>
      <c r="L113" s="47" t="s">
        <v>6</v>
      </c>
      <c r="M113" s="47" t="s">
        <v>115</v>
      </c>
      <c r="N113" s="79" t="s">
        <v>115</v>
      </c>
      <c r="O113" s="79"/>
      <c r="P113" s="79"/>
      <c r="Q113" s="79"/>
      <c r="R113" s="79" t="s">
        <v>6</v>
      </c>
      <c r="S113" s="79"/>
      <c r="T113" s="79"/>
      <c r="U113" s="79"/>
      <c r="V113" s="26"/>
      <c r="W113" s="80" t="s">
        <v>71</v>
      </c>
      <c r="X113" s="80"/>
      <c r="Y113" s="80"/>
      <c r="Z113" s="80"/>
      <c r="AA113" s="80"/>
      <c r="AB113" s="80"/>
      <c r="AC113" s="80"/>
      <c r="AD113" s="80"/>
    </row>
    <row r="114" spans="1:30">
      <c r="B114" s="27" t="s">
        <v>141</v>
      </c>
      <c r="C114" s="27" t="s">
        <v>69</v>
      </c>
      <c r="D114" s="27" t="s">
        <v>19</v>
      </c>
      <c r="E114" s="27" t="s">
        <v>21</v>
      </c>
      <c r="F114" s="7" t="s">
        <v>70</v>
      </c>
      <c r="G114" s="7" t="s">
        <v>22</v>
      </c>
      <c r="H114" s="6"/>
      <c r="I114" s="7"/>
      <c r="J114" s="27"/>
      <c r="K114" s="27"/>
      <c r="L114" s="27"/>
      <c r="M114" s="27"/>
      <c r="N114" s="28"/>
      <c r="O114" s="28"/>
      <c r="P114" s="79"/>
      <c r="Q114" s="79"/>
      <c r="R114" s="28" t="s">
        <v>114</v>
      </c>
      <c r="S114" s="28" t="s">
        <v>115</v>
      </c>
      <c r="T114" s="79" t="s">
        <v>115</v>
      </c>
      <c r="U114" s="79"/>
      <c r="V114" s="29" t="s">
        <v>115</v>
      </c>
      <c r="W114" s="30">
        <v>1.5</v>
      </c>
      <c r="X114" s="30">
        <v>2</v>
      </c>
      <c r="Y114" s="31">
        <v>2.5</v>
      </c>
      <c r="Z114" s="31">
        <v>2.5</v>
      </c>
      <c r="AA114" s="31">
        <v>3</v>
      </c>
      <c r="AB114" s="31">
        <v>3.5</v>
      </c>
      <c r="AC114" s="31">
        <v>4</v>
      </c>
      <c r="AD114" s="31">
        <v>4</v>
      </c>
    </row>
    <row r="115" spans="1:30">
      <c r="B115" s="32"/>
      <c r="C115" s="32"/>
      <c r="D115" s="32"/>
      <c r="E115" s="32"/>
      <c r="F115" s="2"/>
      <c r="G115" s="2" t="s">
        <v>20</v>
      </c>
      <c r="H115" s="2"/>
      <c r="I115" s="2"/>
      <c r="J115" s="32"/>
      <c r="K115" s="32"/>
      <c r="L115" s="32"/>
      <c r="M115" s="32"/>
      <c r="N115" s="33"/>
      <c r="O115" s="33"/>
      <c r="P115" s="48"/>
      <c r="Q115" s="48"/>
      <c r="R115" s="34"/>
      <c r="S115" s="34"/>
      <c r="T115" s="48"/>
      <c r="U115" s="48"/>
      <c r="V115" s="34"/>
      <c r="W115" s="35" t="s">
        <v>10</v>
      </c>
      <c r="X115" s="35" t="s">
        <v>11</v>
      </c>
      <c r="Y115" s="35" t="s">
        <v>12</v>
      </c>
      <c r="Z115" s="35" t="s">
        <v>13</v>
      </c>
      <c r="AA115" s="35" t="s">
        <v>14</v>
      </c>
      <c r="AB115" s="35" t="s">
        <v>15</v>
      </c>
      <c r="AC115" s="35" t="s">
        <v>16</v>
      </c>
      <c r="AD115" s="35" t="s">
        <v>17</v>
      </c>
    </row>
    <row r="116" spans="1:30">
      <c r="B116" s="36"/>
      <c r="C116" s="36">
        <v>58.8</v>
      </c>
      <c r="D116" s="36"/>
      <c r="E116" s="36"/>
      <c r="F116" s="36"/>
      <c r="G116" s="36"/>
      <c r="H116" s="36"/>
      <c r="I116" s="36"/>
      <c r="J116" s="36"/>
      <c r="K116" s="37"/>
      <c r="L116" s="36">
        <f>+(B116+C116+D116+E116+F116+G116+H116+I116+J116)*2</f>
        <v>117.6</v>
      </c>
      <c r="M116" s="38"/>
      <c r="N116" s="38"/>
      <c r="O116" s="38"/>
      <c r="P116" s="38"/>
      <c r="Q116" s="38"/>
      <c r="R116" s="38">
        <v>1</v>
      </c>
      <c r="S116" s="38"/>
      <c r="T116" s="38"/>
      <c r="U116" s="38"/>
      <c r="V116" s="38"/>
      <c r="W116" s="4"/>
      <c r="X116" s="4"/>
      <c r="Y116" s="4"/>
      <c r="Z116" s="4"/>
      <c r="AA116" s="4"/>
      <c r="AB116" s="4"/>
      <c r="AC116" s="4"/>
      <c r="AD116" s="4"/>
    </row>
    <row r="117" spans="1:30">
      <c r="B117" s="36">
        <v>10.1</v>
      </c>
      <c r="C117" s="36"/>
      <c r="D117" s="36"/>
      <c r="E117" s="36"/>
      <c r="F117" s="36"/>
      <c r="G117" s="36"/>
      <c r="H117" s="36"/>
      <c r="I117" s="36"/>
      <c r="J117" s="36"/>
      <c r="K117" s="37"/>
      <c r="L117" s="36">
        <f t="shared" ref="L117:L123" si="36">+(B117+C117+D117+E117+F117+G117+H117+I117+J117)*2</f>
        <v>20.2</v>
      </c>
      <c r="M117" s="38"/>
      <c r="N117" s="38"/>
      <c r="O117" s="38"/>
      <c r="P117" s="38"/>
      <c r="Q117" s="38"/>
      <c r="R117" s="38">
        <v>1</v>
      </c>
      <c r="S117" s="38"/>
      <c r="T117" s="38"/>
      <c r="U117" s="38"/>
      <c r="V117" s="38"/>
      <c r="W117" s="4"/>
      <c r="X117" s="4"/>
      <c r="Y117" s="4"/>
      <c r="Z117" s="4"/>
      <c r="AA117" s="4"/>
      <c r="AB117" s="4"/>
      <c r="AC117" s="4"/>
      <c r="AD117" s="4"/>
    </row>
    <row r="118" spans="1:30">
      <c r="B118" s="36"/>
      <c r="C118" s="36">
        <v>9.1</v>
      </c>
      <c r="D118" s="36"/>
      <c r="E118" s="36"/>
      <c r="F118" s="36"/>
      <c r="G118" s="36"/>
      <c r="H118" s="36"/>
      <c r="I118" s="36"/>
      <c r="J118" s="36"/>
      <c r="K118" s="37"/>
      <c r="L118" s="36">
        <f t="shared" si="36"/>
        <v>18.2</v>
      </c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4"/>
      <c r="X118" s="4"/>
      <c r="Y118" s="4"/>
      <c r="Z118" s="4"/>
      <c r="AA118" s="4"/>
      <c r="AB118" s="4"/>
      <c r="AC118" s="4"/>
      <c r="AD118" s="4"/>
    </row>
    <row r="119" spans="1:30">
      <c r="B119" s="36"/>
      <c r="C119" s="36"/>
      <c r="D119" s="36"/>
      <c r="E119" s="36"/>
      <c r="F119" s="36">
        <v>2</v>
      </c>
      <c r="G119" s="36"/>
      <c r="H119" s="36"/>
      <c r="I119" s="36"/>
      <c r="J119" s="36"/>
      <c r="K119" s="37"/>
      <c r="L119" s="36">
        <f t="shared" si="36"/>
        <v>4</v>
      </c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4"/>
      <c r="X119" s="4"/>
      <c r="Y119" s="4"/>
      <c r="Z119" s="4"/>
      <c r="AA119" s="4"/>
      <c r="AB119" s="4"/>
      <c r="AC119" s="4"/>
      <c r="AD119" s="4"/>
    </row>
    <row r="120" spans="1:30">
      <c r="B120" s="36">
        <v>13.8</v>
      </c>
      <c r="C120" s="36"/>
      <c r="D120" s="36"/>
      <c r="E120" s="36"/>
      <c r="F120" s="36"/>
      <c r="G120" s="36"/>
      <c r="H120" s="36"/>
      <c r="I120" s="36"/>
      <c r="J120" s="36"/>
      <c r="K120" s="37"/>
      <c r="L120" s="36">
        <f t="shared" si="36"/>
        <v>27.6</v>
      </c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4"/>
      <c r="X120" s="4"/>
      <c r="Y120" s="4"/>
      <c r="Z120" s="4"/>
      <c r="AA120" s="4"/>
      <c r="AB120" s="4"/>
      <c r="AC120" s="4"/>
      <c r="AD120" s="4"/>
    </row>
    <row r="121" spans="1:30">
      <c r="B121" s="36">
        <v>45.6</v>
      </c>
      <c r="C121" s="36"/>
      <c r="D121" s="36"/>
      <c r="E121" s="36"/>
      <c r="F121" s="36"/>
      <c r="G121" s="36"/>
      <c r="H121" s="36"/>
      <c r="I121" s="36"/>
      <c r="J121" s="36"/>
      <c r="K121" s="37"/>
      <c r="L121" s="36">
        <f t="shared" si="36"/>
        <v>91.2</v>
      </c>
      <c r="M121" s="38"/>
      <c r="N121" s="38"/>
      <c r="O121" s="38"/>
      <c r="P121" s="38"/>
      <c r="Q121" s="38"/>
      <c r="R121" s="38">
        <v>2</v>
      </c>
      <c r="S121" s="38"/>
      <c r="T121" s="38"/>
      <c r="U121" s="38"/>
      <c r="V121" s="38"/>
      <c r="W121" s="4"/>
      <c r="X121" s="4"/>
      <c r="Y121" s="4"/>
      <c r="Z121" s="4"/>
      <c r="AA121" s="4"/>
      <c r="AB121" s="4"/>
      <c r="AC121" s="4"/>
      <c r="AD121" s="4"/>
    </row>
    <row r="122" spans="1:30">
      <c r="B122" s="36"/>
      <c r="C122" s="36">
        <v>17.8</v>
      </c>
      <c r="D122" s="36"/>
      <c r="E122" s="36"/>
      <c r="F122" s="36"/>
      <c r="G122" s="36"/>
      <c r="H122" s="36"/>
      <c r="I122" s="36"/>
      <c r="J122" s="36"/>
      <c r="K122" s="37"/>
      <c r="L122" s="36">
        <f t="shared" si="36"/>
        <v>35.6</v>
      </c>
      <c r="M122" s="38"/>
      <c r="N122" s="38"/>
      <c r="O122" s="38"/>
      <c r="P122" s="38"/>
      <c r="Q122" s="38"/>
      <c r="R122" s="38">
        <v>1</v>
      </c>
      <c r="S122" s="38"/>
      <c r="T122" s="38"/>
      <c r="U122" s="38"/>
      <c r="V122" s="38"/>
      <c r="W122" s="4"/>
      <c r="X122" s="4"/>
      <c r="Y122" s="4"/>
      <c r="Z122" s="4"/>
      <c r="AA122" s="4"/>
      <c r="AB122" s="4"/>
      <c r="AC122" s="4"/>
      <c r="AD122" s="4"/>
    </row>
    <row r="123" spans="1:30">
      <c r="B123" s="36"/>
      <c r="C123" s="36">
        <v>342</v>
      </c>
      <c r="D123" s="36"/>
      <c r="E123" s="36"/>
      <c r="F123" s="36"/>
      <c r="G123" s="36"/>
      <c r="H123" s="36"/>
      <c r="I123" s="36"/>
      <c r="J123" s="36"/>
      <c r="K123" s="37"/>
      <c r="L123" s="36">
        <f t="shared" si="36"/>
        <v>684</v>
      </c>
      <c r="M123" s="38"/>
      <c r="N123" s="38"/>
      <c r="O123" s="38"/>
      <c r="P123" s="38"/>
      <c r="Q123" s="38"/>
      <c r="R123" s="38">
        <v>5</v>
      </c>
      <c r="S123" s="38"/>
      <c r="T123" s="38"/>
      <c r="U123" s="38"/>
      <c r="V123" s="38"/>
      <c r="W123" s="4"/>
      <c r="X123" s="4"/>
      <c r="Y123" s="4"/>
      <c r="Z123" s="4"/>
      <c r="AA123" s="4"/>
      <c r="AB123" s="4"/>
      <c r="AC123" s="4"/>
      <c r="AD123" s="4"/>
    </row>
    <row r="124" spans="1:30">
      <c r="A124" s="39" t="s">
        <v>26</v>
      </c>
      <c r="B124" s="36">
        <f t="shared" ref="B124:G124" si="37">SUM(B116:B123)</f>
        <v>69.5</v>
      </c>
      <c r="C124" s="36">
        <f t="shared" si="37"/>
        <v>427.7</v>
      </c>
      <c r="D124" s="36">
        <f t="shared" si="37"/>
        <v>0</v>
      </c>
      <c r="E124" s="36">
        <f t="shared" si="37"/>
        <v>0</v>
      </c>
      <c r="F124" s="36">
        <f t="shared" si="37"/>
        <v>2</v>
      </c>
      <c r="G124" s="36">
        <f t="shared" si="37"/>
        <v>0</v>
      </c>
      <c r="H124" s="36"/>
      <c r="I124" s="36"/>
      <c r="J124" s="36"/>
      <c r="K124" s="36"/>
      <c r="L124" s="36">
        <f>SUM(L116:L123)</f>
        <v>998.4</v>
      </c>
      <c r="M124" s="38"/>
      <c r="N124" s="38"/>
      <c r="O124" s="38"/>
      <c r="P124" s="38"/>
      <c r="Q124" s="38"/>
      <c r="R124" s="38">
        <f>SUM(R116:R123)</f>
        <v>10</v>
      </c>
      <c r="S124" s="38"/>
      <c r="T124" s="38"/>
      <c r="U124" s="38"/>
      <c r="V124" s="38"/>
      <c r="W124" s="4"/>
      <c r="X124" s="4"/>
      <c r="Y124" s="4"/>
      <c r="Z124" s="4"/>
      <c r="AA124" s="4"/>
      <c r="AB124" s="4"/>
      <c r="AC124" s="4"/>
      <c r="AD124" s="4"/>
    </row>
    <row r="125" spans="1:30">
      <c r="M125" s="20"/>
      <c r="W125" s="8"/>
      <c r="X125" s="8"/>
      <c r="Y125" s="8"/>
      <c r="Z125" s="8"/>
      <c r="AA125" s="8"/>
      <c r="AB125" s="8"/>
      <c r="AC125" s="8"/>
      <c r="AD125" s="8"/>
    </row>
    <row r="126" spans="1:30">
      <c r="B126" s="3" t="s">
        <v>113</v>
      </c>
      <c r="C126" s="1"/>
      <c r="D126" s="1"/>
      <c r="E126" s="1" t="s">
        <v>112</v>
      </c>
      <c r="W126" s="22"/>
      <c r="X126" s="22"/>
      <c r="Y126" s="22"/>
      <c r="Z126" s="22"/>
      <c r="AA126" s="22"/>
    </row>
    <row r="127" spans="1:30">
      <c r="B127" s="75" t="s">
        <v>7</v>
      </c>
      <c r="C127" s="75"/>
      <c r="D127" s="75"/>
      <c r="E127" s="75"/>
      <c r="F127" s="75"/>
      <c r="G127" s="75"/>
      <c r="H127" s="75"/>
      <c r="I127" s="75"/>
      <c r="J127" s="75"/>
      <c r="K127" s="47" t="s">
        <v>8</v>
      </c>
      <c r="L127" s="47" t="s">
        <v>6</v>
      </c>
      <c r="M127" s="47" t="s">
        <v>115</v>
      </c>
      <c r="N127" s="79" t="s">
        <v>115</v>
      </c>
      <c r="O127" s="79"/>
      <c r="P127" s="79"/>
      <c r="Q127" s="79"/>
      <c r="R127" s="79" t="s">
        <v>6</v>
      </c>
      <c r="S127" s="79"/>
      <c r="T127" s="79"/>
      <c r="U127" s="79"/>
      <c r="V127" s="26"/>
      <c r="W127" s="80" t="s">
        <v>71</v>
      </c>
      <c r="X127" s="80"/>
      <c r="Y127" s="80"/>
      <c r="Z127" s="80"/>
      <c r="AA127" s="80"/>
      <c r="AB127" s="80"/>
      <c r="AC127" s="80"/>
      <c r="AD127" s="80"/>
    </row>
    <row r="128" spans="1:30">
      <c r="B128" s="27" t="s">
        <v>141</v>
      </c>
      <c r="C128" s="27" t="s">
        <v>69</v>
      </c>
      <c r="D128" s="27" t="s">
        <v>19</v>
      </c>
      <c r="E128" s="27" t="s">
        <v>21</v>
      </c>
      <c r="F128" s="7" t="s">
        <v>70</v>
      </c>
      <c r="G128" s="7" t="s">
        <v>22</v>
      </c>
      <c r="H128" s="6"/>
      <c r="I128" s="7"/>
      <c r="J128" s="27"/>
      <c r="K128" s="27"/>
      <c r="L128" s="27"/>
      <c r="M128" s="27"/>
      <c r="N128" s="28"/>
      <c r="O128" s="28"/>
      <c r="P128" s="79"/>
      <c r="Q128" s="79"/>
      <c r="R128" s="28" t="s">
        <v>114</v>
      </c>
      <c r="S128" s="28" t="s">
        <v>115</v>
      </c>
      <c r="T128" s="79" t="s">
        <v>115</v>
      </c>
      <c r="U128" s="79"/>
      <c r="V128" s="29" t="s">
        <v>115</v>
      </c>
      <c r="W128" s="30">
        <v>1.5</v>
      </c>
      <c r="X128" s="30">
        <v>2</v>
      </c>
      <c r="Y128" s="31">
        <v>2.5</v>
      </c>
      <c r="Z128" s="31">
        <v>2.5</v>
      </c>
      <c r="AA128" s="31">
        <v>3</v>
      </c>
      <c r="AB128" s="31">
        <v>3.5</v>
      </c>
      <c r="AC128" s="31">
        <v>4</v>
      </c>
      <c r="AD128" s="31">
        <v>4</v>
      </c>
    </row>
    <row r="129" spans="1:30">
      <c r="B129" s="32"/>
      <c r="C129" s="32"/>
      <c r="D129" s="32"/>
      <c r="E129" s="32"/>
      <c r="F129" s="2"/>
      <c r="G129" s="2"/>
      <c r="H129" s="2"/>
      <c r="I129" s="2"/>
      <c r="J129" s="32"/>
      <c r="K129" s="32"/>
      <c r="L129" s="32"/>
      <c r="M129" s="32"/>
      <c r="N129" s="33"/>
      <c r="O129" s="33"/>
      <c r="P129" s="48"/>
      <c r="Q129" s="48"/>
      <c r="R129" s="34"/>
      <c r="S129" s="34"/>
      <c r="T129" s="48"/>
      <c r="U129" s="48"/>
      <c r="V129" s="34"/>
      <c r="W129" s="35" t="s">
        <v>10</v>
      </c>
      <c r="X129" s="35" t="s">
        <v>11</v>
      </c>
      <c r="Y129" s="35" t="s">
        <v>12</v>
      </c>
      <c r="Z129" s="35" t="s">
        <v>13</v>
      </c>
      <c r="AA129" s="35" t="s">
        <v>14</v>
      </c>
      <c r="AB129" s="35" t="s">
        <v>15</v>
      </c>
      <c r="AC129" s="35" t="s">
        <v>16</v>
      </c>
      <c r="AD129" s="35" t="s">
        <v>17</v>
      </c>
    </row>
    <row r="130" spans="1:30">
      <c r="B130" s="36"/>
      <c r="C130" s="36">
        <v>2.6</v>
      </c>
      <c r="D130" s="36"/>
      <c r="E130" s="36"/>
      <c r="F130" s="36"/>
      <c r="G130" s="36"/>
      <c r="H130" s="36"/>
      <c r="I130" s="36"/>
      <c r="J130" s="36"/>
      <c r="K130" s="37"/>
      <c r="L130" s="36">
        <f>+(B130+C130+D130+E130+F130+G130+H130+I130+J130)*4</f>
        <v>10.4</v>
      </c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4"/>
      <c r="X130" s="4"/>
      <c r="Y130" s="4"/>
      <c r="Z130" s="4"/>
      <c r="AA130" s="4"/>
      <c r="AB130" s="4"/>
      <c r="AC130" s="4"/>
      <c r="AD130" s="4"/>
    </row>
    <row r="131" spans="1:30">
      <c r="B131" s="36"/>
      <c r="C131" s="36"/>
      <c r="D131" s="36">
        <v>1.2</v>
      </c>
      <c r="E131" s="36"/>
      <c r="F131" s="36"/>
      <c r="G131" s="36"/>
      <c r="H131" s="36"/>
      <c r="I131" s="36"/>
      <c r="J131" s="36"/>
      <c r="K131" s="37"/>
      <c r="L131" s="36">
        <f t="shared" ref="L131:L135" si="38">+(B131+C131+D131+E131+F131+G131+H131+I131+J131)*4</f>
        <v>4.8</v>
      </c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4"/>
      <c r="X131" s="4"/>
      <c r="Y131" s="4"/>
      <c r="Z131" s="4"/>
      <c r="AA131" s="4"/>
      <c r="AB131" s="4"/>
      <c r="AC131" s="4"/>
      <c r="AD131" s="4"/>
    </row>
    <row r="132" spans="1:30">
      <c r="B132" s="36"/>
      <c r="C132" s="36">
        <v>178.6</v>
      </c>
      <c r="D132" s="36"/>
      <c r="E132" s="36"/>
      <c r="F132" s="36"/>
      <c r="G132" s="36"/>
      <c r="H132" s="36"/>
      <c r="I132" s="36"/>
      <c r="J132" s="36"/>
      <c r="K132" s="37"/>
      <c r="L132" s="36">
        <f t="shared" si="38"/>
        <v>714.4</v>
      </c>
      <c r="M132" s="38"/>
      <c r="N132" s="38"/>
      <c r="O132" s="38"/>
      <c r="P132" s="38"/>
      <c r="Q132" s="38"/>
      <c r="R132" s="38">
        <v>1</v>
      </c>
      <c r="S132" s="38"/>
      <c r="T132" s="38"/>
      <c r="U132" s="38"/>
      <c r="V132" s="38"/>
      <c r="W132" s="4"/>
      <c r="X132" s="4"/>
      <c r="Y132" s="4"/>
      <c r="Z132" s="4"/>
      <c r="AA132" s="4"/>
      <c r="AB132" s="4"/>
      <c r="AC132" s="4"/>
      <c r="AD132" s="4"/>
    </row>
    <row r="133" spans="1:30">
      <c r="B133" s="36"/>
      <c r="C133" s="36"/>
      <c r="D133" s="36">
        <v>33.6</v>
      </c>
      <c r="E133" s="36"/>
      <c r="F133" s="36"/>
      <c r="G133" s="36"/>
      <c r="H133" s="36"/>
      <c r="I133" s="36"/>
      <c r="J133" s="36"/>
      <c r="K133" s="37"/>
      <c r="L133" s="36">
        <f t="shared" si="38"/>
        <v>134.4</v>
      </c>
      <c r="M133" s="38"/>
      <c r="N133" s="38"/>
      <c r="O133" s="38"/>
      <c r="P133" s="38"/>
      <c r="Q133" s="38"/>
      <c r="R133" s="38">
        <v>1</v>
      </c>
      <c r="S133" s="38"/>
      <c r="T133" s="38"/>
      <c r="U133" s="38"/>
      <c r="V133" s="38"/>
      <c r="W133" s="4"/>
      <c r="X133" s="4"/>
      <c r="Y133" s="4"/>
      <c r="Z133" s="4"/>
      <c r="AA133" s="4"/>
      <c r="AB133" s="4"/>
      <c r="AC133" s="4"/>
      <c r="AD133" s="4"/>
    </row>
    <row r="134" spans="1:30">
      <c r="B134" s="36"/>
      <c r="C134" s="36">
        <v>48.1</v>
      </c>
      <c r="D134" s="36"/>
      <c r="E134" s="36"/>
      <c r="F134" s="36"/>
      <c r="G134" s="36"/>
      <c r="H134" s="36"/>
      <c r="I134" s="36"/>
      <c r="J134" s="36"/>
      <c r="K134" s="37"/>
      <c r="L134" s="36">
        <f t="shared" si="38"/>
        <v>192.4</v>
      </c>
      <c r="M134" s="38"/>
      <c r="N134" s="38"/>
      <c r="O134" s="38"/>
      <c r="P134" s="38"/>
      <c r="Q134" s="38"/>
      <c r="R134" s="38">
        <v>1</v>
      </c>
      <c r="S134" s="38"/>
      <c r="T134" s="38"/>
      <c r="U134" s="38"/>
      <c r="V134" s="38"/>
      <c r="W134" s="4"/>
      <c r="X134" s="4"/>
      <c r="Y134" s="4"/>
      <c r="Z134" s="4"/>
      <c r="AA134" s="4"/>
      <c r="AB134" s="4"/>
      <c r="AC134" s="4"/>
      <c r="AD134" s="4"/>
    </row>
    <row r="135" spans="1:30">
      <c r="B135" s="36"/>
      <c r="C135" s="36">
        <v>45.1</v>
      </c>
      <c r="D135" s="36"/>
      <c r="E135" s="36"/>
      <c r="F135" s="36"/>
      <c r="G135" s="36"/>
      <c r="H135" s="36"/>
      <c r="I135" s="36"/>
      <c r="J135" s="36"/>
      <c r="K135" s="37"/>
      <c r="L135" s="36">
        <f t="shared" si="38"/>
        <v>180.4</v>
      </c>
      <c r="M135" s="38"/>
      <c r="N135" s="38"/>
      <c r="O135" s="38"/>
      <c r="P135" s="38"/>
      <c r="Q135" s="38"/>
      <c r="R135" s="38">
        <v>1</v>
      </c>
      <c r="S135" s="38"/>
      <c r="T135" s="38"/>
      <c r="U135" s="38"/>
      <c r="V135" s="38"/>
      <c r="W135" s="4"/>
      <c r="X135" s="4"/>
      <c r="Y135" s="4"/>
      <c r="Z135" s="4"/>
      <c r="AA135" s="4"/>
      <c r="AB135" s="4"/>
      <c r="AC135" s="4"/>
      <c r="AD135" s="4"/>
    </row>
    <row r="136" spans="1:30">
      <c r="A136" s="39" t="s">
        <v>26</v>
      </c>
      <c r="B136" s="36">
        <f t="shared" ref="B136:G136" si="39">SUM(B130:B135)</f>
        <v>0</v>
      </c>
      <c r="C136" s="36">
        <f t="shared" si="39"/>
        <v>274.39999999999998</v>
      </c>
      <c r="D136" s="36">
        <f t="shared" si="39"/>
        <v>34.800000000000004</v>
      </c>
      <c r="E136" s="36">
        <f t="shared" si="39"/>
        <v>0</v>
      </c>
      <c r="F136" s="36">
        <f t="shared" si="39"/>
        <v>0</v>
      </c>
      <c r="G136" s="36">
        <f t="shared" si="39"/>
        <v>0</v>
      </c>
      <c r="H136" s="36"/>
      <c r="I136" s="36"/>
      <c r="J136" s="36"/>
      <c r="K136" s="36"/>
      <c r="L136" s="36">
        <f>SUM(L130:L135)</f>
        <v>1236.8000000000002</v>
      </c>
      <c r="M136" s="38"/>
      <c r="N136" s="38"/>
      <c r="O136" s="38"/>
      <c r="P136" s="38"/>
      <c r="Q136" s="38"/>
      <c r="R136" s="38">
        <f>SUM(R130:R135)</f>
        <v>4</v>
      </c>
      <c r="S136" s="38"/>
      <c r="T136" s="38"/>
      <c r="U136" s="38"/>
      <c r="V136" s="38"/>
      <c r="W136" s="4"/>
      <c r="X136" s="4"/>
      <c r="Y136" s="4"/>
      <c r="Z136" s="4"/>
      <c r="AA136" s="4"/>
      <c r="AB136" s="4"/>
      <c r="AC136" s="4"/>
      <c r="AD136" s="4"/>
    </row>
    <row r="137" spans="1:30">
      <c r="M137" s="20"/>
      <c r="W137" s="8"/>
      <c r="X137" s="8"/>
      <c r="Y137" s="8"/>
      <c r="Z137" s="8"/>
      <c r="AA137" s="8"/>
      <c r="AB137" s="8"/>
      <c r="AC137" s="8"/>
      <c r="AD137" s="8"/>
    </row>
    <row r="138" spans="1:30">
      <c r="G138" s="76"/>
      <c r="H138" s="77"/>
      <c r="I138" s="77"/>
      <c r="J138" s="78"/>
      <c r="K138" s="27" t="s">
        <v>8</v>
      </c>
      <c r="L138" s="27" t="s">
        <v>6</v>
      </c>
      <c r="M138" s="20"/>
      <c r="W138" s="8"/>
      <c r="X138" s="8"/>
      <c r="Y138" s="8"/>
      <c r="Z138" s="8"/>
      <c r="AA138" s="8"/>
      <c r="AB138" s="8"/>
      <c r="AC138" s="8"/>
      <c r="AD138" s="8"/>
    </row>
    <row r="139" spans="1:30">
      <c r="G139" s="75" t="s">
        <v>100</v>
      </c>
      <c r="H139" s="75"/>
      <c r="I139" s="75"/>
      <c r="J139" s="75"/>
      <c r="K139" s="50">
        <f>+K6</f>
        <v>1.1000000000000001</v>
      </c>
      <c r="L139" s="42"/>
      <c r="M139" s="20"/>
      <c r="W139" s="8"/>
      <c r="X139" s="8"/>
      <c r="Y139" s="8"/>
      <c r="Z139" s="8"/>
      <c r="AA139" s="8"/>
      <c r="AB139" s="8"/>
      <c r="AC139" s="8"/>
      <c r="AD139" s="8"/>
    </row>
    <row r="140" spans="1:30">
      <c r="G140" s="75" t="s">
        <v>101</v>
      </c>
      <c r="H140" s="75"/>
      <c r="I140" s="75"/>
      <c r="J140" s="75"/>
      <c r="K140" s="43"/>
      <c r="L140" s="43">
        <f>+L13</f>
        <v>2.5</v>
      </c>
      <c r="M140" s="20"/>
      <c r="W140" s="8"/>
      <c r="X140" s="8"/>
      <c r="Y140" s="8"/>
      <c r="Z140" s="8"/>
      <c r="AA140" s="8"/>
      <c r="AB140" s="8"/>
      <c r="AC140" s="8"/>
      <c r="AD140" s="8"/>
    </row>
    <row r="141" spans="1:30">
      <c r="G141" s="75" t="s">
        <v>102</v>
      </c>
      <c r="H141" s="75"/>
      <c r="I141" s="75"/>
      <c r="J141" s="75"/>
      <c r="K141" s="49">
        <f>+K20</f>
        <v>1</v>
      </c>
      <c r="L141" s="43">
        <f>L20+L43+L81+L91</f>
        <v>1023.4</v>
      </c>
      <c r="M141" s="20"/>
      <c r="W141" s="8"/>
      <c r="X141" s="8"/>
      <c r="Y141" s="8"/>
      <c r="Z141" s="8"/>
      <c r="AA141" s="8"/>
      <c r="AB141" s="8"/>
      <c r="AC141" s="8"/>
      <c r="AD141" s="8"/>
    </row>
    <row r="142" spans="1:30">
      <c r="G142" s="75" t="s">
        <v>103</v>
      </c>
      <c r="H142" s="75"/>
      <c r="I142" s="75"/>
      <c r="J142" s="75"/>
      <c r="K142" s="49">
        <f>K55+K81</f>
        <v>459.3</v>
      </c>
      <c r="L142" s="43">
        <f>L101+L110</f>
        <v>459.22999999999996</v>
      </c>
      <c r="M142" s="20"/>
      <c r="W142" s="8"/>
      <c r="X142" s="8"/>
      <c r="Y142" s="8"/>
      <c r="Z142" s="8"/>
      <c r="AA142" s="8"/>
      <c r="AB142" s="8"/>
      <c r="AC142" s="8"/>
      <c r="AD142" s="8"/>
    </row>
    <row r="143" spans="1:30">
      <c r="G143" s="75" t="s">
        <v>18</v>
      </c>
      <c r="H143" s="75"/>
      <c r="I143" s="75"/>
      <c r="J143" s="75"/>
      <c r="K143" s="49">
        <f>K69+K91+K101</f>
        <v>638.08999999999992</v>
      </c>
      <c r="L143" s="43"/>
      <c r="M143" s="20"/>
      <c r="W143" s="8"/>
      <c r="X143" s="8"/>
      <c r="Y143" s="8"/>
      <c r="Z143" s="8"/>
      <c r="AA143" s="8"/>
      <c r="AB143" s="8"/>
      <c r="AC143" s="8"/>
      <c r="AD143" s="8"/>
    </row>
    <row r="144" spans="1:30">
      <c r="G144" s="75" t="s">
        <v>26</v>
      </c>
      <c r="H144" s="75"/>
      <c r="I144" s="75"/>
      <c r="J144" s="75"/>
      <c r="K144" s="43">
        <f>SUM(K139:K143)</f>
        <v>1099.49</v>
      </c>
      <c r="L144" s="43">
        <f>SUM(L139:L143)</f>
        <v>1485.13</v>
      </c>
      <c r="M144" s="20"/>
      <c r="W144" s="8"/>
      <c r="X144" s="8"/>
      <c r="Y144" s="8"/>
      <c r="Z144" s="8"/>
      <c r="AA144" s="8"/>
      <c r="AB144" s="8"/>
      <c r="AC144" s="8"/>
      <c r="AD144" s="8"/>
    </row>
    <row r="145" spans="1:31">
      <c r="G145" s="45"/>
      <c r="H145" s="45"/>
      <c r="I145" s="45"/>
      <c r="J145" s="45"/>
      <c r="K145" s="51" t="s">
        <v>164</v>
      </c>
      <c r="L145" s="46"/>
      <c r="M145" s="20"/>
      <c r="W145" s="8"/>
      <c r="X145" s="8"/>
      <c r="Y145" s="8"/>
      <c r="Z145" s="8"/>
      <c r="AA145" s="8"/>
      <c r="AB145" s="8"/>
      <c r="AC145" s="8"/>
      <c r="AD145" s="8"/>
    </row>
    <row r="146" spans="1:31" s="1" customFormat="1">
      <c r="A146" s="9"/>
      <c r="B146" s="1" t="s">
        <v>105</v>
      </c>
      <c r="K146" s="52" t="s">
        <v>165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8"/>
      <c r="Y146" s="8"/>
      <c r="Z146" s="8"/>
      <c r="AA146" s="8"/>
      <c r="AB146" s="8"/>
      <c r="AC146" s="8"/>
      <c r="AD146" s="8"/>
      <c r="AE146" s="8"/>
    </row>
    <row r="147" spans="1:31" s="1" customFormat="1">
      <c r="A147" s="9"/>
      <c r="B147" s="1" t="s">
        <v>116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8"/>
      <c r="Y147" s="8"/>
      <c r="Z147" s="8"/>
      <c r="AA147" s="8"/>
      <c r="AB147" s="8"/>
      <c r="AC147" s="8"/>
      <c r="AD147" s="8"/>
      <c r="AE147" s="8"/>
    </row>
    <row r="148" spans="1:31" s="1" customFormat="1">
      <c r="A148" s="9"/>
      <c r="B148" s="1" t="s">
        <v>162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8"/>
      <c r="Y148" s="8"/>
      <c r="Z148" s="8"/>
      <c r="AA148" s="8"/>
      <c r="AB148" s="8"/>
      <c r="AC148" s="8"/>
      <c r="AD148" s="8"/>
      <c r="AE148" s="8"/>
    </row>
    <row r="149" spans="1:31" s="1" customFormat="1">
      <c r="A149" s="9"/>
      <c r="C149" s="1" t="s">
        <v>110</v>
      </c>
      <c r="N149" s="3"/>
      <c r="P149" s="1">
        <f>(4.7)*2</f>
        <v>9.4</v>
      </c>
      <c r="Q149" s="1" t="s">
        <v>106</v>
      </c>
      <c r="R149" s="3"/>
      <c r="S149" s="3"/>
      <c r="T149" s="3"/>
      <c r="U149" s="3"/>
      <c r="V149" s="3"/>
      <c r="W149" s="3"/>
      <c r="X149" s="8"/>
      <c r="Y149" s="8"/>
      <c r="Z149" s="8"/>
      <c r="AA149" s="8"/>
      <c r="AB149" s="8"/>
      <c r="AC149" s="8"/>
      <c r="AD149" s="8"/>
      <c r="AE149" s="8"/>
    </row>
    <row r="150" spans="1:31" s="1" customFormat="1">
      <c r="A150" s="9"/>
      <c r="B150" s="1" t="s">
        <v>109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8"/>
      <c r="Y150" s="8"/>
      <c r="Z150" s="8"/>
      <c r="AA150" s="8"/>
      <c r="AB150" s="8"/>
      <c r="AC150" s="8"/>
      <c r="AD150" s="8"/>
      <c r="AE150" s="8"/>
    </row>
    <row r="151" spans="1:31" s="1" customFormat="1">
      <c r="A151" s="9"/>
      <c r="C151" s="1" t="s">
        <v>149</v>
      </c>
      <c r="N151" s="3"/>
      <c r="P151" s="1">
        <f>(108.5+3.2+89.3+9.1+29+28.9+6.7+27.6+145.3+2.8+81+25.7+5.6+65.2+87.6+17.2+342)*2</f>
        <v>2149.4000000000005</v>
      </c>
      <c r="Q151" s="1" t="s">
        <v>106</v>
      </c>
      <c r="R151" s="3"/>
      <c r="S151" s="3"/>
      <c r="T151" s="3"/>
      <c r="U151" s="3"/>
      <c r="V151" s="3"/>
      <c r="W151" s="3"/>
      <c r="X151" s="8"/>
      <c r="Y151" s="8"/>
      <c r="Z151" s="8"/>
      <c r="AA151" s="8"/>
      <c r="AB151" s="8"/>
      <c r="AC151" s="8"/>
      <c r="AD151" s="8"/>
      <c r="AE151" s="8"/>
    </row>
    <row r="152" spans="1:31" s="1" customFormat="1">
      <c r="A152" s="9"/>
      <c r="N152" s="3"/>
      <c r="O152" s="44" t="s">
        <v>123</v>
      </c>
      <c r="P152" s="1">
        <f>+P149+P151</f>
        <v>2158.8000000000006</v>
      </c>
      <c r="Q152" s="1" t="s">
        <v>106</v>
      </c>
      <c r="R152" s="3"/>
      <c r="S152" s="3"/>
      <c r="T152" s="3"/>
      <c r="U152" s="3"/>
      <c r="V152" s="3"/>
      <c r="W152" s="3"/>
      <c r="X152" s="8"/>
      <c r="Y152" s="8"/>
      <c r="Z152" s="8"/>
      <c r="AA152" s="8"/>
      <c r="AB152" s="8"/>
      <c r="AC152" s="8"/>
      <c r="AD152" s="8"/>
      <c r="AE152" s="8"/>
    </row>
    <row r="153" spans="1:31" s="1" customFormat="1">
      <c r="A153" s="9"/>
      <c r="B153" s="1" t="s">
        <v>161</v>
      </c>
      <c r="N153" s="3"/>
      <c r="O153" s="44"/>
      <c r="R153" s="3"/>
      <c r="S153" s="3"/>
      <c r="T153" s="3"/>
      <c r="U153" s="3"/>
      <c r="V153" s="3"/>
      <c r="W153" s="3"/>
      <c r="X153" s="8"/>
      <c r="Y153" s="8"/>
      <c r="Z153" s="8"/>
      <c r="AA153" s="8"/>
      <c r="AB153" s="8"/>
      <c r="AC153" s="8"/>
      <c r="AD153" s="8"/>
      <c r="AE153" s="8"/>
    </row>
    <row r="154" spans="1:31" s="1" customFormat="1">
      <c r="A154" s="9"/>
      <c r="B154" s="1" t="s">
        <v>150</v>
      </c>
      <c r="D154" s="1" t="s">
        <v>154</v>
      </c>
      <c r="G154" s="1" t="s">
        <v>160</v>
      </c>
      <c r="H154" s="1">
        <f>(108.5+89.3+29+6.7)*2</f>
        <v>467</v>
      </c>
      <c r="N154" s="3"/>
      <c r="O154" s="44"/>
      <c r="R154" s="3"/>
      <c r="S154" s="3"/>
      <c r="T154" s="3"/>
      <c r="U154" s="3"/>
      <c r="V154" s="3"/>
      <c r="W154" s="3"/>
      <c r="X154" s="8"/>
      <c r="Y154" s="8"/>
      <c r="Z154" s="8"/>
      <c r="AA154" s="8"/>
      <c r="AB154" s="8"/>
      <c r="AC154" s="8"/>
      <c r="AD154" s="8"/>
      <c r="AE154" s="8"/>
    </row>
    <row r="155" spans="1:31" s="1" customFormat="1">
      <c r="A155" s="9"/>
      <c r="B155" s="1" t="s">
        <v>151</v>
      </c>
      <c r="D155" s="1" t="s">
        <v>155</v>
      </c>
      <c r="G155" s="1" t="s">
        <v>160</v>
      </c>
      <c r="H155" s="1">
        <f>(81+5.6)*2</f>
        <v>173.2</v>
      </c>
      <c r="N155" s="3"/>
      <c r="O155" s="44"/>
      <c r="R155" s="3"/>
      <c r="S155" s="3"/>
      <c r="T155" s="3"/>
      <c r="U155" s="3"/>
      <c r="V155" s="3"/>
      <c r="W155" s="3"/>
      <c r="X155" s="8"/>
      <c r="Y155" s="8"/>
      <c r="Z155" s="8"/>
      <c r="AA155" s="8"/>
      <c r="AB155" s="8"/>
      <c r="AC155" s="8"/>
      <c r="AD155" s="8"/>
      <c r="AE155" s="8"/>
    </row>
    <row r="156" spans="1:31" s="1" customFormat="1">
      <c r="A156" s="9"/>
      <c r="B156" s="1" t="s">
        <v>152</v>
      </c>
      <c r="D156" s="1" t="s">
        <v>156</v>
      </c>
      <c r="G156" s="1" t="s">
        <v>160</v>
      </c>
      <c r="H156" s="1">
        <f>(87.6+17.2+342)*2</f>
        <v>893.6</v>
      </c>
      <c r="N156" s="3"/>
      <c r="O156" s="44"/>
      <c r="R156" s="3"/>
      <c r="S156" s="3"/>
      <c r="T156" s="3"/>
      <c r="U156" s="3"/>
      <c r="V156" s="3"/>
      <c r="W156" s="3"/>
      <c r="X156" s="8"/>
      <c r="Y156" s="8"/>
      <c r="Z156" s="8"/>
      <c r="AA156" s="8"/>
      <c r="AB156" s="8"/>
      <c r="AC156" s="8"/>
      <c r="AD156" s="8"/>
      <c r="AE156" s="8"/>
    </row>
    <row r="157" spans="1:31" s="1" customFormat="1">
      <c r="A157" s="9"/>
      <c r="B157" s="1" t="s">
        <v>153</v>
      </c>
      <c r="D157" s="1" t="s">
        <v>157</v>
      </c>
      <c r="G157" s="1" t="s">
        <v>160</v>
      </c>
      <c r="H157" s="1">
        <f>(3.2+9.1+28.9+27.6+145.3)*2</f>
        <v>428.20000000000005</v>
      </c>
      <c r="N157" s="3"/>
      <c r="O157" s="44"/>
      <c r="R157" s="3"/>
      <c r="S157" s="3"/>
      <c r="T157" s="3"/>
      <c r="U157" s="3"/>
      <c r="V157" s="3"/>
      <c r="W157" s="3"/>
      <c r="X157" s="8"/>
      <c r="Y157" s="8"/>
      <c r="Z157" s="8"/>
      <c r="AA157" s="8"/>
      <c r="AB157" s="8"/>
      <c r="AC157" s="8"/>
      <c r="AD157" s="8"/>
      <c r="AE157" s="8"/>
    </row>
    <row r="158" spans="1:31" s="1" customFormat="1">
      <c r="A158" s="9"/>
      <c r="B158" s="1" t="s">
        <v>158</v>
      </c>
      <c r="D158" s="1" t="s">
        <v>159</v>
      </c>
      <c r="G158" s="1" t="s">
        <v>160</v>
      </c>
      <c r="H158" s="1">
        <f>(2.8+25.7+65.2)*2</f>
        <v>187.4</v>
      </c>
      <c r="N158" s="3"/>
      <c r="O158" s="44"/>
      <c r="R158" s="3"/>
      <c r="S158" s="3"/>
      <c r="T158" s="3"/>
      <c r="U158" s="3"/>
      <c r="V158" s="3"/>
      <c r="W158" s="3"/>
      <c r="X158" s="8"/>
      <c r="Y158" s="8"/>
      <c r="Z158" s="8"/>
      <c r="AA158" s="8"/>
      <c r="AB158" s="8"/>
      <c r="AC158" s="8"/>
      <c r="AD158" s="8"/>
      <c r="AE158" s="8"/>
    </row>
    <row r="159" spans="1:31" s="1" customFormat="1">
      <c r="A159" s="9"/>
      <c r="N159" s="3"/>
      <c r="O159" s="44"/>
      <c r="R159" s="3"/>
      <c r="S159" s="3"/>
      <c r="T159" s="3"/>
      <c r="U159" s="3"/>
      <c r="V159" s="3"/>
      <c r="W159" s="3"/>
      <c r="X159" s="8"/>
      <c r="Y159" s="8"/>
      <c r="Z159" s="8"/>
      <c r="AA159" s="8"/>
      <c r="AB159" s="8"/>
      <c r="AC159" s="8"/>
      <c r="AD159" s="8"/>
      <c r="AE159" s="8"/>
    </row>
    <row r="160" spans="1:31" s="1" customFormat="1">
      <c r="A160" s="9"/>
      <c r="B160" s="1" t="s">
        <v>121</v>
      </c>
      <c r="N160" s="3"/>
      <c r="R160" s="3"/>
      <c r="S160" s="3"/>
      <c r="T160" s="3"/>
      <c r="U160" s="3"/>
      <c r="V160" s="3"/>
      <c r="W160" s="3"/>
      <c r="X160" s="8"/>
      <c r="Y160" s="8"/>
      <c r="Z160" s="8"/>
      <c r="AA160" s="8"/>
      <c r="AB160" s="8"/>
      <c r="AC160" s="8"/>
      <c r="AD160" s="8"/>
      <c r="AE160" s="8"/>
    </row>
    <row r="161" spans="1:31" s="1" customFormat="1">
      <c r="A161" s="9"/>
      <c r="B161" s="1" t="s">
        <v>107</v>
      </c>
      <c r="N161" s="3"/>
      <c r="R161" s="3"/>
      <c r="S161" s="3"/>
      <c r="T161" s="3"/>
      <c r="U161" s="3"/>
      <c r="V161" s="3"/>
      <c r="W161" s="3"/>
      <c r="X161" s="8"/>
      <c r="Y161" s="8"/>
      <c r="Z161" s="8"/>
      <c r="AA161" s="8"/>
      <c r="AB161" s="8"/>
      <c r="AC161" s="8"/>
      <c r="AD161" s="8"/>
      <c r="AE161" s="8"/>
    </row>
    <row r="162" spans="1:31" s="1" customFormat="1">
      <c r="A162" s="9"/>
      <c r="C162" s="1" t="s">
        <v>108</v>
      </c>
      <c r="N162" s="3"/>
      <c r="P162" s="1">
        <f>+L124</f>
        <v>998.4</v>
      </c>
      <c r="Q162" s="1" t="s">
        <v>106</v>
      </c>
      <c r="R162" s="3"/>
      <c r="S162" s="3"/>
      <c r="T162" s="3"/>
      <c r="U162" s="3"/>
      <c r="V162" s="3"/>
      <c r="W162" s="3"/>
      <c r="X162" s="8"/>
      <c r="Y162" s="8"/>
      <c r="Z162" s="8"/>
      <c r="AA162" s="8"/>
      <c r="AB162" s="8"/>
      <c r="AC162" s="8"/>
      <c r="AD162" s="8"/>
      <c r="AE162" s="8"/>
    </row>
    <row r="163" spans="1:31" s="1" customFormat="1">
      <c r="A163" s="9"/>
      <c r="B163" s="1" t="s">
        <v>118</v>
      </c>
      <c r="N163" s="3"/>
      <c r="R163" s="3"/>
      <c r="S163" s="3"/>
      <c r="T163" s="3"/>
      <c r="U163" s="3"/>
      <c r="V163" s="3"/>
      <c r="W163" s="3"/>
      <c r="X163" s="8"/>
      <c r="Y163" s="8"/>
      <c r="Z163" s="8"/>
      <c r="AA163" s="8"/>
      <c r="AB163" s="8"/>
      <c r="AC163" s="8"/>
      <c r="AD163" s="8"/>
      <c r="AE163" s="8"/>
    </row>
    <row r="164" spans="1:31" s="1" customFormat="1">
      <c r="A164" s="9"/>
      <c r="C164" s="1" t="s">
        <v>119</v>
      </c>
      <c r="N164" s="3"/>
      <c r="P164" s="1">
        <f>+(21.9+183.9)*2</f>
        <v>411.6</v>
      </c>
      <c r="Q164" s="1" t="s">
        <v>106</v>
      </c>
      <c r="R164" s="3"/>
      <c r="S164" s="3"/>
      <c r="T164" s="3"/>
      <c r="U164" s="3"/>
      <c r="V164" s="3"/>
      <c r="W164" s="3"/>
      <c r="X164" s="8"/>
      <c r="Y164" s="8"/>
      <c r="Z164" s="8"/>
      <c r="AA164" s="8"/>
      <c r="AB164" s="8"/>
      <c r="AC164" s="8"/>
      <c r="AD164" s="8"/>
      <c r="AE164" s="8"/>
    </row>
    <row r="165" spans="1:31" s="1" customFormat="1">
      <c r="A165" s="9"/>
      <c r="B165" s="1" t="s">
        <v>167</v>
      </c>
      <c r="N165" s="3"/>
      <c r="R165" s="3"/>
      <c r="S165" s="3"/>
      <c r="T165" s="3"/>
      <c r="U165" s="3"/>
      <c r="V165" s="3"/>
      <c r="W165" s="3"/>
      <c r="X165" s="8"/>
      <c r="Y165" s="8"/>
      <c r="Z165" s="8"/>
      <c r="AA165" s="8"/>
      <c r="AB165" s="8"/>
      <c r="AC165" s="8"/>
      <c r="AD165" s="8"/>
      <c r="AE165" s="8"/>
    </row>
    <row r="166" spans="1:31" s="1" customFormat="1">
      <c r="A166" s="9"/>
      <c r="C166" s="1" t="s">
        <v>166</v>
      </c>
      <c r="N166" s="3"/>
      <c r="P166" s="1">
        <f>(3.6)*2</f>
        <v>7.2</v>
      </c>
      <c r="Q166" s="1" t="s">
        <v>106</v>
      </c>
      <c r="R166" s="3"/>
      <c r="S166" s="3"/>
      <c r="T166" s="3"/>
      <c r="U166" s="3"/>
      <c r="V166" s="3"/>
      <c r="W166" s="3"/>
      <c r="X166" s="8"/>
      <c r="Y166" s="8"/>
      <c r="Z166" s="8"/>
      <c r="AA166" s="8"/>
      <c r="AB166" s="8"/>
      <c r="AC166" s="8"/>
      <c r="AD166" s="8"/>
      <c r="AE166" s="8"/>
    </row>
    <row r="167" spans="1:31" s="1" customFormat="1">
      <c r="A167" s="9"/>
      <c r="B167" s="1" t="s">
        <v>117</v>
      </c>
      <c r="N167" s="3"/>
      <c r="O167" s="44"/>
      <c r="R167" s="3"/>
      <c r="S167" s="3"/>
      <c r="T167" s="3"/>
      <c r="U167" s="3"/>
      <c r="V167" s="3"/>
      <c r="W167" s="3"/>
      <c r="X167" s="8"/>
      <c r="Y167" s="8"/>
      <c r="Z167" s="8"/>
      <c r="AA167" s="8"/>
      <c r="AB167" s="8"/>
      <c r="AC167" s="8"/>
      <c r="AD167" s="8"/>
      <c r="AE167" s="8"/>
    </row>
    <row r="168" spans="1:31" s="1" customFormat="1">
      <c r="A168" s="9"/>
      <c r="C168" s="1" t="s">
        <v>163</v>
      </c>
      <c r="N168" s="3"/>
      <c r="P168" s="1">
        <f>+(5.6+87.6)*2</f>
        <v>186.39999999999998</v>
      </c>
      <c r="Q168" s="1" t="s">
        <v>106</v>
      </c>
      <c r="R168" s="3"/>
      <c r="S168" s="3"/>
      <c r="T168" s="3"/>
      <c r="U168" s="3"/>
      <c r="V168" s="3"/>
      <c r="W168" s="3"/>
      <c r="X168" s="8"/>
      <c r="Y168" s="8"/>
      <c r="Z168" s="8"/>
      <c r="AA168" s="8"/>
      <c r="AB168" s="8"/>
      <c r="AC168" s="8"/>
      <c r="AD168" s="8"/>
      <c r="AE168" s="8"/>
    </row>
    <row r="169" spans="1:31" s="1" customFormat="1">
      <c r="A169" s="9"/>
      <c r="N169" s="3"/>
      <c r="O169" s="44" t="s">
        <v>56</v>
      </c>
      <c r="P169" s="1">
        <f>+P162+P164+P166+P168</f>
        <v>1603.6</v>
      </c>
      <c r="Q169" s="1" t="s">
        <v>106</v>
      </c>
      <c r="R169" s="3"/>
      <c r="S169" s="3"/>
      <c r="T169" s="3"/>
      <c r="U169" s="3"/>
      <c r="V169" s="3"/>
      <c r="W169" s="3"/>
      <c r="X169" s="8"/>
      <c r="Y169" s="8"/>
      <c r="Z169" s="8"/>
      <c r="AA169" s="8"/>
      <c r="AB169" s="8"/>
      <c r="AC169" s="8"/>
      <c r="AD169" s="8"/>
      <c r="AE169" s="8"/>
    </row>
    <row r="170" spans="1:31">
      <c r="M170" s="20"/>
      <c r="W170" s="8"/>
      <c r="X170" s="8"/>
      <c r="Y170" s="8"/>
      <c r="Z170" s="8"/>
      <c r="AA170" s="8"/>
      <c r="AB170" s="8"/>
      <c r="AC170" s="8"/>
      <c r="AD170" s="8"/>
    </row>
    <row r="171" spans="1:31">
      <c r="B171" s="1" t="s">
        <v>122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"/>
      <c r="O171" s="1"/>
      <c r="P171" s="1"/>
      <c r="Q171" s="1"/>
      <c r="W171" s="8"/>
      <c r="X171" s="8"/>
      <c r="Y171" s="8"/>
      <c r="Z171" s="8"/>
      <c r="AA171" s="8"/>
      <c r="AB171" s="8"/>
      <c r="AC171" s="8"/>
      <c r="AD171" s="8"/>
    </row>
    <row r="172" spans="1:31">
      <c r="B172" s="1" t="s">
        <v>107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"/>
      <c r="O172" s="1"/>
      <c r="P172" s="1"/>
      <c r="Q172" s="1"/>
      <c r="W172" s="8"/>
      <c r="X172" s="8"/>
      <c r="Y172" s="8"/>
      <c r="Z172" s="8"/>
      <c r="AA172" s="8"/>
      <c r="AB172" s="8"/>
      <c r="AC172" s="8"/>
      <c r="AD172" s="8"/>
    </row>
    <row r="173" spans="1:31">
      <c r="B173" s="1"/>
      <c r="C173" s="1" t="s">
        <v>108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"/>
      <c r="O173" s="1"/>
      <c r="P173" s="1">
        <f>+L136</f>
        <v>1236.8000000000002</v>
      </c>
      <c r="Q173" s="1" t="s">
        <v>106</v>
      </c>
      <c r="W173" s="8"/>
      <c r="X173" s="8"/>
      <c r="Y173" s="8"/>
      <c r="Z173" s="8"/>
      <c r="AA173" s="8"/>
      <c r="AB173" s="8"/>
      <c r="AC173" s="8"/>
      <c r="AD173" s="8"/>
    </row>
    <row r="174" spans="1:31">
      <c r="N174" s="21"/>
      <c r="O174" s="44" t="s">
        <v>120</v>
      </c>
      <c r="P174" s="21">
        <f>+P169+P173</f>
        <v>2840.4</v>
      </c>
      <c r="Q174" s="1" t="s">
        <v>106</v>
      </c>
      <c r="R174" s="21"/>
      <c r="S174" s="21"/>
      <c r="T174" s="21"/>
      <c r="U174" s="21"/>
      <c r="V174" s="21"/>
    </row>
    <row r="175" spans="1:31" s="23" customFormat="1">
      <c r="A175" s="20"/>
      <c r="B175" s="21" t="s">
        <v>124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AE175" s="21"/>
    </row>
    <row r="176" spans="1:31" s="23" customFormat="1">
      <c r="A176" s="20"/>
      <c r="B176" s="1" t="s">
        <v>109</v>
      </c>
      <c r="C176" s="21"/>
      <c r="D176" s="21"/>
      <c r="E176" s="21"/>
      <c r="F176" s="21" t="s">
        <v>125</v>
      </c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AE176" s="21"/>
    </row>
    <row r="177" spans="1:31" s="23" customFormat="1">
      <c r="A177" s="20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AE177" s="21"/>
    </row>
    <row r="178" spans="1:31" s="23" customFormat="1">
      <c r="A178" s="20"/>
      <c r="B178" s="21" t="s">
        <v>139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AE178" s="21"/>
    </row>
    <row r="179" spans="1:31" s="23" customFormat="1">
      <c r="A179" s="20"/>
      <c r="B179" s="1" t="s">
        <v>118</v>
      </c>
      <c r="C179" s="1"/>
      <c r="D179" s="21"/>
      <c r="E179" s="1"/>
      <c r="F179" s="21" t="s">
        <v>125</v>
      </c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AE179" s="21"/>
    </row>
    <row r="180" spans="1:31" s="23" customFormat="1">
      <c r="A180" s="20"/>
      <c r="B180" s="1" t="s">
        <v>109</v>
      </c>
      <c r="C180" s="21"/>
      <c r="D180" s="21"/>
      <c r="E180" s="21"/>
      <c r="F180" s="21" t="s">
        <v>126</v>
      </c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AE180" s="21"/>
    </row>
    <row r="181" spans="1:31" s="23" customFormat="1">
      <c r="A181" s="20"/>
      <c r="B181" s="21"/>
      <c r="C181" s="21"/>
      <c r="D181" s="21"/>
      <c r="E181" s="46" t="s">
        <v>127</v>
      </c>
      <c r="F181" s="21" t="s">
        <v>128</v>
      </c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AE181" s="21"/>
    </row>
    <row r="182" spans="1:31" s="23" customFormat="1">
      <c r="A182" s="20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AE182" s="21"/>
    </row>
    <row r="183" spans="1:31" s="54" customFormat="1">
      <c r="A183" s="53"/>
      <c r="B183" s="53" t="s">
        <v>169</v>
      </c>
      <c r="N183" s="53"/>
      <c r="O183" s="53"/>
      <c r="P183" s="53"/>
      <c r="Q183" s="53"/>
      <c r="R183" s="53"/>
      <c r="S183" s="53"/>
      <c r="T183" s="53"/>
      <c r="U183" s="53"/>
      <c r="V183" s="53"/>
      <c r="W183" s="55"/>
      <c r="X183" s="55"/>
      <c r="Y183" s="55"/>
      <c r="Z183" s="56"/>
      <c r="AA183" s="55"/>
      <c r="AB183" s="57"/>
      <c r="AC183" s="57"/>
      <c r="AD183" s="57"/>
    </row>
    <row r="184" spans="1:31" s="54" customFormat="1">
      <c r="A184" s="53"/>
      <c r="B184" s="81" t="s">
        <v>7</v>
      </c>
      <c r="C184" s="81"/>
      <c r="D184" s="81"/>
      <c r="E184" s="81"/>
      <c r="F184" s="81"/>
      <c r="G184" s="81"/>
      <c r="H184" s="81"/>
      <c r="I184" s="81"/>
      <c r="J184" s="81"/>
      <c r="K184" s="58" t="s">
        <v>8</v>
      </c>
      <c r="L184" s="58" t="s">
        <v>6</v>
      </c>
      <c r="M184" s="58" t="s">
        <v>9</v>
      </c>
      <c r="N184" s="82" t="s">
        <v>0</v>
      </c>
      <c r="O184" s="82"/>
      <c r="P184" s="82"/>
      <c r="Q184" s="82"/>
      <c r="R184" s="82" t="s">
        <v>6</v>
      </c>
      <c r="S184" s="82"/>
      <c r="T184" s="82"/>
      <c r="U184" s="82"/>
      <c r="V184" s="59"/>
      <c r="W184" s="83" t="s">
        <v>174</v>
      </c>
      <c r="X184" s="83"/>
      <c r="Y184" s="83"/>
      <c r="Z184" s="83"/>
      <c r="AA184" s="83"/>
      <c r="AB184" s="83"/>
      <c r="AC184" s="83"/>
      <c r="AD184" s="83"/>
    </row>
    <row r="185" spans="1:31" s="54" customFormat="1">
      <c r="A185" s="53"/>
      <c r="B185" s="60" t="s">
        <v>141</v>
      </c>
      <c r="C185" s="60" t="s">
        <v>69</v>
      </c>
      <c r="D185" s="60" t="s">
        <v>19</v>
      </c>
      <c r="E185" s="60" t="s">
        <v>21</v>
      </c>
      <c r="F185" s="61" t="s">
        <v>70</v>
      </c>
      <c r="G185" s="61" t="s">
        <v>22</v>
      </c>
      <c r="H185" s="61" t="s">
        <v>170</v>
      </c>
      <c r="I185" s="61"/>
      <c r="J185" s="60"/>
      <c r="K185" s="60"/>
      <c r="L185" s="60"/>
      <c r="M185" s="60"/>
      <c r="N185" s="62" t="s">
        <v>114</v>
      </c>
      <c r="O185" s="62" t="s">
        <v>4</v>
      </c>
      <c r="P185" s="82" t="s">
        <v>5</v>
      </c>
      <c r="Q185" s="82"/>
      <c r="R185" s="62" t="s">
        <v>114</v>
      </c>
      <c r="S185" s="62" t="s">
        <v>4</v>
      </c>
      <c r="T185" s="82" t="s">
        <v>5</v>
      </c>
      <c r="U185" s="82"/>
      <c r="V185" s="63" t="s">
        <v>3</v>
      </c>
      <c r="W185" s="64">
        <v>1.5</v>
      </c>
      <c r="X185" s="64">
        <v>2</v>
      </c>
      <c r="Y185" s="64">
        <v>2.5</v>
      </c>
      <c r="Z185" s="64">
        <v>2.5</v>
      </c>
      <c r="AA185" s="64">
        <v>3</v>
      </c>
      <c r="AB185" s="64">
        <v>3.5</v>
      </c>
      <c r="AC185" s="64">
        <v>4</v>
      </c>
      <c r="AD185" s="64">
        <v>4</v>
      </c>
    </row>
    <row r="186" spans="1:31" s="54" customFormat="1">
      <c r="A186" s="53"/>
      <c r="B186" s="65"/>
      <c r="C186" s="65"/>
      <c r="D186" s="65"/>
      <c r="E186" s="65"/>
      <c r="F186" s="66"/>
      <c r="G186" s="66" t="s">
        <v>20</v>
      </c>
      <c r="H186" s="66" t="s">
        <v>171</v>
      </c>
      <c r="I186" s="66"/>
      <c r="J186" s="65"/>
      <c r="K186" s="65"/>
      <c r="L186" s="65"/>
      <c r="M186" s="65"/>
      <c r="N186" s="67"/>
      <c r="O186" s="67"/>
      <c r="P186" s="68" t="s">
        <v>1</v>
      </c>
      <c r="Q186" s="68" t="s">
        <v>2</v>
      </c>
      <c r="R186" s="69"/>
      <c r="S186" s="69"/>
      <c r="T186" s="68" t="s">
        <v>1</v>
      </c>
      <c r="U186" s="68" t="s">
        <v>2</v>
      </c>
      <c r="V186" s="69"/>
      <c r="W186" s="70" t="s">
        <v>10</v>
      </c>
      <c r="X186" s="70" t="s">
        <v>11</v>
      </c>
      <c r="Y186" s="70" t="s">
        <v>12</v>
      </c>
      <c r="Z186" s="70" t="s">
        <v>13</v>
      </c>
      <c r="AA186" s="70" t="s">
        <v>14</v>
      </c>
      <c r="AB186" s="70" t="s">
        <v>15</v>
      </c>
      <c r="AC186" s="70" t="s">
        <v>16</v>
      </c>
      <c r="AD186" s="70" t="s">
        <v>17</v>
      </c>
    </row>
    <row r="187" spans="1:31" s="54" customFormat="1">
      <c r="A187" s="53" t="s">
        <v>172</v>
      </c>
      <c r="B187" s="71"/>
      <c r="C187" s="71">
        <v>0.505</v>
      </c>
      <c r="D187" s="71"/>
      <c r="E187" s="71"/>
      <c r="F187" s="71"/>
      <c r="G187" s="71"/>
      <c r="H187" s="71">
        <v>0.505</v>
      </c>
      <c r="I187" s="71"/>
      <c r="J187" s="71"/>
      <c r="K187" s="71">
        <f>(B187+C187+D187+E187+F187+G187+J187+H187+I187)-0.47*(+P187+Q187)-0.8*V187</f>
        <v>1.01</v>
      </c>
      <c r="L187" s="71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3"/>
      <c r="X187" s="73"/>
      <c r="Y187" s="73"/>
      <c r="Z187" s="73"/>
      <c r="AA187" s="73"/>
      <c r="AB187" s="73"/>
      <c r="AC187" s="73"/>
      <c r="AD187" s="73"/>
    </row>
    <row r="188" spans="1:31" s="54" customFormat="1">
      <c r="A188" s="53"/>
      <c r="B188" s="71"/>
      <c r="C188" s="71"/>
      <c r="D188" s="71"/>
      <c r="E188" s="71"/>
      <c r="F188" s="71"/>
      <c r="G188" s="71"/>
      <c r="H188" s="71"/>
      <c r="I188" s="71"/>
      <c r="J188" s="71"/>
      <c r="K188" s="71">
        <f t="shared" ref="K188:K190" si="40">(B188+C188+D188+E188+F188+G188+J188+H188+I188)-0.47*(+P188+Q188)-0.8*V188</f>
        <v>0</v>
      </c>
      <c r="L188" s="71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3"/>
      <c r="X188" s="73"/>
      <c r="Y188" s="73"/>
      <c r="Z188" s="73"/>
      <c r="AA188" s="73"/>
      <c r="AB188" s="73"/>
      <c r="AC188" s="73"/>
      <c r="AD188" s="73"/>
    </row>
    <row r="189" spans="1:31" s="54" customFormat="1">
      <c r="A189" s="74" t="s">
        <v>173</v>
      </c>
      <c r="B189" s="71"/>
      <c r="C189" s="71">
        <v>0.505</v>
      </c>
      <c r="D189" s="71"/>
      <c r="E189" s="71"/>
      <c r="F189" s="71"/>
      <c r="G189" s="71"/>
      <c r="H189" s="71"/>
      <c r="I189" s="71"/>
      <c r="J189" s="71"/>
      <c r="K189" s="71">
        <f t="shared" si="40"/>
        <v>0.505</v>
      </c>
      <c r="L189" s="71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3"/>
      <c r="X189" s="73"/>
      <c r="Y189" s="73"/>
      <c r="Z189" s="73"/>
      <c r="AA189" s="73"/>
      <c r="AB189" s="73"/>
      <c r="AC189" s="73"/>
      <c r="AD189" s="73"/>
    </row>
    <row r="190" spans="1:31" s="54" customFormat="1">
      <c r="A190" s="53"/>
      <c r="B190" s="71"/>
      <c r="C190" s="71"/>
      <c r="D190" s="71"/>
      <c r="E190" s="71"/>
      <c r="F190" s="71"/>
      <c r="G190" s="71"/>
      <c r="H190" s="71"/>
      <c r="I190" s="71"/>
      <c r="J190" s="71"/>
      <c r="K190" s="71">
        <f t="shared" si="40"/>
        <v>0</v>
      </c>
      <c r="L190" s="71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3"/>
      <c r="X190" s="73"/>
      <c r="Y190" s="73"/>
      <c r="Z190" s="73"/>
      <c r="AA190" s="73"/>
      <c r="AB190" s="73"/>
      <c r="AC190" s="73"/>
      <c r="AD190" s="73"/>
    </row>
    <row r="191" spans="1:31" s="54" customFormat="1">
      <c r="A191" s="53"/>
      <c r="B191" s="71">
        <f t="shared" ref="B191:V191" si="41">SUM(B187:B190)</f>
        <v>0</v>
      </c>
      <c r="C191" s="71">
        <f t="shared" si="41"/>
        <v>1.01</v>
      </c>
      <c r="D191" s="71">
        <f t="shared" si="41"/>
        <v>0</v>
      </c>
      <c r="E191" s="71">
        <f t="shared" si="41"/>
        <v>0</v>
      </c>
      <c r="F191" s="71">
        <f t="shared" si="41"/>
        <v>0</v>
      </c>
      <c r="G191" s="71">
        <f t="shared" si="41"/>
        <v>0</v>
      </c>
      <c r="H191" s="71">
        <f t="shared" si="41"/>
        <v>0.505</v>
      </c>
      <c r="I191" s="71">
        <f t="shared" si="41"/>
        <v>0</v>
      </c>
      <c r="J191" s="71">
        <f t="shared" si="41"/>
        <v>0</v>
      </c>
      <c r="K191" s="71">
        <f t="shared" si="41"/>
        <v>1.5150000000000001</v>
      </c>
      <c r="L191" s="71">
        <f t="shared" si="41"/>
        <v>0</v>
      </c>
      <c r="M191" s="72">
        <f t="shared" si="41"/>
        <v>0</v>
      </c>
      <c r="N191" s="72">
        <f t="shared" si="41"/>
        <v>0</v>
      </c>
      <c r="O191" s="72">
        <f t="shared" si="41"/>
        <v>0</v>
      </c>
      <c r="P191" s="72">
        <f t="shared" si="41"/>
        <v>0</v>
      </c>
      <c r="Q191" s="72">
        <f t="shared" si="41"/>
        <v>0</v>
      </c>
      <c r="R191" s="72">
        <f t="shared" si="41"/>
        <v>0</v>
      </c>
      <c r="S191" s="72">
        <f t="shared" si="41"/>
        <v>0</v>
      </c>
      <c r="T191" s="72">
        <f t="shared" si="41"/>
        <v>0</v>
      </c>
      <c r="U191" s="72">
        <f t="shared" si="41"/>
        <v>0</v>
      </c>
      <c r="V191" s="72">
        <f t="shared" si="41"/>
        <v>0</v>
      </c>
      <c r="W191" s="73"/>
      <c r="X191" s="73">
        <f>SUM(X187:X190)</f>
        <v>0</v>
      </c>
      <c r="Y191" s="73"/>
      <c r="Z191" s="73">
        <f>SUM(Z187:Z190)</f>
        <v>0</v>
      </c>
      <c r="AA191" s="73"/>
      <c r="AB191" s="73"/>
      <c r="AC191" s="73"/>
      <c r="AD191" s="73"/>
    </row>
    <row r="192" spans="1:31" s="54" customFormat="1">
      <c r="A192" s="53"/>
      <c r="N192" s="53"/>
      <c r="O192" s="53"/>
      <c r="P192" s="53"/>
      <c r="Q192" s="53"/>
      <c r="R192" s="53"/>
      <c r="S192" s="53"/>
      <c r="T192" s="53"/>
      <c r="U192" s="53"/>
      <c r="V192" s="53"/>
      <c r="W192" s="57"/>
      <c r="X192" s="57"/>
      <c r="Y192" s="57"/>
      <c r="Z192" s="57"/>
      <c r="AA192" s="57"/>
      <c r="AB192" s="57"/>
      <c r="AC192" s="57"/>
      <c r="AD192" s="57"/>
    </row>
    <row r="193" spans="1:30" s="54" customFormat="1">
      <c r="A193" s="53"/>
      <c r="B193" s="53" t="s">
        <v>168</v>
      </c>
      <c r="N193" s="53"/>
      <c r="O193" s="53"/>
      <c r="P193" s="53"/>
      <c r="Q193" s="53"/>
      <c r="R193" s="53"/>
      <c r="S193" s="53"/>
      <c r="T193" s="53"/>
      <c r="U193" s="53"/>
      <c r="V193" s="53"/>
      <c r="W193" s="55"/>
      <c r="X193" s="55"/>
      <c r="Y193" s="55"/>
      <c r="Z193" s="56"/>
      <c r="AA193" s="55"/>
      <c r="AB193" s="57"/>
      <c r="AC193" s="57"/>
      <c r="AD193" s="57"/>
    </row>
    <row r="194" spans="1:30" s="54" customFormat="1">
      <c r="A194" s="53"/>
      <c r="B194" s="81" t="s">
        <v>7</v>
      </c>
      <c r="C194" s="81"/>
      <c r="D194" s="81"/>
      <c r="E194" s="81"/>
      <c r="F194" s="81"/>
      <c r="G194" s="81"/>
      <c r="H194" s="81"/>
      <c r="I194" s="81"/>
      <c r="J194" s="81"/>
      <c r="K194" s="58" t="s">
        <v>8</v>
      </c>
      <c r="L194" s="58" t="s">
        <v>6</v>
      </c>
      <c r="M194" s="58" t="s">
        <v>9</v>
      </c>
      <c r="N194" s="82" t="s">
        <v>0</v>
      </c>
      <c r="O194" s="82"/>
      <c r="P194" s="82"/>
      <c r="Q194" s="82"/>
      <c r="R194" s="82" t="s">
        <v>6</v>
      </c>
      <c r="S194" s="82"/>
      <c r="T194" s="82"/>
      <c r="U194" s="82"/>
      <c r="V194" s="59"/>
      <c r="W194" s="83" t="s">
        <v>174</v>
      </c>
      <c r="X194" s="83"/>
      <c r="Y194" s="83"/>
      <c r="Z194" s="83"/>
      <c r="AA194" s="83"/>
      <c r="AB194" s="83"/>
      <c r="AC194" s="83"/>
      <c r="AD194" s="83"/>
    </row>
    <row r="195" spans="1:30" s="54" customFormat="1">
      <c r="A195" s="53"/>
      <c r="B195" s="60" t="s">
        <v>141</v>
      </c>
      <c r="C195" s="60" t="s">
        <v>69</v>
      </c>
      <c r="D195" s="60" t="s">
        <v>19</v>
      </c>
      <c r="E195" s="60" t="s">
        <v>21</v>
      </c>
      <c r="F195" s="61" t="s">
        <v>70</v>
      </c>
      <c r="G195" s="61" t="s">
        <v>22</v>
      </c>
      <c r="H195" s="61" t="s">
        <v>170</v>
      </c>
      <c r="I195" s="61"/>
      <c r="J195" s="60"/>
      <c r="K195" s="60"/>
      <c r="L195" s="60"/>
      <c r="M195" s="60"/>
      <c r="N195" s="62" t="s">
        <v>114</v>
      </c>
      <c r="O195" s="62" t="s">
        <v>4</v>
      </c>
      <c r="P195" s="82" t="s">
        <v>5</v>
      </c>
      <c r="Q195" s="82"/>
      <c r="R195" s="62" t="s">
        <v>114</v>
      </c>
      <c r="S195" s="62" t="s">
        <v>4</v>
      </c>
      <c r="T195" s="82" t="s">
        <v>5</v>
      </c>
      <c r="U195" s="82"/>
      <c r="V195" s="63" t="s">
        <v>3</v>
      </c>
      <c r="W195" s="64">
        <v>1.5</v>
      </c>
      <c r="X195" s="64">
        <v>2</v>
      </c>
      <c r="Y195" s="64">
        <v>2.5</v>
      </c>
      <c r="Z195" s="64">
        <v>2.5</v>
      </c>
      <c r="AA195" s="64">
        <v>3</v>
      </c>
      <c r="AB195" s="64">
        <v>3.5</v>
      </c>
      <c r="AC195" s="64">
        <v>4</v>
      </c>
      <c r="AD195" s="64">
        <v>4</v>
      </c>
    </row>
    <row r="196" spans="1:30" s="54" customFormat="1">
      <c r="A196" s="53"/>
      <c r="B196" s="65"/>
      <c r="C196" s="65"/>
      <c r="D196" s="65"/>
      <c r="E196" s="65"/>
      <c r="F196" s="66"/>
      <c r="G196" s="66" t="s">
        <v>20</v>
      </c>
      <c r="H196" s="66" t="s">
        <v>171</v>
      </c>
      <c r="I196" s="66"/>
      <c r="J196" s="65"/>
      <c r="K196" s="65"/>
      <c r="L196" s="65"/>
      <c r="M196" s="65"/>
      <c r="N196" s="67"/>
      <c r="O196" s="67"/>
      <c r="P196" s="68" t="s">
        <v>1</v>
      </c>
      <c r="Q196" s="68" t="s">
        <v>2</v>
      </c>
      <c r="R196" s="69"/>
      <c r="S196" s="69"/>
      <c r="T196" s="68" t="s">
        <v>1</v>
      </c>
      <c r="U196" s="68" t="s">
        <v>2</v>
      </c>
      <c r="V196" s="69"/>
      <c r="W196" s="70" t="s">
        <v>10</v>
      </c>
      <c r="X196" s="70" t="s">
        <v>11</v>
      </c>
      <c r="Y196" s="70" t="s">
        <v>12</v>
      </c>
      <c r="Z196" s="70" t="s">
        <v>13</v>
      </c>
      <c r="AA196" s="70" t="s">
        <v>14</v>
      </c>
      <c r="AB196" s="70" t="s">
        <v>15</v>
      </c>
      <c r="AC196" s="70" t="s">
        <v>16</v>
      </c>
      <c r="AD196" s="70" t="s">
        <v>17</v>
      </c>
    </row>
    <row r="197" spans="1:30" s="54" customFormat="1">
      <c r="A197" s="53" t="s">
        <v>172</v>
      </c>
      <c r="B197" s="71"/>
      <c r="C197" s="71">
        <v>2.37</v>
      </c>
      <c r="D197" s="71"/>
      <c r="E197" s="71"/>
      <c r="F197" s="71"/>
      <c r="G197" s="71"/>
      <c r="H197" s="71">
        <f>5.43+1.91</f>
        <v>7.34</v>
      </c>
      <c r="I197" s="71"/>
      <c r="J197" s="71"/>
      <c r="K197" s="71">
        <f>(B197+C197+D197+E197+F197+G197+J197+H197+I197)-0.3*(+P197+Q197)-0.5*V197</f>
        <v>9.1100000000000012</v>
      </c>
      <c r="L197" s="71"/>
      <c r="M197" s="72"/>
      <c r="N197" s="72"/>
      <c r="O197" s="72"/>
      <c r="P197" s="72">
        <v>1</v>
      </c>
      <c r="Q197" s="72">
        <v>1</v>
      </c>
      <c r="R197" s="72"/>
      <c r="S197" s="72"/>
      <c r="T197" s="72"/>
      <c r="U197" s="72"/>
      <c r="V197" s="72"/>
      <c r="W197" s="73"/>
      <c r="X197" s="73"/>
      <c r="Y197" s="73"/>
      <c r="Z197" s="73"/>
      <c r="AA197" s="73"/>
      <c r="AB197" s="73"/>
      <c r="AC197" s="73"/>
      <c r="AD197" s="73"/>
    </row>
    <row r="198" spans="1:30" s="54" customFormat="1">
      <c r="A198" s="53"/>
      <c r="B198" s="71"/>
      <c r="C198" s="71"/>
      <c r="D198" s="71"/>
      <c r="E198" s="71"/>
      <c r="F198" s="71"/>
      <c r="G198" s="71"/>
      <c r="H198" s="71"/>
      <c r="I198" s="71"/>
      <c r="J198" s="71"/>
      <c r="K198" s="71">
        <f t="shared" ref="K198:K200" si="42">(B198+C198+D198+E198+F198+G198+J198+H198+I198)-0.47*(+P198+Q198)-0.8*V198</f>
        <v>0</v>
      </c>
      <c r="L198" s="71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3"/>
      <c r="X198" s="73"/>
      <c r="Y198" s="73"/>
      <c r="Z198" s="73"/>
      <c r="AA198" s="73"/>
      <c r="AB198" s="73"/>
      <c r="AC198" s="73"/>
      <c r="AD198" s="73"/>
    </row>
    <row r="199" spans="1:30" s="54" customFormat="1">
      <c r="A199" s="74" t="s">
        <v>173</v>
      </c>
      <c r="B199" s="71"/>
      <c r="C199" s="71">
        <v>32.380000000000003</v>
      </c>
      <c r="D199" s="71"/>
      <c r="E199" s="71"/>
      <c r="F199" s="71"/>
      <c r="G199" s="71"/>
      <c r="H199" s="71"/>
      <c r="I199" s="71"/>
      <c r="J199" s="71"/>
      <c r="K199" s="71">
        <f>(B199+C199+D199+E199+F199+G199+J199+H199+I199)-0.3*(+P199+Q199)-0.8*V199</f>
        <v>32.080000000000005</v>
      </c>
      <c r="L199" s="71"/>
      <c r="M199" s="72"/>
      <c r="N199" s="72"/>
      <c r="O199" s="72"/>
      <c r="P199" s="72">
        <v>1</v>
      </c>
      <c r="Q199" s="72"/>
      <c r="R199" s="72"/>
      <c r="S199" s="72"/>
      <c r="T199" s="72"/>
      <c r="U199" s="72"/>
      <c r="V199" s="72"/>
      <c r="W199" s="73"/>
      <c r="X199" s="73"/>
      <c r="Y199" s="73"/>
      <c r="Z199" s="73"/>
      <c r="AA199" s="73"/>
      <c r="AB199" s="73"/>
      <c r="AC199" s="73"/>
      <c r="AD199" s="73"/>
    </row>
    <row r="200" spans="1:30" s="54" customFormat="1">
      <c r="A200" s="53"/>
      <c r="B200" s="71"/>
      <c r="C200" s="71"/>
      <c r="D200" s="71"/>
      <c r="E200" s="71"/>
      <c r="F200" s="71"/>
      <c r="G200" s="71"/>
      <c r="H200" s="71"/>
      <c r="I200" s="71"/>
      <c r="J200" s="71"/>
      <c r="K200" s="71">
        <f t="shared" si="42"/>
        <v>0</v>
      </c>
      <c r="L200" s="71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3"/>
      <c r="X200" s="73"/>
      <c r="Y200" s="73"/>
      <c r="Z200" s="73"/>
      <c r="AA200" s="73"/>
      <c r="AB200" s="73"/>
      <c r="AC200" s="73"/>
      <c r="AD200" s="73"/>
    </row>
    <row r="201" spans="1:30" s="54" customFormat="1">
      <c r="A201" s="53"/>
      <c r="B201" s="71">
        <f t="shared" ref="B201:V201" si="43">SUM(B197:B200)</f>
        <v>0</v>
      </c>
      <c r="C201" s="71">
        <f t="shared" si="43"/>
        <v>34.75</v>
      </c>
      <c r="D201" s="71">
        <f t="shared" si="43"/>
        <v>0</v>
      </c>
      <c r="E201" s="71">
        <f t="shared" si="43"/>
        <v>0</v>
      </c>
      <c r="F201" s="71">
        <f t="shared" si="43"/>
        <v>0</v>
      </c>
      <c r="G201" s="71">
        <f t="shared" si="43"/>
        <v>0</v>
      </c>
      <c r="H201" s="71">
        <f t="shared" si="43"/>
        <v>7.34</v>
      </c>
      <c r="I201" s="71">
        <f t="shared" si="43"/>
        <v>0</v>
      </c>
      <c r="J201" s="71">
        <f t="shared" si="43"/>
        <v>0</v>
      </c>
      <c r="K201" s="71">
        <f t="shared" si="43"/>
        <v>41.190000000000005</v>
      </c>
      <c r="L201" s="71">
        <f t="shared" si="43"/>
        <v>0</v>
      </c>
      <c r="M201" s="72">
        <f t="shared" si="43"/>
        <v>0</v>
      </c>
      <c r="N201" s="72">
        <f t="shared" si="43"/>
        <v>0</v>
      </c>
      <c r="O201" s="72">
        <f t="shared" si="43"/>
        <v>0</v>
      </c>
      <c r="P201" s="72">
        <f t="shared" si="43"/>
        <v>2</v>
      </c>
      <c r="Q201" s="72">
        <f t="shared" si="43"/>
        <v>1</v>
      </c>
      <c r="R201" s="72">
        <f t="shared" si="43"/>
        <v>0</v>
      </c>
      <c r="S201" s="72">
        <f t="shared" si="43"/>
        <v>0</v>
      </c>
      <c r="T201" s="72">
        <f t="shared" si="43"/>
        <v>0</v>
      </c>
      <c r="U201" s="72">
        <f t="shared" si="43"/>
        <v>0</v>
      </c>
      <c r="V201" s="72">
        <f t="shared" si="43"/>
        <v>0</v>
      </c>
      <c r="W201" s="73"/>
      <c r="X201" s="73">
        <f>SUM(X197:X200)</f>
        <v>0</v>
      </c>
      <c r="Y201" s="73"/>
      <c r="Z201" s="73">
        <f>SUM(Z197:Z200)</f>
        <v>0</v>
      </c>
      <c r="AA201" s="73"/>
      <c r="AB201" s="73"/>
      <c r="AC201" s="73"/>
      <c r="AD201" s="73"/>
    </row>
    <row r="202" spans="1:30" s="54" customFormat="1">
      <c r="A202" s="53"/>
      <c r="N202" s="53"/>
      <c r="O202" s="53"/>
      <c r="P202" s="53"/>
      <c r="Q202" s="53"/>
      <c r="R202" s="53"/>
      <c r="S202" s="53"/>
      <c r="T202" s="53"/>
      <c r="U202" s="53"/>
      <c r="V202" s="53"/>
      <c r="W202" s="57"/>
      <c r="X202" s="57"/>
      <c r="Y202" s="57"/>
      <c r="Z202" s="57"/>
      <c r="AA202" s="57"/>
      <c r="AB202" s="57"/>
      <c r="AC202" s="57"/>
      <c r="AD202" s="57"/>
    </row>
  </sheetData>
  <mergeCells count="91">
    <mergeCell ref="B194:J194"/>
    <mergeCell ref="N194:Q194"/>
    <mergeCell ref="R194:U194"/>
    <mergeCell ref="W194:AD194"/>
    <mergeCell ref="P195:Q195"/>
    <mergeCell ref="T195:U195"/>
    <mergeCell ref="B184:J184"/>
    <mergeCell ref="N184:Q184"/>
    <mergeCell ref="R184:U184"/>
    <mergeCell ref="W184:AD184"/>
    <mergeCell ref="P185:Q185"/>
    <mergeCell ref="T185:U185"/>
    <mergeCell ref="B2:J2"/>
    <mergeCell ref="N2:Q2"/>
    <mergeCell ref="R2:U2"/>
    <mergeCell ref="W2:AD2"/>
    <mergeCell ref="P3:Q3"/>
    <mergeCell ref="T3:U3"/>
    <mergeCell ref="B9:J9"/>
    <mergeCell ref="N9:Q9"/>
    <mergeCell ref="R9:U9"/>
    <mergeCell ref="W9:AD9"/>
    <mergeCell ref="P10:Q10"/>
    <mergeCell ref="T10:U10"/>
    <mergeCell ref="B16:J16"/>
    <mergeCell ref="N16:Q16"/>
    <mergeCell ref="R16:U16"/>
    <mergeCell ref="W16:AD16"/>
    <mergeCell ref="P17:Q17"/>
    <mergeCell ref="T17:U17"/>
    <mergeCell ref="B23:J23"/>
    <mergeCell ref="N23:Q23"/>
    <mergeCell ref="R23:U23"/>
    <mergeCell ref="W23:AD23"/>
    <mergeCell ref="P24:Q24"/>
    <mergeCell ref="T24:U24"/>
    <mergeCell ref="B46:J46"/>
    <mergeCell ref="N46:Q46"/>
    <mergeCell ref="R46:U46"/>
    <mergeCell ref="W46:AD46"/>
    <mergeCell ref="P47:Q47"/>
    <mergeCell ref="T47:U47"/>
    <mergeCell ref="B58:J58"/>
    <mergeCell ref="N58:Q58"/>
    <mergeCell ref="R58:U58"/>
    <mergeCell ref="W58:AD58"/>
    <mergeCell ref="P59:Q59"/>
    <mergeCell ref="T59:U59"/>
    <mergeCell ref="B72:J72"/>
    <mergeCell ref="N72:Q72"/>
    <mergeCell ref="R72:U72"/>
    <mergeCell ref="W72:AD72"/>
    <mergeCell ref="P73:Q73"/>
    <mergeCell ref="T73:U73"/>
    <mergeCell ref="B84:J84"/>
    <mergeCell ref="N84:Q84"/>
    <mergeCell ref="R84:U84"/>
    <mergeCell ref="W84:AD84"/>
    <mergeCell ref="P85:Q85"/>
    <mergeCell ref="T85:U85"/>
    <mergeCell ref="B94:J94"/>
    <mergeCell ref="N94:Q94"/>
    <mergeCell ref="R94:U94"/>
    <mergeCell ref="W94:AD94"/>
    <mergeCell ref="P95:Q95"/>
    <mergeCell ref="T95:U95"/>
    <mergeCell ref="B104:J104"/>
    <mergeCell ref="N104:Q104"/>
    <mergeCell ref="R104:U104"/>
    <mergeCell ref="W104:AD104"/>
    <mergeCell ref="P105:Q105"/>
    <mergeCell ref="T105:U105"/>
    <mergeCell ref="B113:J113"/>
    <mergeCell ref="N113:Q113"/>
    <mergeCell ref="R113:U113"/>
    <mergeCell ref="W113:AD113"/>
    <mergeCell ref="P114:Q114"/>
    <mergeCell ref="T114:U114"/>
    <mergeCell ref="B127:J127"/>
    <mergeCell ref="N127:Q127"/>
    <mergeCell ref="R127:U127"/>
    <mergeCell ref="W127:AD127"/>
    <mergeCell ref="P128:Q128"/>
    <mergeCell ref="T128:U128"/>
    <mergeCell ref="G144:J144"/>
    <mergeCell ref="G138:J138"/>
    <mergeCell ref="G139:J139"/>
    <mergeCell ref="G140:J140"/>
    <mergeCell ref="G141:J141"/>
    <mergeCell ref="G142:J142"/>
    <mergeCell ref="G143:J143"/>
  </mergeCells>
  <phoneticPr fontId="1"/>
  <pageMargins left="0.23622047244094491" right="0.23622047244094491" top="0.15748031496062992" bottom="0.15748031496062992" header="0.31496062992125984" footer="0.31496062992125984"/>
  <pageSetup paperSize="8" scale="71" fitToHeight="0" orientation="landscape" cellComments="asDisplayed" r:id="rId1"/>
  <rowBreaks count="2" manualBreakCount="2">
    <brk id="56" max="29" man="1"/>
    <brk id="111" max="29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E235"/>
  <sheetViews>
    <sheetView view="pageBreakPreview" topLeftCell="A176" zoomScaleNormal="100" zoomScaleSheetLayoutView="100" workbookViewId="0">
      <selection activeCell="L134" sqref="L134:L135"/>
    </sheetView>
  </sheetViews>
  <sheetFormatPr defaultRowHeight="18"/>
  <cols>
    <col min="1" max="1" width="5.8984375" style="20" customWidth="1"/>
    <col min="2" max="8" width="8.796875" style="21"/>
    <col min="9" max="9" width="8.796875" style="21" customWidth="1"/>
    <col min="10" max="10" width="8.796875" style="21"/>
    <col min="11" max="12" width="9.69921875" style="21" bestFit="1" customWidth="1"/>
    <col min="13" max="13" width="8.796875" style="21"/>
    <col min="14" max="15" width="8.796875" style="20"/>
    <col min="16" max="16" width="9.5" style="20" bestFit="1" customWidth="1"/>
    <col min="17" max="22" width="8.796875" style="20"/>
    <col min="23" max="27" width="8.09765625" style="23" customWidth="1"/>
    <col min="28" max="30" width="8.796875" style="23"/>
    <col min="31" max="16384" width="8.796875" style="21"/>
  </cols>
  <sheetData>
    <row r="2" spans="1:30">
      <c r="B2" s="20" t="s">
        <v>68</v>
      </c>
      <c r="W2" s="22"/>
      <c r="X2" s="22"/>
      <c r="Y2" s="22"/>
      <c r="Z2" s="22"/>
      <c r="AA2" s="22"/>
    </row>
    <row r="3" spans="1:30">
      <c r="B3" s="75" t="s">
        <v>7</v>
      </c>
      <c r="C3" s="75"/>
      <c r="D3" s="75"/>
      <c r="E3" s="75"/>
      <c r="F3" s="75"/>
      <c r="G3" s="75"/>
      <c r="H3" s="75"/>
      <c r="I3" s="75"/>
      <c r="J3" s="75"/>
      <c r="K3" s="24" t="s">
        <v>8</v>
      </c>
      <c r="L3" s="24" t="s">
        <v>6</v>
      </c>
      <c r="M3" s="24" t="s">
        <v>9</v>
      </c>
      <c r="N3" s="79" t="s">
        <v>0</v>
      </c>
      <c r="O3" s="79"/>
      <c r="P3" s="79"/>
      <c r="Q3" s="79"/>
      <c r="R3" s="79" t="s">
        <v>6</v>
      </c>
      <c r="S3" s="79"/>
      <c r="T3" s="79"/>
      <c r="U3" s="79"/>
      <c r="V3" s="26"/>
      <c r="W3" s="80" t="s">
        <v>71</v>
      </c>
      <c r="X3" s="80"/>
      <c r="Y3" s="80"/>
      <c r="Z3" s="80"/>
      <c r="AA3" s="80"/>
      <c r="AB3" s="80"/>
      <c r="AC3" s="80"/>
      <c r="AD3" s="80"/>
    </row>
    <row r="4" spans="1:30">
      <c r="B4" s="27" t="s">
        <v>141</v>
      </c>
      <c r="C4" s="27" t="s">
        <v>69</v>
      </c>
      <c r="D4" s="27" t="s">
        <v>19</v>
      </c>
      <c r="E4" s="27" t="s">
        <v>21</v>
      </c>
      <c r="F4" s="7" t="s">
        <v>70</v>
      </c>
      <c r="G4" s="7" t="s">
        <v>22</v>
      </c>
      <c r="H4" s="6"/>
      <c r="I4" s="7"/>
      <c r="J4" s="27"/>
      <c r="K4" s="27"/>
      <c r="L4" s="27"/>
      <c r="M4" s="27"/>
      <c r="N4" s="28" t="s">
        <v>114</v>
      </c>
      <c r="O4" s="28" t="s">
        <v>4</v>
      </c>
      <c r="P4" s="79" t="s">
        <v>5</v>
      </c>
      <c r="Q4" s="79"/>
      <c r="R4" s="28" t="s">
        <v>114</v>
      </c>
      <c r="S4" s="28" t="s">
        <v>4</v>
      </c>
      <c r="T4" s="79" t="s">
        <v>5</v>
      </c>
      <c r="U4" s="79"/>
      <c r="V4" s="29" t="s">
        <v>3</v>
      </c>
      <c r="W4" s="30">
        <v>1.5</v>
      </c>
      <c r="X4" s="30">
        <v>2</v>
      </c>
      <c r="Y4" s="31">
        <v>2.5</v>
      </c>
      <c r="Z4" s="31">
        <v>2.5</v>
      </c>
      <c r="AA4" s="31">
        <v>3</v>
      </c>
      <c r="AB4" s="31">
        <v>3.5</v>
      </c>
      <c r="AC4" s="31">
        <v>4</v>
      </c>
      <c r="AD4" s="31">
        <v>4</v>
      </c>
    </row>
    <row r="5" spans="1:30">
      <c r="B5" s="32"/>
      <c r="C5" s="32"/>
      <c r="D5" s="32"/>
      <c r="E5" s="32"/>
      <c r="F5" s="2"/>
      <c r="G5" s="2" t="s">
        <v>20</v>
      </c>
      <c r="H5" s="2"/>
      <c r="I5" s="2"/>
      <c r="J5" s="32"/>
      <c r="K5" s="32"/>
      <c r="L5" s="32"/>
      <c r="M5" s="32"/>
      <c r="N5" s="33"/>
      <c r="O5" s="33"/>
      <c r="P5" s="25" t="s">
        <v>1</v>
      </c>
      <c r="Q5" s="25" t="s">
        <v>2</v>
      </c>
      <c r="R5" s="34"/>
      <c r="S5" s="34"/>
      <c r="T5" s="25" t="s">
        <v>1</v>
      </c>
      <c r="U5" s="25" t="s">
        <v>2</v>
      </c>
      <c r="V5" s="34"/>
      <c r="W5" s="35" t="s">
        <v>10</v>
      </c>
      <c r="X5" s="35" t="s">
        <v>11</v>
      </c>
      <c r="Y5" s="35" t="s">
        <v>12</v>
      </c>
      <c r="Z5" s="35" t="s">
        <v>13</v>
      </c>
      <c r="AA5" s="35" t="s">
        <v>14</v>
      </c>
      <c r="AB5" s="35" t="s">
        <v>15</v>
      </c>
      <c r="AC5" s="35" t="s">
        <v>16</v>
      </c>
      <c r="AD5" s="35" t="s">
        <v>17</v>
      </c>
    </row>
    <row r="6" spans="1:30">
      <c r="A6" s="39" t="s">
        <v>72</v>
      </c>
      <c r="B6" s="36"/>
      <c r="C6" s="36">
        <v>1.6</v>
      </c>
      <c r="D6" s="36"/>
      <c r="E6" s="36"/>
      <c r="F6" s="36"/>
      <c r="G6" s="36"/>
      <c r="H6" s="36"/>
      <c r="I6" s="36"/>
      <c r="J6" s="36"/>
      <c r="K6" s="37">
        <f>(B6+C6+D6+E6+F6+G6+J6+H6+I6)-0.25*(+P6+Q6)-0.5*V6</f>
        <v>1.1000000000000001</v>
      </c>
      <c r="L6" s="36"/>
      <c r="M6" s="38">
        <v>1</v>
      </c>
      <c r="N6" s="38"/>
      <c r="O6" s="38"/>
      <c r="P6" s="38"/>
      <c r="Q6" s="38"/>
      <c r="R6" s="38"/>
      <c r="S6" s="38"/>
      <c r="T6" s="38"/>
      <c r="U6" s="38"/>
      <c r="V6" s="38">
        <v>1</v>
      </c>
      <c r="W6" s="4"/>
      <c r="X6" s="4"/>
      <c r="Y6" s="4"/>
      <c r="Z6" s="4"/>
      <c r="AA6" s="4">
        <f>+B6+C6+D6+E6+F6+G6+H6+I6+J6-AB6</f>
        <v>1.1000000000000001</v>
      </c>
      <c r="AB6" s="4">
        <f>0.5*M6</f>
        <v>0.5</v>
      </c>
      <c r="AC6" s="4"/>
      <c r="AD6" s="4"/>
    </row>
    <row r="7" spans="1:30">
      <c r="A7" s="39" t="s">
        <v>26</v>
      </c>
      <c r="B7" s="36">
        <f>SUM(B6:B6)</f>
        <v>0</v>
      </c>
      <c r="C7" s="36">
        <f>SUM(C6:C6)</f>
        <v>1.6</v>
      </c>
      <c r="D7" s="36">
        <f>SUM(D6:D6)</f>
        <v>0</v>
      </c>
      <c r="E7" s="36">
        <f>SUM(E6:E6)</f>
        <v>0</v>
      </c>
      <c r="F7" s="36">
        <f>SUM(F6:F6)</f>
        <v>0</v>
      </c>
      <c r="G7" s="36"/>
      <c r="H7" s="36"/>
      <c r="I7" s="36"/>
      <c r="J7" s="36"/>
      <c r="K7" s="36">
        <f>SUM(K6:K6)</f>
        <v>1.1000000000000001</v>
      </c>
      <c r="L7" s="36"/>
      <c r="M7" s="38">
        <f>SUM(M6:M6)</f>
        <v>1</v>
      </c>
      <c r="N7" s="38"/>
      <c r="O7" s="38"/>
      <c r="P7" s="38"/>
      <c r="Q7" s="38"/>
      <c r="R7" s="38"/>
      <c r="S7" s="38"/>
      <c r="T7" s="38"/>
      <c r="U7" s="38"/>
      <c r="V7" s="38">
        <f>SUM(V6:V6)</f>
        <v>1</v>
      </c>
      <c r="W7" s="4">
        <f>SUM(W6)</f>
        <v>0</v>
      </c>
      <c r="X7" s="4">
        <f t="shared" ref="X7:AD7" si="0">SUM(X6)</f>
        <v>0</v>
      </c>
      <c r="Y7" s="4">
        <f t="shared" si="0"/>
        <v>0</v>
      </c>
      <c r="Z7" s="4">
        <f t="shared" si="0"/>
        <v>0</v>
      </c>
      <c r="AA7" s="4">
        <f t="shared" si="0"/>
        <v>1.1000000000000001</v>
      </c>
      <c r="AB7" s="4">
        <f t="shared" si="0"/>
        <v>0.5</v>
      </c>
      <c r="AC7" s="4">
        <f t="shared" si="0"/>
        <v>0</v>
      </c>
      <c r="AD7" s="4">
        <f t="shared" si="0"/>
        <v>0</v>
      </c>
    </row>
    <row r="8" spans="1:30">
      <c r="A8" s="39"/>
      <c r="M8" s="20"/>
      <c r="W8" s="5"/>
      <c r="X8" s="5"/>
      <c r="Y8" s="5"/>
      <c r="Z8" s="5"/>
      <c r="AA8" s="5"/>
      <c r="AB8" s="5"/>
      <c r="AC8" s="5"/>
      <c r="AD8" s="5"/>
    </row>
    <row r="9" spans="1:30">
      <c r="B9" s="20" t="s">
        <v>90</v>
      </c>
      <c r="W9" s="22"/>
      <c r="X9" s="22"/>
      <c r="Y9" s="22"/>
      <c r="Z9" s="22"/>
      <c r="AA9" s="22"/>
    </row>
    <row r="10" spans="1:30">
      <c r="B10" s="75" t="s">
        <v>7</v>
      </c>
      <c r="C10" s="75"/>
      <c r="D10" s="75"/>
      <c r="E10" s="75"/>
      <c r="F10" s="75"/>
      <c r="G10" s="75"/>
      <c r="H10" s="75"/>
      <c r="I10" s="75"/>
      <c r="J10" s="75"/>
      <c r="K10" s="24" t="s">
        <v>8</v>
      </c>
      <c r="L10" s="24" t="s">
        <v>6</v>
      </c>
      <c r="M10" s="24" t="s">
        <v>9</v>
      </c>
      <c r="N10" s="79" t="s">
        <v>0</v>
      </c>
      <c r="O10" s="79"/>
      <c r="P10" s="79"/>
      <c r="Q10" s="79"/>
      <c r="R10" s="79" t="s">
        <v>6</v>
      </c>
      <c r="S10" s="79"/>
      <c r="T10" s="79"/>
      <c r="U10" s="79"/>
      <c r="V10" s="26"/>
      <c r="W10" s="80" t="s">
        <v>71</v>
      </c>
      <c r="X10" s="80"/>
      <c r="Y10" s="80"/>
      <c r="Z10" s="80"/>
      <c r="AA10" s="80"/>
      <c r="AB10" s="80"/>
      <c r="AC10" s="80"/>
      <c r="AD10" s="80"/>
    </row>
    <row r="11" spans="1:30">
      <c r="B11" s="27" t="s">
        <v>141</v>
      </c>
      <c r="C11" s="27" t="s">
        <v>69</v>
      </c>
      <c r="D11" s="27" t="s">
        <v>19</v>
      </c>
      <c r="E11" s="27" t="s">
        <v>21</v>
      </c>
      <c r="F11" s="7" t="s">
        <v>70</v>
      </c>
      <c r="G11" s="7" t="s">
        <v>22</v>
      </c>
      <c r="H11" s="6"/>
      <c r="I11" s="7"/>
      <c r="J11" s="27"/>
      <c r="K11" s="27"/>
      <c r="L11" s="27"/>
      <c r="M11" s="27"/>
      <c r="N11" s="28" t="s">
        <v>114</v>
      </c>
      <c r="O11" s="28" t="s">
        <v>4</v>
      </c>
      <c r="P11" s="79" t="s">
        <v>5</v>
      </c>
      <c r="Q11" s="79"/>
      <c r="R11" s="28" t="s">
        <v>114</v>
      </c>
      <c r="S11" s="28" t="s">
        <v>4</v>
      </c>
      <c r="T11" s="79" t="s">
        <v>5</v>
      </c>
      <c r="U11" s="79"/>
      <c r="V11" s="29" t="s">
        <v>3</v>
      </c>
      <c r="W11" s="30">
        <v>1.5</v>
      </c>
      <c r="X11" s="30">
        <v>2</v>
      </c>
      <c r="Y11" s="31">
        <v>2.5</v>
      </c>
      <c r="Z11" s="31">
        <v>2.5</v>
      </c>
      <c r="AA11" s="31">
        <v>3</v>
      </c>
      <c r="AB11" s="31">
        <v>3.5</v>
      </c>
      <c r="AC11" s="31">
        <v>4</v>
      </c>
      <c r="AD11" s="31">
        <v>4</v>
      </c>
    </row>
    <row r="12" spans="1:30">
      <c r="B12" s="32"/>
      <c r="C12" s="32"/>
      <c r="D12" s="32"/>
      <c r="E12" s="32"/>
      <c r="F12" s="2"/>
      <c r="G12" s="2" t="s">
        <v>20</v>
      </c>
      <c r="H12" s="2"/>
      <c r="I12" s="2"/>
      <c r="J12" s="32"/>
      <c r="K12" s="32"/>
      <c r="L12" s="32"/>
      <c r="M12" s="32"/>
      <c r="N12" s="33"/>
      <c r="O12" s="33"/>
      <c r="P12" s="25" t="s">
        <v>1</v>
      </c>
      <c r="Q12" s="25" t="s">
        <v>2</v>
      </c>
      <c r="R12" s="34"/>
      <c r="S12" s="34"/>
      <c r="T12" s="25" t="s">
        <v>1</v>
      </c>
      <c r="U12" s="25" t="s">
        <v>2</v>
      </c>
      <c r="V12" s="34"/>
      <c r="W12" s="35" t="s">
        <v>10</v>
      </c>
      <c r="X12" s="35" t="s">
        <v>11</v>
      </c>
      <c r="Y12" s="35" t="s">
        <v>12</v>
      </c>
      <c r="Z12" s="35" t="s">
        <v>13</v>
      </c>
      <c r="AA12" s="35" t="s">
        <v>14</v>
      </c>
      <c r="AB12" s="35" t="s">
        <v>15</v>
      </c>
      <c r="AC12" s="35" t="s">
        <v>16</v>
      </c>
      <c r="AD12" s="35" t="s">
        <v>17</v>
      </c>
    </row>
    <row r="13" spans="1:30">
      <c r="A13" s="39"/>
      <c r="B13" s="36">
        <v>3</v>
      </c>
      <c r="C13" s="36"/>
      <c r="D13" s="36"/>
      <c r="E13" s="36"/>
      <c r="F13" s="36"/>
      <c r="G13" s="36"/>
      <c r="H13" s="36"/>
      <c r="I13" s="36"/>
      <c r="J13" s="36"/>
      <c r="K13" s="37"/>
      <c r="L13" s="36">
        <f>+(B13+C13+D13+E13+F13+G13+H13+I13+J13)-0.38*(T13+U13)-0.5*V13</f>
        <v>2.5</v>
      </c>
      <c r="M13" s="38"/>
      <c r="N13" s="38"/>
      <c r="O13" s="38"/>
      <c r="P13" s="38"/>
      <c r="Q13" s="38"/>
      <c r="R13" s="38"/>
      <c r="S13" s="38">
        <v>1</v>
      </c>
      <c r="T13" s="38"/>
      <c r="U13" s="38"/>
      <c r="V13" s="38">
        <v>1</v>
      </c>
      <c r="W13" s="4"/>
      <c r="X13" s="4">
        <f>0.5*M13</f>
        <v>0</v>
      </c>
      <c r="Y13" s="4"/>
      <c r="Z13" s="4"/>
      <c r="AA13" s="4"/>
      <c r="AB13" s="4"/>
      <c r="AC13" s="4"/>
      <c r="AD13" s="4"/>
    </row>
    <row r="14" spans="1:30">
      <c r="A14" s="39" t="s">
        <v>26</v>
      </c>
      <c r="B14" s="36">
        <f>SUM(B13:B13)</f>
        <v>3</v>
      </c>
      <c r="C14" s="36">
        <f>SUM(C13:C13)</f>
        <v>0</v>
      </c>
      <c r="D14" s="36">
        <f>SUM(D13:D13)</f>
        <v>0</v>
      </c>
      <c r="E14" s="36">
        <f>SUM(E13:E13)</f>
        <v>0</v>
      </c>
      <c r="F14" s="36">
        <f>SUM(F13:F13)</f>
        <v>0</v>
      </c>
      <c r="G14" s="36"/>
      <c r="H14" s="36"/>
      <c r="I14" s="36"/>
      <c r="J14" s="36"/>
      <c r="K14" s="36"/>
      <c r="L14" s="36">
        <f>SUM(L13:L13)</f>
        <v>2.5</v>
      </c>
      <c r="M14" s="38"/>
      <c r="N14" s="38"/>
      <c r="O14" s="38"/>
      <c r="P14" s="38"/>
      <c r="Q14" s="38"/>
      <c r="R14" s="38">
        <f>SUM(R13:R13)</f>
        <v>0</v>
      </c>
      <c r="S14" s="38">
        <f>SUM(S13:S13)</f>
        <v>1</v>
      </c>
      <c r="T14" s="38">
        <f>SUM(T13:T13)</f>
        <v>0</v>
      </c>
      <c r="U14" s="38">
        <f>SUM(U13:U13)</f>
        <v>0</v>
      </c>
      <c r="V14" s="38">
        <f>SUM(V13:V13)</f>
        <v>1</v>
      </c>
      <c r="W14" s="4">
        <f>SUM(W13)</f>
        <v>0</v>
      </c>
      <c r="X14" s="4">
        <f t="shared" ref="X14:AD14" si="1">SUM(X13)</f>
        <v>0</v>
      </c>
      <c r="Y14" s="4">
        <f t="shared" si="1"/>
        <v>0</v>
      </c>
      <c r="Z14" s="4">
        <f t="shared" si="1"/>
        <v>0</v>
      </c>
      <c r="AA14" s="4">
        <f t="shared" si="1"/>
        <v>0</v>
      </c>
      <c r="AB14" s="4">
        <f t="shared" si="1"/>
        <v>0</v>
      </c>
      <c r="AC14" s="4">
        <f t="shared" si="1"/>
        <v>0</v>
      </c>
      <c r="AD14" s="4">
        <f t="shared" si="1"/>
        <v>0</v>
      </c>
    </row>
    <row r="15" spans="1:30">
      <c r="M15" s="20"/>
      <c r="W15" s="5"/>
      <c r="X15" s="5"/>
      <c r="Y15" s="5"/>
      <c r="Z15" s="5"/>
      <c r="AA15" s="5"/>
      <c r="AB15" s="5"/>
      <c r="AC15" s="5"/>
      <c r="AD15" s="5"/>
    </row>
    <row r="16" spans="1:30">
      <c r="B16" s="20" t="s">
        <v>146</v>
      </c>
      <c r="W16" s="22"/>
      <c r="X16" s="22"/>
      <c r="Y16" s="22"/>
      <c r="Z16" s="22"/>
      <c r="AA16" s="22"/>
    </row>
    <row r="17" spans="1:30">
      <c r="B17" s="75" t="s">
        <v>7</v>
      </c>
      <c r="C17" s="75"/>
      <c r="D17" s="75"/>
      <c r="E17" s="75"/>
      <c r="F17" s="75"/>
      <c r="G17" s="75"/>
      <c r="H17" s="75"/>
      <c r="I17" s="75"/>
      <c r="J17" s="75"/>
      <c r="K17" s="24" t="s">
        <v>8</v>
      </c>
      <c r="L17" s="24" t="s">
        <v>6</v>
      </c>
      <c r="M17" s="24" t="s">
        <v>9</v>
      </c>
      <c r="N17" s="79" t="s">
        <v>0</v>
      </c>
      <c r="O17" s="79"/>
      <c r="P17" s="79"/>
      <c r="Q17" s="79"/>
      <c r="R17" s="79" t="s">
        <v>6</v>
      </c>
      <c r="S17" s="79"/>
      <c r="T17" s="79"/>
      <c r="U17" s="79"/>
      <c r="V17" s="26"/>
      <c r="W17" s="80" t="s">
        <v>71</v>
      </c>
      <c r="X17" s="80"/>
      <c r="Y17" s="80"/>
      <c r="Z17" s="80"/>
      <c r="AA17" s="80"/>
      <c r="AB17" s="80"/>
      <c r="AC17" s="80"/>
      <c r="AD17" s="80"/>
    </row>
    <row r="18" spans="1:30">
      <c r="B18" s="27" t="s">
        <v>141</v>
      </c>
      <c r="C18" s="27" t="s">
        <v>69</v>
      </c>
      <c r="D18" s="27" t="s">
        <v>19</v>
      </c>
      <c r="E18" s="27" t="s">
        <v>21</v>
      </c>
      <c r="F18" s="7" t="s">
        <v>70</v>
      </c>
      <c r="G18" s="7" t="s">
        <v>22</v>
      </c>
      <c r="H18" s="6"/>
      <c r="I18" s="7"/>
      <c r="J18" s="27"/>
      <c r="K18" s="27"/>
      <c r="L18" s="27"/>
      <c r="M18" s="27"/>
      <c r="N18" s="28" t="s">
        <v>114</v>
      </c>
      <c r="O18" s="28" t="s">
        <v>4</v>
      </c>
      <c r="P18" s="79" t="s">
        <v>5</v>
      </c>
      <c r="Q18" s="79"/>
      <c r="R18" s="28" t="s">
        <v>114</v>
      </c>
      <c r="S18" s="28" t="s">
        <v>4</v>
      </c>
      <c r="T18" s="79" t="s">
        <v>5</v>
      </c>
      <c r="U18" s="79"/>
      <c r="V18" s="29" t="s">
        <v>3</v>
      </c>
      <c r="W18" s="30">
        <v>1.5</v>
      </c>
      <c r="X18" s="30">
        <v>2</v>
      </c>
      <c r="Y18" s="31">
        <v>2.5</v>
      </c>
      <c r="Z18" s="31">
        <v>2.5</v>
      </c>
      <c r="AA18" s="31">
        <v>3</v>
      </c>
      <c r="AB18" s="31">
        <v>3.5</v>
      </c>
      <c r="AC18" s="31">
        <v>4</v>
      </c>
      <c r="AD18" s="31">
        <v>4</v>
      </c>
    </row>
    <row r="19" spans="1:30">
      <c r="B19" s="32"/>
      <c r="C19" s="32"/>
      <c r="D19" s="32"/>
      <c r="E19" s="32"/>
      <c r="F19" s="2"/>
      <c r="G19" s="2" t="s">
        <v>20</v>
      </c>
      <c r="H19" s="2"/>
      <c r="I19" s="2"/>
      <c r="J19" s="32"/>
      <c r="K19" s="32"/>
      <c r="L19" s="32"/>
      <c r="M19" s="32"/>
      <c r="N19" s="33"/>
      <c r="O19" s="33"/>
      <c r="P19" s="25" t="s">
        <v>1</v>
      </c>
      <c r="Q19" s="25" t="s">
        <v>2</v>
      </c>
      <c r="R19" s="34"/>
      <c r="S19" s="34"/>
      <c r="T19" s="25" t="s">
        <v>1</v>
      </c>
      <c r="U19" s="25" t="s">
        <v>2</v>
      </c>
      <c r="V19" s="34"/>
      <c r="W19" s="35" t="s">
        <v>10</v>
      </c>
      <c r="X19" s="35" t="s">
        <v>11</v>
      </c>
      <c r="Y19" s="35" t="s">
        <v>12</v>
      </c>
      <c r="Z19" s="35" t="s">
        <v>13</v>
      </c>
      <c r="AA19" s="35" t="s">
        <v>14</v>
      </c>
      <c r="AB19" s="35" t="s">
        <v>15</v>
      </c>
      <c r="AC19" s="35" t="s">
        <v>16</v>
      </c>
      <c r="AD19" s="35" t="s">
        <v>17</v>
      </c>
    </row>
    <row r="20" spans="1:30">
      <c r="A20" s="39" t="s">
        <v>72</v>
      </c>
      <c r="B20" s="36"/>
      <c r="C20" s="36"/>
      <c r="D20" s="36">
        <v>1.5</v>
      </c>
      <c r="E20" s="36"/>
      <c r="F20" s="36"/>
      <c r="G20" s="36"/>
      <c r="H20" s="36"/>
      <c r="I20" s="36"/>
      <c r="J20" s="36"/>
      <c r="K20" s="37">
        <f>(B20+C20+D20+E20+F20+G20+J20+H20+I20)-0.4*(+P20+Q20)-0.5*V20</f>
        <v>1</v>
      </c>
      <c r="L20" s="36">
        <f>+(B20+C20+D20+E20+F20+G20+H20+I20+J20)-0.4*(T20+U20)-0.5*V20</f>
        <v>1</v>
      </c>
      <c r="M20" s="38">
        <v>3</v>
      </c>
      <c r="N20" s="38"/>
      <c r="O20" s="38">
        <v>1</v>
      </c>
      <c r="P20" s="38"/>
      <c r="Q20" s="38"/>
      <c r="R20" s="38"/>
      <c r="S20" s="38">
        <v>1</v>
      </c>
      <c r="T20" s="38"/>
      <c r="U20" s="38"/>
      <c r="V20" s="38">
        <v>1</v>
      </c>
      <c r="W20" s="4"/>
      <c r="X20" s="4">
        <f>0.5*M20</f>
        <v>1.5</v>
      </c>
      <c r="Y20" s="4"/>
      <c r="Z20" s="4"/>
      <c r="AA20" s="4"/>
      <c r="AB20" s="4"/>
      <c r="AC20" s="4"/>
      <c r="AD20" s="4"/>
    </row>
    <row r="21" spans="1:30">
      <c r="A21" s="39" t="s">
        <v>26</v>
      </c>
      <c r="B21" s="36">
        <f>SUM(B20:B20)</f>
        <v>0</v>
      </c>
      <c r="C21" s="36">
        <f>SUM(C20:C20)</f>
        <v>0</v>
      </c>
      <c r="D21" s="36">
        <f>SUM(D20:D20)</f>
        <v>1.5</v>
      </c>
      <c r="E21" s="36">
        <f>SUM(E20:E20)</f>
        <v>0</v>
      </c>
      <c r="F21" s="36">
        <f>SUM(F20:F20)</f>
        <v>0</v>
      </c>
      <c r="G21" s="36"/>
      <c r="H21" s="36"/>
      <c r="I21" s="36"/>
      <c r="J21" s="36"/>
      <c r="K21" s="36">
        <f t="shared" ref="K21:V21" si="2">SUM(K20:K20)</f>
        <v>1</v>
      </c>
      <c r="L21" s="36">
        <f t="shared" si="2"/>
        <v>1</v>
      </c>
      <c r="M21" s="38">
        <f t="shared" si="2"/>
        <v>3</v>
      </c>
      <c r="N21" s="38">
        <f t="shared" si="2"/>
        <v>0</v>
      </c>
      <c r="O21" s="38">
        <f t="shared" si="2"/>
        <v>1</v>
      </c>
      <c r="P21" s="38">
        <f t="shared" si="2"/>
        <v>0</v>
      </c>
      <c r="Q21" s="38">
        <f t="shared" si="2"/>
        <v>0</v>
      </c>
      <c r="R21" s="38">
        <f t="shared" si="2"/>
        <v>0</v>
      </c>
      <c r="S21" s="38">
        <f t="shared" si="2"/>
        <v>1</v>
      </c>
      <c r="T21" s="38">
        <f t="shared" si="2"/>
        <v>0</v>
      </c>
      <c r="U21" s="38">
        <f t="shared" si="2"/>
        <v>0</v>
      </c>
      <c r="V21" s="38">
        <f t="shared" si="2"/>
        <v>1</v>
      </c>
      <c r="W21" s="4">
        <f>SUM(W20)</f>
        <v>0</v>
      </c>
      <c r="X21" s="4">
        <f t="shared" ref="X21:AD21" si="3">SUM(X20)</f>
        <v>1.5</v>
      </c>
      <c r="Y21" s="4">
        <f t="shared" si="3"/>
        <v>0</v>
      </c>
      <c r="Z21" s="4">
        <f t="shared" si="3"/>
        <v>0</v>
      </c>
      <c r="AA21" s="4">
        <f t="shared" si="3"/>
        <v>0</v>
      </c>
      <c r="AB21" s="4">
        <f t="shared" si="3"/>
        <v>0</v>
      </c>
      <c r="AC21" s="4">
        <f t="shared" si="3"/>
        <v>0</v>
      </c>
      <c r="AD21" s="4">
        <f t="shared" si="3"/>
        <v>0</v>
      </c>
    </row>
    <row r="22" spans="1:30">
      <c r="M22" s="20"/>
      <c r="W22" s="8"/>
      <c r="X22" s="8"/>
      <c r="Y22" s="8"/>
      <c r="Z22" s="8"/>
      <c r="AA22" s="8"/>
      <c r="AB22" s="8"/>
      <c r="AC22" s="8"/>
      <c r="AD22" s="8"/>
    </row>
    <row r="23" spans="1:30">
      <c r="B23" s="20" t="s">
        <v>73</v>
      </c>
      <c r="W23" s="22"/>
      <c r="X23" s="22"/>
      <c r="Y23" s="22"/>
      <c r="Z23" s="22"/>
      <c r="AA23" s="22"/>
    </row>
    <row r="24" spans="1:30">
      <c r="B24" s="75" t="s">
        <v>7</v>
      </c>
      <c r="C24" s="75"/>
      <c r="D24" s="75"/>
      <c r="E24" s="75"/>
      <c r="F24" s="75"/>
      <c r="G24" s="75"/>
      <c r="H24" s="75"/>
      <c r="I24" s="75"/>
      <c r="J24" s="75"/>
      <c r="K24" s="24" t="s">
        <v>8</v>
      </c>
      <c r="L24" s="24" t="s">
        <v>6</v>
      </c>
      <c r="M24" s="24" t="s">
        <v>9</v>
      </c>
      <c r="N24" s="79" t="s">
        <v>0</v>
      </c>
      <c r="O24" s="79"/>
      <c r="P24" s="79"/>
      <c r="Q24" s="79"/>
      <c r="R24" s="79" t="s">
        <v>6</v>
      </c>
      <c r="S24" s="79"/>
      <c r="T24" s="79"/>
      <c r="U24" s="79"/>
      <c r="V24" s="26"/>
      <c r="W24" s="80" t="s">
        <v>71</v>
      </c>
      <c r="X24" s="80"/>
      <c r="Y24" s="80"/>
      <c r="Z24" s="80"/>
      <c r="AA24" s="80"/>
      <c r="AB24" s="80"/>
      <c r="AC24" s="80"/>
      <c r="AD24" s="80"/>
    </row>
    <row r="25" spans="1:30">
      <c r="B25" s="27" t="s">
        <v>141</v>
      </c>
      <c r="C25" s="27" t="s">
        <v>69</v>
      </c>
      <c r="D25" s="27" t="s">
        <v>19</v>
      </c>
      <c r="E25" s="27" t="s">
        <v>21</v>
      </c>
      <c r="F25" s="7" t="s">
        <v>70</v>
      </c>
      <c r="G25" s="7" t="s">
        <v>22</v>
      </c>
      <c r="H25" s="6"/>
      <c r="I25" s="7"/>
      <c r="J25" s="27"/>
      <c r="K25" s="27"/>
      <c r="L25" s="27"/>
      <c r="M25" s="27"/>
      <c r="N25" s="28" t="s">
        <v>114</v>
      </c>
      <c r="O25" s="28" t="s">
        <v>4</v>
      </c>
      <c r="P25" s="79" t="s">
        <v>5</v>
      </c>
      <c r="Q25" s="79"/>
      <c r="R25" s="28" t="s">
        <v>114</v>
      </c>
      <c r="S25" s="28" t="s">
        <v>4</v>
      </c>
      <c r="T25" s="79" t="s">
        <v>5</v>
      </c>
      <c r="U25" s="79"/>
      <c r="V25" s="29" t="s">
        <v>3</v>
      </c>
      <c r="W25" s="30">
        <v>1.5</v>
      </c>
      <c r="X25" s="30">
        <v>2</v>
      </c>
      <c r="Y25" s="31">
        <v>2.5</v>
      </c>
      <c r="Z25" s="31">
        <v>2.5</v>
      </c>
      <c r="AA25" s="31">
        <v>3</v>
      </c>
      <c r="AB25" s="31">
        <v>3.5</v>
      </c>
      <c r="AC25" s="31">
        <v>4</v>
      </c>
      <c r="AD25" s="31">
        <v>4</v>
      </c>
    </row>
    <row r="26" spans="1:30">
      <c r="B26" s="32"/>
      <c r="C26" s="32"/>
      <c r="D26" s="32"/>
      <c r="E26" s="32"/>
      <c r="F26" s="2"/>
      <c r="G26" s="2" t="s">
        <v>20</v>
      </c>
      <c r="H26" s="2"/>
      <c r="I26" s="2"/>
      <c r="J26" s="32"/>
      <c r="K26" s="32"/>
      <c r="L26" s="32"/>
      <c r="M26" s="32"/>
      <c r="N26" s="33"/>
      <c r="O26" s="33"/>
      <c r="P26" s="25" t="s">
        <v>1</v>
      </c>
      <c r="Q26" s="25" t="s">
        <v>2</v>
      </c>
      <c r="R26" s="34"/>
      <c r="S26" s="34"/>
      <c r="T26" s="25" t="s">
        <v>1</v>
      </c>
      <c r="U26" s="25" t="s">
        <v>2</v>
      </c>
      <c r="V26" s="34"/>
      <c r="W26" s="35" t="s">
        <v>10</v>
      </c>
      <c r="X26" s="35" t="s">
        <v>11</v>
      </c>
      <c r="Y26" s="35" t="s">
        <v>12</v>
      </c>
      <c r="Z26" s="35" t="s">
        <v>13</v>
      </c>
      <c r="AA26" s="35" t="s">
        <v>14</v>
      </c>
      <c r="AB26" s="35" t="s">
        <v>15</v>
      </c>
      <c r="AC26" s="35" t="s">
        <v>16</v>
      </c>
      <c r="AD26" s="35" t="s">
        <v>17</v>
      </c>
    </row>
    <row r="27" spans="1:30">
      <c r="B27" s="36"/>
      <c r="C27" s="36"/>
      <c r="D27" s="36">
        <v>2.1</v>
      </c>
      <c r="E27" s="36"/>
      <c r="F27" s="36"/>
      <c r="G27" s="36"/>
      <c r="H27" s="36"/>
      <c r="I27" s="36"/>
      <c r="J27" s="36"/>
      <c r="K27" s="37"/>
      <c r="L27" s="36">
        <f>+(B27+C27+D27+E27+F27+G27+H27+I27+J27)-0.4*(T27+U27)-0.5*V27</f>
        <v>1.6</v>
      </c>
      <c r="M27" s="38"/>
      <c r="N27" s="38"/>
      <c r="O27" s="38"/>
      <c r="P27" s="38"/>
      <c r="Q27" s="38"/>
      <c r="R27" s="38"/>
      <c r="S27" s="38">
        <v>1</v>
      </c>
      <c r="T27" s="38"/>
      <c r="U27" s="38"/>
      <c r="V27" s="38">
        <v>1</v>
      </c>
      <c r="W27" s="4"/>
      <c r="X27" s="4"/>
      <c r="Y27" s="4"/>
      <c r="Z27" s="4"/>
      <c r="AA27" s="4"/>
      <c r="AB27" s="4"/>
      <c r="AC27" s="4"/>
      <c r="AD27" s="4"/>
    </row>
    <row r="28" spans="1:30">
      <c r="B28" s="36"/>
      <c r="C28" s="36">
        <v>110.6</v>
      </c>
      <c r="D28" s="36"/>
      <c r="E28" s="36"/>
      <c r="F28" s="36"/>
      <c r="G28" s="36"/>
      <c r="H28" s="36"/>
      <c r="I28" s="36"/>
      <c r="J28" s="36"/>
      <c r="K28" s="37"/>
      <c r="L28" s="36">
        <f t="shared" ref="L28:L43" si="4">+(B28+C28+D28+E28+F28+G28+H28+I28+J28)-0.4*(T28+U28)-0.5*V28</f>
        <v>110.6</v>
      </c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4"/>
      <c r="X28" s="4"/>
      <c r="Y28" s="4"/>
      <c r="Z28" s="4"/>
      <c r="AA28" s="4"/>
      <c r="AB28" s="4"/>
      <c r="AC28" s="4"/>
      <c r="AD28" s="4"/>
    </row>
    <row r="29" spans="1:30">
      <c r="B29" s="36"/>
      <c r="C29" s="36">
        <v>67.8</v>
      </c>
      <c r="D29" s="36"/>
      <c r="E29" s="36"/>
      <c r="F29" s="36"/>
      <c r="G29" s="36"/>
      <c r="H29" s="36"/>
      <c r="I29" s="36"/>
      <c r="J29" s="36"/>
      <c r="K29" s="37"/>
      <c r="L29" s="36">
        <f t="shared" si="4"/>
        <v>67.8</v>
      </c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4"/>
      <c r="X29" s="4"/>
      <c r="Y29" s="4"/>
      <c r="Z29" s="4"/>
      <c r="AA29" s="4"/>
      <c r="AB29" s="4"/>
      <c r="AC29" s="4"/>
      <c r="AD29" s="4"/>
    </row>
    <row r="30" spans="1:30">
      <c r="B30" s="36"/>
      <c r="C30" s="36"/>
      <c r="D30" s="36">
        <v>25.6</v>
      </c>
      <c r="E30" s="36"/>
      <c r="F30" s="36"/>
      <c r="G30" s="36"/>
      <c r="H30" s="36"/>
      <c r="I30" s="36"/>
      <c r="J30" s="36"/>
      <c r="K30" s="37"/>
      <c r="L30" s="36">
        <f t="shared" si="4"/>
        <v>25.6</v>
      </c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4"/>
      <c r="X30" s="4"/>
      <c r="Y30" s="4"/>
      <c r="Z30" s="4"/>
      <c r="AA30" s="4"/>
      <c r="AB30" s="4"/>
      <c r="AC30" s="4"/>
      <c r="AD30" s="4"/>
    </row>
    <row r="31" spans="1:30">
      <c r="B31" s="36"/>
      <c r="C31" s="36">
        <v>33</v>
      </c>
      <c r="D31" s="36"/>
      <c r="E31" s="36"/>
      <c r="F31" s="36"/>
      <c r="G31" s="36"/>
      <c r="H31" s="36"/>
      <c r="I31" s="36"/>
      <c r="J31" s="36"/>
      <c r="K31" s="37"/>
      <c r="L31" s="36">
        <f t="shared" si="4"/>
        <v>33</v>
      </c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4"/>
      <c r="X31" s="4"/>
      <c r="Y31" s="4"/>
      <c r="Z31" s="4"/>
      <c r="AA31" s="4"/>
      <c r="AB31" s="4"/>
      <c r="AC31" s="4"/>
      <c r="AD31" s="4"/>
    </row>
    <row r="32" spans="1:30">
      <c r="B32" s="36"/>
      <c r="C32" s="36"/>
      <c r="D32" s="36">
        <v>2.1</v>
      </c>
      <c r="E32" s="36"/>
      <c r="F32" s="36"/>
      <c r="G32" s="36"/>
      <c r="H32" s="36"/>
      <c r="I32" s="36"/>
      <c r="J32" s="36"/>
      <c r="K32" s="37"/>
      <c r="L32" s="36">
        <f t="shared" si="4"/>
        <v>2.1</v>
      </c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4"/>
      <c r="X32" s="4"/>
      <c r="Y32" s="4"/>
      <c r="Z32" s="4"/>
      <c r="AA32" s="4"/>
      <c r="AB32" s="4"/>
      <c r="AC32" s="4"/>
      <c r="AD32" s="4"/>
    </row>
    <row r="33" spans="1:30">
      <c r="B33" s="36"/>
      <c r="C33" s="36">
        <v>2.5</v>
      </c>
      <c r="D33" s="36"/>
      <c r="E33" s="36"/>
      <c r="F33" s="36"/>
      <c r="G33" s="36"/>
      <c r="H33" s="36"/>
      <c r="I33" s="36"/>
      <c r="J33" s="36"/>
      <c r="K33" s="37"/>
      <c r="L33" s="36">
        <f t="shared" ref="L33" si="5">+(B33+C33+D33+E33+F33+G33+H33+I33+J33)-0.4*(T33+U33)-0.5*V33</f>
        <v>2.5</v>
      </c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4"/>
      <c r="X33" s="4"/>
      <c r="Y33" s="4"/>
      <c r="Z33" s="4"/>
      <c r="AA33" s="4"/>
      <c r="AB33" s="4"/>
      <c r="AC33" s="4"/>
      <c r="AD33" s="4"/>
    </row>
    <row r="34" spans="1:30">
      <c r="B34" s="36"/>
      <c r="C34" s="36">
        <v>113.4</v>
      </c>
      <c r="D34" s="36"/>
      <c r="E34" s="36"/>
      <c r="F34" s="36"/>
      <c r="G34" s="36"/>
      <c r="H34" s="36"/>
      <c r="I34" s="36"/>
      <c r="J34" s="36"/>
      <c r="K34" s="37"/>
      <c r="L34" s="36">
        <f t="shared" si="4"/>
        <v>113.4</v>
      </c>
      <c r="M34" s="38"/>
      <c r="N34" s="38"/>
      <c r="O34" s="38"/>
      <c r="P34" s="38"/>
      <c r="Q34" s="38"/>
      <c r="R34" s="38"/>
      <c r="S34" s="38">
        <v>1</v>
      </c>
      <c r="T34" s="38"/>
      <c r="U34" s="38"/>
      <c r="V34" s="38"/>
      <c r="W34" s="4"/>
      <c r="X34" s="4"/>
      <c r="Y34" s="4"/>
      <c r="Z34" s="4"/>
      <c r="AA34" s="4"/>
      <c r="AB34" s="4"/>
      <c r="AC34" s="4"/>
      <c r="AD34" s="4"/>
    </row>
    <row r="35" spans="1:30">
      <c r="B35" s="36">
        <v>7.3</v>
      </c>
      <c r="C35" s="36"/>
      <c r="D35" s="36"/>
      <c r="E35" s="36"/>
      <c r="F35" s="36"/>
      <c r="G35" s="36"/>
      <c r="H35" s="36"/>
      <c r="I35" s="36"/>
      <c r="J35" s="36"/>
      <c r="K35" s="37"/>
      <c r="L35" s="36">
        <f t="shared" ref="L35:L36" si="6">+(B35+C35+D35+E35+F35+G35+H35+I35+J35)-0.4*(T35+U35)-0.5*V35</f>
        <v>7.3</v>
      </c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4"/>
      <c r="X35" s="4"/>
      <c r="Y35" s="4"/>
      <c r="Z35" s="4"/>
      <c r="AA35" s="4"/>
      <c r="AB35" s="4"/>
      <c r="AC35" s="4"/>
      <c r="AD35" s="4"/>
    </row>
    <row r="36" spans="1:30">
      <c r="B36" s="36">
        <v>21.9</v>
      </c>
      <c r="C36" s="36"/>
      <c r="D36" s="36"/>
      <c r="E36" s="36"/>
      <c r="F36" s="36"/>
      <c r="G36" s="36"/>
      <c r="H36" s="36"/>
      <c r="I36" s="36"/>
      <c r="J36" s="36"/>
      <c r="K36" s="37"/>
      <c r="L36" s="36">
        <f t="shared" si="6"/>
        <v>21.9</v>
      </c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4"/>
      <c r="X36" s="4"/>
      <c r="Y36" s="4"/>
      <c r="Z36" s="4"/>
      <c r="AA36" s="4"/>
      <c r="AB36" s="4"/>
      <c r="AC36" s="4"/>
      <c r="AD36" s="4"/>
    </row>
    <row r="37" spans="1:30">
      <c r="B37" s="36"/>
      <c r="C37" s="36">
        <v>69.599999999999994</v>
      </c>
      <c r="D37" s="36"/>
      <c r="E37" s="36"/>
      <c r="F37" s="36"/>
      <c r="G37" s="36"/>
      <c r="H37" s="36"/>
      <c r="I37" s="36"/>
      <c r="J37" s="36"/>
      <c r="K37" s="37"/>
      <c r="L37" s="36">
        <f t="shared" ref="L37" si="7">+(B37+C37+D37+E37+F37+G37+H37+I37+J37)-0.4*(T37+U37)-0.5*V37</f>
        <v>69.099999999999994</v>
      </c>
      <c r="M37" s="38"/>
      <c r="N37" s="38"/>
      <c r="O37" s="38"/>
      <c r="P37" s="38"/>
      <c r="Q37" s="38"/>
      <c r="R37" s="38"/>
      <c r="S37" s="38"/>
      <c r="T37" s="38"/>
      <c r="U37" s="38"/>
      <c r="V37" s="38">
        <v>1</v>
      </c>
      <c r="W37" s="4"/>
      <c r="X37" s="4"/>
      <c r="Y37" s="4"/>
      <c r="Z37" s="4"/>
      <c r="AA37" s="4"/>
      <c r="AB37" s="4"/>
      <c r="AC37" s="4"/>
      <c r="AD37" s="4"/>
    </row>
    <row r="38" spans="1:30">
      <c r="B38" s="36">
        <v>148.19999999999999</v>
      </c>
      <c r="C38" s="36"/>
      <c r="D38" s="36"/>
      <c r="E38" s="36"/>
      <c r="F38" s="36"/>
      <c r="G38" s="36"/>
      <c r="H38" s="36"/>
      <c r="I38" s="36"/>
      <c r="J38" s="36"/>
      <c r="K38" s="37"/>
      <c r="L38" s="36">
        <f t="shared" si="4"/>
        <v>148.19999999999999</v>
      </c>
      <c r="M38" s="38"/>
      <c r="N38" s="38"/>
      <c r="O38" s="38"/>
      <c r="P38" s="38"/>
      <c r="Q38" s="38"/>
      <c r="R38" s="38">
        <v>1</v>
      </c>
      <c r="S38" s="38">
        <v>1</v>
      </c>
      <c r="T38" s="38"/>
      <c r="U38" s="38"/>
      <c r="V38" s="38"/>
      <c r="W38" s="4"/>
      <c r="X38" s="4"/>
      <c r="Y38" s="4"/>
      <c r="Z38" s="4"/>
      <c r="AA38" s="4"/>
      <c r="AB38" s="4"/>
      <c r="AC38" s="4"/>
      <c r="AD38" s="4"/>
    </row>
    <row r="39" spans="1:30">
      <c r="B39" s="36"/>
      <c r="C39" s="36">
        <v>35.700000000000003</v>
      </c>
      <c r="D39" s="36"/>
      <c r="E39" s="36"/>
      <c r="F39" s="36"/>
      <c r="G39" s="36"/>
      <c r="H39" s="36"/>
      <c r="I39" s="36"/>
      <c r="J39" s="36"/>
      <c r="K39" s="37"/>
      <c r="L39" s="36">
        <f t="shared" ref="L39:L42" si="8">+(B39+C39+D39+E39+F39+G39+H39+I39+J39)-0.4*(T39+U39)-0.5*V39</f>
        <v>35.700000000000003</v>
      </c>
      <c r="M39" s="38"/>
      <c r="N39" s="38"/>
      <c r="O39" s="38"/>
      <c r="P39" s="38"/>
      <c r="Q39" s="38"/>
      <c r="R39" s="38">
        <v>1</v>
      </c>
      <c r="S39" s="38"/>
      <c r="T39" s="38"/>
      <c r="U39" s="38"/>
      <c r="V39" s="38"/>
      <c r="W39" s="4"/>
      <c r="X39" s="4"/>
      <c r="Y39" s="4"/>
      <c r="Z39" s="4"/>
      <c r="AA39" s="4"/>
      <c r="AB39" s="4"/>
      <c r="AC39" s="4"/>
      <c r="AD39" s="4"/>
    </row>
    <row r="40" spans="1:30">
      <c r="B40" s="36"/>
      <c r="C40" s="36">
        <v>8.8000000000000007</v>
      </c>
      <c r="D40" s="36"/>
      <c r="E40" s="36"/>
      <c r="F40" s="36"/>
      <c r="G40" s="36"/>
      <c r="H40" s="36"/>
      <c r="I40" s="36"/>
      <c r="J40" s="36"/>
      <c r="K40" s="37"/>
      <c r="L40" s="36">
        <f t="shared" si="8"/>
        <v>8.8000000000000007</v>
      </c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4"/>
      <c r="X40" s="4"/>
      <c r="Y40" s="4"/>
      <c r="Z40" s="4"/>
      <c r="AA40" s="4"/>
      <c r="AB40" s="4"/>
      <c r="AC40" s="4"/>
      <c r="AD40" s="4"/>
    </row>
    <row r="41" spans="1:30">
      <c r="B41" s="36"/>
      <c r="C41" s="36"/>
      <c r="D41" s="36"/>
      <c r="E41" s="36"/>
      <c r="F41" s="36">
        <v>2.2000000000000002</v>
      </c>
      <c r="G41" s="36"/>
      <c r="H41" s="36"/>
      <c r="I41" s="36"/>
      <c r="J41" s="36"/>
      <c r="K41" s="37"/>
      <c r="L41" s="36">
        <f t="shared" si="8"/>
        <v>2.2000000000000002</v>
      </c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4"/>
      <c r="X41" s="4"/>
      <c r="Y41" s="4"/>
      <c r="Z41" s="4"/>
      <c r="AA41" s="4"/>
      <c r="AB41" s="4"/>
      <c r="AC41" s="4"/>
      <c r="AD41" s="4"/>
    </row>
    <row r="42" spans="1:30">
      <c r="B42" s="36">
        <v>13.7</v>
      </c>
      <c r="C42" s="36"/>
      <c r="D42" s="36"/>
      <c r="E42" s="36"/>
      <c r="F42" s="36"/>
      <c r="G42" s="36"/>
      <c r="H42" s="36"/>
      <c r="I42" s="36"/>
      <c r="J42" s="36"/>
      <c r="K42" s="37"/>
      <c r="L42" s="36">
        <f t="shared" si="8"/>
        <v>13.7</v>
      </c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4"/>
      <c r="X42" s="4"/>
      <c r="Y42" s="4"/>
      <c r="Z42" s="4"/>
      <c r="AA42" s="4"/>
      <c r="AB42" s="4"/>
      <c r="AC42" s="4"/>
      <c r="AD42" s="4"/>
    </row>
    <row r="43" spans="1:30">
      <c r="B43" s="36">
        <v>38.799999999999997</v>
      </c>
      <c r="C43" s="36"/>
      <c r="D43" s="36"/>
      <c r="E43" s="36"/>
      <c r="F43" s="36"/>
      <c r="G43" s="36"/>
      <c r="H43" s="36"/>
      <c r="I43" s="36"/>
      <c r="J43" s="36"/>
      <c r="K43" s="37"/>
      <c r="L43" s="36">
        <f t="shared" si="4"/>
        <v>38.799999999999997</v>
      </c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4"/>
      <c r="X43" s="4"/>
      <c r="Y43" s="4"/>
      <c r="Z43" s="4"/>
      <c r="AA43" s="4"/>
      <c r="AB43" s="4"/>
      <c r="AC43" s="4"/>
      <c r="AD43" s="4"/>
    </row>
    <row r="44" spans="1:30">
      <c r="A44" s="39" t="s">
        <v>26</v>
      </c>
      <c r="B44" s="36">
        <f t="shared" ref="B44:G44" si="9">SUM(B27:B43)</f>
        <v>229.89999999999998</v>
      </c>
      <c r="C44" s="36">
        <f t="shared" si="9"/>
        <v>441.4</v>
      </c>
      <c r="D44" s="36">
        <f t="shared" si="9"/>
        <v>29.800000000000004</v>
      </c>
      <c r="E44" s="36">
        <f t="shared" si="9"/>
        <v>0</v>
      </c>
      <c r="F44" s="36">
        <f t="shared" si="9"/>
        <v>2.2000000000000002</v>
      </c>
      <c r="G44" s="36">
        <f t="shared" si="9"/>
        <v>0</v>
      </c>
      <c r="H44" s="36"/>
      <c r="I44" s="36"/>
      <c r="J44" s="36"/>
      <c r="K44" s="36"/>
      <c r="L44" s="36">
        <f>SUM(L27:L43)</f>
        <v>702.3</v>
      </c>
      <c r="M44" s="38"/>
      <c r="N44" s="38"/>
      <c r="O44" s="38"/>
      <c r="P44" s="38"/>
      <c r="Q44" s="38"/>
      <c r="R44" s="38">
        <f>SUM(R27:R43)</f>
        <v>2</v>
      </c>
      <c r="S44" s="38">
        <f>SUM(S27:S43)</f>
        <v>3</v>
      </c>
      <c r="T44" s="38">
        <f>SUM(T27:T43)</f>
        <v>0</v>
      </c>
      <c r="U44" s="38">
        <f>SUM(U27:U43)</f>
        <v>0</v>
      </c>
      <c r="V44" s="38">
        <f>SUM(V27:V43)</f>
        <v>2</v>
      </c>
      <c r="W44" s="4"/>
      <c r="X44" s="4"/>
      <c r="Y44" s="4"/>
      <c r="Z44" s="4"/>
      <c r="AA44" s="4"/>
      <c r="AB44" s="4"/>
      <c r="AC44" s="4"/>
      <c r="AD44" s="4"/>
    </row>
    <row r="45" spans="1:30">
      <c r="M45" s="20"/>
      <c r="W45" s="8"/>
      <c r="X45" s="8"/>
      <c r="Y45" s="8"/>
      <c r="Z45" s="8"/>
      <c r="AA45" s="8"/>
      <c r="AB45" s="8"/>
      <c r="AC45" s="8"/>
      <c r="AD45" s="8"/>
    </row>
    <row r="46" spans="1:30">
      <c r="B46" s="20" t="s">
        <v>74</v>
      </c>
      <c r="W46" s="22"/>
      <c r="X46" s="22"/>
      <c r="Y46" s="22"/>
      <c r="Z46" s="22"/>
      <c r="AA46" s="22"/>
    </row>
    <row r="47" spans="1:30">
      <c r="B47" s="75" t="s">
        <v>7</v>
      </c>
      <c r="C47" s="75"/>
      <c r="D47" s="75"/>
      <c r="E47" s="75"/>
      <c r="F47" s="75"/>
      <c r="G47" s="75"/>
      <c r="H47" s="75"/>
      <c r="I47" s="75"/>
      <c r="J47" s="75"/>
      <c r="K47" s="24" t="s">
        <v>8</v>
      </c>
      <c r="L47" s="24" t="s">
        <v>6</v>
      </c>
      <c r="M47" s="24" t="s">
        <v>9</v>
      </c>
      <c r="N47" s="79" t="s">
        <v>0</v>
      </c>
      <c r="O47" s="79"/>
      <c r="P47" s="79"/>
      <c r="Q47" s="79"/>
      <c r="R47" s="79" t="s">
        <v>6</v>
      </c>
      <c r="S47" s="79"/>
      <c r="T47" s="79"/>
      <c r="U47" s="79"/>
      <c r="V47" s="26"/>
      <c r="W47" s="80" t="s">
        <v>71</v>
      </c>
      <c r="X47" s="80"/>
      <c r="Y47" s="80"/>
      <c r="Z47" s="80"/>
      <c r="AA47" s="80"/>
      <c r="AB47" s="80"/>
      <c r="AC47" s="80"/>
      <c r="AD47" s="80"/>
    </row>
    <row r="48" spans="1:30">
      <c r="B48" s="27" t="s">
        <v>141</v>
      </c>
      <c r="C48" s="27" t="s">
        <v>69</v>
      </c>
      <c r="D48" s="27" t="s">
        <v>19</v>
      </c>
      <c r="E48" s="27" t="s">
        <v>21</v>
      </c>
      <c r="F48" s="7" t="s">
        <v>70</v>
      </c>
      <c r="G48" s="7" t="s">
        <v>22</v>
      </c>
      <c r="H48" s="6"/>
      <c r="I48" s="7"/>
      <c r="J48" s="27"/>
      <c r="K48" s="27"/>
      <c r="L48" s="27"/>
      <c r="M48" s="27"/>
      <c r="N48" s="28" t="s">
        <v>114</v>
      </c>
      <c r="O48" s="28" t="s">
        <v>4</v>
      </c>
      <c r="P48" s="79" t="s">
        <v>5</v>
      </c>
      <c r="Q48" s="79"/>
      <c r="R48" s="28" t="s">
        <v>114</v>
      </c>
      <c r="S48" s="28" t="s">
        <v>4</v>
      </c>
      <c r="T48" s="79" t="s">
        <v>5</v>
      </c>
      <c r="U48" s="79"/>
      <c r="V48" s="29" t="s">
        <v>3</v>
      </c>
      <c r="W48" s="30">
        <v>1.5</v>
      </c>
      <c r="X48" s="30">
        <v>2</v>
      </c>
      <c r="Y48" s="31">
        <v>2.5</v>
      </c>
      <c r="Z48" s="31">
        <v>2.5</v>
      </c>
      <c r="AA48" s="31">
        <v>3</v>
      </c>
      <c r="AB48" s="31">
        <v>3.5</v>
      </c>
      <c r="AC48" s="31">
        <v>4</v>
      </c>
      <c r="AD48" s="31">
        <v>4</v>
      </c>
    </row>
    <row r="49" spans="1:30">
      <c r="B49" s="32"/>
      <c r="C49" s="32"/>
      <c r="D49" s="32"/>
      <c r="E49" s="32"/>
      <c r="F49" s="2"/>
      <c r="G49" s="2" t="s">
        <v>20</v>
      </c>
      <c r="H49" s="2"/>
      <c r="I49" s="2"/>
      <c r="J49" s="32"/>
      <c r="K49" s="32"/>
      <c r="L49" s="32"/>
      <c r="M49" s="32"/>
      <c r="N49" s="33"/>
      <c r="O49" s="33"/>
      <c r="P49" s="25" t="s">
        <v>1</v>
      </c>
      <c r="Q49" s="25" t="s">
        <v>2</v>
      </c>
      <c r="R49" s="34"/>
      <c r="S49" s="34"/>
      <c r="T49" s="25" t="s">
        <v>1</v>
      </c>
      <c r="U49" s="25" t="s">
        <v>2</v>
      </c>
      <c r="V49" s="34"/>
      <c r="W49" s="35" t="s">
        <v>10</v>
      </c>
      <c r="X49" s="35" t="s">
        <v>11</v>
      </c>
      <c r="Y49" s="35" t="s">
        <v>12</v>
      </c>
      <c r="Z49" s="35" t="s">
        <v>13</v>
      </c>
      <c r="AA49" s="35" t="s">
        <v>14</v>
      </c>
      <c r="AB49" s="35" t="s">
        <v>15</v>
      </c>
      <c r="AC49" s="35" t="s">
        <v>16</v>
      </c>
      <c r="AD49" s="35" t="s">
        <v>17</v>
      </c>
    </row>
    <row r="50" spans="1:30">
      <c r="B50" s="36"/>
      <c r="C50" s="36">
        <v>3.2</v>
      </c>
      <c r="D50" s="36"/>
      <c r="E50" s="36"/>
      <c r="F50" s="36"/>
      <c r="G50" s="36"/>
      <c r="H50" s="36"/>
      <c r="I50" s="36"/>
      <c r="J50" s="36"/>
      <c r="K50" s="37">
        <f>(B50+C50+D50+E50+F50+G50+J50+H50+I50)-0.47*(+P50+Q50)-0.8*V50</f>
        <v>3.2</v>
      </c>
      <c r="L50" s="36"/>
      <c r="M50" s="38">
        <v>1</v>
      </c>
      <c r="N50" s="38"/>
      <c r="O50" s="38"/>
      <c r="P50" s="38"/>
      <c r="Q50" s="38"/>
      <c r="R50" s="38"/>
      <c r="S50" s="38"/>
      <c r="T50" s="38"/>
      <c r="U50" s="38"/>
      <c r="V50" s="38"/>
      <c r="W50" s="4"/>
      <c r="X50" s="4">
        <f>+B50+C50+D50+E50+F50+G50+H50+I50+J50-Z50</f>
        <v>2.4000000000000004</v>
      </c>
      <c r="Y50" s="4"/>
      <c r="Z50" s="4">
        <f>0.8*M50</f>
        <v>0.8</v>
      </c>
      <c r="AA50" s="4"/>
      <c r="AB50" s="4"/>
      <c r="AC50" s="4"/>
      <c r="AD50" s="4"/>
    </row>
    <row r="51" spans="1:30">
      <c r="B51" s="36"/>
      <c r="C51" s="36"/>
      <c r="D51" s="36">
        <v>3.7</v>
      </c>
      <c r="E51" s="36"/>
      <c r="F51" s="36"/>
      <c r="G51" s="36"/>
      <c r="H51" s="36"/>
      <c r="I51" s="36"/>
      <c r="J51" s="36"/>
      <c r="K51" s="37">
        <f t="shared" ref="K51:K55" si="10">(B51+C51+D51+E51+F51+G51+J51+H51+I51)-0.47*(+P51+Q51)-0.8*V51</f>
        <v>3.7</v>
      </c>
      <c r="L51" s="36"/>
      <c r="M51" s="38">
        <v>2</v>
      </c>
      <c r="N51" s="38">
        <v>1</v>
      </c>
      <c r="O51" s="38"/>
      <c r="P51" s="38"/>
      <c r="Q51" s="38"/>
      <c r="R51" s="38"/>
      <c r="S51" s="38"/>
      <c r="T51" s="38"/>
      <c r="U51" s="38"/>
      <c r="V51" s="38"/>
      <c r="W51" s="4"/>
      <c r="X51" s="4">
        <f t="shared" ref="X51:X53" si="11">+B51+C51+D51+E51+F51+G51+H51+I51+J51-Z51</f>
        <v>2.1</v>
      </c>
      <c r="Y51" s="4"/>
      <c r="Z51" s="4">
        <f t="shared" ref="Z51:Z53" si="12">0.8*M51</f>
        <v>1.6</v>
      </c>
      <c r="AA51" s="4"/>
      <c r="AB51" s="4"/>
      <c r="AC51" s="4"/>
      <c r="AD51" s="4"/>
    </row>
    <row r="52" spans="1:30">
      <c r="B52" s="36"/>
      <c r="C52" s="36">
        <v>5.4</v>
      </c>
      <c r="D52" s="36"/>
      <c r="E52" s="36"/>
      <c r="F52" s="36"/>
      <c r="G52" s="36"/>
      <c r="H52" s="36"/>
      <c r="I52" s="36"/>
      <c r="J52" s="36"/>
      <c r="K52" s="37">
        <f t="shared" si="10"/>
        <v>5.4</v>
      </c>
      <c r="L52" s="36"/>
      <c r="M52" s="38">
        <v>5</v>
      </c>
      <c r="N52" s="38"/>
      <c r="O52" s="38"/>
      <c r="P52" s="38"/>
      <c r="Q52" s="38"/>
      <c r="R52" s="38"/>
      <c r="S52" s="38"/>
      <c r="T52" s="38"/>
      <c r="U52" s="38"/>
      <c r="V52" s="38"/>
      <c r="W52" s="4"/>
      <c r="X52" s="4">
        <f t="shared" si="11"/>
        <v>1.4000000000000004</v>
      </c>
      <c r="Y52" s="4"/>
      <c r="Z52" s="4">
        <f t="shared" si="12"/>
        <v>4</v>
      </c>
      <c r="AA52" s="4"/>
      <c r="AB52" s="4"/>
      <c r="AC52" s="4"/>
      <c r="AD52" s="4"/>
    </row>
    <row r="53" spans="1:30">
      <c r="B53" s="36"/>
      <c r="C53" s="36">
        <v>28.9</v>
      </c>
      <c r="D53" s="36"/>
      <c r="E53" s="36"/>
      <c r="F53" s="36"/>
      <c r="G53" s="36"/>
      <c r="H53" s="36"/>
      <c r="I53" s="36"/>
      <c r="J53" s="36"/>
      <c r="K53" s="37">
        <f t="shared" si="10"/>
        <v>28.9</v>
      </c>
      <c r="L53" s="36"/>
      <c r="M53" s="38">
        <v>8</v>
      </c>
      <c r="N53" s="38">
        <v>1</v>
      </c>
      <c r="O53" s="38"/>
      <c r="P53" s="38"/>
      <c r="Q53" s="38"/>
      <c r="R53" s="38"/>
      <c r="S53" s="38"/>
      <c r="T53" s="38"/>
      <c r="U53" s="38"/>
      <c r="V53" s="38"/>
      <c r="W53" s="4"/>
      <c r="X53" s="4">
        <f t="shared" si="11"/>
        <v>22.5</v>
      </c>
      <c r="Y53" s="4"/>
      <c r="Z53" s="4">
        <f t="shared" si="12"/>
        <v>6.4</v>
      </c>
      <c r="AA53" s="4"/>
      <c r="AB53" s="4"/>
      <c r="AC53" s="4"/>
      <c r="AD53" s="4"/>
    </row>
    <row r="54" spans="1:30">
      <c r="B54" s="36"/>
      <c r="C54" s="36">
        <v>27.6</v>
      </c>
      <c r="D54" s="36"/>
      <c r="E54" s="36"/>
      <c r="F54" s="36"/>
      <c r="G54" s="36"/>
      <c r="H54" s="36"/>
      <c r="I54" s="36"/>
      <c r="J54" s="36"/>
      <c r="K54" s="37">
        <f t="shared" si="10"/>
        <v>27.6</v>
      </c>
      <c r="L54" s="36"/>
      <c r="M54" s="38">
        <v>13</v>
      </c>
      <c r="N54" s="38">
        <v>1</v>
      </c>
      <c r="O54" s="38"/>
      <c r="P54" s="38"/>
      <c r="Q54" s="38"/>
      <c r="R54" s="38"/>
      <c r="S54" s="38"/>
      <c r="T54" s="38"/>
      <c r="U54" s="38"/>
      <c r="V54" s="38"/>
      <c r="W54" s="4"/>
      <c r="X54" s="4">
        <f t="shared" ref="X54:X55" si="13">+B54+C54+D54+E54+F54+G54+H54+I54+J54-Z54</f>
        <v>17.200000000000003</v>
      </c>
      <c r="Y54" s="4"/>
      <c r="Z54" s="4">
        <f t="shared" ref="Z54:Z55" si="14">0.8*M54</f>
        <v>10.4</v>
      </c>
      <c r="AA54" s="4"/>
      <c r="AB54" s="4"/>
      <c r="AC54" s="4"/>
      <c r="AD54" s="4"/>
    </row>
    <row r="55" spans="1:30">
      <c r="B55" s="36"/>
      <c r="C55" s="36">
        <v>157</v>
      </c>
      <c r="D55" s="36"/>
      <c r="E55" s="36"/>
      <c r="F55" s="36"/>
      <c r="G55" s="36"/>
      <c r="H55" s="36"/>
      <c r="I55" s="36"/>
      <c r="J55" s="36"/>
      <c r="K55" s="37">
        <f t="shared" si="10"/>
        <v>157</v>
      </c>
      <c r="L55" s="36"/>
      <c r="M55" s="38">
        <v>53</v>
      </c>
      <c r="N55" s="38">
        <v>3</v>
      </c>
      <c r="O55" s="38">
        <v>1</v>
      </c>
      <c r="P55" s="38"/>
      <c r="Q55" s="38"/>
      <c r="R55" s="38"/>
      <c r="S55" s="38"/>
      <c r="T55" s="38"/>
      <c r="U55" s="38"/>
      <c r="V55" s="38"/>
      <c r="W55" s="4"/>
      <c r="X55" s="4">
        <f t="shared" si="13"/>
        <v>114.6</v>
      </c>
      <c r="Y55" s="4"/>
      <c r="Z55" s="4">
        <f t="shared" si="14"/>
        <v>42.400000000000006</v>
      </c>
      <c r="AA55" s="4"/>
      <c r="AB55" s="4"/>
      <c r="AC55" s="4"/>
      <c r="AD55" s="4"/>
    </row>
    <row r="56" spans="1:30">
      <c r="A56" s="39" t="s">
        <v>26</v>
      </c>
      <c r="B56" s="36">
        <f t="shared" ref="B56:K56" si="15">SUM(B50:B55)</f>
        <v>0</v>
      </c>
      <c r="C56" s="36">
        <f t="shared" si="15"/>
        <v>222.1</v>
      </c>
      <c r="D56" s="36">
        <f t="shared" si="15"/>
        <v>3.7</v>
      </c>
      <c r="E56" s="36">
        <f t="shared" si="15"/>
        <v>0</v>
      </c>
      <c r="F56" s="36">
        <f t="shared" si="15"/>
        <v>0</v>
      </c>
      <c r="G56" s="36">
        <f t="shared" si="15"/>
        <v>0</v>
      </c>
      <c r="H56" s="36">
        <f t="shared" si="15"/>
        <v>0</v>
      </c>
      <c r="I56" s="36">
        <f t="shared" si="15"/>
        <v>0</v>
      </c>
      <c r="J56" s="36">
        <f t="shared" si="15"/>
        <v>0</v>
      </c>
      <c r="K56" s="36">
        <f t="shared" si="15"/>
        <v>225.8</v>
      </c>
      <c r="L56" s="36"/>
      <c r="M56" s="38">
        <f>SUM(M50:M55)</f>
        <v>82</v>
      </c>
      <c r="N56" s="38">
        <f>SUM(N50:N55)</f>
        <v>6</v>
      </c>
      <c r="O56" s="38">
        <f>SUM(O50:O55)</f>
        <v>1</v>
      </c>
      <c r="P56" s="38">
        <f>SUM(P50:P55)</f>
        <v>0</v>
      </c>
      <c r="Q56" s="38">
        <f>SUM(Q50:Q55)</f>
        <v>0</v>
      </c>
      <c r="R56" s="38"/>
      <c r="S56" s="38"/>
      <c r="T56" s="38"/>
      <c r="U56" s="38"/>
      <c r="V56" s="38">
        <f t="shared" ref="V56:AD56" si="16">SUM(V50:V55)</f>
        <v>0</v>
      </c>
      <c r="W56" s="4">
        <f t="shared" si="16"/>
        <v>0</v>
      </c>
      <c r="X56" s="4">
        <f t="shared" si="16"/>
        <v>160.19999999999999</v>
      </c>
      <c r="Y56" s="4">
        <f t="shared" si="16"/>
        <v>0</v>
      </c>
      <c r="Z56" s="4">
        <f t="shared" si="16"/>
        <v>65.600000000000009</v>
      </c>
      <c r="AA56" s="4">
        <f t="shared" si="16"/>
        <v>0</v>
      </c>
      <c r="AB56" s="4">
        <f t="shared" si="16"/>
        <v>0</v>
      </c>
      <c r="AC56" s="4">
        <f t="shared" si="16"/>
        <v>0</v>
      </c>
      <c r="AD56" s="4">
        <f t="shared" si="16"/>
        <v>0</v>
      </c>
    </row>
    <row r="57" spans="1:30">
      <c r="B57" s="21" t="s">
        <v>78</v>
      </c>
      <c r="M57" s="20"/>
      <c r="W57" s="8" t="s">
        <v>66</v>
      </c>
      <c r="X57" s="8">
        <f>+X56+Z56</f>
        <v>225.8</v>
      </c>
      <c r="Y57" s="8"/>
      <c r="Z57" s="8"/>
      <c r="AA57" s="8"/>
      <c r="AB57" s="8"/>
      <c r="AC57" s="8"/>
      <c r="AD57" s="8"/>
    </row>
    <row r="58" spans="1:30">
      <c r="A58" s="39" t="s">
        <v>26</v>
      </c>
      <c r="B58" s="36">
        <f>+B56-B69</f>
        <v>0</v>
      </c>
      <c r="C58" s="36">
        <f t="shared" ref="C58:K58" si="17">+C56-C69</f>
        <v>208.48</v>
      </c>
      <c r="D58" s="36">
        <f t="shared" si="17"/>
        <v>3.7</v>
      </c>
      <c r="E58" s="36">
        <f t="shared" si="17"/>
        <v>0</v>
      </c>
      <c r="F58" s="36">
        <f t="shared" si="17"/>
        <v>0</v>
      </c>
      <c r="G58" s="36">
        <f t="shared" si="17"/>
        <v>0</v>
      </c>
      <c r="H58" s="36">
        <f t="shared" si="17"/>
        <v>0</v>
      </c>
      <c r="I58" s="36">
        <f t="shared" si="17"/>
        <v>0</v>
      </c>
      <c r="J58" s="36">
        <f t="shared" si="17"/>
        <v>0</v>
      </c>
      <c r="K58" s="36">
        <f t="shared" si="17"/>
        <v>212.18</v>
      </c>
      <c r="L58" s="36"/>
      <c r="M58" s="38">
        <f>+M56-M69</f>
        <v>71</v>
      </c>
      <c r="N58" s="38">
        <f t="shared" ref="N58:Q58" si="18">+N56-N69</f>
        <v>6</v>
      </c>
      <c r="O58" s="38">
        <f t="shared" si="18"/>
        <v>1</v>
      </c>
      <c r="P58" s="38">
        <f t="shared" si="18"/>
        <v>0</v>
      </c>
      <c r="Q58" s="38">
        <f t="shared" si="18"/>
        <v>0</v>
      </c>
      <c r="R58" s="38"/>
      <c r="S58" s="38"/>
      <c r="T58" s="38"/>
      <c r="U58" s="38"/>
      <c r="V58" s="38">
        <f>+V56-V78</f>
        <v>0</v>
      </c>
      <c r="W58" s="4">
        <f>+W56-W78</f>
        <v>0</v>
      </c>
      <c r="X58" s="4">
        <f>+X57-Z58-AA69-AB69-AC69-AD69</f>
        <v>155.38</v>
      </c>
      <c r="Y58" s="4"/>
      <c r="Z58" s="4">
        <f>0.8*M58</f>
        <v>56.800000000000004</v>
      </c>
      <c r="AA58" s="4"/>
      <c r="AB58" s="4"/>
      <c r="AC58" s="4"/>
      <c r="AD58" s="4"/>
    </row>
    <row r="59" spans="1:30">
      <c r="A59" s="39"/>
      <c r="M59" s="20"/>
      <c r="W59" s="8"/>
      <c r="X59" s="8"/>
      <c r="Y59" s="8"/>
      <c r="Z59" s="8"/>
      <c r="AA59" s="8"/>
      <c r="AB59" s="8"/>
      <c r="AC59" s="8"/>
      <c r="AD59" s="8"/>
    </row>
    <row r="60" spans="1:30">
      <c r="A60" s="39"/>
      <c r="M60" s="20"/>
      <c r="W60" s="8"/>
      <c r="X60" s="8"/>
      <c r="Y60" s="8"/>
      <c r="Z60" s="8"/>
      <c r="AA60" s="8"/>
      <c r="AB60" s="8"/>
      <c r="AC60" s="8"/>
      <c r="AD60" s="8"/>
    </row>
    <row r="61" spans="1:30">
      <c r="A61" s="39"/>
      <c r="M61" s="20"/>
      <c r="W61" s="8"/>
      <c r="X61" s="8"/>
      <c r="Y61" s="8"/>
      <c r="Z61" s="8"/>
      <c r="AA61" s="8"/>
      <c r="AB61" s="8"/>
      <c r="AC61" s="8"/>
      <c r="AD61" s="8"/>
    </row>
    <row r="62" spans="1:30">
      <c r="M62" s="20"/>
      <c r="W62" s="8"/>
      <c r="X62" s="8" t="s">
        <v>67</v>
      </c>
      <c r="Y62" s="8"/>
      <c r="Z62" s="8" t="s">
        <v>79</v>
      </c>
      <c r="AA62" s="8"/>
      <c r="AB62" s="8"/>
      <c r="AC62" s="8"/>
      <c r="AD62" s="8"/>
    </row>
    <row r="63" spans="1:30">
      <c r="B63" s="20" t="s">
        <v>75</v>
      </c>
      <c r="W63" s="22"/>
      <c r="X63" s="22"/>
      <c r="Y63" s="22"/>
      <c r="Z63" s="22"/>
      <c r="AA63" s="22"/>
    </row>
    <row r="64" spans="1:30">
      <c r="B64" s="75" t="s">
        <v>7</v>
      </c>
      <c r="C64" s="75"/>
      <c r="D64" s="75"/>
      <c r="E64" s="75"/>
      <c r="F64" s="75"/>
      <c r="G64" s="75"/>
      <c r="H64" s="75"/>
      <c r="I64" s="75"/>
      <c r="J64" s="75"/>
      <c r="K64" s="24" t="s">
        <v>8</v>
      </c>
      <c r="L64" s="24" t="s">
        <v>6</v>
      </c>
      <c r="M64" s="24" t="s">
        <v>9</v>
      </c>
      <c r="N64" s="79" t="s">
        <v>0</v>
      </c>
      <c r="O64" s="79"/>
      <c r="P64" s="79"/>
      <c r="Q64" s="79"/>
      <c r="R64" s="79" t="s">
        <v>6</v>
      </c>
      <c r="S64" s="79"/>
      <c r="T64" s="79"/>
      <c r="U64" s="79"/>
      <c r="V64" s="26"/>
      <c r="W64" s="80" t="s">
        <v>71</v>
      </c>
      <c r="X64" s="80"/>
      <c r="Y64" s="80"/>
      <c r="Z64" s="80"/>
      <c r="AA64" s="80"/>
      <c r="AB64" s="80"/>
      <c r="AC64" s="80"/>
      <c r="AD64" s="80"/>
    </row>
    <row r="65" spans="1:30">
      <c r="B65" s="27" t="s">
        <v>141</v>
      </c>
      <c r="C65" s="27" t="s">
        <v>69</v>
      </c>
      <c r="D65" s="27" t="s">
        <v>19</v>
      </c>
      <c r="E65" s="27" t="s">
        <v>21</v>
      </c>
      <c r="F65" s="7" t="s">
        <v>70</v>
      </c>
      <c r="G65" s="7" t="s">
        <v>22</v>
      </c>
      <c r="H65" s="6"/>
      <c r="I65" s="7"/>
      <c r="J65" s="27"/>
      <c r="K65" s="27"/>
      <c r="L65" s="27"/>
      <c r="M65" s="27"/>
      <c r="N65" s="28" t="s">
        <v>114</v>
      </c>
      <c r="O65" s="28" t="s">
        <v>4</v>
      </c>
      <c r="P65" s="79" t="s">
        <v>5</v>
      </c>
      <c r="Q65" s="79"/>
      <c r="R65" s="28" t="s">
        <v>114</v>
      </c>
      <c r="S65" s="28" t="s">
        <v>4</v>
      </c>
      <c r="T65" s="79" t="s">
        <v>5</v>
      </c>
      <c r="U65" s="79"/>
      <c r="V65" s="29" t="s">
        <v>3</v>
      </c>
      <c r="W65" s="30">
        <v>1.5</v>
      </c>
      <c r="X65" s="30">
        <v>2</v>
      </c>
      <c r="Y65" s="31">
        <v>2.5</v>
      </c>
      <c r="Z65" s="31">
        <v>2.5</v>
      </c>
      <c r="AA65" s="31">
        <v>3</v>
      </c>
      <c r="AB65" s="31">
        <v>3.5</v>
      </c>
      <c r="AC65" s="31">
        <v>4</v>
      </c>
      <c r="AD65" s="31">
        <v>4</v>
      </c>
    </row>
    <row r="66" spans="1:30">
      <c r="B66" s="32"/>
      <c r="C66" s="32"/>
      <c r="D66" s="32"/>
      <c r="E66" s="32"/>
      <c r="F66" s="2"/>
      <c r="G66" s="2" t="s">
        <v>20</v>
      </c>
      <c r="H66" s="2"/>
      <c r="I66" s="2"/>
      <c r="J66" s="32"/>
      <c r="K66" s="32"/>
      <c r="L66" s="32"/>
      <c r="M66" s="32"/>
      <c r="N66" s="33"/>
      <c r="O66" s="33"/>
      <c r="P66" s="25" t="s">
        <v>1</v>
      </c>
      <c r="Q66" s="25" t="s">
        <v>2</v>
      </c>
      <c r="R66" s="34"/>
      <c r="S66" s="34"/>
      <c r="T66" s="25" t="s">
        <v>1</v>
      </c>
      <c r="U66" s="25" t="s">
        <v>2</v>
      </c>
      <c r="V66" s="34"/>
      <c r="W66" s="35" t="s">
        <v>10</v>
      </c>
      <c r="X66" s="35" t="s">
        <v>11</v>
      </c>
      <c r="Y66" s="35" t="s">
        <v>12</v>
      </c>
      <c r="Z66" s="35" t="s">
        <v>13</v>
      </c>
      <c r="AA66" s="35" t="s">
        <v>14</v>
      </c>
      <c r="AB66" s="35" t="s">
        <v>15</v>
      </c>
      <c r="AC66" s="35" t="s">
        <v>16</v>
      </c>
      <c r="AD66" s="35" t="s">
        <v>17</v>
      </c>
    </row>
    <row r="67" spans="1:30">
      <c r="A67" s="41" t="s">
        <v>76</v>
      </c>
      <c r="B67" s="36"/>
      <c r="C67" s="36">
        <v>5.9</v>
      </c>
      <c r="D67" s="36"/>
      <c r="E67" s="36"/>
      <c r="F67" s="36"/>
      <c r="G67" s="36"/>
      <c r="H67" s="36"/>
      <c r="I67" s="36"/>
      <c r="J67" s="36"/>
      <c r="K67" s="37">
        <f>(B67+C67+D67+E67+F67+G67+J67+H67+I67)-0.47*(+P67+Q67)-0.8*V67</f>
        <v>5.9</v>
      </c>
      <c r="L67" s="36"/>
      <c r="M67" s="38">
        <v>6</v>
      </c>
      <c r="N67" s="38"/>
      <c r="O67" s="38"/>
      <c r="P67" s="38"/>
      <c r="Q67" s="38"/>
      <c r="R67" s="38"/>
      <c r="S67" s="38"/>
      <c r="T67" s="38"/>
      <c r="U67" s="38"/>
      <c r="V67" s="38"/>
      <c r="W67" s="4"/>
      <c r="X67" s="4"/>
      <c r="Y67" s="4"/>
      <c r="Z67" s="4"/>
      <c r="AA67" s="4">
        <f>+B67+C67+D67+E67+F67+G67+H67+I67+J67-AB67</f>
        <v>1.0999999999999996</v>
      </c>
      <c r="AB67" s="4">
        <f>0.8*M67</f>
        <v>4.8000000000000007</v>
      </c>
      <c r="AC67" s="4"/>
      <c r="AD67" s="4"/>
    </row>
    <row r="68" spans="1:30">
      <c r="A68" s="41" t="s">
        <v>77</v>
      </c>
      <c r="B68" s="36"/>
      <c r="C68" s="36">
        <v>7.72</v>
      </c>
      <c r="D68" s="36"/>
      <c r="E68" s="36"/>
      <c r="F68" s="36"/>
      <c r="G68" s="36"/>
      <c r="H68" s="36"/>
      <c r="I68" s="36"/>
      <c r="J68" s="36"/>
      <c r="K68" s="37">
        <f>(B68+C68+D68+E68+F68+G68+J68+H68+I68)-0.47*(+P68+Q68)-0.8*V68</f>
        <v>7.72</v>
      </c>
      <c r="L68" s="36"/>
      <c r="M68" s="38">
        <v>5</v>
      </c>
      <c r="N68" s="38"/>
      <c r="O68" s="38"/>
      <c r="P68" s="38"/>
      <c r="Q68" s="38"/>
      <c r="R68" s="38"/>
      <c r="S68" s="38"/>
      <c r="T68" s="38"/>
      <c r="U68" s="38"/>
      <c r="V68" s="38"/>
      <c r="W68" s="4"/>
      <c r="X68" s="4"/>
      <c r="Y68" s="4"/>
      <c r="Z68" s="4"/>
      <c r="AA68" s="4"/>
      <c r="AB68" s="4"/>
      <c r="AC68" s="4">
        <f>+C68</f>
        <v>7.72</v>
      </c>
      <c r="AD68" s="4"/>
    </row>
    <row r="69" spans="1:30">
      <c r="A69" s="39" t="s">
        <v>26</v>
      </c>
      <c r="B69" s="36">
        <f t="shared" ref="B69:K69" si="19">SUM(B67:B68)</f>
        <v>0</v>
      </c>
      <c r="C69" s="36">
        <f t="shared" si="19"/>
        <v>13.620000000000001</v>
      </c>
      <c r="D69" s="36">
        <f t="shared" si="19"/>
        <v>0</v>
      </c>
      <c r="E69" s="36">
        <f t="shared" si="19"/>
        <v>0</v>
      </c>
      <c r="F69" s="36">
        <f t="shared" si="19"/>
        <v>0</v>
      </c>
      <c r="G69" s="36">
        <f t="shared" si="19"/>
        <v>0</v>
      </c>
      <c r="H69" s="36">
        <f t="shared" si="19"/>
        <v>0</v>
      </c>
      <c r="I69" s="36">
        <f t="shared" si="19"/>
        <v>0</v>
      </c>
      <c r="J69" s="36">
        <f t="shared" si="19"/>
        <v>0</v>
      </c>
      <c r="K69" s="36">
        <f t="shared" si="19"/>
        <v>13.620000000000001</v>
      </c>
      <c r="L69" s="36"/>
      <c r="M69" s="38">
        <f>SUM(M67:M68)</f>
        <v>11</v>
      </c>
      <c r="N69" s="38">
        <f>SUM(N67:N68)</f>
        <v>0</v>
      </c>
      <c r="O69" s="38">
        <f>SUM(O67:O68)</f>
        <v>0</v>
      </c>
      <c r="P69" s="38">
        <f>SUM(P67:P68)</f>
        <v>0</v>
      </c>
      <c r="Q69" s="38">
        <f>SUM(Q67:Q68)</f>
        <v>0</v>
      </c>
      <c r="R69" s="38"/>
      <c r="S69" s="38"/>
      <c r="T69" s="38"/>
      <c r="U69" s="38"/>
      <c r="V69" s="38">
        <f t="shared" ref="V69:AD69" si="20">SUM(V67:V68)</f>
        <v>0</v>
      </c>
      <c r="W69" s="4">
        <f t="shared" si="20"/>
        <v>0</v>
      </c>
      <c r="X69" s="4">
        <f t="shared" si="20"/>
        <v>0</v>
      </c>
      <c r="Y69" s="4">
        <f t="shared" si="20"/>
        <v>0</v>
      </c>
      <c r="Z69" s="4">
        <f t="shared" si="20"/>
        <v>0</v>
      </c>
      <c r="AA69" s="4">
        <f t="shared" si="20"/>
        <v>1.0999999999999996</v>
      </c>
      <c r="AB69" s="4">
        <f t="shared" si="20"/>
        <v>4.8000000000000007</v>
      </c>
      <c r="AC69" s="4">
        <f t="shared" si="20"/>
        <v>7.72</v>
      </c>
      <c r="AD69" s="4">
        <f t="shared" si="20"/>
        <v>0</v>
      </c>
    </row>
    <row r="70" spans="1:30">
      <c r="M70" s="20"/>
      <c r="W70" s="8"/>
      <c r="X70" s="8"/>
      <c r="Y70" s="8"/>
      <c r="Z70" s="8"/>
      <c r="AA70" s="8"/>
      <c r="AB70" s="8"/>
      <c r="AC70" s="8"/>
      <c r="AD70" s="8"/>
    </row>
    <row r="71" spans="1:30">
      <c r="M71" s="20"/>
      <c r="W71" s="8"/>
      <c r="X71" s="8"/>
      <c r="Y71" s="8"/>
      <c r="Z71" s="8"/>
      <c r="AA71" s="8"/>
      <c r="AB71" s="8"/>
      <c r="AC71" s="8"/>
      <c r="AD71" s="8"/>
    </row>
    <row r="72" spans="1:30">
      <c r="B72" s="20" t="s">
        <v>23</v>
      </c>
      <c r="W72" s="22"/>
      <c r="X72" s="22"/>
      <c r="Y72" s="22"/>
      <c r="Z72" s="22"/>
      <c r="AA72" s="22"/>
    </row>
    <row r="73" spans="1:30">
      <c r="B73" s="75" t="s">
        <v>7</v>
      </c>
      <c r="C73" s="75"/>
      <c r="D73" s="75"/>
      <c r="E73" s="75"/>
      <c r="F73" s="75"/>
      <c r="G73" s="75"/>
      <c r="H73" s="75"/>
      <c r="I73" s="75"/>
      <c r="J73" s="75"/>
      <c r="K73" s="24" t="s">
        <v>8</v>
      </c>
      <c r="L73" s="24" t="s">
        <v>6</v>
      </c>
      <c r="M73" s="24" t="s">
        <v>9</v>
      </c>
      <c r="N73" s="79" t="s">
        <v>0</v>
      </c>
      <c r="O73" s="79"/>
      <c r="P73" s="79"/>
      <c r="Q73" s="79"/>
      <c r="R73" s="79" t="s">
        <v>6</v>
      </c>
      <c r="S73" s="79"/>
      <c r="T73" s="79"/>
      <c r="U73" s="79"/>
      <c r="V73" s="26"/>
      <c r="W73" s="80" t="s">
        <v>71</v>
      </c>
      <c r="X73" s="80"/>
      <c r="Y73" s="80"/>
      <c r="Z73" s="80"/>
      <c r="AA73" s="80"/>
      <c r="AB73" s="80"/>
      <c r="AC73" s="80"/>
      <c r="AD73" s="80"/>
    </row>
    <row r="74" spans="1:30">
      <c r="B74" s="27" t="s">
        <v>141</v>
      </c>
      <c r="C74" s="27" t="s">
        <v>69</v>
      </c>
      <c r="D74" s="27" t="s">
        <v>19</v>
      </c>
      <c r="E74" s="27" t="s">
        <v>148</v>
      </c>
      <c r="F74" s="7" t="s">
        <v>70</v>
      </c>
      <c r="G74" s="7" t="s">
        <v>22</v>
      </c>
      <c r="H74" s="6"/>
      <c r="I74" s="7"/>
      <c r="J74" s="27"/>
      <c r="K74" s="27"/>
      <c r="L74" s="27"/>
      <c r="M74" s="27"/>
      <c r="N74" s="28" t="s">
        <v>114</v>
      </c>
      <c r="O74" s="28" t="s">
        <v>4</v>
      </c>
      <c r="P74" s="79" t="s">
        <v>5</v>
      </c>
      <c r="Q74" s="79"/>
      <c r="R74" s="28" t="s">
        <v>114</v>
      </c>
      <c r="S74" s="28" t="s">
        <v>4</v>
      </c>
      <c r="T74" s="79" t="s">
        <v>5</v>
      </c>
      <c r="U74" s="79"/>
      <c r="V74" s="29" t="s">
        <v>3</v>
      </c>
      <c r="W74" s="30">
        <v>1.5</v>
      </c>
      <c r="X74" s="30">
        <v>2</v>
      </c>
      <c r="Y74" s="31">
        <v>2.5</v>
      </c>
      <c r="Z74" s="31">
        <v>2.5</v>
      </c>
      <c r="AA74" s="31">
        <v>3</v>
      </c>
      <c r="AB74" s="31">
        <v>3.5</v>
      </c>
      <c r="AC74" s="31">
        <v>4</v>
      </c>
      <c r="AD74" s="31">
        <v>4</v>
      </c>
    </row>
    <row r="75" spans="1:30">
      <c r="B75" s="32"/>
      <c r="C75" s="32"/>
      <c r="D75" s="32"/>
      <c r="E75" s="32" t="s">
        <v>147</v>
      </c>
      <c r="F75" s="2"/>
      <c r="G75" s="2" t="s">
        <v>20</v>
      </c>
      <c r="H75" s="2"/>
      <c r="I75" s="2"/>
      <c r="J75" s="32"/>
      <c r="K75" s="32"/>
      <c r="L75" s="32"/>
      <c r="M75" s="32"/>
      <c r="N75" s="33"/>
      <c r="O75" s="33"/>
      <c r="P75" s="25" t="s">
        <v>1</v>
      </c>
      <c r="Q75" s="25" t="s">
        <v>2</v>
      </c>
      <c r="R75" s="34"/>
      <c r="S75" s="34"/>
      <c r="T75" s="25" t="s">
        <v>1</v>
      </c>
      <c r="U75" s="25" t="s">
        <v>2</v>
      </c>
      <c r="V75" s="34"/>
      <c r="W75" s="35" t="s">
        <v>10</v>
      </c>
      <c r="X75" s="35" t="s">
        <v>11</v>
      </c>
      <c r="Y75" s="35" t="s">
        <v>12</v>
      </c>
      <c r="Z75" s="35" t="s">
        <v>13</v>
      </c>
      <c r="AA75" s="35" t="s">
        <v>14</v>
      </c>
      <c r="AB75" s="35" t="s">
        <v>15</v>
      </c>
      <c r="AC75" s="35" t="s">
        <v>16</v>
      </c>
      <c r="AD75" s="35" t="s">
        <v>17</v>
      </c>
    </row>
    <row r="76" spans="1:30">
      <c r="B76" s="36"/>
      <c r="C76" s="36">
        <v>2.8</v>
      </c>
      <c r="D76" s="36"/>
      <c r="E76" s="36"/>
      <c r="F76" s="36"/>
      <c r="G76" s="36"/>
      <c r="H76" s="36"/>
      <c r="I76" s="36"/>
      <c r="J76" s="36"/>
      <c r="K76" s="37">
        <f t="shared" ref="K76:K82" si="21">(B76+C76+D76+E76+F76+G76+J76+H76+I76)-0.47*(+P76+Q76)-0.8*V76</f>
        <v>2.8</v>
      </c>
      <c r="L76" s="36"/>
      <c r="M76" s="38">
        <v>2</v>
      </c>
      <c r="N76" s="38"/>
      <c r="O76" s="38"/>
      <c r="P76" s="38"/>
      <c r="Q76" s="38"/>
      <c r="R76" s="38"/>
      <c r="S76" s="38"/>
      <c r="T76" s="38"/>
      <c r="U76" s="38"/>
      <c r="V76" s="38"/>
      <c r="W76" s="4"/>
      <c r="X76" s="4">
        <f>+B76+C76+D76+E76+F76+G76+H76+I76+J76-Z76</f>
        <v>1.1999999999999997</v>
      </c>
      <c r="Y76" s="4"/>
      <c r="Z76" s="4">
        <f>0.8*M76</f>
        <v>1.6</v>
      </c>
      <c r="AA76" s="4"/>
      <c r="AB76" s="4"/>
      <c r="AC76" s="4"/>
      <c r="AD76" s="4"/>
    </row>
    <row r="77" spans="1:30">
      <c r="B77" s="36"/>
      <c r="C77" s="36">
        <v>1.4</v>
      </c>
      <c r="D77" s="36"/>
      <c r="E77" s="36"/>
      <c r="F77" s="36"/>
      <c r="G77" s="36"/>
      <c r="H77" s="36"/>
      <c r="I77" s="36"/>
      <c r="J77" s="36"/>
      <c r="K77" s="37">
        <f t="shared" si="21"/>
        <v>1.4</v>
      </c>
      <c r="L77" s="36"/>
      <c r="M77" s="38">
        <v>1</v>
      </c>
      <c r="N77" s="38"/>
      <c r="O77" s="38"/>
      <c r="P77" s="38"/>
      <c r="Q77" s="38"/>
      <c r="R77" s="38"/>
      <c r="S77" s="38"/>
      <c r="T77" s="38"/>
      <c r="U77" s="38"/>
      <c r="V77" s="38"/>
      <c r="W77" s="4"/>
      <c r="X77" s="4">
        <f t="shared" ref="X77:X83" si="22">+B77+C77+D77+E77+F77+G77+H77+I77+J77-Z77</f>
        <v>0.59999999999999987</v>
      </c>
      <c r="Y77" s="4"/>
      <c r="Z77" s="4">
        <f t="shared" ref="Z77:Z83" si="23">0.8*M77</f>
        <v>0.8</v>
      </c>
      <c r="AA77" s="4"/>
      <c r="AB77" s="4"/>
      <c r="AC77" s="4"/>
      <c r="AD77" s="4"/>
    </row>
    <row r="78" spans="1:30">
      <c r="B78" s="36">
        <v>24.3</v>
      </c>
      <c r="C78" s="36"/>
      <c r="D78" s="36"/>
      <c r="E78" s="36"/>
      <c r="F78" s="36"/>
      <c r="G78" s="36"/>
      <c r="H78" s="36"/>
      <c r="I78" s="36"/>
      <c r="J78" s="36"/>
      <c r="K78" s="37">
        <f t="shared" si="21"/>
        <v>24.3</v>
      </c>
      <c r="L78" s="36"/>
      <c r="M78" s="38">
        <v>8</v>
      </c>
      <c r="N78" s="38">
        <v>1</v>
      </c>
      <c r="O78" s="38">
        <v>1</v>
      </c>
      <c r="P78" s="38"/>
      <c r="Q78" s="38"/>
      <c r="R78" s="38"/>
      <c r="S78" s="38"/>
      <c r="T78" s="38"/>
      <c r="U78" s="38"/>
      <c r="V78" s="38"/>
      <c r="W78" s="4"/>
      <c r="X78" s="4">
        <f t="shared" si="22"/>
        <v>17.899999999999999</v>
      </c>
      <c r="Y78" s="4"/>
      <c r="Z78" s="4">
        <f t="shared" si="23"/>
        <v>6.4</v>
      </c>
      <c r="AA78" s="4"/>
      <c r="AB78" s="4"/>
      <c r="AC78" s="4"/>
      <c r="AD78" s="4"/>
    </row>
    <row r="79" spans="1:30">
      <c r="B79" s="36">
        <v>48</v>
      </c>
      <c r="C79" s="36"/>
      <c r="D79" s="36"/>
      <c r="E79" s="36"/>
      <c r="F79" s="36"/>
      <c r="G79" s="36"/>
      <c r="H79" s="36"/>
      <c r="I79" s="36"/>
      <c r="J79" s="36"/>
      <c r="K79" s="37">
        <f t="shared" si="21"/>
        <v>48</v>
      </c>
      <c r="L79" s="36"/>
      <c r="M79" s="38">
        <v>13</v>
      </c>
      <c r="N79" s="38">
        <v>1</v>
      </c>
      <c r="O79" s="38">
        <v>1</v>
      </c>
      <c r="P79" s="38"/>
      <c r="Q79" s="38"/>
      <c r="R79" s="38"/>
      <c r="S79" s="38"/>
      <c r="T79" s="38"/>
      <c r="U79" s="38"/>
      <c r="V79" s="38"/>
      <c r="W79" s="4"/>
      <c r="X79" s="4">
        <f t="shared" si="22"/>
        <v>37.6</v>
      </c>
      <c r="Y79" s="4"/>
      <c r="Z79" s="4">
        <f t="shared" si="23"/>
        <v>10.4</v>
      </c>
      <c r="AA79" s="4"/>
      <c r="AB79" s="4"/>
      <c r="AC79" s="4"/>
      <c r="AD79" s="4"/>
    </row>
    <row r="80" spans="1:30">
      <c r="B80" s="36"/>
      <c r="C80" s="36">
        <v>4.5999999999999996</v>
      </c>
      <c r="D80" s="36"/>
      <c r="E80" s="36"/>
      <c r="F80" s="36"/>
      <c r="G80" s="36"/>
      <c r="H80" s="36"/>
      <c r="I80" s="36"/>
      <c r="J80" s="36"/>
      <c r="K80" s="37">
        <f t="shared" si="21"/>
        <v>4.5999999999999996</v>
      </c>
      <c r="L80" s="36"/>
      <c r="M80" s="38">
        <v>2</v>
      </c>
      <c r="N80" s="38">
        <v>1</v>
      </c>
      <c r="O80" s="38"/>
      <c r="P80" s="38"/>
      <c r="Q80" s="38"/>
      <c r="R80" s="38"/>
      <c r="S80" s="38"/>
      <c r="T80" s="38"/>
      <c r="U80" s="38"/>
      <c r="V80" s="38"/>
      <c r="W80" s="4"/>
      <c r="X80" s="4">
        <f t="shared" si="22"/>
        <v>2.9999999999999996</v>
      </c>
      <c r="Y80" s="4"/>
      <c r="Z80" s="4">
        <f t="shared" si="23"/>
        <v>1.6</v>
      </c>
      <c r="AA80" s="4"/>
      <c r="AB80" s="4"/>
      <c r="AC80" s="4"/>
      <c r="AD80" s="4"/>
    </row>
    <row r="81" spans="1:30">
      <c r="B81" s="36"/>
      <c r="C81" s="36"/>
      <c r="D81" s="36"/>
      <c r="E81" s="36">
        <v>9</v>
      </c>
      <c r="F81" s="36"/>
      <c r="G81" s="36"/>
      <c r="H81" s="36"/>
      <c r="I81" s="36"/>
      <c r="J81" s="36"/>
      <c r="K81" s="37">
        <f>(B81+C81+D81+E81+F81+G81+J81+H81+I81)-0.47*(+P81+Q81)-0.8*V81</f>
        <v>8.5299999999999994</v>
      </c>
      <c r="L81" s="36"/>
      <c r="M81" s="38">
        <v>1</v>
      </c>
      <c r="N81" s="38"/>
      <c r="O81" s="38"/>
      <c r="P81" s="38"/>
      <c r="Q81" s="38">
        <v>1</v>
      </c>
      <c r="R81" s="38"/>
      <c r="S81" s="38"/>
      <c r="T81" s="38"/>
      <c r="U81" s="38"/>
      <c r="V81" s="38"/>
      <c r="W81" s="4"/>
      <c r="X81" s="4">
        <f t="shared" si="22"/>
        <v>8.1999999999999993</v>
      </c>
      <c r="Y81" s="4"/>
      <c r="Z81" s="4">
        <f t="shared" si="23"/>
        <v>0.8</v>
      </c>
      <c r="AA81" s="4"/>
      <c r="AB81" s="4"/>
      <c r="AC81" s="4"/>
      <c r="AD81" s="4"/>
    </row>
    <row r="82" spans="1:30">
      <c r="B82" s="36"/>
      <c r="C82" s="36"/>
      <c r="D82" s="36"/>
      <c r="E82" s="36"/>
      <c r="F82" s="36"/>
      <c r="G82" s="36">
        <v>2.7</v>
      </c>
      <c r="H82" s="36"/>
      <c r="I82" s="36"/>
      <c r="J82" s="36"/>
      <c r="K82" s="37">
        <f t="shared" si="21"/>
        <v>2.7</v>
      </c>
      <c r="L82" s="36"/>
      <c r="M82" s="38">
        <v>2</v>
      </c>
      <c r="N82" s="38"/>
      <c r="O82" s="38"/>
      <c r="P82" s="38"/>
      <c r="Q82" s="38"/>
      <c r="R82" s="38"/>
      <c r="S82" s="38"/>
      <c r="T82" s="38"/>
      <c r="U82" s="38"/>
      <c r="V82" s="38"/>
      <c r="W82" s="4"/>
      <c r="X82" s="4">
        <f t="shared" si="22"/>
        <v>1.1000000000000001</v>
      </c>
      <c r="Y82" s="4"/>
      <c r="Z82" s="4">
        <f t="shared" si="23"/>
        <v>1.6</v>
      </c>
      <c r="AA82" s="4"/>
      <c r="AB82" s="4"/>
      <c r="AC82" s="4"/>
      <c r="AD82" s="4"/>
    </row>
    <row r="83" spans="1:30">
      <c r="B83" s="36"/>
      <c r="C83" s="36">
        <v>12.4</v>
      </c>
      <c r="D83" s="36"/>
      <c r="E83" s="36"/>
      <c r="F83" s="36"/>
      <c r="G83" s="36"/>
      <c r="H83" s="36"/>
      <c r="I83" s="36"/>
      <c r="J83" s="36"/>
      <c r="K83" s="37">
        <f>(B83+C83+D83+E83+F83+G83+J83+H83+I83)-0.47*(+P83+Q83)-0.8*V83</f>
        <v>11.129999999999999</v>
      </c>
      <c r="L83" s="36"/>
      <c r="M83" s="38">
        <v>6</v>
      </c>
      <c r="N83" s="38"/>
      <c r="O83" s="38"/>
      <c r="P83" s="38">
        <v>1</v>
      </c>
      <c r="Q83" s="38"/>
      <c r="R83" s="38"/>
      <c r="S83" s="38"/>
      <c r="T83" s="38"/>
      <c r="U83" s="38"/>
      <c r="V83" s="38">
        <v>1</v>
      </c>
      <c r="W83" s="4"/>
      <c r="X83" s="4">
        <f t="shared" si="22"/>
        <v>7.6</v>
      </c>
      <c r="Y83" s="4"/>
      <c r="Z83" s="4">
        <f t="shared" si="23"/>
        <v>4.8000000000000007</v>
      </c>
      <c r="AA83" s="4"/>
      <c r="AB83" s="4"/>
      <c r="AC83" s="4"/>
      <c r="AD83" s="4"/>
    </row>
    <row r="84" spans="1:30">
      <c r="A84" s="39" t="s">
        <v>26</v>
      </c>
      <c r="B84" s="36">
        <f t="shared" ref="B84:K84" si="24">SUM(B76:B83)</f>
        <v>72.3</v>
      </c>
      <c r="C84" s="36">
        <f t="shared" si="24"/>
        <v>21.2</v>
      </c>
      <c r="D84" s="36">
        <f t="shared" si="24"/>
        <v>0</v>
      </c>
      <c r="E84" s="36">
        <f t="shared" si="24"/>
        <v>9</v>
      </c>
      <c r="F84" s="36">
        <f t="shared" si="24"/>
        <v>0</v>
      </c>
      <c r="G84" s="36">
        <f t="shared" si="24"/>
        <v>2.7</v>
      </c>
      <c r="H84" s="36">
        <f t="shared" si="24"/>
        <v>0</v>
      </c>
      <c r="I84" s="36">
        <f t="shared" si="24"/>
        <v>0</v>
      </c>
      <c r="J84" s="36">
        <f t="shared" si="24"/>
        <v>0</v>
      </c>
      <c r="K84" s="36">
        <f t="shared" si="24"/>
        <v>103.46</v>
      </c>
      <c r="L84" s="36"/>
      <c r="M84" s="38">
        <f t="shared" ref="M84:R84" si="25">SUM(M76:M83)</f>
        <v>35</v>
      </c>
      <c r="N84" s="38">
        <f t="shared" si="25"/>
        <v>3</v>
      </c>
      <c r="O84" s="38">
        <f t="shared" si="25"/>
        <v>2</v>
      </c>
      <c r="P84" s="38">
        <f t="shared" si="25"/>
        <v>1</v>
      </c>
      <c r="Q84" s="38">
        <f t="shared" si="25"/>
        <v>1</v>
      </c>
      <c r="R84" s="38">
        <f t="shared" si="25"/>
        <v>0</v>
      </c>
      <c r="S84" s="38"/>
      <c r="T84" s="38"/>
      <c r="U84" s="38"/>
      <c r="V84" s="38">
        <f t="shared" ref="V84:AD84" si="26">SUM(V76:V83)</f>
        <v>1</v>
      </c>
      <c r="W84" s="4">
        <f t="shared" si="26"/>
        <v>0</v>
      </c>
      <c r="X84" s="4">
        <f t="shared" si="26"/>
        <v>77.199999999999989</v>
      </c>
      <c r="Y84" s="4">
        <f t="shared" si="26"/>
        <v>0</v>
      </c>
      <c r="Z84" s="4">
        <f t="shared" si="26"/>
        <v>28.000000000000007</v>
      </c>
      <c r="AA84" s="4">
        <f t="shared" si="26"/>
        <v>0</v>
      </c>
      <c r="AB84" s="4">
        <f t="shared" si="26"/>
        <v>0</v>
      </c>
      <c r="AC84" s="4">
        <f t="shared" si="26"/>
        <v>0</v>
      </c>
      <c r="AD84" s="4">
        <f t="shared" si="26"/>
        <v>0</v>
      </c>
    </row>
    <row r="85" spans="1:30">
      <c r="B85" s="21" t="s">
        <v>25</v>
      </c>
      <c r="M85" s="20"/>
      <c r="W85" s="8" t="s">
        <v>66</v>
      </c>
      <c r="X85" s="8">
        <f>+X84+Z84</f>
        <v>105.19999999999999</v>
      </c>
      <c r="Y85" s="8"/>
      <c r="Z85" s="8"/>
      <c r="AA85" s="8"/>
      <c r="AB85" s="8"/>
      <c r="AC85" s="8"/>
      <c r="AD85" s="8"/>
    </row>
    <row r="86" spans="1:30">
      <c r="A86" s="39" t="s">
        <v>26</v>
      </c>
      <c r="B86" s="36">
        <f t="shared" ref="B86:K86" si="27">+B84-B96</f>
        <v>56.089999999999996</v>
      </c>
      <c r="C86" s="36">
        <f t="shared" si="27"/>
        <v>5.379999999999999</v>
      </c>
      <c r="D86" s="36">
        <f t="shared" si="27"/>
        <v>0</v>
      </c>
      <c r="E86" s="36">
        <f t="shared" si="27"/>
        <v>4</v>
      </c>
      <c r="F86" s="36">
        <f t="shared" si="27"/>
        <v>0</v>
      </c>
      <c r="G86" s="36">
        <f t="shared" si="27"/>
        <v>3.0000000000000249E-2</v>
      </c>
      <c r="H86" s="36">
        <f t="shared" si="27"/>
        <v>0</v>
      </c>
      <c r="I86" s="36">
        <f t="shared" si="27"/>
        <v>0</v>
      </c>
      <c r="J86" s="36">
        <f t="shared" si="27"/>
        <v>0</v>
      </c>
      <c r="K86" s="36">
        <f t="shared" si="27"/>
        <v>63.759999999999991</v>
      </c>
      <c r="L86" s="36"/>
      <c r="M86" s="38">
        <f t="shared" ref="M86:R86" si="28">+M84-M96</f>
        <v>16</v>
      </c>
      <c r="N86" s="38">
        <f t="shared" si="28"/>
        <v>3</v>
      </c>
      <c r="O86" s="38">
        <f t="shared" si="28"/>
        <v>2</v>
      </c>
      <c r="P86" s="38">
        <f t="shared" si="28"/>
        <v>1</v>
      </c>
      <c r="Q86" s="38">
        <f t="shared" si="28"/>
        <v>1</v>
      </c>
      <c r="R86" s="38">
        <f t="shared" si="28"/>
        <v>0</v>
      </c>
      <c r="S86" s="38"/>
      <c r="T86" s="38"/>
      <c r="U86" s="38"/>
      <c r="V86" s="38">
        <f>+V84-V96</f>
        <v>1</v>
      </c>
      <c r="W86" s="4">
        <f>+W84-W96</f>
        <v>0</v>
      </c>
      <c r="X86" s="4">
        <f>+X85-Z86-Z96-AA96-AB96</f>
        <v>52.699999999999989</v>
      </c>
      <c r="Y86" s="4"/>
      <c r="Z86" s="4">
        <f>0.8*M86</f>
        <v>12.8</v>
      </c>
      <c r="AA86" s="4"/>
      <c r="AB86" s="4"/>
      <c r="AC86" s="4"/>
      <c r="AD86" s="4"/>
    </row>
    <row r="87" spans="1:30">
      <c r="M87" s="20"/>
      <c r="W87" s="8"/>
      <c r="X87" s="8" t="s">
        <v>67</v>
      </c>
      <c r="Y87" s="8"/>
      <c r="Z87" s="8" t="s">
        <v>84</v>
      </c>
      <c r="AA87" s="8"/>
      <c r="AB87" s="8"/>
      <c r="AC87" s="8"/>
      <c r="AD87" s="8"/>
    </row>
    <row r="88" spans="1:30">
      <c r="B88" s="20" t="s">
        <v>24</v>
      </c>
      <c r="M88" s="20"/>
      <c r="W88" s="8"/>
      <c r="X88" s="8"/>
      <c r="Y88" s="8"/>
      <c r="Z88" s="8"/>
      <c r="AA88" s="8"/>
      <c r="AB88" s="8"/>
      <c r="AC88" s="8"/>
      <c r="AD88" s="8"/>
    </row>
    <row r="89" spans="1:30">
      <c r="B89" s="75" t="s">
        <v>7</v>
      </c>
      <c r="C89" s="75"/>
      <c r="D89" s="75"/>
      <c r="E89" s="75"/>
      <c r="F89" s="75"/>
      <c r="G89" s="75"/>
      <c r="H89" s="75"/>
      <c r="I89" s="75"/>
      <c r="J89" s="75"/>
      <c r="K89" s="24" t="s">
        <v>8</v>
      </c>
      <c r="L89" s="24" t="s">
        <v>6</v>
      </c>
      <c r="M89" s="24" t="s">
        <v>9</v>
      </c>
      <c r="N89" s="79" t="s">
        <v>0</v>
      </c>
      <c r="O89" s="79"/>
      <c r="P89" s="79"/>
      <c r="Q89" s="79"/>
      <c r="R89" s="79" t="s">
        <v>6</v>
      </c>
      <c r="S89" s="79"/>
      <c r="T89" s="79"/>
      <c r="U89" s="79"/>
      <c r="V89" s="26"/>
      <c r="W89" s="80" t="s">
        <v>71</v>
      </c>
      <c r="X89" s="80"/>
      <c r="Y89" s="80"/>
      <c r="Z89" s="80"/>
      <c r="AA89" s="80"/>
      <c r="AB89" s="80"/>
      <c r="AC89" s="80"/>
      <c r="AD89" s="80"/>
    </row>
    <row r="90" spans="1:30">
      <c r="B90" s="27" t="s">
        <v>141</v>
      </c>
      <c r="C90" s="27" t="s">
        <v>69</v>
      </c>
      <c r="D90" s="27" t="s">
        <v>19</v>
      </c>
      <c r="E90" s="27" t="s">
        <v>21</v>
      </c>
      <c r="F90" s="7" t="s">
        <v>70</v>
      </c>
      <c r="G90" s="7" t="s">
        <v>22</v>
      </c>
      <c r="H90" s="6"/>
      <c r="I90" s="7"/>
      <c r="J90" s="27"/>
      <c r="K90" s="27"/>
      <c r="L90" s="27"/>
      <c r="M90" s="27"/>
      <c r="N90" s="28" t="s">
        <v>114</v>
      </c>
      <c r="O90" s="28" t="s">
        <v>4</v>
      </c>
      <c r="P90" s="79" t="s">
        <v>5</v>
      </c>
      <c r="Q90" s="79"/>
      <c r="R90" s="28" t="s">
        <v>114</v>
      </c>
      <c r="S90" s="28" t="s">
        <v>4</v>
      </c>
      <c r="T90" s="79" t="s">
        <v>5</v>
      </c>
      <c r="U90" s="79"/>
      <c r="V90" s="29" t="s">
        <v>3</v>
      </c>
      <c r="W90" s="30">
        <v>1.5</v>
      </c>
      <c r="X90" s="30">
        <v>2</v>
      </c>
      <c r="Y90" s="31">
        <v>2.5</v>
      </c>
      <c r="Z90" s="31">
        <v>2.5</v>
      </c>
      <c r="AA90" s="31">
        <v>3</v>
      </c>
      <c r="AB90" s="31">
        <v>3.5</v>
      </c>
      <c r="AC90" s="31">
        <v>4</v>
      </c>
      <c r="AD90" s="31">
        <v>4</v>
      </c>
    </row>
    <row r="91" spans="1:30">
      <c r="B91" s="32"/>
      <c r="C91" s="32"/>
      <c r="D91" s="32"/>
      <c r="E91" s="32"/>
      <c r="F91" s="2"/>
      <c r="G91" s="2" t="s">
        <v>20</v>
      </c>
      <c r="H91" s="2"/>
      <c r="I91" s="2"/>
      <c r="J91" s="32"/>
      <c r="K91" s="32"/>
      <c r="L91" s="32"/>
      <c r="M91" s="32"/>
      <c r="N91" s="33"/>
      <c r="O91" s="33"/>
      <c r="P91" s="25" t="s">
        <v>1</v>
      </c>
      <c r="Q91" s="25" t="s">
        <v>2</v>
      </c>
      <c r="R91" s="34"/>
      <c r="S91" s="34"/>
      <c r="T91" s="25" t="s">
        <v>1</v>
      </c>
      <c r="U91" s="25" t="s">
        <v>2</v>
      </c>
      <c r="V91" s="34"/>
      <c r="W91" s="35" t="s">
        <v>10</v>
      </c>
      <c r="X91" s="35" t="s">
        <v>11</v>
      </c>
      <c r="Y91" s="35" t="s">
        <v>12</v>
      </c>
      <c r="Z91" s="35" t="s">
        <v>13</v>
      </c>
      <c r="AA91" s="35" t="s">
        <v>14</v>
      </c>
      <c r="AB91" s="35" t="s">
        <v>15</v>
      </c>
      <c r="AC91" s="35" t="s">
        <v>16</v>
      </c>
      <c r="AD91" s="35" t="s">
        <v>17</v>
      </c>
    </row>
    <row r="92" spans="1:30">
      <c r="A92" s="41" t="s">
        <v>80</v>
      </c>
      <c r="B92" s="36">
        <v>3.69</v>
      </c>
      <c r="C92" s="36"/>
      <c r="D92" s="36"/>
      <c r="E92" s="36"/>
      <c r="F92" s="36"/>
      <c r="G92" s="36"/>
      <c r="H92" s="36"/>
      <c r="I92" s="36"/>
      <c r="J92" s="36"/>
      <c r="K92" s="37">
        <f>(B92+C92+D92+E92+F92+G92+J92+H92+I92)-0.47*(+P92+Q92)-0.8*V92</f>
        <v>3.69</v>
      </c>
      <c r="L92" s="36"/>
      <c r="M92" s="38">
        <f>1+5</f>
        <v>6</v>
      </c>
      <c r="N92" s="38"/>
      <c r="O92" s="38"/>
      <c r="P92" s="38"/>
      <c r="Q92" s="38"/>
      <c r="R92" s="38"/>
      <c r="S92" s="38"/>
      <c r="T92" s="38"/>
      <c r="U92" s="38"/>
      <c r="V92" s="38"/>
      <c r="W92" s="4"/>
      <c r="X92" s="4"/>
      <c r="Y92" s="4"/>
      <c r="Z92" s="4">
        <f>+B92+C92+D92+E92+F92+G92+H92+I92+J92-AA92-AB92</f>
        <v>0</v>
      </c>
      <c r="AA92" s="4">
        <v>3.69</v>
      </c>
      <c r="AB92" s="4"/>
      <c r="AC92" s="4"/>
      <c r="AD92" s="4"/>
    </row>
    <row r="93" spans="1:30">
      <c r="A93" s="41" t="s">
        <v>81</v>
      </c>
      <c r="B93" s="36">
        <v>12.52</v>
      </c>
      <c r="C93" s="36"/>
      <c r="D93" s="36"/>
      <c r="E93" s="36"/>
      <c r="F93" s="36"/>
      <c r="G93" s="36"/>
      <c r="H93" s="36"/>
      <c r="I93" s="36"/>
      <c r="J93" s="36"/>
      <c r="K93" s="37">
        <f t="shared" ref="K93:K95" si="29">(B93+C93+D93+E93+F93+G93+J93+H93+I93)-0.47*(+P93+Q93)-0.8*V93</f>
        <v>12.52</v>
      </c>
      <c r="L93" s="36"/>
      <c r="M93" s="38">
        <v>5</v>
      </c>
      <c r="N93" s="38"/>
      <c r="O93" s="38"/>
      <c r="P93" s="38"/>
      <c r="Q93" s="38"/>
      <c r="R93" s="38"/>
      <c r="S93" s="38"/>
      <c r="T93" s="38"/>
      <c r="U93" s="38"/>
      <c r="V93" s="38"/>
      <c r="W93" s="4"/>
      <c r="X93" s="4"/>
      <c r="Y93" s="4"/>
      <c r="Z93" s="4">
        <f t="shared" ref="Z93:Z94" si="30">+B93+C93+D93+E93+F93+G93+H93+I93+J93-AA93</f>
        <v>8.52</v>
      </c>
      <c r="AA93" s="4">
        <f>0.8*M93</f>
        <v>4</v>
      </c>
      <c r="AB93" s="4"/>
      <c r="AC93" s="4"/>
      <c r="AD93" s="4"/>
    </row>
    <row r="94" spans="1:30">
      <c r="A94" s="41" t="s">
        <v>82</v>
      </c>
      <c r="B94" s="36"/>
      <c r="C94" s="36">
        <v>8.6300000000000008</v>
      </c>
      <c r="D94" s="36"/>
      <c r="E94" s="36">
        <v>5</v>
      </c>
      <c r="F94" s="36"/>
      <c r="G94" s="36">
        <v>2.67</v>
      </c>
      <c r="H94" s="36"/>
      <c r="I94" s="36"/>
      <c r="J94" s="36"/>
      <c r="K94" s="37">
        <f t="shared" si="29"/>
        <v>16.3</v>
      </c>
      <c r="L94" s="36"/>
      <c r="M94" s="38">
        <v>4</v>
      </c>
      <c r="N94" s="38"/>
      <c r="O94" s="38"/>
      <c r="P94" s="38"/>
      <c r="Q94" s="38"/>
      <c r="R94" s="38"/>
      <c r="S94" s="38"/>
      <c r="T94" s="38"/>
      <c r="U94" s="38"/>
      <c r="V94" s="38"/>
      <c r="W94" s="4"/>
      <c r="X94" s="4"/>
      <c r="Y94" s="4"/>
      <c r="Z94" s="4">
        <f t="shared" si="30"/>
        <v>13.100000000000001</v>
      </c>
      <c r="AA94" s="4">
        <f>0.8*M94</f>
        <v>3.2</v>
      </c>
      <c r="AB94" s="4"/>
      <c r="AC94" s="4"/>
      <c r="AD94" s="4"/>
    </row>
    <row r="95" spans="1:30">
      <c r="A95" s="41" t="s">
        <v>83</v>
      </c>
      <c r="B95" s="36"/>
      <c r="C95" s="36">
        <v>7.19</v>
      </c>
      <c r="D95" s="36"/>
      <c r="E95" s="36"/>
      <c r="F95" s="36"/>
      <c r="G95" s="36"/>
      <c r="H95" s="36"/>
      <c r="I95" s="36"/>
      <c r="J95" s="36"/>
      <c r="K95" s="37">
        <f t="shared" si="29"/>
        <v>7.19</v>
      </c>
      <c r="L95" s="36"/>
      <c r="M95" s="38">
        <v>4</v>
      </c>
      <c r="N95" s="38"/>
      <c r="O95" s="38"/>
      <c r="P95" s="38"/>
      <c r="Q95" s="38"/>
      <c r="R95" s="38"/>
      <c r="S95" s="38"/>
      <c r="T95" s="38"/>
      <c r="U95" s="38"/>
      <c r="V95" s="38"/>
      <c r="W95" s="4"/>
      <c r="X95" s="4"/>
      <c r="Y95" s="4"/>
      <c r="Z95" s="4">
        <f>+B95+C95+D95+E95+F95+G95+H95+I95+J95-AA95</f>
        <v>3.99</v>
      </c>
      <c r="AA95" s="4">
        <f>0.8*M95</f>
        <v>3.2</v>
      </c>
      <c r="AB95" s="4"/>
      <c r="AC95" s="4"/>
      <c r="AD95" s="4"/>
    </row>
    <row r="96" spans="1:30">
      <c r="A96" s="39" t="s">
        <v>26</v>
      </c>
      <c r="B96" s="36">
        <f t="shared" ref="B96:K96" si="31">SUM(B92:B95)</f>
        <v>16.21</v>
      </c>
      <c r="C96" s="36">
        <f t="shared" si="31"/>
        <v>15.82</v>
      </c>
      <c r="D96" s="36">
        <f t="shared" si="31"/>
        <v>0</v>
      </c>
      <c r="E96" s="36">
        <f t="shared" si="31"/>
        <v>5</v>
      </c>
      <c r="F96" s="36">
        <f t="shared" si="31"/>
        <v>0</v>
      </c>
      <c r="G96" s="36">
        <f t="shared" si="31"/>
        <v>2.67</v>
      </c>
      <c r="H96" s="36">
        <f t="shared" si="31"/>
        <v>0</v>
      </c>
      <c r="I96" s="36">
        <f t="shared" si="31"/>
        <v>0</v>
      </c>
      <c r="J96" s="36">
        <f t="shared" si="31"/>
        <v>0</v>
      </c>
      <c r="K96" s="36">
        <f t="shared" si="31"/>
        <v>39.700000000000003</v>
      </c>
      <c r="L96" s="36"/>
      <c r="M96" s="38">
        <f t="shared" ref="M96:R96" si="32">SUM(M92:M95)</f>
        <v>19</v>
      </c>
      <c r="N96" s="38">
        <f t="shared" si="32"/>
        <v>0</v>
      </c>
      <c r="O96" s="38">
        <f t="shared" si="32"/>
        <v>0</v>
      </c>
      <c r="P96" s="38">
        <f t="shared" si="32"/>
        <v>0</v>
      </c>
      <c r="Q96" s="38">
        <f t="shared" si="32"/>
        <v>0</v>
      </c>
      <c r="R96" s="38">
        <f t="shared" si="32"/>
        <v>0</v>
      </c>
      <c r="S96" s="38"/>
      <c r="T96" s="38"/>
      <c r="U96" s="38"/>
      <c r="V96" s="38">
        <f t="shared" ref="V96:AD96" si="33">SUM(V92:V95)</f>
        <v>0</v>
      </c>
      <c r="W96" s="4">
        <f t="shared" si="33"/>
        <v>0</v>
      </c>
      <c r="X96" s="4">
        <f t="shared" si="33"/>
        <v>0</v>
      </c>
      <c r="Y96" s="4">
        <f t="shared" si="33"/>
        <v>0</v>
      </c>
      <c r="Z96" s="4">
        <f t="shared" si="33"/>
        <v>25.61</v>
      </c>
      <c r="AA96" s="4">
        <f t="shared" si="33"/>
        <v>14.09</v>
      </c>
      <c r="AB96" s="4">
        <f t="shared" si="33"/>
        <v>0</v>
      </c>
      <c r="AC96" s="4">
        <f t="shared" si="33"/>
        <v>0</v>
      </c>
      <c r="AD96" s="4">
        <f t="shared" si="33"/>
        <v>0</v>
      </c>
    </row>
    <row r="97" spans="2:30">
      <c r="M97" s="20"/>
      <c r="W97" s="8"/>
      <c r="X97" s="8"/>
      <c r="Y97" s="8"/>
      <c r="Z97" s="8"/>
      <c r="AA97" s="8"/>
      <c r="AB97" s="8"/>
      <c r="AC97" s="8"/>
      <c r="AD97" s="8"/>
    </row>
    <row r="98" spans="2:30">
      <c r="B98" s="20" t="s">
        <v>85</v>
      </c>
      <c r="W98" s="22"/>
      <c r="X98" s="22"/>
      <c r="Y98" s="22"/>
      <c r="Z98" s="40"/>
      <c r="AA98" s="22"/>
    </row>
    <row r="99" spans="2:30">
      <c r="B99" s="75" t="s">
        <v>7</v>
      </c>
      <c r="C99" s="75"/>
      <c r="D99" s="75"/>
      <c r="E99" s="75"/>
      <c r="F99" s="75"/>
      <c r="G99" s="75"/>
      <c r="H99" s="75"/>
      <c r="I99" s="75"/>
      <c r="J99" s="75"/>
      <c r="K99" s="24" t="s">
        <v>8</v>
      </c>
      <c r="L99" s="24" t="s">
        <v>6</v>
      </c>
      <c r="M99" s="24" t="s">
        <v>9</v>
      </c>
      <c r="N99" s="79" t="s">
        <v>0</v>
      </c>
      <c r="O99" s="79"/>
      <c r="P99" s="79"/>
      <c r="Q99" s="79"/>
      <c r="R99" s="79" t="s">
        <v>6</v>
      </c>
      <c r="S99" s="79"/>
      <c r="T99" s="79"/>
      <c r="U99" s="79"/>
      <c r="V99" s="26"/>
      <c r="W99" s="80" t="s">
        <v>71</v>
      </c>
      <c r="X99" s="80"/>
      <c r="Y99" s="80"/>
      <c r="Z99" s="80"/>
      <c r="AA99" s="80"/>
      <c r="AB99" s="80"/>
      <c r="AC99" s="80"/>
      <c r="AD99" s="80"/>
    </row>
    <row r="100" spans="2:30">
      <c r="B100" s="27" t="s">
        <v>141</v>
      </c>
      <c r="C100" s="27" t="s">
        <v>69</v>
      </c>
      <c r="D100" s="27" t="s">
        <v>19</v>
      </c>
      <c r="E100" s="27" t="s">
        <v>21</v>
      </c>
      <c r="F100" s="7" t="s">
        <v>70</v>
      </c>
      <c r="G100" s="7" t="s">
        <v>22</v>
      </c>
      <c r="H100" s="6"/>
      <c r="I100" s="7"/>
      <c r="J100" s="27"/>
      <c r="K100" s="27"/>
      <c r="L100" s="27"/>
      <c r="M100" s="27"/>
      <c r="N100" s="28" t="s">
        <v>114</v>
      </c>
      <c r="O100" s="28" t="s">
        <v>4</v>
      </c>
      <c r="P100" s="79" t="s">
        <v>5</v>
      </c>
      <c r="Q100" s="79"/>
      <c r="R100" s="28" t="s">
        <v>114</v>
      </c>
      <c r="S100" s="28" t="s">
        <v>4</v>
      </c>
      <c r="T100" s="79" t="s">
        <v>5</v>
      </c>
      <c r="U100" s="79"/>
      <c r="V100" s="29" t="s">
        <v>3</v>
      </c>
      <c r="W100" s="30">
        <v>1.5</v>
      </c>
      <c r="X100" s="30">
        <v>2</v>
      </c>
      <c r="Y100" s="31">
        <v>2.5</v>
      </c>
      <c r="Z100" s="31">
        <v>2.5</v>
      </c>
      <c r="AA100" s="31">
        <v>3</v>
      </c>
      <c r="AB100" s="31">
        <v>3.5</v>
      </c>
      <c r="AC100" s="31">
        <v>4</v>
      </c>
      <c r="AD100" s="31">
        <v>4</v>
      </c>
    </row>
    <row r="101" spans="2:30">
      <c r="B101" s="32"/>
      <c r="C101" s="32"/>
      <c r="D101" s="32"/>
      <c r="E101" s="32"/>
      <c r="F101" s="2"/>
      <c r="G101" s="2" t="s">
        <v>20</v>
      </c>
      <c r="H101" s="2"/>
      <c r="I101" s="2"/>
      <c r="J101" s="32"/>
      <c r="K101" s="32"/>
      <c r="L101" s="32"/>
      <c r="M101" s="32"/>
      <c r="N101" s="33"/>
      <c r="O101" s="33"/>
      <c r="P101" s="25" t="s">
        <v>1</v>
      </c>
      <c r="Q101" s="25" t="s">
        <v>2</v>
      </c>
      <c r="R101" s="34"/>
      <c r="S101" s="34"/>
      <c r="T101" s="25" t="s">
        <v>1</v>
      </c>
      <c r="U101" s="25" t="s">
        <v>2</v>
      </c>
      <c r="V101" s="34"/>
      <c r="W101" s="35" t="s">
        <v>10</v>
      </c>
      <c r="X101" s="35" t="s">
        <v>11</v>
      </c>
      <c r="Y101" s="35" t="s">
        <v>12</v>
      </c>
      <c r="Z101" s="35" t="s">
        <v>13</v>
      </c>
      <c r="AA101" s="35" t="s">
        <v>14</v>
      </c>
      <c r="AB101" s="35" t="s">
        <v>15</v>
      </c>
      <c r="AC101" s="35" t="s">
        <v>16</v>
      </c>
      <c r="AD101" s="35" t="s">
        <v>17</v>
      </c>
    </row>
    <row r="102" spans="2:30">
      <c r="B102" s="36"/>
      <c r="C102" s="36"/>
      <c r="D102" s="36">
        <v>1.3</v>
      </c>
      <c r="E102" s="36"/>
      <c r="F102" s="36"/>
      <c r="G102" s="36"/>
      <c r="H102" s="36"/>
      <c r="I102" s="36"/>
      <c r="J102" s="36"/>
      <c r="K102" s="37">
        <f>(B102+C102+D102+E102+F102+G102+J102+H102+I102)-0.47*(+P102+Q102)-0.8*V102</f>
        <v>1.3</v>
      </c>
      <c r="L102" s="36">
        <f>+B102+C102+D102+E102+F102+G102+H102+I102+J102-0.4*(+T102+U102)-0.8*V102</f>
        <v>1.3</v>
      </c>
      <c r="M102" s="38">
        <v>1</v>
      </c>
      <c r="N102" s="38"/>
      <c r="O102" s="38"/>
      <c r="P102" s="38"/>
      <c r="Q102" s="38"/>
      <c r="R102" s="38"/>
      <c r="S102" s="38"/>
      <c r="T102" s="38"/>
      <c r="U102" s="38"/>
      <c r="V102" s="38"/>
      <c r="W102" s="4"/>
      <c r="X102" s="4">
        <f t="shared" ref="X102" si="34">+B102+C102+D102+E102+F102+G102+H102+I102+J102-Z102</f>
        <v>0.5</v>
      </c>
      <c r="Y102" s="4"/>
      <c r="Z102" s="4">
        <f>0.8*M102</f>
        <v>0.8</v>
      </c>
      <c r="AA102" s="4"/>
      <c r="AB102" s="4"/>
      <c r="AC102" s="4"/>
      <c r="AD102" s="4"/>
    </row>
    <row r="103" spans="2:30">
      <c r="B103" s="36"/>
      <c r="C103" s="36">
        <v>107.2</v>
      </c>
      <c r="D103" s="36"/>
      <c r="E103" s="36"/>
      <c r="F103" s="36"/>
      <c r="G103" s="36"/>
      <c r="H103" s="36"/>
      <c r="I103" s="36"/>
      <c r="J103" s="36"/>
      <c r="K103" s="37">
        <f t="shared" ref="K103:K107" si="35">(B103+C103+D103+E103+F103+G103+J103+H103+I103)-0.47*(+P103+Q103)-0.8*V103</f>
        <v>107.2</v>
      </c>
      <c r="L103" s="36">
        <f t="shared" ref="L103:L107" si="36">+B103+C103+D103+E103+F103+G103+H103+I103+J103-0.4*(+T103+U103)-0.8*V103</f>
        <v>107.2</v>
      </c>
      <c r="M103" s="38">
        <v>34</v>
      </c>
      <c r="N103" s="38"/>
      <c r="O103" s="38">
        <v>1</v>
      </c>
      <c r="P103" s="38"/>
      <c r="Q103" s="38"/>
      <c r="R103" s="38"/>
      <c r="S103" s="38"/>
      <c r="T103" s="38"/>
      <c r="U103" s="38"/>
      <c r="V103" s="38"/>
      <c r="W103" s="4"/>
      <c r="X103" s="4">
        <f t="shared" ref="X103:X107" si="37">+B103+C103+D103+E103+F103+G103+H103+I103+J103-Z103</f>
        <v>80</v>
      </c>
      <c r="Y103" s="4"/>
      <c r="Z103" s="4">
        <f t="shared" ref="Z103:Z107" si="38">0.8*M103</f>
        <v>27.200000000000003</v>
      </c>
      <c r="AA103" s="4"/>
      <c r="AB103" s="4"/>
      <c r="AC103" s="4"/>
      <c r="AD103" s="4"/>
    </row>
    <row r="104" spans="2:30">
      <c r="B104" s="36"/>
      <c r="C104" s="36">
        <v>63.4</v>
      </c>
      <c r="D104" s="36"/>
      <c r="E104" s="36"/>
      <c r="F104" s="36"/>
      <c r="G104" s="36"/>
      <c r="H104" s="36"/>
      <c r="I104" s="36"/>
      <c r="J104" s="36"/>
      <c r="K104" s="37">
        <f t="shared" si="35"/>
        <v>63.4</v>
      </c>
      <c r="L104" s="36">
        <f t="shared" si="36"/>
        <v>63.4</v>
      </c>
      <c r="M104" s="38">
        <v>15</v>
      </c>
      <c r="N104" s="38">
        <v>1</v>
      </c>
      <c r="O104" s="38"/>
      <c r="P104" s="38"/>
      <c r="Q104" s="38"/>
      <c r="R104" s="38"/>
      <c r="S104" s="38"/>
      <c r="T104" s="38"/>
      <c r="U104" s="38"/>
      <c r="V104" s="38"/>
      <c r="W104" s="4"/>
      <c r="X104" s="4">
        <f t="shared" si="37"/>
        <v>51.4</v>
      </c>
      <c r="Y104" s="4"/>
      <c r="Z104" s="4">
        <f t="shared" si="38"/>
        <v>12</v>
      </c>
      <c r="AA104" s="4"/>
      <c r="AB104" s="4"/>
      <c r="AC104" s="4"/>
      <c r="AD104" s="4"/>
    </row>
    <row r="105" spans="2:30">
      <c r="B105" s="36"/>
      <c r="C105" s="36"/>
      <c r="D105" s="36">
        <v>25.9</v>
      </c>
      <c r="E105" s="36"/>
      <c r="F105" s="36"/>
      <c r="G105" s="36"/>
      <c r="H105" s="36"/>
      <c r="I105" s="36"/>
      <c r="J105" s="36"/>
      <c r="K105" s="37">
        <f t="shared" si="35"/>
        <v>25.9</v>
      </c>
      <c r="L105" s="36">
        <f t="shared" si="36"/>
        <v>25.9</v>
      </c>
      <c r="M105" s="38">
        <v>5</v>
      </c>
      <c r="N105" s="38"/>
      <c r="O105" s="38"/>
      <c r="P105" s="38"/>
      <c r="Q105" s="38"/>
      <c r="R105" s="38"/>
      <c r="S105" s="38"/>
      <c r="T105" s="38"/>
      <c r="U105" s="38"/>
      <c r="V105" s="38"/>
      <c r="W105" s="4"/>
      <c r="X105" s="4">
        <f t="shared" si="37"/>
        <v>21.9</v>
      </c>
      <c r="Y105" s="4"/>
      <c r="Z105" s="4">
        <f t="shared" si="38"/>
        <v>4</v>
      </c>
      <c r="AA105" s="4"/>
      <c r="AB105" s="4"/>
      <c r="AC105" s="4"/>
      <c r="AD105" s="4"/>
    </row>
    <row r="106" spans="2:30">
      <c r="B106" s="36"/>
      <c r="C106" s="36">
        <v>29</v>
      </c>
      <c r="D106" s="36"/>
      <c r="E106" s="36"/>
      <c r="F106" s="36"/>
      <c r="G106" s="36"/>
      <c r="H106" s="36"/>
      <c r="I106" s="36"/>
      <c r="J106" s="36"/>
      <c r="K106" s="37">
        <f t="shared" si="35"/>
        <v>29</v>
      </c>
      <c r="L106" s="36">
        <f t="shared" si="36"/>
        <v>29</v>
      </c>
      <c r="M106" s="38">
        <v>7</v>
      </c>
      <c r="N106" s="38"/>
      <c r="O106" s="38"/>
      <c r="P106" s="38"/>
      <c r="Q106" s="38"/>
      <c r="R106" s="38"/>
      <c r="S106" s="38"/>
      <c r="T106" s="38"/>
      <c r="U106" s="38"/>
      <c r="V106" s="38"/>
      <c r="W106" s="4"/>
      <c r="X106" s="4">
        <f t="shared" si="37"/>
        <v>23.4</v>
      </c>
      <c r="Y106" s="4"/>
      <c r="Z106" s="4">
        <f t="shared" si="38"/>
        <v>5.6000000000000005</v>
      </c>
      <c r="AA106" s="4"/>
      <c r="AB106" s="4"/>
      <c r="AC106" s="4"/>
      <c r="AD106" s="4"/>
    </row>
    <row r="107" spans="2:30">
      <c r="B107" s="36"/>
      <c r="C107" s="36">
        <v>6.7</v>
      </c>
      <c r="D107" s="36"/>
      <c r="E107" s="36"/>
      <c r="F107" s="36"/>
      <c r="G107" s="36"/>
      <c r="H107" s="36"/>
      <c r="I107" s="36"/>
      <c r="J107" s="36"/>
      <c r="K107" s="37">
        <f t="shared" si="35"/>
        <v>6.7</v>
      </c>
      <c r="L107" s="36">
        <f t="shared" si="36"/>
        <v>6.7</v>
      </c>
      <c r="M107" s="38">
        <v>4</v>
      </c>
      <c r="N107" s="38"/>
      <c r="O107" s="38">
        <v>1</v>
      </c>
      <c r="P107" s="38"/>
      <c r="Q107" s="38"/>
      <c r="R107" s="38"/>
      <c r="S107" s="38"/>
      <c r="T107" s="38"/>
      <c r="U107" s="38"/>
      <c r="V107" s="38"/>
      <c r="W107" s="4"/>
      <c r="X107" s="4">
        <f t="shared" si="37"/>
        <v>3.5</v>
      </c>
      <c r="Y107" s="4"/>
      <c r="Z107" s="4">
        <f t="shared" si="38"/>
        <v>3.2</v>
      </c>
      <c r="AA107" s="4"/>
      <c r="AB107" s="4"/>
      <c r="AC107" s="4"/>
      <c r="AD107" s="4"/>
    </row>
    <row r="108" spans="2:30">
      <c r="B108" s="36">
        <f t="shared" ref="B108:V108" si="39">SUM(B102:B107)</f>
        <v>0</v>
      </c>
      <c r="C108" s="36">
        <f t="shared" si="39"/>
        <v>206.29999999999998</v>
      </c>
      <c r="D108" s="36">
        <f t="shared" si="39"/>
        <v>27.2</v>
      </c>
      <c r="E108" s="36">
        <f t="shared" si="39"/>
        <v>0</v>
      </c>
      <c r="F108" s="36">
        <f t="shared" si="39"/>
        <v>0</v>
      </c>
      <c r="G108" s="36">
        <f t="shared" si="39"/>
        <v>0</v>
      </c>
      <c r="H108" s="36">
        <f t="shared" si="39"/>
        <v>0</v>
      </c>
      <c r="I108" s="36">
        <f t="shared" si="39"/>
        <v>0</v>
      </c>
      <c r="J108" s="36">
        <f t="shared" si="39"/>
        <v>0</v>
      </c>
      <c r="K108" s="36">
        <f t="shared" si="39"/>
        <v>233.5</v>
      </c>
      <c r="L108" s="36">
        <f t="shared" si="39"/>
        <v>233.5</v>
      </c>
      <c r="M108" s="38">
        <f t="shared" si="39"/>
        <v>66</v>
      </c>
      <c r="N108" s="38">
        <f t="shared" si="39"/>
        <v>1</v>
      </c>
      <c r="O108" s="38">
        <f t="shared" si="39"/>
        <v>2</v>
      </c>
      <c r="P108" s="38">
        <f t="shared" si="39"/>
        <v>0</v>
      </c>
      <c r="Q108" s="38">
        <f t="shared" si="39"/>
        <v>0</v>
      </c>
      <c r="R108" s="38">
        <f t="shared" si="39"/>
        <v>0</v>
      </c>
      <c r="S108" s="38">
        <f t="shared" si="39"/>
        <v>0</v>
      </c>
      <c r="T108" s="38">
        <f t="shared" si="39"/>
        <v>0</v>
      </c>
      <c r="U108" s="38">
        <f t="shared" si="39"/>
        <v>0</v>
      </c>
      <c r="V108" s="38">
        <f t="shared" si="39"/>
        <v>0</v>
      </c>
      <c r="W108" s="4"/>
      <c r="X108" s="4">
        <f>SUM(X102:X107)</f>
        <v>180.70000000000002</v>
      </c>
      <c r="Y108" s="4"/>
      <c r="Z108" s="4">
        <f>SUM(Z102:Z107)</f>
        <v>52.800000000000004</v>
      </c>
      <c r="AA108" s="4"/>
      <c r="AB108" s="4"/>
      <c r="AC108" s="4"/>
      <c r="AD108" s="4"/>
    </row>
    <row r="109" spans="2:30">
      <c r="B109" s="21" t="s">
        <v>104</v>
      </c>
      <c r="M109" s="20"/>
      <c r="W109" s="8" t="s">
        <v>66</v>
      </c>
      <c r="X109" s="8">
        <f>+X108+Z108</f>
        <v>233.50000000000003</v>
      </c>
      <c r="Y109" s="8"/>
      <c r="Z109" s="8"/>
      <c r="AA109" s="8"/>
      <c r="AB109" s="8"/>
      <c r="AC109" s="8"/>
      <c r="AD109" s="8"/>
    </row>
    <row r="110" spans="2:30">
      <c r="B110" s="36">
        <f t="shared" ref="B110:V110" si="40">+B108-B117</f>
        <v>0</v>
      </c>
      <c r="C110" s="36">
        <f t="shared" si="40"/>
        <v>197.76</v>
      </c>
      <c r="D110" s="36">
        <f t="shared" si="40"/>
        <v>27.2</v>
      </c>
      <c r="E110" s="36">
        <f t="shared" si="40"/>
        <v>0</v>
      </c>
      <c r="F110" s="36">
        <f t="shared" si="40"/>
        <v>0</v>
      </c>
      <c r="G110" s="36">
        <f t="shared" si="40"/>
        <v>0</v>
      </c>
      <c r="H110" s="36">
        <f t="shared" si="40"/>
        <v>0</v>
      </c>
      <c r="I110" s="36">
        <f t="shared" si="40"/>
        <v>0</v>
      </c>
      <c r="J110" s="36">
        <f t="shared" si="40"/>
        <v>0</v>
      </c>
      <c r="K110" s="36">
        <f t="shared" si="40"/>
        <v>224.96</v>
      </c>
      <c r="L110" s="36">
        <f t="shared" si="40"/>
        <v>224.96</v>
      </c>
      <c r="M110" s="38">
        <f t="shared" si="40"/>
        <v>59</v>
      </c>
      <c r="N110" s="38">
        <f t="shared" si="40"/>
        <v>1</v>
      </c>
      <c r="O110" s="38">
        <f t="shared" si="40"/>
        <v>2</v>
      </c>
      <c r="P110" s="38">
        <f t="shared" si="40"/>
        <v>0</v>
      </c>
      <c r="Q110" s="38">
        <f t="shared" si="40"/>
        <v>0</v>
      </c>
      <c r="R110" s="38">
        <f t="shared" si="40"/>
        <v>0</v>
      </c>
      <c r="S110" s="38">
        <f t="shared" si="40"/>
        <v>0</v>
      </c>
      <c r="T110" s="38">
        <f t="shared" si="40"/>
        <v>0</v>
      </c>
      <c r="U110" s="38">
        <f t="shared" si="40"/>
        <v>0</v>
      </c>
      <c r="V110" s="38">
        <f t="shared" si="40"/>
        <v>0</v>
      </c>
      <c r="W110" s="4"/>
      <c r="X110" s="4">
        <f>+X109-Z110-Z117-AA117-AB117</f>
        <v>177.76000000000002</v>
      </c>
      <c r="Y110" s="4"/>
      <c r="Z110" s="4">
        <f>0.8*M110</f>
        <v>47.2</v>
      </c>
      <c r="AA110" s="4"/>
      <c r="AB110" s="4"/>
      <c r="AC110" s="4"/>
      <c r="AD110" s="4"/>
    </row>
    <row r="111" spans="2:30">
      <c r="M111" s="20"/>
      <c r="W111" s="8"/>
      <c r="X111" s="8" t="s">
        <v>67</v>
      </c>
      <c r="Y111" s="8"/>
      <c r="Z111" s="8" t="s">
        <v>87</v>
      </c>
      <c r="AA111" s="8"/>
      <c r="AB111" s="8"/>
      <c r="AC111" s="8"/>
      <c r="AD111" s="8"/>
    </row>
    <row r="112" spans="2:30">
      <c r="B112" s="20" t="s">
        <v>86</v>
      </c>
      <c r="M112" s="20"/>
      <c r="W112" s="8"/>
      <c r="X112" s="8"/>
      <c r="Y112" s="8"/>
      <c r="Z112" s="8"/>
      <c r="AA112" s="8"/>
      <c r="AB112" s="8"/>
      <c r="AC112" s="8"/>
      <c r="AD112" s="8"/>
    </row>
    <row r="113" spans="1:30">
      <c r="B113" s="75" t="s">
        <v>7</v>
      </c>
      <c r="C113" s="75"/>
      <c r="D113" s="75"/>
      <c r="E113" s="75"/>
      <c r="F113" s="75"/>
      <c r="G113" s="75"/>
      <c r="H113" s="75"/>
      <c r="I113" s="75"/>
      <c r="J113" s="75"/>
      <c r="K113" s="24" t="s">
        <v>8</v>
      </c>
      <c r="L113" s="24" t="s">
        <v>6</v>
      </c>
      <c r="M113" s="24" t="s">
        <v>9</v>
      </c>
      <c r="N113" s="79" t="s">
        <v>0</v>
      </c>
      <c r="O113" s="79"/>
      <c r="P113" s="79"/>
      <c r="Q113" s="79"/>
      <c r="R113" s="79" t="s">
        <v>6</v>
      </c>
      <c r="S113" s="79"/>
      <c r="T113" s="79"/>
      <c r="U113" s="79"/>
      <c r="V113" s="26"/>
      <c r="W113" s="80" t="s">
        <v>71</v>
      </c>
      <c r="X113" s="80"/>
      <c r="Y113" s="80"/>
      <c r="Z113" s="80"/>
      <c r="AA113" s="80"/>
      <c r="AB113" s="80"/>
      <c r="AC113" s="80"/>
      <c r="AD113" s="80"/>
    </row>
    <row r="114" spans="1:30">
      <c r="B114" s="27" t="s">
        <v>141</v>
      </c>
      <c r="C114" s="27" t="s">
        <v>69</v>
      </c>
      <c r="D114" s="27" t="s">
        <v>19</v>
      </c>
      <c r="E114" s="27" t="s">
        <v>21</v>
      </c>
      <c r="F114" s="7" t="s">
        <v>70</v>
      </c>
      <c r="G114" s="7" t="s">
        <v>22</v>
      </c>
      <c r="H114" s="6"/>
      <c r="I114" s="7"/>
      <c r="J114" s="27"/>
      <c r="K114" s="27"/>
      <c r="L114" s="27"/>
      <c r="M114" s="27"/>
      <c r="N114" s="28" t="s">
        <v>114</v>
      </c>
      <c r="O114" s="28" t="s">
        <v>4</v>
      </c>
      <c r="P114" s="79" t="s">
        <v>5</v>
      </c>
      <c r="Q114" s="79"/>
      <c r="R114" s="28" t="s">
        <v>114</v>
      </c>
      <c r="S114" s="28" t="s">
        <v>4</v>
      </c>
      <c r="T114" s="79" t="s">
        <v>5</v>
      </c>
      <c r="U114" s="79"/>
      <c r="V114" s="29" t="s">
        <v>3</v>
      </c>
      <c r="W114" s="30">
        <v>1.5</v>
      </c>
      <c r="X114" s="30">
        <v>2</v>
      </c>
      <c r="Y114" s="31">
        <v>2.5</v>
      </c>
      <c r="Z114" s="31">
        <v>2.5</v>
      </c>
      <c r="AA114" s="31">
        <v>3</v>
      </c>
      <c r="AB114" s="31">
        <v>3.5</v>
      </c>
      <c r="AC114" s="31">
        <v>4</v>
      </c>
      <c r="AD114" s="31">
        <v>4</v>
      </c>
    </row>
    <row r="115" spans="1:30">
      <c r="B115" s="32"/>
      <c r="C115" s="32"/>
      <c r="D115" s="32"/>
      <c r="E115" s="32"/>
      <c r="F115" s="2"/>
      <c r="G115" s="2" t="s">
        <v>20</v>
      </c>
      <c r="H115" s="2"/>
      <c r="I115" s="2"/>
      <c r="J115" s="32"/>
      <c r="K115" s="32"/>
      <c r="L115" s="32"/>
      <c r="M115" s="32"/>
      <c r="N115" s="33"/>
      <c r="O115" s="33"/>
      <c r="P115" s="25" t="s">
        <v>1</v>
      </c>
      <c r="Q115" s="25" t="s">
        <v>2</v>
      </c>
      <c r="R115" s="34"/>
      <c r="S115" s="34"/>
      <c r="T115" s="25" t="s">
        <v>1</v>
      </c>
      <c r="U115" s="25" t="s">
        <v>2</v>
      </c>
      <c r="V115" s="34"/>
      <c r="W115" s="35" t="s">
        <v>10</v>
      </c>
      <c r="X115" s="35" t="s">
        <v>11</v>
      </c>
      <c r="Y115" s="35" t="s">
        <v>12</v>
      </c>
      <c r="Z115" s="35" t="s">
        <v>13</v>
      </c>
      <c r="AA115" s="35" t="s">
        <v>14</v>
      </c>
      <c r="AB115" s="35" t="s">
        <v>15</v>
      </c>
      <c r="AC115" s="35" t="s">
        <v>16</v>
      </c>
      <c r="AD115" s="35" t="s">
        <v>17</v>
      </c>
    </row>
    <row r="116" spans="1:30">
      <c r="A116" s="41" t="s">
        <v>72</v>
      </c>
      <c r="B116" s="36"/>
      <c r="C116" s="36">
        <v>8.5399999999999991</v>
      </c>
      <c r="D116" s="36"/>
      <c r="E116" s="36"/>
      <c r="F116" s="36"/>
      <c r="G116" s="36"/>
      <c r="H116" s="36"/>
      <c r="I116" s="36"/>
      <c r="J116" s="36"/>
      <c r="K116" s="37">
        <f>(B116+C116+D116+E116+F116+G116+J116+H116+I116)-0.47*(+P116+Q116)-0.8*V116</f>
        <v>8.5399999999999991</v>
      </c>
      <c r="L116" s="36">
        <f>+B116+C116+D116+E116+F116+G116+H116+I116+J116-0.47*(+T116+U116)-0.8*V116</f>
        <v>8.5399999999999991</v>
      </c>
      <c r="M116" s="38">
        <v>7</v>
      </c>
      <c r="N116" s="38"/>
      <c r="O116" s="38"/>
      <c r="P116" s="38"/>
      <c r="Q116" s="38"/>
      <c r="R116" s="38"/>
      <c r="S116" s="38"/>
      <c r="T116" s="38"/>
      <c r="U116" s="38"/>
      <c r="V116" s="38"/>
      <c r="W116" s="4"/>
      <c r="X116" s="4"/>
      <c r="Y116" s="4"/>
      <c r="Z116" s="4"/>
      <c r="AA116" s="4">
        <f>+B116+C116+D116+E116+F116+G116+H116+I116+J116-AB116</f>
        <v>2.9399999999999986</v>
      </c>
      <c r="AB116" s="4">
        <f>0.8*M116</f>
        <v>5.6000000000000005</v>
      </c>
      <c r="AC116" s="4"/>
      <c r="AD116" s="4"/>
    </row>
    <row r="117" spans="1:30">
      <c r="A117" s="39" t="s">
        <v>26</v>
      </c>
      <c r="B117" s="36">
        <f t="shared" ref="B117:V117" si="41">SUM(B116:B116)</f>
        <v>0</v>
      </c>
      <c r="C117" s="36">
        <f t="shared" si="41"/>
        <v>8.5399999999999991</v>
      </c>
      <c r="D117" s="36">
        <f t="shared" si="41"/>
        <v>0</v>
      </c>
      <c r="E117" s="36">
        <f t="shared" si="41"/>
        <v>0</v>
      </c>
      <c r="F117" s="36">
        <f t="shared" si="41"/>
        <v>0</v>
      </c>
      <c r="G117" s="36">
        <f t="shared" si="41"/>
        <v>0</v>
      </c>
      <c r="H117" s="36">
        <f t="shared" si="41"/>
        <v>0</v>
      </c>
      <c r="I117" s="36">
        <f t="shared" si="41"/>
        <v>0</v>
      </c>
      <c r="J117" s="36">
        <f t="shared" si="41"/>
        <v>0</v>
      </c>
      <c r="K117" s="36">
        <f t="shared" si="41"/>
        <v>8.5399999999999991</v>
      </c>
      <c r="L117" s="36">
        <f t="shared" si="41"/>
        <v>8.5399999999999991</v>
      </c>
      <c r="M117" s="38">
        <f t="shared" si="41"/>
        <v>7</v>
      </c>
      <c r="N117" s="38">
        <f t="shared" si="41"/>
        <v>0</v>
      </c>
      <c r="O117" s="38">
        <f t="shared" si="41"/>
        <v>0</v>
      </c>
      <c r="P117" s="38">
        <f t="shared" si="41"/>
        <v>0</v>
      </c>
      <c r="Q117" s="38">
        <f t="shared" si="41"/>
        <v>0</v>
      </c>
      <c r="R117" s="38">
        <f t="shared" si="41"/>
        <v>0</v>
      </c>
      <c r="S117" s="38">
        <f t="shared" si="41"/>
        <v>0</v>
      </c>
      <c r="T117" s="38">
        <f t="shared" si="41"/>
        <v>0</v>
      </c>
      <c r="U117" s="38">
        <f t="shared" si="41"/>
        <v>0</v>
      </c>
      <c r="V117" s="38">
        <f t="shared" si="41"/>
        <v>0</v>
      </c>
      <c r="W117" s="4"/>
      <c r="X117" s="4"/>
      <c r="Y117" s="4"/>
      <c r="Z117" s="4"/>
      <c r="AA117" s="4">
        <f>SUM(AA116:AA116)</f>
        <v>2.9399999999999986</v>
      </c>
      <c r="AB117" s="4">
        <f>SUM(AB116:AB116)</f>
        <v>5.6000000000000005</v>
      </c>
      <c r="AC117" s="4"/>
      <c r="AD117" s="4"/>
    </row>
    <row r="118" spans="1:30">
      <c r="A118" s="39"/>
      <c r="M118" s="20"/>
      <c r="W118" s="8"/>
      <c r="X118" s="8"/>
      <c r="Y118" s="8"/>
      <c r="Z118" s="8"/>
      <c r="AA118" s="8"/>
      <c r="AB118" s="8"/>
      <c r="AC118" s="8"/>
      <c r="AD118" s="8"/>
    </row>
    <row r="119" spans="1:30">
      <c r="B119" s="20" t="s">
        <v>88</v>
      </c>
      <c r="W119" s="22"/>
      <c r="X119" s="22"/>
      <c r="Y119" s="22"/>
      <c r="Z119" s="40"/>
      <c r="AA119" s="22"/>
    </row>
    <row r="120" spans="1:30">
      <c r="B120" s="75" t="s">
        <v>7</v>
      </c>
      <c r="C120" s="75"/>
      <c r="D120" s="75"/>
      <c r="E120" s="75"/>
      <c r="F120" s="75"/>
      <c r="G120" s="75"/>
      <c r="H120" s="75"/>
      <c r="I120" s="75"/>
      <c r="J120" s="75"/>
      <c r="K120" s="24" t="s">
        <v>8</v>
      </c>
      <c r="L120" s="24" t="s">
        <v>6</v>
      </c>
      <c r="M120" s="24" t="s">
        <v>9</v>
      </c>
      <c r="N120" s="79" t="s">
        <v>0</v>
      </c>
      <c r="O120" s="79"/>
      <c r="P120" s="79"/>
      <c r="Q120" s="79"/>
      <c r="R120" s="79" t="s">
        <v>6</v>
      </c>
      <c r="S120" s="79"/>
      <c r="T120" s="79"/>
      <c r="U120" s="79"/>
      <c r="V120" s="26"/>
      <c r="W120" s="80" t="s">
        <v>71</v>
      </c>
      <c r="X120" s="80"/>
      <c r="Y120" s="80"/>
      <c r="Z120" s="80"/>
      <c r="AA120" s="80"/>
      <c r="AB120" s="80"/>
      <c r="AC120" s="80"/>
      <c r="AD120" s="80"/>
    </row>
    <row r="121" spans="1:30">
      <c r="B121" s="27" t="s">
        <v>141</v>
      </c>
      <c r="C121" s="27" t="s">
        <v>69</v>
      </c>
      <c r="D121" s="27" t="s">
        <v>19</v>
      </c>
      <c r="E121" s="27" t="s">
        <v>21</v>
      </c>
      <c r="F121" s="7" t="s">
        <v>70</v>
      </c>
      <c r="G121" s="7" t="s">
        <v>22</v>
      </c>
      <c r="H121" s="6"/>
      <c r="I121" s="7"/>
      <c r="J121" s="27"/>
      <c r="K121" s="27"/>
      <c r="L121" s="27"/>
      <c r="M121" s="27"/>
      <c r="N121" s="28" t="s">
        <v>114</v>
      </c>
      <c r="O121" s="28" t="s">
        <v>4</v>
      </c>
      <c r="P121" s="79" t="s">
        <v>5</v>
      </c>
      <c r="Q121" s="79"/>
      <c r="R121" s="28" t="s">
        <v>114</v>
      </c>
      <c r="S121" s="28" t="s">
        <v>4</v>
      </c>
      <c r="T121" s="79" t="s">
        <v>5</v>
      </c>
      <c r="U121" s="79"/>
      <c r="V121" s="29" t="s">
        <v>3</v>
      </c>
      <c r="W121" s="30">
        <v>1.5</v>
      </c>
      <c r="X121" s="30">
        <v>2</v>
      </c>
      <c r="Y121" s="31">
        <v>2.5</v>
      </c>
      <c r="Z121" s="31">
        <v>2.5</v>
      </c>
      <c r="AA121" s="31">
        <v>3</v>
      </c>
      <c r="AB121" s="31">
        <v>3.5</v>
      </c>
      <c r="AC121" s="31">
        <v>4</v>
      </c>
      <c r="AD121" s="31">
        <v>4</v>
      </c>
    </row>
    <row r="122" spans="1:30">
      <c r="B122" s="32"/>
      <c r="C122" s="32"/>
      <c r="D122" s="32"/>
      <c r="E122" s="32"/>
      <c r="F122" s="2"/>
      <c r="G122" s="2" t="s">
        <v>20</v>
      </c>
      <c r="H122" s="2"/>
      <c r="I122" s="2"/>
      <c r="J122" s="32"/>
      <c r="K122" s="32"/>
      <c r="L122" s="32"/>
      <c r="M122" s="32"/>
      <c r="N122" s="33"/>
      <c r="O122" s="33"/>
      <c r="P122" s="25" t="s">
        <v>1</v>
      </c>
      <c r="Q122" s="25" t="s">
        <v>2</v>
      </c>
      <c r="R122" s="34"/>
      <c r="S122" s="34"/>
      <c r="T122" s="25" t="s">
        <v>1</v>
      </c>
      <c r="U122" s="25" t="s">
        <v>2</v>
      </c>
      <c r="V122" s="34"/>
      <c r="W122" s="35" t="s">
        <v>10</v>
      </c>
      <c r="X122" s="35" t="s">
        <v>11</v>
      </c>
      <c r="Y122" s="35" t="s">
        <v>12</v>
      </c>
      <c r="Z122" s="35" t="s">
        <v>13</v>
      </c>
      <c r="AA122" s="35" t="s">
        <v>14</v>
      </c>
      <c r="AB122" s="35" t="s">
        <v>15</v>
      </c>
      <c r="AC122" s="35" t="s">
        <v>16</v>
      </c>
      <c r="AD122" s="35" t="s">
        <v>17</v>
      </c>
    </row>
    <row r="123" spans="1:30">
      <c r="B123" s="36"/>
      <c r="C123" s="36">
        <v>72.5</v>
      </c>
      <c r="D123" s="36"/>
      <c r="E123" s="36"/>
      <c r="F123" s="36"/>
      <c r="G123" s="36"/>
      <c r="H123" s="36"/>
      <c r="I123" s="36"/>
      <c r="J123" s="36"/>
      <c r="K123" s="37">
        <f>(B123+C123+D123+E123+F123+G123+J123+H123+I123)-0.47*(+P123+Q123)-0.8*V123</f>
        <v>72.5</v>
      </c>
      <c r="L123" s="36">
        <f>+B123+C123+D123+E123+F123+G123+H123+I123+J123-0.4*(+T123+U123)-0.8*V123</f>
        <v>72.5</v>
      </c>
      <c r="M123" s="38">
        <v>5</v>
      </c>
      <c r="N123" s="38"/>
      <c r="O123" s="38"/>
      <c r="P123" s="38"/>
      <c r="Q123" s="38"/>
      <c r="R123" s="38"/>
      <c r="S123" s="38"/>
      <c r="T123" s="38"/>
      <c r="U123" s="38"/>
      <c r="V123" s="38"/>
      <c r="W123" s="4"/>
      <c r="X123" s="4">
        <f t="shared" ref="X123:X126" si="42">+B123+C123+D123+E123+F123+G123+H123+I123+J123-Z123</f>
        <v>68.5</v>
      </c>
      <c r="Y123" s="4"/>
      <c r="Z123" s="4">
        <f>0.8*M123</f>
        <v>4</v>
      </c>
      <c r="AA123" s="4"/>
      <c r="AB123" s="4"/>
      <c r="AC123" s="4"/>
      <c r="AD123" s="4"/>
    </row>
    <row r="124" spans="1:30">
      <c r="B124" s="36"/>
      <c r="C124" s="36"/>
      <c r="D124" s="36">
        <v>2.8</v>
      </c>
      <c r="E124" s="36"/>
      <c r="F124" s="36"/>
      <c r="G124" s="36"/>
      <c r="H124" s="36"/>
      <c r="I124" s="36"/>
      <c r="J124" s="36"/>
      <c r="K124" s="37">
        <f t="shared" ref="K124:K126" si="43">(B124+C124+D124+E124+F124+G124+J124+H124+I124)-0.47*(+P124+Q124)-0.8*V124</f>
        <v>2.8</v>
      </c>
      <c r="L124" s="36">
        <f t="shared" ref="L124:L126" si="44">+B124+C124+D124+E124+F124+G124+H124+I124+J124-0.4*(+T124+U124)-0.8*V124</f>
        <v>2.8</v>
      </c>
      <c r="M124" s="38">
        <v>1</v>
      </c>
      <c r="N124" s="38"/>
      <c r="O124" s="38"/>
      <c r="P124" s="38"/>
      <c r="Q124" s="38"/>
      <c r="R124" s="38"/>
      <c r="S124" s="38"/>
      <c r="T124" s="38"/>
      <c r="U124" s="38"/>
      <c r="V124" s="38"/>
      <c r="W124" s="4"/>
      <c r="X124" s="4">
        <f t="shared" si="42"/>
        <v>1.9999999999999998</v>
      </c>
      <c r="Y124" s="4"/>
      <c r="Z124" s="4">
        <f t="shared" ref="Z124:Z126" si="45">0.8*M124</f>
        <v>0.8</v>
      </c>
      <c r="AA124" s="4"/>
      <c r="AB124" s="4"/>
      <c r="AC124" s="4"/>
      <c r="AD124" s="4"/>
    </row>
    <row r="125" spans="1:30">
      <c r="B125" s="36"/>
      <c r="C125" s="36">
        <v>5.7</v>
      </c>
      <c r="D125" s="36"/>
      <c r="E125" s="36"/>
      <c r="F125" s="36"/>
      <c r="G125" s="36"/>
      <c r="H125" s="36"/>
      <c r="I125" s="36"/>
      <c r="J125" s="36"/>
      <c r="K125" s="37">
        <f t="shared" si="43"/>
        <v>5.7</v>
      </c>
      <c r="L125" s="36">
        <f t="shared" si="44"/>
        <v>5.7</v>
      </c>
      <c r="M125" s="38">
        <v>1</v>
      </c>
      <c r="N125" s="38"/>
      <c r="O125" s="38"/>
      <c r="P125" s="38"/>
      <c r="Q125" s="38"/>
      <c r="R125" s="38">
        <v>1</v>
      </c>
      <c r="S125" s="38"/>
      <c r="T125" s="38"/>
      <c r="U125" s="38"/>
      <c r="V125" s="38"/>
      <c r="W125" s="4"/>
      <c r="X125" s="4">
        <f t="shared" si="42"/>
        <v>4.9000000000000004</v>
      </c>
      <c r="Y125" s="4"/>
      <c r="Z125" s="4">
        <f t="shared" si="45"/>
        <v>0.8</v>
      </c>
      <c r="AA125" s="4"/>
      <c r="AB125" s="4"/>
      <c r="AC125" s="4"/>
      <c r="AD125" s="4"/>
    </row>
    <row r="126" spans="1:30">
      <c r="B126" s="36">
        <v>5.6</v>
      </c>
      <c r="C126" s="36"/>
      <c r="D126" s="36"/>
      <c r="E126" s="36"/>
      <c r="F126" s="36"/>
      <c r="G126" s="36"/>
      <c r="H126" s="36"/>
      <c r="I126" s="36"/>
      <c r="J126" s="36"/>
      <c r="K126" s="37">
        <f t="shared" si="43"/>
        <v>5.6</v>
      </c>
      <c r="L126" s="36">
        <f t="shared" si="44"/>
        <v>5.6</v>
      </c>
      <c r="M126" s="38">
        <v>3</v>
      </c>
      <c r="N126" s="38"/>
      <c r="O126" s="38"/>
      <c r="P126" s="38"/>
      <c r="Q126" s="38"/>
      <c r="R126" s="38"/>
      <c r="S126" s="38"/>
      <c r="T126" s="38"/>
      <c r="U126" s="38"/>
      <c r="V126" s="38"/>
      <c r="W126" s="4"/>
      <c r="X126" s="4">
        <f t="shared" si="42"/>
        <v>3.1999999999999993</v>
      </c>
      <c r="Y126" s="4"/>
      <c r="Z126" s="4">
        <f t="shared" si="45"/>
        <v>2.4000000000000004</v>
      </c>
      <c r="AA126" s="4"/>
      <c r="AB126" s="4"/>
      <c r="AC126" s="4"/>
      <c r="AD126" s="4"/>
    </row>
    <row r="127" spans="1:30">
      <c r="B127" s="36">
        <f t="shared" ref="B127:V127" si="46">SUM(B123:B126)</f>
        <v>5.6</v>
      </c>
      <c r="C127" s="36">
        <f t="shared" si="46"/>
        <v>78.2</v>
      </c>
      <c r="D127" s="36">
        <f t="shared" si="46"/>
        <v>2.8</v>
      </c>
      <c r="E127" s="36">
        <f t="shared" si="46"/>
        <v>0</v>
      </c>
      <c r="F127" s="36">
        <f t="shared" si="46"/>
        <v>0</v>
      </c>
      <c r="G127" s="36">
        <f t="shared" si="46"/>
        <v>0</v>
      </c>
      <c r="H127" s="36">
        <f t="shared" si="46"/>
        <v>0</v>
      </c>
      <c r="I127" s="36">
        <f t="shared" si="46"/>
        <v>0</v>
      </c>
      <c r="J127" s="36">
        <f t="shared" si="46"/>
        <v>0</v>
      </c>
      <c r="K127" s="36">
        <f t="shared" si="46"/>
        <v>86.6</v>
      </c>
      <c r="L127" s="36">
        <f t="shared" si="46"/>
        <v>86.6</v>
      </c>
      <c r="M127" s="38">
        <f t="shared" si="46"/>
        <v>10</v>
      </c>
      <c r="N127" s="38">
        <f t="shared" si="46"/>
        <v>0</v>
      </c>
      <c r="O127" s="38">
        <f t="shared" si="46"/>
        <v>0</v>
      </c>
      <c r="P127" s="38">
        <f t="shared" si="46"/>
        <v>0</v>
      </c>
      <c r="Q127" s="38">
        <f t="shared" si="46"/>
        <v>0</v>
      </c>
      <c r="R127" s="38">
        <f t="shared" si="46"/>
        <v>1</v>
      </c>
      <c r="S127" s="38">
        <f t="shared" si="46"/>
        <v>0</v>
      </c>
      <c r="T127" s="38">
        <f t="shared" si="46"/>
        <v>0</v>
      </c>
      <c r="U127" s="38">
        <f t="shared" si="46"/>
        <v>0</v>
      </c>
      <c r="V127" s="38">
        <f t="shared" si="46"/>
        <v>0</v>
      </c>
      <c r="W127" s="4"/>
      <c r="X127" s="4">
        <f>SUM(X123:X126)</f>
        <v>78.600000000000009</v>
      </c>
      <c r="Y127" s="4"/>
      <c r="Z127" s="4">
        <f>SUM(Z123:Z126)</f>
        <v>8</v>
      </c>
      <c r="AA127" s="4"/>
      <c r="AB127" s="4"/>
      <c r="AC127" s="4"/>
      <c r="AD127" s="4"/>
    </row>
    <row r="128" spans="1:30">
      <c r="M128" s="20"/>
      <c r="W128" s="8"/>
      <c r="X128" s="8"/>
      <c r="Y128" s="8"/>
      <c r="Z128" s="8"/>
      <c r="AA128" s="8"/>
      <c r="AB128" s="8"/>
      <c r="AC128" s="8"/>
      <c r="AD128" s="8"/>
    </row>
    <row r="129" spans="1:30">
      <c r="B129" s="20" t="s">
        <v>91</v>
      </c>
      <c r="W129" s="22"/>
      <c r="X129" s="22"/>
      <c r="Y129" s="22"/>
      <c r="Z129" s="40"/>
      <c r="AA129" s="22"/>
    </row>
    <row r="130" spans="1:30">
      <c r="B130" s="75" t="s">
        <v>7</v>
      </c>
      <c r="C130" s="75"/>
      <c r="D130" s="75"/>
      <c r="E130" s="75"/>
      <c r="F130" s="75"/>
      <c r="G130" s="75"/>
      <c r="H130" s="75"/>
      <c r="I130" s="75"/>
      <c r="J130" s="75"/>
      <c r="K130" s="24" t="s">
        <v>8</v>
      </c>
      <c r="L130" s="24" t="s">
        <v>6</v>
      </c>
      <c r="M130" s="24" t="s">
        <v>9</v>
      </c>
      <c r="N130" s="79" t="s">
        <v>0</v>
      </c>
      <c r="O130" s="79"/>
      <c r="P130" s="79"/>
      <c r="Q130" s="79"/>
      <c r="R130" s="79" t="s">
        <v>6</v>
      </c>
      <c r="S130" s="79"/>
      <c r="T130" s="79"/>
      <c r="U130" s="79"/>
      <c r="V130" s="26"/>
      <c r="W130" s="80" t="s">
        <v>71</v>
      </c>
      <c r="X130" s="80"/>
      <c r="Y130" s="80"/>
      <c r="Z130" s="80"/>
      <c r="AA130" s="80"/>
      <c r="AB130" s="80"/>
      <c r="AC130" s="80"/>
      <c r="AD130" s="80"/>
    </row>
    <row r="131" spans="1:30">
      <c r="B131" s="27" t="s">
        <v>141</v>
      </c>
      <c r="C131" s="27" t="s">
        <v>69</v>
      </c>
      <c r="D131" s="27" t="s">
        <v>19</v>
      </c>
      <c r="E131" s="27" t="s">
        <v>21</v>
      </c>
      <c r="F131" s="7" t="s">
        <v>70</v>
      </c>
      <c r="G131" s="7" t="s">
        <v>22</v>
      </c>
      <c r="H131" s="6"/>
      <c r="I131" s="7"/>
      <c r="J131" s="27"/>
      <c r="K131" s="27"/>
      <c r="L131" s="27"/>
      <c r="M131" s="27"/>
      <c r="N131" s="28" t="s">
        <v>114</v>
      </c>
      <c r="O131" s="28" t="s">
        <v>4</v>
      </c>
      <c r="P131" s="79" t="s">
        <v>5</v>
      </c>
      <c r="Q131" s="79"/>
      <c r="R131" s="28" t="s">
        <v>114</v>
      </c>
      <c r="S131" s="28" t="s">
        <v>4</v>
      </c>
      <c r="T131" s="79" t="s">
        <v>5</v>
      </c>
      <c r="U131" s="79"/>
      <c r="V131" s="29" t="s">
        <v>3</v>
      </c>
      <c r="W131" s="30">
        <v>1.5</v>
      </c>
      <c r="X131" s="30">
        <v>2</v>
      </c>
      <c r="Y131" s="31">
        <v>2.5</v>
      </c>
      <c r="Z131" s="31">
        <v>2.5</v>
      </c>
      <c r="AA131" s="31">
        <v>3</v>
      </c>
      <c r="AB131" s="31">
        <v>3.5</v>
      </c>
      <c r="AC131" s="31">
        <v>4</v>
      </c>
      <c r="AD131" s="31">
        <v>4</v>
      </c>
    </row>
    <row r="132" spans="1:30">
      <c r="B132" s="32"/>
      <c r="C132" s="32"/>
      <c r="D132" s="32"/>
      <c r="E132" s="32"/>
      <c r="F132" s="2"/>
      <c r="G132" s="2" t="s">
        <v>20</v>
      </c>
      <c r="H132" s="2"/>
      <c r="I132" s="2"/>
      <c r="J132" s="32"/>
      <c r="K132" s="32"/>
      <c r="L132" s="32"/>
      <c r="M132" s="32"/>
      <c r="N132" s="33"/>
      <c r="O132" s="33"/>
      <c r="P132" s="25" t="s">
        <v>1</v>
      </c>
      <c r="Q132" s="25" t="s">
        <v>2</v>
      </c>
      <c r="R132" s="34"/>
      <c r="S132" s="34"/>
      <c r="T132" s="25" t="s">
        <v>1</v>
      </c>
      <c r="U132" s="25" t="s">
        <v>2</v>
      </c>
      <c r="V132" s="34"/>
      <c r="W132" s="35" t="s">
        <v>10</v>
      </c>
      <c r="X132" s="35" t="s">
        <v>11</v>
      </c>
      <c r="Y132" s="35" t="s">
        <v>12</v>
      </c>
      <c r="Z132" s="35" t="s">
        <v>13</v>
      </c>
      <c r="AA132" s="35" t="s">
        <v>14</v>
      </c>
      <c r="AB132" s="35" t="s">
        <v>15</v>
      </c>
      <c r="AC132" s="35" t="s">
        <v>16</v>
      </c>
      <c r="AD132" s="35" t="s">
        <v>17</v>
      </c>
    </row>
    <row r="133" spans="1:30">
      <c r="B133" s="36"/>
      <c r="C133" s="36">
        <v>17.2</v>
      </c>
      <c r="D133" s="36"/>
      <c r="E133" s="36"/>
      <c r="F133" s="36"/>
      <c r="G133" s="36"/>
      <c r="H133" s="36"/>
      <c r="I133" s="36"/>
      <c r="J133" s="36"/>
      <c r="K133" s="37">
        <f>(B133+C133+D133+E133+F133+G133+J133+H133+I133)-0.47*(+P133+Q133)-0.8*V133</f>
        <v>17.2</v>
      </c>
      <c r="L133" s="36">
        <f>+B133+C133+D133+E133+F133+G133+H133+I133+J133-0.47*(+T133+U133)-0.8*V133</f>
        <v>17.2</v>
      </c>
      <c r="M133" s="38">
        <v>7</v>
      </c>
      <c r="N133" s="38">
        <v>1</v>
      </c>
      <c r="O133" s="38">
        <v>1</v>
      </c>
      <c r="P133" s="38"/>
      <c r="Q133" s="38"/>
      <c r="R133" s="38"/>
      <c r="S133" s="38"/>
      <c r="T133" s="38"/>
      <c r="U133" s="38"/>
      <c r="V133" s="38"/>
      <c r="W133" s="4"/>
      <c r="X133" s="4">
        <f t="shared" ref="X133:X136" si="47">+B133+C133+D133+E133+F133+G133+H133+I133+J133-Z133</f>
        <v>11.599999999999998</v>
      </c>
      <c r="Y133" s="4"/>
      <c r="Z133" s="4">
        <f>0.8*M133</f>
        <v>5.6000000000000005</v>
      </c>
      <c r="AA133" s="4"/>
      <c r="AB133" s="4"/>
      <c r="AC133" s="4"/>
      <c r="AD133" s="4"/>
    </row>
    <row r="134" spans="1:30">
      <c r="B134" s="36"/>
      <c r="C134" s="36">
        <v>343.23</v>
      </c>
      <c r="D134" s="36"/>
      <c r="E134" s="36"/>
      <c r="F134" s="36"/>
      <c r="G134" s="36"/>
      <c r="H134" s="36"/>
      <c r="I134" s="36"/>
      <c r="J134" s="36"/>
      <c r="K134" s="37">
        <f t="shared" ref="K134:K136" si="48">(B134+C134+D134+E134+F134+G134+J134+H134+I134)-0.47*(+P134+Q134)-0.8*V134</f>
        <v>343.23</v>
      </c>
      <c r="L134" s="36">
        <f t="shared" ref="L134:L136" si="49">+B134+C134+D134+E134+F134+G134+H134+I134+J134-0.47*(+T134+U134)-0.8*V134</f>
        <v>343.23</v>
      </c>
      <c r="M134" s="38">
        <v>36</v>
      </c>
      <c r="N134" s="38">
        <v>5</v>
      </c>
      <c r="O134" s="38">
        <v>6</v>
      </c>
      <c r="P134" s="38"/>
      <c r="Q134" s="38"/>
      <c r="R134" s="38">
        <v>5</v>
      </c>
      <c r="S134" s="38">
        <v>1</v>
      </c>
      <c r="T134" s="38"/>
      <c r="U134" s="38"/>
      <c r="V134" s="38"/>
      <c r="W134" s="4"/>
      <c r="X134" s="4">
        <f t="shared" si="47"/>
        <v>314.43</v>
      </c>
      <c r="Y134" s="4"/>
      <c r="Z134" s="4">
        <f t="shared" ref="Z134:Z136" si="50">0.8*M134</f>
        <v>28.8</v>
      </c>
      <c r="AA134" s="4"/>
      <c r="AB134" s="4"/>
      <c r="AC134" s="4"/>
      <c r="AD134" s="4"/>
    </row>
    <row r="135" spans="1:30">
      <c r="B135" s="36"/>
      <c r="C135" s="36">
        <v>87.6</v>
      </c>
      <c r="D135" s="36"/>
      <c r="E135" s="36"/>
      <c r="F135" s="36"/>
      <c r="G135" s="36"/>
      <c r="H135" s="36"/>
      <c r="I135" s="36"/>
      <c r="J135" s="36"/>
      <c r="K135" s="37">
        <f t="shared" si="48"/>
        <v>87.6</v>
      </c>
      <c r="L135" s="36">
        <f t="shared" si="49"/>
        <v>87.6</v>
      </c>
      <c r="M135" s="38">
        <v>9</v>
      </c>
      <c r="N135" s="38">
        <v>1</v>
      </c>
      <c r="O135" s="38"/>
      <c r="P135" s="38"/>
      <c r="Q135" s="38"/>
      <c r="R135" s="38">
        <v>4</v>
      </c>
      <c r="S135" s="38"/>
      <c r="T135" s="38"/>
      <c r="U135" s="38"/>
      <c r="V135" s="38"/>
      <c r="W135" s="4"/>
      <c r="X135" s="4">
        <f t="shared" si="47"/>
        <v>80.399999999999991</v>
      </c>
      <c r="Y135" s="4"/>
      <c r="Z135" s="4">
        <f t="shared" si="50"/>
        <v>7.2</v>
      </c>
      <c r="AA135" s="4"/>
      <c r="AB135" s="4"/>
      <c r="AC135" s="4"/>
      <c r="AD135" s="4"/>
    </row>
    <row r="136" spans="1:30">
      <c r="B136" s="36"/>
      <c r="C136" s="36"/>
      <c r="D136" s="36"/>
      <c r="E136" s="36"/>
      <c r="F136" s="36"/>
      <c r="G136" s="36"/>
      <c r="H136" s="36"/>
      <c r="I136" s="36"/>
      <c r="J136" s="36"/>
      <c r="K136" s="37">
        <f t="shared" si="48"/>
        <v>0</v>
      </c>
      <c r="L136" s="36">
        <f t="shared" si="49"/>
        <v>0</v>
      </c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4"/>
      <c r="X136" s="4">
        <f t="shared" si="47"/>
        <v>0</v>
      </c>
      <c r="Y136" s="4"/>
      <c r="Z136" s="4">
        <f t="shared" si="50"/>
        <v>0</v>
      </c>
      <c r="AA136" s="4"/>
      <c r="AB136" s="4"/>
      <c r="AC136" s="4"/>
      <c r="AD136" s="4"/>
    </row>
    <row r="137" spans="1:30">
      <c r="B137" s="36">
        <f t="shared" ref="B137:V137" si="51">SUM(B133:B136)</f>
        <v>0</v>
      </c>
      <c r="C137" s="36">
        <f t="shared" si="51"/>
        <v>448.03</v>
      </c>
      <c r="D137" s="36">
        <f t="shared" si="51"/>
        <v>0</v>
      </c>
      <c r="E137" s="36">
        <f t="shared" si="51"/>
        <v>0</v>
      </c>
      <c r="F137" s="36">
        <f t="shared" si="51"/>
        <v>0</v>
      </c>
      <c r="G137" s="36">
        <f t="shared" si="51"/>
        <v>0</v>
      </c>
      <c r="H137" s="36">
        <f t="shared" si="51"/>
        <v>0</v>
      </c>
      <c r="I137" s="36">
        <f t="shared" si="51"/>
        <v>0</v>
      </c>
      <c r="J137" s="36">
        <f t="shared" si="51"/>
        <v>0</v>
      </c>
      <c r="K137" s="36">
        <f t="shared" si="51"/>
        <v>448.03</v>
      </c>
      <c r="L137" s="36">
        <f t="shared" si="51"/>
        <v>448.03</v>
      </c>
      <c r="M137" s="38">
        <f t="shared" si="51"/>
        <v>52</v>
      </c>
      <c r="N137" s="38">
        <f t="shared" si="51"/>
        <v>7</v>
      </c>
      <c r="O137" s="38">
        <f t="shared" si="51"/>
        <v>7</v>
      </c>
      <c r="P137" s="38">
        <f t="shared" si="51"/>
        <v>0</v>
      </c>
      <c r="Q137" s="38">
        <f t="shared" si="51"/>
        <v>0</v>
      </c>
      <c r="R137" s="38">
        <f t="shared" si="51"/>
        <v>9</v>
      </c>
      <c r="S137" s="38">
        <f t="shared" si="51"/>
        <v>1</v>
      </c>
      <c r="T137" s="38">
        <f t="shared" si="51"/>
        <v>0</v>
      </c>
      <c r="U137" s="38">
        <f t="shared" si="51"/>
        <v>0</v>
      </c>
      <c r="V137" s="38">
        <f t="shared" si="51"/>
        <v>0</v>
      </c>
      <c r="W137" s="4"/>
      <c r="X137" s="4">
        <f>SUM(X133:X136)</f>
        <v>406.43</v>
      </c>
      <c r="Y137" s="4"/>
      <c r="Z137" s="4">
        <f>SUM(Z133:Z136)</f>
        <v>41.6</v>
      </c>
      <c r="AA137" s="4"/>
      <c r="AB137" s="4"/>
      <c r="AC137" s="4"/>
      <c r="AD137" s="4"/>
    </row>
    <row r="138" spans="1:30">
      <c r="B138" s="21" t="s">
        <v>140</v>
      </c>
      <c r="M138" s="20"/>
      <c r="W138" s="8" t="s">
        <v>66</v>
      </c>
      <c r="X138" s="8">
        <f>+X137+Z137</f>
        <v>448.03000000000003</v>
      </c>
      <c r="Y138" s="8"/>
      <c r="Z138" s="8"/>
      <c r="AA138" s="8"/>
      <c r="AB138" s="8"/>
      <c r="AC138" s="8"/>
      <c r="AD138" s="8"/>
    </row>
    <row r="139" spans="1:30">
      <c r="A139" s="39" t="s">
        <v>26</v>
      </c>
      <c r="B139" s="36">
        <f>+B137-B151</f>
        <v>0</v>
      </c>
      <c r="C139" s="36">
        <f>+C137-C151</f>
        <v>423.21</v>
      </c>
      <c r="D139" s="36">
        <f t="shared" ref="D139:L139" si="52">+D137-D151</f>
        <v>0</v>
      </c>
      <c r="E139" s="36">
        <f t="shared" si="52"/>
        <v>0</v>
      </c>
      <c r="F139" s="36">
        <f t="shared" si="52"/>
        <v>0</v>
      </c>
      <c r="G139" s="36">
        <f t="shared" si="52"/>
        <v>0</v>
      </c>
      <c r="H139" s="36">
        <f t="shared" si="52"/>
        <v>0</v>
      </c>
      <c r="I139" s="36">
        <f t="shared" si="52"/>
        <v>0</v>
      </c>
      <c r="J139" s="36">
        <f t="shared" si="52"/>
        <v>0</v>
      </c>
      <c r="K139" s="36">
        <f t="shared" si="52"/>
        <v>423.21</v>
      </c>
      <c r="L139" s="36">
        <f t="shared" si="52"/>
        <v>423.21</v>
      </c>
      <c r="M139" s="38">
        <f>+M137-M151</f>
        <v>28</v>
      </c>
      <c r="N139" s="38">
        <f t="shared" ref="N139:U139" si="53">+N137-N151</f>
        <v>7</v>
      </c>
      <c r="O139" s="38">
        <f t="shared" si="53"/>
        <v>7</v>
      </c>
      <c r="P139" s="38">
        <f t="shared" si="53"/>
        <v>0</v>
      </c>
      <c r="Q139" s="38">
        <f t="shared" si="53"/>
        <v>0</v>
      </c>
      <c r="R139" s="38">
        <f t="shared" si="53"/>
        <v>9</v>
      </c>
      <c r="S139" s="38">
        <f t="shared" si="53"/>
        <v>1</v>
      </c>
      <c r="T139" s="38">
        <f t="shared" si="53"/>
        <v>0</v>
      </c>
      <c r="U139" s="38">
        <f t="shared" si="53"/>
        <v>0</v>
      </c>
      <c r="V139" s="38">
        <f>+V137-V151</f>
        <v>0</v>
      </c>
      <c r="W139" s="4">
        <f>+W137-W151</f>
        <v>0</v>
      </c>
      <c r="X139" s="4">
        <f>+X138-Z139-Z151-AA151-AB151</f>
        <v>400.81000000000006</v>
      </c>
      <c r="Y139" s="4"/>
      <c r="Z139" s="4">
        <f>0.8*M139</f>
        <v>22.400000000000002</v>
      </c>
      <c r="AA139" s="4"/>
      <c r="AB139" s="4"/>
      <c r="AC139" s="4"/>
      <c r="AD139" s="4"/>
    </row>
    <row r="140" spans="1:30">
      <c r="M140" s="20"/>
      <c r="W140" s="8"/>
      <c r="X140" s="8" t="s">
        <v>67</v>
      </c>
      <c r="Y140" s="8"/>
      <c r="Z140" s="8" t="s">
        <v>99</v>
      </c>
      <c r="AA140" s="8"/>
      <c r="AB140" s="8"/>
      <c r="AC140" s="8"/>
      <c r="AD140" s="8"/>
    </row>
    <row r="141" spans="1:30">
      <c r="B141" s="20" t="s">
        <v>92</v>
      </c>
      <c r="M141" s="20"/>
      <c r="W141" s="8"/>
      <c r="X141" s="8"/>
      <c r="Y141" s="8"/>
      <c r="Z141" s="8"/>
      <c r="AA141" s="8"/>
      <c r="AB141" s="8"/>
      <c r="AC141" s="8"/>
      <c r="AD141" s="8"/>
    </row>
    <row r="142" spans="1:30">
      <c r="B142" s="75" t="s">
        <v>7</v>
      </c>
      <c r="C142" s="75"/>
      <c r="D142" s="75"/>
      <c r="E142" s="75"/>
      <c r="F142" s="75"/>
      <c r="G142" s="75"/>
      <c r="H142" s="75"/>
      <c r="I142" s="75"/>
      <c r="J142" s="75"/>
      <c r="K142" s="24" t="s">
        <v>8</v>
      </c>
      <c r="L142" s="24" t="s">
        <v>6</v>
      </c>
      <c r="M142" s="24" t="s">
        <v>9</v>
      </c>
      <c r="N142" s="79" t="s">
        <v>0</v>
      </c>
      <c r="O142" s="79"/>
      <c r="P142" s="79"/>
      <c r="Q142" s="79"/>
      <c r="R142" s="79" t="s">
        <v>6</v>
      </c>
      <c r="S142" s="79"/>
      <c r="T142" s="79"/>
      <c r="U142" s="79"/>
      <c r="V142" s="26"/>
      <c r="W142" s="80" t="s">
        <v>71</v>
      </c>
      <c r="X142" s="80"/>
      <c r="Y142" s="80"/>
      <c r="Z142" s="80"/>
      <c r="AA142" s="80"/>
      <c r="AB142" s="80"/>
      <c r="AC142" s="80"/>
      <c r="AD142" s="80"/>
    </row>
    <row r="143" spans="1:30">
      <c r="B143" s="27" t="s">
        <v>141</v>
      </c>
      <c r="C143" s="27" t="s">
        <v>69</v>
      </c>
      <c r="D143" s="27" t="s">
        <v>19</v>
      </c>
      <c r="E143" s="27" t="s">
        <v>21</v>
      </c>
      <c r="F143" s="7" t="s">
        <v>70</v>
      </c>
      <c r="G143" s="7" t="s">
        <v>22</v>
      </c>
      <c r="H143" s="6"/>
      <c r="I143" s="7"/>
      <c r="J143" s="27"/>
      <c r="K143" s="27"/>
      <c r="L143" s="27"/>
      <c r="M143" s="27"/>
      <c r="N143" s="28" t="s">
        <v>114</v>
      </c>
      <c r="O143" s="28" t="s">
        <v>4</v>
      </c>
      <c r="P143" s="79" t="s">
        <v>5</v>
      </c>
      <c r="Q143" s="79"/>
      <c r="R143" s="28" t="s">
        <v>114</v>
      </c>
      <c r="S143" s="28" t="s">
        <v>4</v>
      </c>
      <c r="T143" s="79" t="s">
        <v>5</v>
      </c>
      <c r="U143" s="79"/>
      <c r="V143" s="29" t="s">
        <v>3</v>
      </c>
      <c r="W143" s="30">
        <v>1.5</v>
      </c>
      <c r="X143" s="30">
        <v>2</v>
      </c>
      <c r="Y143" s="31">
        <v>2.5</v>
      </c>
      <c r="Z143" s="31">
        <v>2.5</v>
      </c>
      <c r="AA143" s="31">
        <v>3</v>
      </c>
      <c r="AB143" s="31">
        <v>3.5</v>
      </c>
      <c r="AC143" s="31">
        <v>4</v>
      </c>
      <c r="AD143" s="31">
        <v>4</v>
      </c>
    </row>
    <row r="144" spans="1:30">
      <c r="B144" s="32"/>
      <c r="C144" s="32"/>
      <c r="D144" s="32"/>
      <c r="E144" s="32"/>
      <c r="F144" s="2"/>
      <c r="G144" s="2" t="s">
        <v>20</v>
      </c>
      <c r="H144" s="2"/>
      <c r="I144" s="2"/>
      <c r="J144" s="32"/>
      <c r="K144" s="32"/>
      <c r="L144" s="32"/>
      <c r="M144" s="32"/>
      <c r="N144" s="33"/>
      <c r="O144" s="33"/>
      <c r="P144" s="25" t="s">
        <v>1</v>
      </c>
      <c r="Q144" s="25" t="s">
        <v>2</v>
      </c>
      <c r="R144" s="34"/>
      <c r="S144" s="34"/>
      <c r="T144" s="25" t="s">
        <v>1</v>
      </c>
      <c r="U144" s="25" t="s">
        <v>2</v>
      </c>
      <c r="V144" s="34"/>
      <c r="W144" s="35" t="s">
        <v>10</v>
      </c>
      <c r="X144" s="35" t="s">
        <v>11</v>
      </c>
      <c r="Y144" s="35" t="s">
        <v>12</v>
      </c>
      <c r="Z144" s="35" t="s">
        <v>13</v>
      </c>
      <c r="AA144" s="35" t="s">
        <v>14</v>
      </c>
      <c r="AB144" s="35" t="s">
        <v>15</v>
      </c>
      <c r="AC144" s="35" t="s">
        <v>16</v>
      </c>
      <c r="AD144" s="35" t="s">
        <v>17</v>
      </c>
    </row>
    <row r="145" spans="1:30">
      <c r="A145" s="41" t="s">
        <v>93</v>
      </c>
      <c r="B145" s="36"/>
      <c r="C145" s="36">
        <v>2.68</v>
      </c>
      <c r="D145" s="36"/>
      <c r="E145" s="36"/>
      <c r="F145" s="36"/>
      <c r="G145" s="36"/>
      <c r="H145" s="36"/>
      <c r="I145" s="36"/>
      <c r="J145" s="36"/>
      <c r="K145" s="37">
        <f>(B145+C145+D145+E145+F145+G145+J145+H145+I145)-0.47*(+P145+Q145)-0.8*V145</f>
        <v>2.68</v>
      </c>
      <c r="L145" s="36">
        <f>+B145+C145+D145+E145+F145+G145+H145+I145+J145-0.47*(+T145+U145)-0.8*V145</f>
        <v>2.68</v>
      </c>
      <c r="M145" s="38">
        <v>4</v>
      </c>
      <c r="N145" s="38"/>
      <c r="O145" s="38"/>
      <c r="P145" s="38"/>
      <c r="Q145" s="38"/>
      <c r="R145" s="38"/>
      <c r="S145" s="38"/>
      <c r="T145" s="38"/>
      <c r="U145" s="38"/>
      <c r="V145" s="38"/>
      <c r="W145" s="4"/>
      <c r="X145" s="4"/>
      <c r="Y145" s="4"/>
      <c r="Z145" s="4">
        <f>+B145+C145+D145+E145+F145+G145+H145+I145+J145-AA145-AB145</f>
        <v>0</v>
      </c>
      <c r="AA145" s="4">
        <v>2.68</v>
      </c>
      <c r="AB145" s="4"/>
      <c r="AC145" s="4"/>
      <c r="AD145" s="4"/>
    </row>
    <row r="146" spans="1:30">
      <c r="A146" s="41" t="s">
        <v>94</v>
      </c>
      <c r="B146" s="36"/>
      <c r="C146" s="36">
        <v>2.68</v>
      </c>
      <c r="D146" s="36"/>
      <c r="E146" s="36"/>
      <c r="F146" s="36"/>
      <c r="G146" s="36"/>
      <c r="H146" s="36"/>
      <c r="I146" s="36"/>
      <c r="J146" s="36"/>
      <c r="K146" s="37">
        <f t="shared" ref="K146:K150" si="54">(B146+C146+D146+E146+F146+G146+J146+H146+I146)-0.47*(+P146+Q146)-0.8*V146</f>
        <v>2.68</v>
      </c>
      <c r="L146" s="36">
        <f t="shared" ref="L146:L150" si="55">+B146+C146+D146+E146+F146+G146+H146+I146+J146-0.47*(+T146+U146)-0.8*V146</f>
        <v>2.68</v>
      </c>
      <c r="M146" s="38">
        <v>4</v>
      </c>
      <c r="N146" s="38"/>
      <c r="O146" s="38"/>
      <c r="P146" s="38"/>
      <c r="Q146" s="38"/>
      <c r="R146" s="38"/>
      <c r="S146" s="38"/>
      <c r="T146" s="38"/>
      <c r="U146" s="38"/>
      <c r="V146" s="38"/>
      <c r="W146" s="4"/>
      <c r="X146" s="4"/>
      <c r="Y146" s="4"/>
      <c r="Z146" s="4">
        <f t="shared" ref="Z146" si="56">+B146+C146+D146+E146+F146+G146+H146+I146+J146-AA146</f>
        <v>0</v>
      </c>
      <c r="AA146" s="4">
        <v>2.68</v>
      </c>
      <c r="AB146" s="4"/>
      <c r="AC146" s="4"/>
      <c r="AD146" s="4"/>
    </row>
    <row r="147" spans="1:30">
      <c r="A147" s="41" t="s">
        <v>95</v>
      </c>
      <c r="B147" s="36"/>
      <c r="C147" s="36">
        <v>5.17</v>
      </c>
      <c r="D147" s="36"/>
      <c r="E147" s="36"/>
      <c r="F147" s="36"/>
      <c r="G147" s="36"/>
      <c r="H147" s="36"/>
      <c r="I147" s="36"/>
      <c r="J147" s="36"/>
      <c r="K147" s="37">
        <f t="shared" si="54"/>
        <v>5.17</v>
      </c>
      <c r="L147" s="36">
        <f t="shared" si="55"/>
        <v>5.17</v>
      </c>
      <c r="M147" s="38">
        <v>4</v>
      </c>
      <c r="N147" s="38"/>
      <c r="O147" s="38"/>
      <c r="P147" s="38"/>
      <c r="Q147" s="38"/>
      <c r="R147" s="38"/>
      <c r="S147" s="38"/>
      <c r="T147" s="38"/>
      <c r="U147" s="38"/>
      <c r="V147" s="38"/>
      <c r="W147" s="4"/>
      <c r="X147" s="4"/>
      <c r="Y147" s="4"/>
      <c r="Z147" s="4"/>
      <c r="AA147" s="4">
        <f>+B147+C147+D147+E147+F147+G147+H147+I147+J147-AB147</f>
        <v>1.9699999999999998</v>
      </c>
      <c r="AB147" s="4">
        <f>0.8*M147</f>
        <v>3.2</v>
      </c>
      <c r="AC147" s="4"/>
      <c r="AD147" s="4"/>
    </row>
    <row r="148" spans="1:30">
      <c r="A148" s="41" t="s">
        <v>96</v>
      </c>
      <c r="B148" s="36"/>
      <c r="C148" s="36">
        <v>8.93</v>
      </c>
      <c r="D148" s="36"/>
      <c r="E148" s="36"/>
      <c r="F148" s="36"/>
      <c r="G148" s="36"/>
      <c r="H148" s="36"/>
      <c r="I148" s="36"/>
      <c r="J148" s="36"/>
      <c r="K148" s="37">
        <f t="shared" si="54"/>
        <v>8.93</v>
      </c>
      <c r="L148" s="36">
        <f t="shared" si="55"/>
        <v>8.93</v>
      </c>
      <c r="M148" s="38">
        <v>4</v>
      </c>
      <c r="N148" s="38"/>
      <c r="O148" s="38"/>
      <c r="P148" s="38"/>
      <c r="Q148" s="38"/>
      <c r="R148" s="38"/>
      <c r="S148" s="38"/>
      <c r="T148" s="38"/>
      <c r="U148" s="38"/>
      <c r="V148" s="38"/>
      <c r="W148" s="4"/>
      <c r="X148" s="4"/>
      <c r="Y148" s="4"/>
      <c r="Z148" s="4">
        <f>+B148+C148+D148+E148+F148+G148+H148+I148+J148-AA148</f>
        <v>5.7299999999999995</v>
      </c>
      <c r="AA148" s="4">
        <f t="shared" ref="AA148" si="57">0.8*M148</f>
        <v>3.2</v>
      </c>
      <c r="AB148" s="4"/>
      <c r="AC148" s="4"/>
      <c r="AD148" s="4"/>
    </row>
    <row r="149" spans="1:30">
      <c r="A149" s="41" t="s">
        <v>97</v>
      </c>
      <c r="B149" s="36"/>
      <c r="C149" s="36">
        <v>2.68</v>
      </c>
      <c r="D149" s="36"/>
      <c r="E149" s="36"/>
      <c r="F149" s="36"/>
      <c r="G149" s="36"/>
      <c r="H149" s="36"/>
      <c r="I149" s="36"/>
      <c r="J149" s="36"/>
      <c r="K149" s="37">
        <f t="shared" si="54"/>
        <v>2.68</v>
      </c>
      <c r="L149" s="36">
        <f t="shared" si="55"/>
        <v>2.68</v>
      </c>
      <c r="M149" s="38">
        <v>4</v>
      </c>
      <c r="N149" s="38"/>
      <c r="O149" s="38"/>
      <c r="P149" s="38"/>
      <c r="Q149" s="38"/>
      <c r="R149" s="38"/>
      <c r="S149" s="38"/>
      <c r="T149" s="38"/>
      <c r="U149" s="38"/>
      <c r="V149" s="38"/>
      <c r="W149" s="4"/>
      <c r="X149" s="4"/>
      <c r="Y149" s="4"/>
      <c r="Z149" s="4">
        <f t="shared" ref="Z149:Z150" si="58">+B149+C149+D149+E149+F149+G149+H149+I149+J149-AA149</f>
        <v>0</v>
      </c>
      <c r="AA149" s="4">
        <v>2.68</v>
      </c>
      <c r="AB149" s="4"/>
      <c r="AC149" s="4"/>
      <c r="AD149" s="4"/>
    </row>
    <row r="150" spans="1:30">
      <c r="A150" s="41" t="s">
        <v>98</v>
      </c>
      <c r="B150" s="36"/>
      <c r="C150" s="36">
        <v>2.68</v>
      </c>
      <c r="D150" s="36"/>
      <c r="E150" s="36"/>
      <c r="F150" s="36"/>
      <c r="G150" s="36"/>
      <c r="H150" s="36"/>
      <c r="I150" s="36"/>
      <c r="J150" s="36"/>
      <c r="K150" s="37">
        <f t="shared" si="54"/>
        <v>2.68</v>
      </c>
      <c r="L150" s="36">
        <f t="shared" si="55"/>
        <v>2.68</v>
      </c>
      <c r="M150" s="38">
        <v>4</v>
      </c>
      <c r="N150" s="38"/>
      <c r="O150" s="38"/>
      <c r="P150" s="38"/>
      <c r="Q150" s="38"/>
      <c r="R150" s="38"/>
      <c r="S150" s="38"/>
      <c r="T150" s="38"/>
      <c r="U150" s="38"/>
      <c r="V150" s="38"/>
      <c r="W150" s="4"/>
      <c r="X150" s="4"/>
      <c r="Y150" s="4"/>
      <c r="Z150" s="4">
        <f t="shared" si="58"/>
        <v>0</v>
      </c>
      <c r="AA150" s="4">
        <v>2.68</v>
      </c>
      <c r="AB150" s="4"/>
      <c r="AC150" s="4"/>
      <c r="AD150" s="4"/>
    </row>
    <row r="151" spans="1:30">
      <c r="A151" s="39" t="s">
        <v>26</v>
      </c>
      <c r="B151" s="36">
        <f t="shared" ref="B151:Q151" si="59">SUM(B145:B150)</f>
        <v>0</v>
      </c>
      <c r="C151" s="36">
        <f t="shared" si="59"/>
        <v>24.82</v>
      </c>
      <c r="D151" s="36">
        <f t="shared" si="59"/>
        <v>0</v>
      </c>
      <c r="E151" s="36">
        <f t="shared" si="59"/>
        <v>0</v>
      </c>
      <c r="F151" s="36">
        <f t="shared" si="59"/>
        <v>0</v>
      </c>
      <c r="G151" s="36">
        <f t="shared" si="59"/>
        <v>0</v>
      </c>
      <c r="H151" s="36">
        <f t="shared" si="59"/>
        <v>0</v>
      </c>
      <c r="I151" s="36">
        <f t="shared" si="59"/>
        <v>0</v>
      </c>
      <c r="J151" s="36">
        <f t="shared" si="59"/>
        <v>0</v>
      </c>
      <c r="K151" s="36">
        <f t="shared" si="59"/>
        <v>24.82</v>
      </c>
      <c r="L151" s="36">
        <f t="shared" si="59"/>
        <v>24.82</v>
      </c>
      <c r="M151" s="38">
        <f t="shared" si="59"/>
        <v>24</v>
      </c>
      <c r="N151" s="38">
        <f t="shared" si="59"/>
        <v>0</v>
      </c>
      <c r="O151" s="38">
        <f t="shared" si="59"/>
        <v>0</v>
      </c>
      <c r="P151" s="38">
        <f t="shared" si="59"/>
        <v>0</v>
      </c>
      <c r="Q151" s="38">
        <f t="shared" si="59"/>
        <v>0</v>
      </c>
      <c r="R151" s="38">
        <f t="shared" ref="R151:U151" si="60">SUM(R145:R150)</f>
        <v>0</v>
      </c>
      <c r="S151" s="38">
        <f t="shared" si="60"/>
        <v>0</v>
      </c>
      <c r="T151" s="38">
        <f t="shared" si="60"/>
        <v>0</v>
      </c>
      <c r="U151" s="38">
        <f t="shared" si="60"/>
        <v>0</v>
      </c>
      <c r="V151" s="38">
        <f t="shared" ref="V151:AD151" si="61">SUM(V145:V150)</f>
        <v>0</v>
      </c>
      <c r="W151" s="4">
        <f t="shared" si="61"/>
        <v>0</v>
      </c>
      <c r="X151" s="4">
        <f t="shared" si="61"/>
        <v>0</v>
      </c>
      <c r="Y151" s="4">
        <f t="shared" si="61"/>
        <v>0</v>
      </c>
      <c r="Z151" s="4">
        <f t="shared" si="61"/>
        <v>5.7299999999999995</v>
      </c>
      <c r="AA151" s="4">
        <f t="shared" si="61"/>
        <v>15.89</v>
      </c>
      <c r="AB151" s="4">
        <f t="shared" si="61"/>
        <v>3.2</v>
      </c>
      <c r="AC151" s="4">
        <f t="shared" si="61"/>
        <v>0</v>
      </c>
      <c r="AD151" s="4">
        <f t="shared" si="61"/>
        <v>0</v>
      </c>
    </row>
    <row r="152" spans="1:30">
      <c r="M152" s="20"/>
      <c r="W152" s="8"/>
      <c r="X152" s="8"/>
      <c r="Y152" s="8"/>
      <c r="Z152" s="8"/>
      <c r="AA152" s="8"/>
      <c r="AB152" s="8"/>
      <c r="AC152" s="8"/>
      <c r="AD152" s="8"/>
    </row>
    <row r="153" spans="1:30">
      <c r="B153" s="20" t="s">
        <v>89</v>
      </c>
      <c r="W153" s="22"/>
      <c r="X153" s="22"/>
      <c r="Y153" s="22"/>
      <c r="Z153" s="22"/>
      <c r="AA153" s="22"/>
    </row>
    <row r="154" spans="1:30">
      <c r="B154" s="75" t="s">
        <v>7</v>
      </c>
      <c r="C154" s="75"/>
      <c r="D154" s="75"/>
      <c r="E154" s="75"/>
      <c r="F154" s="75"/>
      <c r="G154" s="75"/>
      <c r="H154" s="75"/>
      <c r="I154" s="75"/>
      <c r="J154" s="75"/>
      <c r="K154" s="24" t="s">
        <v>8</v>
      </c>
      <c r="L154" s="24" t="s">
        <v>6</v>
      </c>
      <c r="M154" s="24" t="s">
        <v>9</v>
      </c>
      <c r="N154" s="79" t="s">
        <v>0</v>
      </c>
      <c r="O154" s="79"/>
      <c r="P154" s="79"/>
      <c r="Q154" s="79"/>
      <c r="R154" s="79" t="s">
        <v>6</v>
      </c>
      <c r="S154" s="79"/>
      <c r="T154" s="79"/>
      <c r="U154" s="79"/>
      <c r="V154" s="26"/>
      <c r="W154" s="80" t="s">
        <v>71</v>
      </c>
      <c r="X154" s="80"/>
      <c r="Y154" s="80"/>
      <c r="Z154" s="80"/>
      <c r="AA154" s="80"/>
      <c r="AB154" s="80"/>
      <c r="AC154" s="80"/>
      <c r="AD154" s="80"/>
    </row>
    <row r="155" spans="1:30">
      <c r="B155" s="27" t="s">
        <v>141</v>
      </c>
      <c r="C155" s="27" t="s">
        <v>69</v>
      </c>
      <c r="D155" s="27" t="s">
        <v>19</v>
      </c>
      <c r="E155" s="27" t="s">
        <v>21</v>
      </c>
      <c r="F155" s="7" t="s">
        <v>70</v>
      </c>
      <c r="G155" s="7" t="s">
        <v>22</v>
      </c>
      <c r="H155" s="6"/>
      <c r="I155" s="7"/>
      <c r="J155" s="27"/>
      <c r="K155" s="27"/>
      <c r="L155" s="27"/>
      <c r="M155" s="27"/>
      <c r="N155" s="28" t="s">
        <v>114</v>
      </c>
      <c r="O155" s="28" t="s">
        <v>4</v>
      </c>
      <c r="P155" s="79" t="s">
        <v>5</v>
      </c>
      <c r="Q155" s="79"/>
      <c r="R155" s="28" t="s">
        <v>114</v>
      </c>
      <c r="S155" s="28" t="s">
        <v>4</v>
      </c>
      <c r="T155" s="79" t="s">
        <v>5</v>
      </c>
      <c r="U155" s="79"/>
      <c r="V155" s="29" t="s">
        <v>3</v>
      </c>
      <c r="W155" s="30">
        <v>1.5</v>
      </c>
      <c r="X155" s="30">
        <v>2</v>
      </c>
      <c r="Y155" s="31">
        <v>2.5</v>
      </c>
      <c r="Z155" s="31">
        <v>2.5</v>
      </c>
      <c r="AA155" s="31">
        <v>3</v>
      </c>
      <c r="AB155" s="31">
        <v>3.5</v>
      </c>
      <c r="AC155" s="31">
        <v>4</v>
      </c>
      <c r="AD155" s="31">
        <v>4</v>
      </c>
    </row>
    <row r="156" spans="1:30">
      <c r="B156" s="32"/>
      <c r="C156" s="32"/>
      <c r="D156" s="32"/>
      <c r="E156" s="32"/>
      <c r="F156" s="2"/>
      <c r="G156" s="2" t="s">
        <v>20</v>
      </c>
      <c r="H156" s="2"/>
      <c r="I156" s="2"/>
      <c r="J156" s="32"/>
      <c r="K156" s="32"/>
      <c r="L156" s="32"/>
      <c r="M156" s="32"/>
      <c r="N156" s="33"/>
      <c r="O156" s="33"/>
      <c r="P156" s="25" t="s">
        <v>1</v>
      </c>
      <c r="Q156" s="25" t="s">
        <v>2</v>
      </c>
      <c r="R156" s="34"/>
      <c r="S156" s="34"/>
      <c r="T156" s="25" t="s">
        <v>1</v>
      </c>
      <c r="U156" s="25" t="s">
        <v>2</v>
      </c>
      <c r="V156" s="34"/>
      <c r="W156" s="35" t="s">
        <v>10</v>
      </c>
      <c r="X156" s="35" t="s">
        <v>11</v>
      </c>
      <c r="Y156" s="35" t="s">
        <v>12</v>
      </c>
      <c r="Z156" s="35" t="s">
        <v>13</v>
      </c>
      <c r="AA156" s="35" t="s">
        <v>14</v>
      </c>
      <c r="AB156" s="35" t="s">
        <v>15</v>
      </c>
      <c r="AC156" s="35" t="s">
        <v>16</v>
      </c>
      <c r="AD156" s="35" t="s">
        <v>17</v>
      </c>
    </row>
    <row r="157" spans="1:30">
      <c r="B157" s="36">
        <v>5.0999999999999996</v>
      </c>
      <c r="C157" s="36"/>
      <c r="D157" s="36"/>
      <c r="E157" s="36"/>
      <c r="F157" s="36"/>
      <c r="G157" s="36"/>
      <c r="H157" s="36"/>
      <c r="I157" s="36"/>
      <c r="J157" s="36"/>
      <c r="K157" s="37"/>
      <c r="L157" s="36">
        <f>+(B157+C157+D157+E157+F157+G157+H157+I157+J157)-0.47*(T157+U157)-0.8*V157</f>
        <v>4.3</v>
      </c>
      <c r="M157" s="38"/>
      <c r="N157" s="38"/>
      <c r="O157" s="38"/>
      <c r="P157" s="38"/>
      <c r="Q157" s="38"/>
      <c r="R157" s="38"/>
      <c r="S157" s="38"/>
      <c r="T157" s="38"/>
      <c r="U157" s="38"/>
      <c r="V157" s="38">
        <v>1</v>
      </c>
      <c r="W157" s="4"/>
      <c r="X157" s="4">
        <f t="shared" ref="X157" si="62">+B157+C157+D157+E157+F157+G157+H157+I157+J157-Z157</f>
        <v>5.0999999999999996</v>
      </c>
      <c r="Y157" s="4"/>
      <c r="Z157" s="4">
        <f>0.8*M157</f>
        <v>0</v>
      </c>
      <c r="AA157" s="4"/>
      <c r="AB157" s="4"/>
      <c r="AC157" s="4"/>
      <c r="AD157" s="4"/>
    </row>
    <row r="158" spans="1:30">
      <c r="B158" s="36"/>
      <c r="C158" s="36"/>
      <c r="D158" s="36"/>
      <c r="E158" s="36"/>
      <c r="F158" s="36"/>
      <c r="G158" s="36">
        <v>4.0999999999999996</v>
      </c>
      <c r="H158" s="36"/>
      <c r="I158" s="36"/>
      <c r="J158" s="36"/>
      <c r="K158" s="37"/>
      <c r="L158" s="36">
        <f>+(B158+C158+D158+E158+F158+G158+H158+I158+J158)-0.47*(T158+U158)-0.8*V158</f>
        <v>3.3</v>
      </c>
      <c r="M158" s="38"/>
      <c r="N158" s="38"/>
      <c r="O158" s="38"/>
      <c r="P158" s="38"/>
      <c r="Q158" s="38"/>
      <c r="R158" s="38"/>
      <c r="S158" s="38"/>
      <c r="T158" s="38"/>
      <c r="U158" s="38"/>
      <c r="V158" s="38">
        <v>1</v>
      </c>
      <c r="W158" s="4"/>
      <c r="X158" s="4">
        <f t="shared" ref="X158:X159" si="63">+B158+C158+D158+E158+F158+G158+H158+I158+J158-Z158</f>
        <v>4.0999999999999996</v>
      </c>
      <c r="Y158" s="4"/>
      <c r="Z158" s="4">
        <f t="shared" ref="Z158:Z159" si="64">0.8*M158</f>
        <v>0</v>
      </c>
      <c r="AA158" s="4"/>
      <c r="AB158" s="4"/>
      <c r="AC158" s="4"/>
      <c r="AD158" s="4"/>
    </row>
    <row r="159" spans="1:30">
      <c r="B159" s="36"/>
      <c r="C159" s="36">
        <v>3.6</v>
      </c>
      <c r="D159" s="36"/>
      <c r="E159" s="36"/>
      <c r="F159" s="36"/>
      <c r="G159" s="36"/>
      <c r="H159" s="36"/>
      <c r="I159" s="36"/>
      <c r="J159" s="36"/>
      <c r="K159" s="37"/>
      <c r="L159" s="36">
        <f>+(B159+C159+D159+E159+F159+G159+H159+I159+J159)-0.47*(T159+U159)-0.8*V159</f>
        <v>3.6</v>
      </c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4"/>
      <c r="X159" s="4">
        <f t="shared" si="63"/>
        <v>3.6</v>
      </c>
      <c r="Y159" s="4"/>
      <c r="Z159" s="4">
        <f t="shared" si="64"/>
        <v>0</v>
      </c>
      <c r="AA159" s="4"/>
      <c r="AB159" s="4"/>
      <c r="AC159" s="4"/>
      <c r="AD159" s="4"/>
    </row>
    <row r="160" spans="1:30">
      <c r="A160" s="39" t="s">
        <v>26</v>
      </c>
      <c r="B160" s="36">
        <f t="shared" ref="B160:G160" si="65">SUM(B157:B159)</f>
        <v>5.0999999999999996</v>
      </c>
      <c r="C160" s="36">
        <f t="shared" si="65"/>
        <v>3.6</v>
      </c>
      <c r="D160" s="36">
        <f t="shared" si="65"/>
        <v>0</v>
      </c>
      <c r="E160" s="36">
        <f t="shared" si="65"/>
        <v>0</v>
      </c>
      <c r="F160" s="36">
        <f t="shared" si="65"/>
        <v>0</v>
      </c>
      <c r="G160" s="36">
        <f t="shared" si="65"/>
        <v>4.0999999999999996</v>
      </c>
      <c r="H160" s="36"/>
      <c r="I160" s="36"/>
      <c r="J160" s="36"/>
      <c r="K160" s="36"/>
      <c r="L160" s="36">
        <f>SUM(L157:L159)</f>
        <v>11.2</v>
      </c>
      <c r="M160" s="38"/>
      <c r="N160" s="38"/>
      <c r="O160" s="38"/>
      <c r="P160" s="38"/>
      <c r="Q160" s="38"/>
      <c r="R160" s="38">
        <f t="shared" ref="R160:AD160" si="66">SUM(R157:R159)</f>
        <v>0</v>
      </c>
      <c r="S160" s="38">
        <f t="shared" si="66"/>
        <v>0</v>
      </c>
      <c r="T160" s="38">
        <f t="shared" si="66"/>
        <v>0</v>
      </c>
      <c r="U160" s="38">
        <f t="shared" si="66"/>
        <v>0</v>
      </c>
      <c r="V160" s="38">
        <f t="shared" si="66"/>
        <v>2</v>
      </c>
      <c r="W160" s="4">
        <f t="shared" si="66"/>
        <v>0</v>
      </c>
      <c r="X160" s="4">
        <f t="shared" si="66"/>
        <v>12.799999999999999</v>
      </c>
      <c r="Y160" s="4">
        <f t="shared" si="66"/>
        <v>0</v>
      </c>
      <c r="Z160" s="4">
        <f t="shared" si="66"/>
        <v>0</v>
      </c>
      <c r="AA160" s="4">
        <f t="shared" si="66"/>
        <v>0</v>
      </c>
      <c r="AB160" s="4">
        <f t="shared" si="66"/>
        <v>0</v>
      </c>
      <c r="AC160" s="4">
        <f t="shared" si="66"/>
        <v>0</v>
      </c>
      <c r="AD160" s="4">
        <f t="shared" si="66"/>
        <v>0</v>
      </c>
    </row>
    <row r="161" spans="1:30">
      <c r="M161" s="20"/>
      <c r="W161" s="8"/>
      <c r="X161" s="8"/>
      <c r="Y161" s="8"/>
      <c r="Z161" s="8"/>
      <c r="AA161" s="8"/>
      <c r="AB161" s="8"/>
      <c r="AC161" s="8"/>
      <c r="AD161" s="8"/>
    </row>
    <row r="162" spans="1:30">
      <c r="B162" s="3" t="s">
        <v>111</v>
      </c>
      <c r="C162" s="1"/>
      <c r="D162" s="1"/>
      <c r="E162" s="1" t="s">
        <v>112</v>
      </c>
      <c r="W162" s="22"/>
      <c r="X162" s="22"/>
      <c r="Y162" s="22"/>
      <c r="Z162" s="22"/>
      <c r="AA162" s="22"/>
    </row>
    <row r="163" spans="1:30">
      <c r="B163" s="75" t="s">
        <v>7</v>
      </c>
      <c r="C163" s="75"/>
      <c r="D163" s="75"/>
      <c r="E163" s="75"/>
      <c r="F163" s="75"/>
      <c r="G163" s="75"/>
      <c r="H163" s="75"/>
      <c r="I163" s="75"/>
      <c r="J163" s="75"/>
      <c r="K163" s="24" t="s">
        <v>8</v>
      </c>
      <c r="L163" s="24" t="s">
        <v>6</v>
      </c>
      <c r="M163" s="24" t="s">
        <v>115</v>
      </c>
      <c r="N163" s="79" t="s">
        <v>115</v>
      </c>
      <c r="O163" s="79"/>
      <c r="P163" s="79"/>
      <c r="Q163" s="79"/>
      <c r="R163" s="79" t="s">
        <v>6</v>
      </c>
      <c r="S163" s="79"/>
      <c r="T163" s="79"/>
      <c r="U163" s="79"/>
      <c r="V163" s="26"/>
      <c r="W163" s="80" t="s">
        <v>71</v>
      </c>
      <c r="X163" s="80"/>
      <c r="Y163" s="80"/>
      <c r="Z163" s="80"/>
      <c r="AA163" s="80"/>
      <c r="AB163" s="80"/>
      <c r="AC163" s="80"/>
      <c r="AD163" s="80"/>
    </row>
    <row r="164" spans="1:30">
      <c r="B164" s="27" t="s">
        <v>141</v>
      </c>
      <c r="C164" s="27" t="s">
        <v>69</v>
      </c>
      <c r="D164" s="27" t="s">
        <v>19</v>
      </c>
      <c r="E164" s="27" t="s">
        <v>21</v>
      </c>
      <c r="F164" s="7" t="s">
        <v>70</v>
      </c>
      <c r="G164" s="7" t="s">
        <v>22</v>
      </c>
      <c r="H164" s="6"/>
      <c r="I164" s="7"/>
      <c r="J164" s="27"/>
      <c r="K164" s="27"/>
      <c r="L164" s="27"/>
      <c r="M164" s="27"/>
      <c r="N164" s="28"/>
      <c r="O164" s="28"/>
      <c r="P164" s="79"/>
      <c r="Q164" s="79"/>
      <c r="R164" s="28" t="s">
        <v>114</v>
      </c>
      <c r="S164" s="28" t="s">
        <v>115</v>
      </c>
      <c r="T164" s="79" t="s">
        <v>115</v>
      </c>
      <c r="U164" s="79"/>
      <c r="V164" s="29" t="s">
        <v>115</v>
      </c>
      <c r="W164" s="30">
        <v>1.5</v>
      </c>
      <c r="X164" s="30">
        <v>2</v>
      </c>
      <c r="Y164" s="31">
        <v>2.5</v>
      </c>
      <c r="Z164" s="31">
        <v>2.5</v>
      </c>
      <c r="AA164" s="31">
        <v>3</v>
      </c>
      <c r="AB164" s="31">
        <v>3.5</v>
      </c>
      <c r="AC164" s="31">
        <v>4</v>
      </c>
      <c r="AD164" s="31">
        <v>4</v>
      </c>
    </row>
    <row r="165" spans="1:30">
      <c r="B165" s="32"/>
      <c r="C165" s="32"/>
      <c r="D165" s="32"/>
      <c r="E165" s="32"/>
      <c r="F165" s="2"/>
      <c r="G165" s="2" t="s">
        <v>20</v>
      </c>
      <c r="H165" s="2"/>
      <c r="I165" s="2"/>
      <c r="J165" s="32"/>
      <c r="K165" s="32"/>
      <c r="L165" s="32"/>
      <c r="M165" s="32"/>
      <c r="N165" s="33"/>
      <c r="O165" s="33"/>
      <c r="P165" s="25"/>
      <c r="Q165" s="25"/>
      <c r="R165" s="34"/>
      <c r="S165" s="34"/>
      <c r="T165" s="25"/>
      <c r="U165" s="25"/>
      <c r="V165" s="34"/>
      <c r="W165" s="35" t="s">
        <v>10</v>
      </c>
      <c r="X165" s="35" t="s">
        <v>11</v>
      </c>
      <c r="Y165" s="35" t="s">
        <v>12</v>
      </c>
      <c r="Z165" s="35" t="s">
        <v>13</v>
      </c>
      <c r="AA165" s="35" t="s">
        <v>14</v>
      </c>
      <c r="AB165" s="35" t="s">
        <v>15</v>
      </c>
      <c r="AC165" s="35" t="s">
        <v>16</v>
      </c>
      <c r="AD165" s="35" t="s">
        <v>17</v>
      </c>
    </row>
    <row r="166" spans="1:30">
      <c r="B166" s="36"/>
      <c r="C166" s="36">
        <v>58.8</v>
      </c>
      <c r="D166" s="36"/>
      <c r="E166" s="36"/>
      <c r="F166" s="36"/>
      <c r="G166" s="36"/>
      <c r="H166" s="36"/>
      <c r="I166" s="36"/>
      <c r="J166" s="36"/>
      <c r="K166" s="37"/>
      <c r="L166" s="36">
        <f>+(B166+C166+D166+E166+F166+G166+H166+I166+J166)*2</f>
        <v>117.6</v>
      </c>
      <c r="M166" s="38"/>
      <c r="N166" s="38"/>
      <c r="O166" s="38"/>
      <c r="P166" s="38"/>
      <c r="Q166" s="38"/>
      <c r="R166" s="38">
        <v>1</v>
      </c>
      <c r="S166" s="38"/>
      <c r="T166" s="38"/>
      <c r="U166" s="38"/>
      <c r="V166" s="38"/>
      <c r="W166" s="4"/>
      <c r="X166" s="4"/>
      <c r="Y166" s="4"/>
      <c r="Z166" s="4"/>
      <c r="AA166" s="4"/>
      <c r="AB166" s="4"/>
      <c r="AC166" s="4"/>
      <c r="AD166" s="4"/>
    </row>
    <row r="167" spans="1:30">
      <c r="B167" s="36">
        <v>10.1</v>
      </c>
      <c r="C167" s="36"/>
      <c r="D167" s="36"/>
      <c r="E167" s="36"/>
      <c r="F167" s="36"/>
      <c r="G167" s="36"/>
      <c r="H167" s="36"/>
      <c r="I167" s="36"/>
      <c r="J167" s="36"/>
      <c r="K167" s="37"/>
      <c r="L167" s="36">
        <f t="shared" ref="L167:L173" si="67">+(B167+C167+D167+E167+F167+G167+H167+I167+J167)*2</f>
        <v>20.2</v>
      </c>
      <c r="M167" s="38"/>
      <c r="N167" s="38"/>
      <c r="O167" s="38"/>
      <c r="P167" s="38"/>
      <c r="Q167" s="38"/>
      <c r="R167" s="38">
        <v>1</v>
      </c>
      <c r="S167" s="38"/>
      <c r="T167" s="38"/>
      <c r="U167" s="38"/>
      <c r="V167" s="38"/>
      <c r="W167" s="4"/>
      <c r="X167" s="4"/>
      <c r="Y167" s="4"/>
      <c r="Z167" s="4"/>
      <c r="AA167" s="4"/>
      <c r="AB167" s="4"/>
      <c r="AC167" s="4"/>
      <c r="AD167" s="4"/>
    </row>
    <row r="168" spans="1:30">
      <c r="B168" s="36"/>
      <c r="C168" s="36">
        <v>9.1</v>
      </c>
      <c r="D168" s="36"/>
      <c r="E168" s="36"/>
      <c r="F168" s="36"/>
      <c r="G168" s="36"/>
      <c r="H168" s="36"/>
      <c r="I168" s="36"/>
      <c r="J168" s="36"/>
      <c r="K168" s="37"/>
      <c r="L168" s="36">
        <f t="shared" si="67"/>
        <v>18.2</v>
      </c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4"/>
      <c r="X168" s="4"/>
      <c r="Y168" s="4"/>
      <c r="Z168" s="4"/>
      <c r="AA168" s="4"/>
      <c r="AB168" s="4"/>
      <c r="AC168" s="4"/>
      <c r="AD168" s="4"/>
    </row>
    <row r="169" spans="1:30">
      <c r="B169" s="36"/>
      <c r="C169" s="36"/>
      <c r="D169" s="36"/>
      <c r="E169" s="36"/>
      <c r="F169" s="36">
        <v>2</v>
      </c>
      <c r="G169" s="36"/>
      <c r="H169" s="36"/>
      <c r="I169" s="36"/>
      <c r="J169" s="36"/>
      <c r="K169" s="37"/>
      <c r="L169" s="36">
        <f t="shared" si="67"/>
        <v>4</v>
      </c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4"/>
      <c r="X169" s="4"/>
      <c r="Y169" s="4"/>
      <c r="Z169" s="4"/>
      <c r="AA169" s="4"/>
      <c r="AB169" s="4"/>
      <c r="AC169" s="4"/>
      <c r="AD169" s="4"/>
    </row>
    <row r="170" spans="1:30">
      <c r="B170" s="36">
        <v>13.8</v>
      </c>
      <c r="C170" s="36"/>
      <c r="D170" s="36"/>
      <c r="E170" s="36"/>
      <c r="F170" s="36"/>
      <c r="G170" s="36"/>
      <c r="H170" s="36"/>
      <c r="I170" s="36"/>
      <c r="J170" s="36"/>
      <c r="K170" s="37"/>
      <c r="L170" s="36">
        <f t="shared" si="67"/>
        <v>27.6</v>
      </c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4"/>
      <c r="X170" s="4"/>
      <c r="Y170" s="4"/>
      <c r="Z170" s="4"/>
      <c r="AA170" s="4"/>
      <c r="AB170" s="4"/>
      <c r="AC170" s="4"/>
      <c r="AD170" s="4"/>
    </row>
    <row r="171" spans="1:30">
      <c r="B171" s="36">
        <v>45.6</v>
      </c>
      <c r="C171" s="36"/>
      <c r="D171" s="36"/>
      <c r="E171" s="36"/>
      <c r="F171" s="36"/>
      <c r="G171" s="36"/>
      <c r="H171" s="36"/>
      <c r="I171" s="36"/>
      <c r="J171" s="36"/>
      <c r="K171" s="37"/>
      <c r="L171" s="36">
        <f t="shared" si="67"/>
        <v>91.2</v>
      </c>
      <c r="M171" s="38"/>
      <c r="N171" s="38"/>
      <c r="O171" s="38"/>
      <c r="P171" s="38"/>
      <c r="Q171" s="38"/>
      <c r="R171" s="38">
        <v>2</v>
      </c>
      <c r="S171" s="38"/>
      <c r="T171" s="38"/>
      <c r="U171" s="38"/>
      <c r="V171" s="38"/>
      <c r="W171" s="4"/>
      <c r="X171" s="4"/>
      <c r="Y171" s="4"/>
      <c r="Z171" s="4"/>
      <c r="AA171" s="4"/>
      <c r="AB171" s="4"/>
      <c r="AC171" s="4"/>
      <c r="AD171" s="4"/>
    </row>
    <row r="172" spans="1:30">
      <c r="B172" s="36"/>
      <c r="C172" s="36">
        <v>17.8</v>
      </c>
      <c r="D172" s="36"/>
      <c r="E172" s="36"/>
      <c r="F172" s="36"/>
      <c r="G172" s="36">
        <v>3.6</v>
      </c>
      <c r="H172" s="36"/>
      <c r="I172" s="36"/>
      <c r="J172" s="36"/>
      <c r="K172" s="37"/>
      <c r="L172" s="36">
        <f t="shared" si="67"/>
        <v>42.800000000000004</v>
      </c>
      <c r="M172" s="38"/>
      <c r="N172" s="38"/>
      <c r="O172" s="38"/>
      <c r="P172" s="38"/>
      <c r="Q172" s="38"/>
      <c r="R172" s="38">
        <v>1</v>
      </c>
      <c r="S172" s="38"/>
      <c r="T172" s="38"/>
      <c r="U172" s="38"/>
      <c r="V172" s="38"/>
      <c r="W172" s="4"/>
      <c r="X172" s="4"/>
      <c r="Y172" s="4"/>
      <c r="Z172" s="4"/>
      <c r="AA172" s="4"/>
      <c r="AB172" s="4"/>
      <c r="AC172" s="4"/>
      <c r="AD172" s="4"/>
    </row>
    <row r="173" spans="1:30">
      <c r="B173" s="36"/>
      <c r="C173" s="36">
        <v>342</v>
      </c>
      <c r="D173" s="36"/>
      <c r="E173" s="36"/>
      <c r="F173" s="36"/>
      <c r="G173" s="36"/>
      <c r="H173" s="36"/>
      <c r="I173" s="36"/>
      <c r="J173" s="36"/>
      <c r="K173" s="37"/>
      <c r="L173" s="36">
        <f t="shared" si="67"/>
        <v>684</v>
      </c>
      <c r="M173" s="38"/>
      <c r="N173" s="38"/>
      <c r="O173" s="38"/>
      <c r="P173" s="38"/>
      <c r="Q173" s="38"/>
      <c r="R173" s="38">
        <v>5</v>
      </c>
      <c r="S173" s="38"/>
      <c r="T173" s="38"/>
      <c r="U173" s="38"/>
      <c r="V173" s="38"/>
      <c r="W173" s="4"/>
      <c r="X173" s="4"/>
      <c r="Y173" s="4"/>
      <c r="Z173" s="4"/>
      <c r="AA173" s="4"/>
      <c r="AB173" s="4"/>
      <c r="AC173" s="4"/>
      <c r="AD173" s="4"/>
    </row>
    <row r="174" spans="1:30">
      <c r="A174" s="39" t="s">
        <v>26</v>
      </c>
      <c r="B174" s="36">
        <f t="shared" ref="B174:G174" si="68">SUM(B166:B173)</f>
        <v>69.5</v>
      </c>
      <c r="C174" s="36">
        <f t="shared" si="68"/>
        <v>427.7</v>
      </c>
      <c r="D174" s="36">
        <f t="shared" si="68"/>
        <v>0</v>
      </c>
      <c r="E174" s="36">
        <f t="shared" si="68"/>
        <v>0</v>
      </c>
      <c r="F174" s="36">
        <f t="shared" si="68"/>
        <v>2</v>
      </c>
      <c r="G174" s="36">
        <f t="shared" si="68"/>
        <v>3.6</v>
      </c>
      <c r="H174" s="36"/>
      <c r="I174" s="36"/>
      <c r="J174" s="36"/>
      <c r="K174" s="36"/>
      <c r="L174" s="36">
        <f>SUM(L166:L173)</f>
        <v>1005.5999999999999</v>
      </c>
      <c r="M174" s="38"/>
      <c r="N174" s="38"/>
      <c r="O174" s="38"/>
      <c r="P174" s="38"/>
      <c r="Q174" s="38"/>
      <c r="R174" s="38">
        <f>SUM(R166:R173)</f>
        <v>10</v>
      </c>
      <c r="S174" s="38"/>
      <c r="T174" s="38"/>
      <c r="U174" s="38"/>
      <c r="V174" s="38"/>
      <c r="W174" s="4"/>
      <c r="X174" s="4"/>
      <c r="Y174" s="4"/>
      <c r="Z174" s="4"/>
      <c r="AA174" s="4"/>
      <c r="AB174" s="4"/>
      <c r="AC174" s="4"/>
      <c r="AD174" s="4"/>
    </row>
    <row r="175" spans="1:30">
      <c r="M175" s="20"/>
      <c r="W175" s="8"/>
      <c r="X175" s="8"/>
      <c r="Y175" s="8"/>
      <c r="Z175" s="8"/>
      <c r="AA175" s="8"/>
      <c r="AB175" s="8"/>
      <c r="AC175" s="8"/>
      <c r="AD175" s="8"/>
    </row>
    <row r="176" spans="1:30">
      <c r="B176" s="3" t="s">
        <v>113</v>
      </c>
      <c r="C176" s="1"/>
      <c r="D176" s="1"/>
      <c r="E176" s="1" t="s">
        <v>112</v>
      </c>
      <c r="W176" s="22"/>
      <c r="X176" s="22"/>
      <c r="Y176" s="22"/>
      <c r="Z176" s="22"/>
      <c r="AA176" s="22"/>
    </row>
    <row r="177" spans="1:30">
      <c r="B177" s="75" t="s">
        <v>7</v>
      </c>
      <c r="C177" s="75"/>
      <c r="D177" s="75"/>
      <c r="E177" s="75"/>
      <c r="F177" s="75"/>
      <c r="G177" s="75"/>
      <c r="H177" s="75"/>
      <c r="I177" s="75"/>
      <c r="J177" s="75"/>
      <c r="K177" s="24" t="s">
        <v>8</v>
      </c>
      <c r="L177" s="24" t="s">
        <v>6</v>
      </c>
      <c r="M177" s="24" t="s">
        <v>115</v>
      </c>
      <c r="N177" s="79" t="s">
        <v>115</v>
      </c>
      <c r="O177" s="79"/>
      <c r="P177" s="79"/>
      <c r="Q177" s="79"/>
      <c r="R177" s="79" t="s">
        <v>6</v>
      </c>
      <c r="S177" s="79"/>
      <c r="T177" s="79"/>
      <c r="U177" s="79"/>
      <c r="V177" s="26"/>
      <c r="W177" s="80" t="s">
        <v>71</v>
      </c>
      <c r="X177" s="80"/>
      <c r="Y177" s="80"/>
      <c r="Z177" s="80"/>
      <c r="AA177" s="80"/>
      <c r="AB177" s="80"/>
      <c r="AC177" s="80"/>
      <c r="AD177" s="80"/>
    </row>
    <row r="178" spans="1:30">
      <c r="B178" s="27" t="s">
        <v>141</v>
      </c>
      <c r="C178" s="27" t="s">
        <v>69</v>
      </c>
      <c r="D178" s="27" t="s">
        <v>19</v>
      </c>
      <c r="E178" s="27" t="s">
        <v>21</v>
      </c>
      <c r="F178" s="7" t="s">
        <v>70</v>
      </c>
      <c r="G178" s="7" t="s">
        <v>22</v>
      </c>
      <c r="H178" s="6"/>
      <c r="I178" s="7"/>
      <c r="J178" s="27"/>
      <c r="K178" s="27"/>
      <c r="L178" s="27"/>
      <c r="M178" s="27"/>
      <c r="N178" s="28"/>
      <c r="O178" s="28"/>
      <c r="P178" s="79"/>
      <c r="Q178" s="79"/>
      <c r="R178" s="28" t="s">
        <v>114</v>
      </c>
      <c r="S178" s="28" t="s">
        <v>115</v>
      </c>
      <c r="T178" s="79" t="s">
        <v>115</v>
      </c>
      <c r="U178" s="79"/>
      <c r="V178" s="29" t="s">
        <v>115</v>
      </c>
      <c r="W178" s="30">
        <v>1.5</v>
      </c>
      <c r="X178" s="30">
        <v>2</v>
      </c>
      <c r="Y178" s="31">
        <v>2.5</v>
      </c>
      <c r="Z178" s="31">
        <v>2.5</v>
      </c>
      <c r="AA178" s="31">
        <v>3</v>
      </c>
      <c r="AB178" s="31">
        <v>3.5</v>
      </c>
      <c r="AC178" s="31">
        <v>4</v>
      </c>
      <c r="AD178" s="31">
        <v>4</v>
      </c>
    </row>
    <row r="179" spans="1:30">
      <c r="B179" s="32"/>
      <c r="C179" s="32"/>
      <c r="D179" s="32"/>
      <c r="E179" s="32"/>
      <c r="F179" s="2"/>
      <c r="G179" s="2"/>
      <c r="H179" s="2"/>
      <c r="I179" s="2"/>
      <c r="J179" s="32"/>
      <c r="K179" s="32"/>
      <c r="L179" s="32"/>
      <c r="M179" s="32"/>
      <c r="N179" s="33"/>
      <c r="O179" s="33"/>
      <c r="P179" s="25"/>
      <c r="Q179" s="25"/>
      <c r="R179" s="34"/>
      <c r="S179" s="34"/>
      <c r="T179" s="25"/>
      <c r="U179" s="25"/>
      <c r="V179" s="34"/>
      <c r="W179" s="35" t="s">
        <v>10</v>
      </c>
      <c r="X179" s="35" t="s">
        <v>11</v>
      </c>
      <c r="Y179" s="35" t="s">
        <v>12</v>
      </c>
      <c r="Z179" s="35" t="s">
        <v>13</v>
      </c>
      <c r="AA179" s="35" t="s">
        <v>14</v>
      </c>
      <c r="AB179" s="35" t="s">
        <v>15</v>
      </c>
      <c r="AC179" s="35" t="s">
        <v>16</v>
      </c>
      <c r="AD179" s="35" t="s">
        <v>17</v>
      </c>
    </row>
    <row r="180" spans="1:30">
      <c r="B180" s="36"/>
      <c r="C180" s="36">
        <v>2.6</v>
      </c>
      <c r="D180" s="36"/>
      <c r="E180" s="36"/>
      <c r="F180" s="36"/>
      <c r="G180" s="36"/>
      <c r="H180" s="36"/>
      <c r="I180" s="36"/>
      <c r="J180" s="36"/>
      <c r="K180" s="37"/>
      <c r="L180" s="36">
        <f>+(B180+C180+D180+E180+F180+G180+H180+I180+J180)*4</f>
        <v>10.4</v>
      </c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4"/>
      <c r="X180" s="4"/>
      <c r="Y180" s="4"/>
      <c r="Z180" s="4"/>
      <c r="AA180" s="4"/>
      <c r="AB180" s="4"/>
      <c r="AC180" s="4"/>
      <c r="AD180" s="4"/>
    </row>
    <row r="181" spans="1:30">
      <c r="B181" s="36"/>
      <c r="C181" s="36"/>
      <c r="D181" s="36">
        <v>1.2</v>
      </c>
      <c r="E181" s="36"/>
      <c r="F181" s="36"/>
      <c r="G181" s="36"/>
      <c r="H181" s="36"/>
      <c r="I181" s="36"/>
      <c r="J181" s="36"/>
      <c r="K181" s="37"/>
      <c r="L181" s="36">
        <f t="shared" ref="L181:L185" si="69">+(B181+C181+D181+E181+F181+G181+H181+I181+J181)*4</f>
        <v>4.8</v>
      </c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4"/>
      <c r="X181" s="4"/>
      <c r="Y181" s="4"/>
      <c r="Z181" s="4"/>
      <c r="AA181" s="4"/>
      <c r="AB181" s="4"/>
      <c r="AC181" s="4"/>
      <c r="AD181" s="4"/>
    </row>
    <row r="182" spans="1:30">
      <c r="B182" s="36"/>
      <c r="C182" s="36">
        <v>178.6</v>
      </c>
      <c r="D182" s="36"/>
      <c r="E182" s="36"/>
      <c r="F182" s="36"/>
      <c r="G182" s="36"/>
      <c r="H182" s="36"/>
      <c r="I182" s="36"/>
      <c r="J182" s="36"/>
      <c r="K182" s="37"/>
      <c r="L182" s="36">
        <f t="shared" si="69"/>
        <v>714.4</v>
      </c>
      <c r="M182" s="38"/>
      <c r="N182" s="38"/>
      <c r="O182" s="38"/>
      <c r="P182" s="38"/>
      <c r="Q182" s="38"/>
      <c r="R182" s="38">
        <v>1</v>
      </c>
      <c r="S182" s="38"/>
      <c r="T182" s="38"/>
      <c r="U182" s="38"/>
      <c r="V182" s="38"/>
      <c r="W182" s="4"/>
      <c r="X182" s="4"/>
      <c r="Y182" s="4"/>
      <c r="Z182" s="4"/>
      <c r="AA182" s="4"/>
      <c r="AB182" s="4"/>
      <c r="AC182" s="4"/>
      <c r="AD182" s="4"/>
    </row>
    <row r="183" spans="1:30">
      <c r="B183" s="36"/>
      <c r="C183" s="36"/>
      <c r="D183" s="36">
        <v>33.6</v>
      </c>
      <c r="E183" s="36"/>
      <c r="F183" s="36"/>
      <c r="G183" s="36"/>
      <c r="H183" s="36"/>
      <c r="I183" s="36"/>
      <c r="J183" s="36"/>
      <c r="K183" s="37"/>
      <c r="L183" s="36">
        <f t="shared" si="69"/>
        <v>134.4</v>
      </c>
      <c r="M183" s="38"/>
      <c r="N183" s="38"/>
      <c r="O183" s="38"/>
      <c r="P183" s="38"/>
      <c r="Q183" s="38"/>
      <c r="R183" s="38">
        <v>1</v>
      </c>
      <c r="S183" s="38"/>
      <c r="T183" s="38"/>
      <c r="U183" s="38"/>
      <c r="V183" s="38"/>
      <c r="W183" s="4"/>
      <c r="X183" s="4"/>
      <c r="Y183" s="4"/>
      <c r="Z183" s="4"/>
      <c r="AA183" s="4"/>
      <c r="AB183" s="4"/>
      <c r="AC183" s="4"/>
      <c r="AD183" s="4"/>
    </row>
    <row r="184" spans="1:30">
      <c r="B184" s="36"/>
      <c r="C184" s="36">
        <v>48.1</v>
      </c>
      <c r="D184" s="36"/>
      <c r="E184" s="36"/>
      <c r="F184" s="36"/>
      <c r="G184" s="36"/>
      <c r="H184" s="36"/>
      <c r="I184" s="36"/>
      <c r="J184" s="36"/>
      <c r="K184" s="37"/>
      <c r="L184" s="36">
        <f t="shared" si="69"/>
        <v>192.4</v>
      </c>
      <c r="M184" s="38"/>
      <c r="N184" s="38"/>
      <c r="O184" s="38"/>
      <c r="P184" s="38"/>
      <c r="Q184" s="38"/>
      <c r="R184" s="38">
        <v>1</v>
      </c>
      <c r="S184" s="38"/>
      <c r="T184" s="38"/>
      <c r="U184" s="38"/>
      <c r="V184" s="38"/>
      <c r="W184" s="4"/>
      <c r="X184" s="4"/>
      <c r="Y184" s="4"/>
      <c r="Z184" s="4"/>
      <c r="AA184" s="4"/>
      <c r="AB184" s="4"/>
      <c r="AC184" s="4"/>
      <c r="AD184" s="4"/>
    </row>
    <row r="185" spans="1:30">
      <c r="B185" s="36"/>
      <c r="C185" s="36">
        <v>45.1</v>
      </c>
      <c r="D185" s="36"/>
      <c r="E185" s="36"/>
      <c r="F185" s="36"/>
      <c r="G185" s="36"/>
      <c r="H185" s="36"/>
      <c r="I185" s="36"/>
      <c r="J185" s="36"/>
      <c r="K185" s="37"/>
      <c r="L185" s="36">
        <f t="shared" si="69"/>
        <v>180.4</v>
      </c>
      <c r="M185" s="38"/>
      <c r="N185" s="38"/>
      <c r="O185" s="38"/>
      <c r="P185" s="38"/>
      <c r="Q185" s="38"/>
      <c r="R185" s="38">
        <v>1</v>
      </c>
      <c r="S185" s="38"/>
      <c r="T185" s="38"/>
      <c r="U185" s="38"/>
      <c r="V185" s="38"/>
      <c r="W185" s="4"/>
      <c r="X185" s="4"/>
      <c r="Y185" s="4"/>
      <c r="Z185" s="4"/>
      <c r="AA185" s="4"/>
      <c r="AB185" s="4"/>
      <c r="AC185" s="4"/>
      <c r="AD185" s="4"/>
    </row>
    <row r="186" spans="1:30">
      <c r="A186" s="39" t="s">
        <v>26</v>
      </c>
      <c r="B186" s="36">
        <f t="shared" ref="B186:G186" si="70">SUM(B180:B185)</f>
        <v>0</v>
      </c>
      <c r="C186" s="36">
        <f t="shared" si="70"/>
        <v>274.39999999999998</v>
      </c>
      <c r="D186" s="36">
        <f t="shared" si="70"/>
        <v>34.800000000000004</v>
      </c>
      <c r="E186" s="36">
        <f t="shared" si="70"/>
        <v>0</v>
      </c>
      <c r="F186" s="36">
        <f t="shared" si="70"/>
        <v>0</v>
      </c>
      <c r="G186" s="36">
        <f t="shared" si="70"/>
        <v>0</v>
      </c>
      <c r="H186" s="36"/>
      <c r="I186" s="36"/>
      <c r="J186" s="36"/>
      <c r="K186" s="36"/>
      <c r="L186" s="36">
        <f>SUM(L180:L185)</f>
        <v>1236.8000000000002</v>
      </c>
      <c r="M186" s="38"/>
      <c r="N186" s="38"/>
      <c r="O186" s="38"/>
      <c r="P186" s="38"/>
      <c r="Q186" s="38"/>
      <c r="R186" s="38">
        <f>SUM(R180:R185)</f>
        <v>4</v>
      </c>
      <c r="S186" s="38"/>
      <c r="T186" s="38"/>
      <c r="U186" s="38"/>
      <c r="V186" s="38"/>
      <c r="W186" s="4"/>
      <c r="X186" s="4"/>
      <c r="Y186" s="4"/>
      <c r="Z186" s="4"/>
      <c r="AA186" s="4"/>
      <c r="AB186" s="4"/>
      <c r="AC186" s="4"/>
      <c r="AD186" s="4"/>
    </row>
    <row r="187" spans="1:30">
      <c r="M187" s="20"/>
      <c r="W187" s="8"/>
      <c r="X187" s="8"/>
      <c r="Y187" s="8"/>
      <c r="Z187" s="8"/>
      <c r="AA187" s="8"/>
      <c r="AB187" s="8"/>
      <c r="AC187" s="8"/>
      <c r="AD187" s="8"/>
    </row>
    <row r="188" spans="1:30">
      <c r="G188" s="76"/>
      <c r="H188" s="77"/>
      <c r="I188" s="77"/>
      <c r="J188" s="78"/>
      <c r="K188" s="27" t="s">
        <v>8</v>
      </c>
      <c r="L188" s="27" t="s">
        <v>6</v>
      </c>
      <c r="M188" s="20"/>
      <c r="W188" s="8"/>
      <c r="X188" s="8"/>
      <c r="Y188" s="8"/>
      <c r="Z188" s="8"/>
      <c r="AA188" s="8"/>
      <c r="AB188" s="8"/>
      <c r="AC188" s="8"/>
      <c r="AD188" s="8"/>
    </row>
    <row r="189" spans="1:30">
      <c r="G189" s="75" t="s">
        <v>100</v>
      </c>
      <c r="H189" s="75"/>
      <c r="I189" s="75"/>
      <c r="J189" s="75"/>
      <c r="K189" s="42">
        <f>+K7</f>
        <v>1.1000000000000001</v>
      </c>
      <c r="L189" s="42"/>
      <c r="M189" s="20"/>
      <c r="W189" s="8"/>
      <c r="X189" s="8"/>
      <c r="Y189" s="8"/>
      <c r="Z189" s="8"/>
      <c r="AA189" s="8"/>
      <c r="AB189" s="8"/>
      <c r="AC189" s="8"/>
      <c r="AD189" s="8"/>
    </row>
    <row r="190" spans="1:30">
      <c r="G190" s="75" t="s">
        <v>101</v>
      </c>
      <c r="H190" s="75"/>
      <c r="I190" s="75"/>
      <c r="J190" s="75"/>
      <c r="K190" s="43"/>
      <c r="L190" s="43">
        <f>+L14</f>
        <v>2.5</v>
      </c>
      <c r="M190" s="20"/>
      <c r="W190" s="8"/>
      <c r="X190" s="8"/>
      <c r="Y190" s="8"/>
      <c r="Z190" s="8"/>
      <c r="AA190" s="8"/>
      <c r="AB190" s="8"/>
      <c r="AC190" s="8"/>
      <c r="AD190" s="8"/>
    </row>
    <row r="191" spans="1:30">
      <c r="G191" s="75" t="s">
        <v>102</v>
      </c>
      <c r="H191" s="75"/>
      <c r="I191" s="75"/>
      <c r="J191" s="75"/>
      <c r="K191" s="43">
        <f>+K21</f>
        <v>1</v>
      </c>
      <c r="L191" s="43">
        <f>+L21+L44+L110+L117+L127</f>
        <v>1023.4</v>
      </c>
      <c r="M191" s="20"/>
      <c r="W191" s="8"/>
      <c r="X191" s="8"/>
      <c r="Y191" s="8"/>
      <c r="Z191" s="8"/>
      <c r="AA191" s="8"/>
      <c r="AB191" s="8"/>
      <c r="AC191" s="8"/>
      <c r="AD191" s="8"/>
    </row>
    <row r="192" spans="1:30">
      <c r="G192" s="75" t="s">
        <v>103</v>
      </c>
      <c r="H192" s="75"/>
      <c r="I192" s="75"/>
      <c r="J192" s="75"/>
      <c r="K192" s="43">
        <f>+K58+K69+K110+K117</f>
        <v>459.3</v>
      </c>
      <c r="L192" s="43">
        <f>+L139+L151+L160</f>
        <v>459.22999999999996</v>
      </c>
      <c r="M192" s="20"/>
      <c r="W192" s="8"/>
      <c r="X192" s="8"/>
      <c r="Y192" s="8"/>
      <c r="Z192" s="8"/>
      <c r="AA192" s="8"/>
      <c r="AB192" s="8"/>
      <c r="AC192" s="8"/>
      <c r="AD192" s="8"/>
    </row>
    <row r="193" spans="1:31">
      <c r="G193" s="75" t="s">
        <v>18</v>
      </c>
      <c r="H193" s="75"/>
      <c r="I193" s="75"/>
      <c r="J193" s="75"/>
      <c r="K193" s="43">
        <f>+K86+K96+K127+K139+K151</f>
        <v>638.09</v>
      </c>
      <c r="L193" s="43"/>
      <c r="M193" s="20"/>
      <c r="W193" s="8"/>
      <c r="X193" s="8"/>
      <c r="Y193" s="8"/>
      <c r="Z193" s="8"/>
      <c r="AA193" s="8"/>
      <c r="AB193" s="8"/>
      <c r="AC193" s="8"/>
      <c r="AD193" s="8"/>
    </row>
    <row r="194" spans="1:31">
      <c r="G194" s="75" t="s">
        <v>26</v>
      </c>
      <c r="H194" s="75"/>
      <c r="I194" s="75"/>
      <c r="J194" s="75"/>
      <c r="K194" s="43">
        <f>SUM(K189:K193)</f>
        <v>1099.49</v>
      </c>
      <c r="L194" s="43">
        <f>SUM(L189:L193)</f>
        <v>1485.13</v>
      </c>
      <c r="M194" s="20"/>
      <c r="W194" s="8"/>
      <c r="X194" s="8"/>
      <c r="Y194" s="8"/>
      <c r="Z194" s="8"/>
      <c r="AA194" s="8"/>
      <c r="AB194" s="8"/>
      <c r="AC194" s="8"/>
      <c r="AD194" s="8"/>
    </row>
    <row r="195" spans="1:31">
      <c r="G195" s="45"/>
      <c r="H195" s="45"/>
      <c r="I195" s="45"/>
      <c r="J195" s="45"/>
      <c r="K195" s="46"/>
      <c r="L195" s="46"/>
      <c r="M195" s="20"/>
      <c r="W195" s="8"/>
      <c r="X195" s="8"/>
      <c r="Y195" s="8"/>
      <c r="Z195" s="8"/>
      <c r="AA195" s="8"/>
      <c r="AB195" s="8"/>
      <c r="AC195" s="8"/>
      <c r="AD195" s="8"/>
    </row>
    <row r="196" spans="1:31" s="1" customFormat="1">
      <c r="A196" s="9"/>
      <c r="B196" s="1" t="s">
        <v>105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8"/>
      <c r="Y196" s="8"/>
      <c r="Z196" s="8"/>
      <c r="AA196" s="8"/>
      <c r="AB196" s="8"/>
      <c r="AC196" s="8"/>
      <c r="AD196" s="8"/>
      <c r="AE196" s="8"/>
    </row>
    <row r="197" spans="1:31" s="1" customFormat="1">
      <c r="A197" s="9"/>
      <c r="B197" s="1" t="s">
        <v>116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8"/>
      <c r="Y197" s="8"/>
      <c r="Z197" s="8"/>
      <c r="AA197" s="8"/>
      <c r="AB197" s="8"/>
      <c r="AC197" s="8"/>
      <c r="AD197" s="8"/>
      <c r="AE197" s="8"/>
    </row>
    <row r="198" spans="1:31" s="1" customFormat="1">
      <c r="A198" s="9"/>
      <c r="B198" s="1" t="s">
        <v>162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8"/>
      <c r="Y198" s="8"/>
      <c r="Z198" s="8"/>
      <c r="AA198" s="8"/>
      <c r="AB198" s="8"/>
      <c r="AC198" s="8"/>
      <c r="AD198" s="8"/>
      <c r="AE198" s="8"/>
    </row>
    <row r="199" spans="1:31" s="1" customFormat="1">
      <c r="A199" s="9"/>
      <c r="C199" s="1" t="s">
        <v>110</v>
      </c>
      <c r="N199" s="3"/>
      <c r="P199" s="1">
        <f>(4.7)*2</f>
        <v>9.4</v>
      </c>
      <c r="Q199" s="1" t="s">
        <v>106</v>
      </c>
      <c r="R199" s="3"/>
      <c r="S199" s="3"/>
      <c r="T199" s="3"/>
      <c r="U199" s="3"/>
      <c r="V199" s="3"/>
      <c r="W199" s="3"/>
      <c r="X199" s="8"/>
      <c r="Y199" s="8"/>
      <c r="Z199" s="8"/>
      <c r="AA199" s="8"/>
      <c r="AB199" s="8"/>
      <c r="AC199" s="8"/>
      <c r="AD199" s="8"/>
      <c r="AE199" s="8"/>
    </row>
    <row r="200" spans="1:31" s="1" customFormat="1">
      <c r="A200" s="9"/>
      <c r="B200" s="1" t="s">
        <v>109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8"/>
      <c r="Y200" s="8"/>
      <c r="Z200" s="8"/>
      <c r="AA200" s="8"/>
      <c r="AB200" s="8"/>
      <c r="AC200" s="8"/>
      <c r="AD200" s="8"/>
      <c r="AE200" s="8"/>
    </row>
    <row r="201" spans="1:31" s="1" customFormat="1">
      <c r="A201" s="9"/>
      <c r="C201" s="1" t="s">
        <v>149</v>
      </c>
      <c r="N201" s="3"/>
      <c r="P201" s="1">
        <f>(108.5+3.2+89.3+9.1+29+28.9+6.7+27.6+145.3+2.8+81+25.7+5.6+65.2+87.6+17.2+342)*2</f>
        <v>2149.4000000000005</v>
      </c>
      <c r="Q201" s="1" t="s">
        <v>106</v>
      </c>
      <c r="R201" s="3"/>
      <c r="S201" s="3"/>
      <c r="T201" s="3"/>
      <c r="U201" s="3"/>
      <c r="V201" s="3"/>
      <c r="W201" s="3"/>
      <c r="X201" s="8"/>
      <c r="Y201" s="8"/>
      <c r="Z201" s="8"/>
      <c r="AA201" s="8"/>
      <c r="AB201" s="8"/>
      <c r="AC201" s="8"/>
      <c r="AD201" s="8"/>
      <c r="AE201" s="8"/>
    </row>
    <row r="202" spans="1:31" s="1" customFormat="1">
      <c r="A202" s="9"/>
      <c r="N202" s="3"/>
      <c r="O202" s="44" t="s">
        <v>123</v>
      </c>
      <c r="P202" s="1">
        <f>+P199+P201</f>
        <v>2158.8000000000006</v>
      </c>
      <c r="Q202" s="1" t="s">
        <v>106</v>
      </c>
      <c r="R202" s="3"/>
      <c r="S202" s="3"/>
      <c r="T202" s="3"/>
      <c r="U202" s="3"/>
      <c r="V202" s="3"/>
      <c r="W202" s="3"/>
      <c r="X202" s="8"/>
      <c r="Y202" s="8"/>
      <c r="Z202" s="8"/>
      <c r="AA202" s="8"/>
      <c r="AB202" s="8"/>
      <c r="AC202" s="8"/>
      <c r="AD202" s="8"/>
      <c r="AE202" s="8"/>
    </row>
    <row r="203" spans="1:31" s="1" customFormat="1">
      <c r="A203" s="9"/>
      <c r="B203" s="1" t="s">
        <v>161</v>
      </c>
      <c r="N203" s="3"/>
      <c r="O203" s="44"/>
      <c r="R203" s="3"/>
      <c r="S203" s="3"/>
      <c r="T203" s="3"/>
      <c r="U203" s="3"/>
      <c r="V203" s="3"/>
      <c r="W203" s="3"/>
      <c r="X203" s="8"/>
      <c r="Y203" s="8"/>
      <c r="Z203" s="8"/>
      <c r="AA203" s="8"/>
      <c r="AB203" s="8"/>
      <c r="AC203" s="8"/>
      <c r="AD203" s="8"/>
      <c r="AE203" s="8"/>
    </row>
    <row r="204" spans="1:31" s="1" customFormat="1">
      <c r="A204" s="9"/>
      <c r="B204" s="1" t="s">
        <v>150</v>
      </c>
      <c r="D204" s="1" t="s">
        <v>154</v>
      </c>
      <c r="G204" s="1" t="s">
        <v>160</v>
      </c>
      <c r="H204" s="1">
        <f>(108.5+89.3+29+6.7)*2</f>
        <v>467</v>
      </c>
      <c r="N204" s="3"/>
      <c r="O204" s="44"/>
      <c r="R204" s="3"/>
      <c r="S204" s="3"/>
      <c r="T204" s="3"/>
      <c r="U204" s="3"/>
      <c r="V204" s="3"/>
      <c r="W204" s="3"/>
      <c r="X204" s="8"/>
      <c r="Y204" s="8"/>
      <c r="Z204" s="8"/>
      <c r="AA204" s="8"/>
      <c r="AB204" s="8"/>
      <c r="AC204" s="8"/>
      <c r="AD204" s="8"/>
      <c r="AE204" s="8"/>
    </row>
    <row r="205" spans="1:31" s="1" customFormat="1">
      <c r="A205" s="9"/>
      <c r="B205" s="1" t="s">
        <v>151</v>
      </c>
      <c r="D205" s="1" t="s">
        <v>155</v>
      </c>
      <c r="G205" s="1" t="s">
        <v>160</v>
      </c>
      <c r="H205" s="1">
        <f>(81+5.6)*2</f>
        <v>173.2</v>
      </c>
      <c r="N205" s="3"/>
      <c r="O205" s="44"/>
      <c r="R205" s="3"/>
      <c r="S205" s="3"/>
      <c r="T205" s="3"/>
      <c r="U205" s="3"/>
      <c r="V205" s="3"/>
      <c r="W205" s="3"/>
      <c r="X205" s="8"/>
      <c r="Y205" s="8"/>
      <c r="Z205" s="8"/>
      <c r="AA205" s="8"/>
      <c r="AB205" s="8"/>
      <c r="AC205" s="8"/>
      <c r="AD205" s="8"/>
      <c r="AE205" s="8"/>
    </row>
    <row r="206" spans="1:31" s="1" customFormat="1">
      <c r="A206" s="9"/>
      <c r="B206" s="1" t="s">
        <v>152</v>
      </c>
      <c r="D206" s="1" t="s">
        <v>156</v>
      </c>
      <c r="G206" s="1" t="s">
        <v>160</v>
      </c>
      <c r="H206" s="1">
        <f>(87.6+17.2+342)*2</f>
        <v>893.6</v>
      </c>
      <c r="N206" s="3"/>
      <c r="O206" s="44"/>
      <c r="R206" s="3"/>
      <c r="S206" s="3"/>
      <c r="T206" s="3"/>
      <c r="U206" s="3"/>
      <c r="V206" s="3"/>
      <c r="W206" s="3"/>
      <c r="X206" s="8"/>
      <c r="Y206" s="8"/>
      <c r="Z206" s="8"/>
      <c r="AA206" s="8"/>
      <c r="AB206" s="8"/>
      <c r="AC206" s="8"/>
      <c r="AD206" s="8"/>
      <c r="AE206" s="8"/>
    </row>
    <row r="207" spans="1:31" s="1" customFormat="1">
      <c r="A207" s="9"/>
      <c r="B207" s="1" t="s">
        <v>153</v>
      </c>
      <c r="D207" s="1" t="s">
        <v>157</v>
      </c>
      <c r="G207" s="1" t="s">
        <v>160</v>
      </c>
      <c r="H207" s="1">
        <f>(3.2+9.1+28.9+27.6+145.3)*2</f>
        <v>428.20000000000005</v>
      </c>
      <c r="N207" s="3"/>
      <c r="O207" s="44"/>
      <c r="R207" s="3"/>
      <c r="S207" s="3"/>
      <c r="T207" s="3"/>
      <c r="U207" s="3"/>
      <c r="V207" s="3"/>
      <c r="W207" s="3"/>
      <c r="X207" s="8"/>
      <c r="Y207" s="8"/>
      <c r="Z207" s="8"/>
      <c r="AA207" s="8"/>
      <c r="AB207" s="8"/>
      <c r="AC207" s="8"/>
      <c r="AD207" s="8"/>
      <c r="AE207" s="8"/>
    </row>
    <row r="208" spans="1:31" s="1" customFormat="1">
      <c r="A208" s="9"/>
      <c r="B208" s="1" t="s">
        <v>158</v>
      </c>
      <c r="D208" s="1" t="s">
        <v>159</v>
      </c>
      <c r="G208" s="1" t="s">
        <v>160</v>
      </c>
      <c r="H208" s="1">
        <f>(2.8+25.7+65.2)*2</f>
        <v>187.4</v>
      </c>
      <c r="N208" s="3"/>
      <c r="O208" s="44"/>
      <c r="R208" s="3"/>
      <c r="S208" s="3"/>
      <c r="T208" s="3"/>
      <c r="U208" s="3"/>
      <c r="V208" s="3"/>
      <c r="W208" s="3"/>
      <c r="X208" s="8"/>
      <c r="Y208" s="8"/>
      <c r="Z208" s="8"/>
      <c r="AA208" s="8"/>
      <c r="AB208" s="8"/>
      <c r="AC208" s="8"/>
      <c r="AD208" s="8"/>
      <c r="AE208" s="8"/>
    </row>
    <row r="209" spans="1:31" s="1" customFormat="1">
      <c r="A209" s="9"/>
      <c r="N209" s="3"/>
      <c r="O209" s="44"/>
      <c r="R209" s="3"/>
      <c r="S209" s="3"/>
      <c r="T209" s="3"/>
      <c r="U209" s="3"/>
      <c r="V209" s="3"/>
      <c r="W209" s="3"/>
      <c r="X209" s="8"/>
      <c r="Y209" s="8"/>
      <c r="Z209" s="8"/>
      <c r="AA209" s="8"/>
      <c r="AB209" s="8"/>
      <c r="AC209" s="8"/>
      <c r="AD209" s="8"/>
      <c r="AE209" s="8"/>
    </row>
    <row r="210" spans="1:31" s="1" customFormat="1">
      <c r="A210" s="9"/>
      <c r="N210" s="3"/>
      <c r="O210" s="44"/>
      <c r="R210" s="3"/>
      <c r="S210" s="3"/>
      <c r="T210" s="3"/>
      <c r="U210" s="3"/>
      <c r="V210" s="3"/>
      <c r="W210" s="3"/>
      <c r="X210" s="8"/>
      <c r="Y210" s="8"/>
      <c r="Z210" s="8"/>
      <c r="AA210" s="8"/>
      <c r="AB210" s="8"/>
      <c r="AC210" s="8"/>
      <c r="AD210" s="8"/>
      <c r="AE210" s="8"/>
    </row>
    <row r="211" spans="1:31" s="1" customFormat="1">
      <c r="A211" s="9"/>
      <c r="N211" s="3"/>
      <c r="R211" s="3"/>
      <c r="S211" s="3"/>
      <c r="T211" s="3"/>
      <c r="U211" s="3"/>
      <c r="V211" s="3"/>
      <c r="W211" s="3"/>
      <c r="X211" s="8"/>
      <c r="Y211" s="8"/>
      <c r="Z211" s="8"/>
      <c r="AA211" s="8"/>
      <c r="AB211" s="8"/>
      <c r="AC211" s="8"/>
      <c r="AD211" s="8"/>
      <c r="AE211" s="8"/>
    </row>
    <row r="212" spans="1:31" s="1" customFormat="1">
      <c r="A212" s="9"/>
      <c r="B212" s="1" t="s">
        <v>121</v>
      </c>
      <c r="N212" s="3"/>
      <c r="R212" s="3"/>
      <c r="S212" s="3"/>
      <c r="T212" s="3"/>
      <c r="U212" s="3"/>
      <c r="V212" s="3"/>
      <c r="W212" s="3"/>
      <c r="X212" s="8"/>
      <c r="Y212" s="8"/>
      <c r="Z212" s="8"/>
      <c r="AA212" s="8"/>
      <c r="AB212" s="8"/>
      <c r="AC212" s="8"/>
      <c r="AD212" s="8"/>
      <c r="AE212" s="8"/>
    </row>
    <row r="213" spans="1:31" s="1" customFormat="1">
      <c r="A213" s="9"/>
      <c r="B213" s="1" t="s">
        <v>107</v>
      </c>
      <c r="N213" s="3"/>
      <c r="R213" s="3"/>
      <c r="S213" s="3"/>
      <c r="T213" s="3"/>
      <c r="U213" s="3"/>
      <c r="V213" s="3"/>
      <c r="W213" s="3"/>
      <c r="X213" s="8"/>
      <c r="Y213" s="8"/>
      <c r="Z213" s="8"/>
      <c r="AA213" s="8"/>
      <c r="AB213" s="8"/>
      <c r="AC213" s="8"/>
      <c r="AD213" s="8"/>
      <c r="AE213" s="8"/>
    </row>
    <row r="214" spans="1:31" s="1" customFormat="1">
      <c r="A214" s="9"/>
      <c r="C214" s="1" t="s">
        <v>108</v>
      </c>
      <c r="N214" s="3"/>
      <c r="P214" s="1">
        <f>+L174</f>
        <v>1005.5999999999999</v>
      </c>
      <c r="Q214" s="1" t="s">
        <v>106</v>
      </c>
      <c r="R214" s="3"/>
      <c r="S214" s="3"/>
      <c r="T214" s="3"/>
      <c r="U214" s="3"/>
      <c r="V214" s="3"/>
      <c r="W214" s="3"/>
      <c r="X214" s="8"/>
      <c r="Y214" s="8"/>
      <c r="Z214" s="8"/>
      <c r="AA214" s="8"/>
      <c r="AB214" s="8"/>
      <c r="AC214" s="8"/>
      <c r="AD214" s="8"/>
      <c r="AE214" s="8"/>
    </row>
    <row r="215" spans="1:31" s="1" customFormat="1">
      <c r="A215" s="9"/>
      <c r="B215" s="1" t="s">
        <v>118</v>
      </c>
      <c r="N215" s="3"/>
      <c r="R215" s="3"/>
      <c r="S215" s="3"/>
      <c r="T215" s="3"/>
      <c r="U215" s="3"/>
      <c r="V215" s="3"/>
      <c r="W215" s="3"/>
      <c r="X215" s="8"/>
      <c r="Y215" s="8"/>
      <c r="Z215" s="8"/>
      <c r="AA215" s="8"/>
      <c r="AB215" s="8"/>
      <c r="AC215" s="8"/>
      <c r="AD215" s="8"/>
      <c r="AE215" s="8"/>
    </row>
    <row r="216" spans="1:31" s="1" customFormat="1">
      <c r="A216" s="9"/>
      <c r="C216" s="1" t="s">
        <v>119</v>
      </c>
      <c r="N216" s="3"/>
      <c r="P216" s="1">
        <f>+(21.9+183.9)*2</f>
        <v>411.6</v>
      </c>
      <c r="Q216" s="1" t="s">
        <v>106</v>
      </c>
      <c r="R216" s="3"/>
      <c r="S216" s="3"/>
      <c r="T216" s="3"/>
      <c r="U216" s="3"/>
      <c r="V216" s="3"/>
      <c r="W216" s="3"/>
      <c r="X216" s="8"/>
      <c r="Y216" s="8"/>
      <c r="Z216" s="8"/>
      <c r="AA216" s="8"/>
      <c r="AB216" s="8"/>
      <c r="AC216" s="8"/>
      <c r="AD216" s="8"/>
      <c r="AE216" s="8"/>
    </row>
    <row r="217" spans="1:31" s="1" customFormat="1">
      <c r="A217" s="9"/>
      <c r="B217" s="1" t="s">
        <v>117</v>
      </c>
      <c r="N217" s="3"/>
      <c r="O217" s="44"/>
      <c r="R217" s="3"/>
      <c r="S217" s="3"/>
      <c r="T217" s="3"/>
      <c r="U217" s="3"/>
      <c r="V217" s="3"/>
      <c r="W217" s="3"/>
      <c r="X217" s="8"/>
      <c r="Y217" s="8"/>
      <c r="Z217" s="8"/>
      <c r="AA217" s="8"/>
      <c r="AB217" s="8"/>
      <c r="AC217" s="8"/>
      <c r="AD217" s="8"/>
      <c r="AE217" s="8"/>
    </row>
    <row r="218" spans="1:31" s="1" customFormat="1">
      <c r="A218" s="9"/>
      <c r="C218" s="1" t="s">
        <v>163</v>
      </c>
      <c r="N218" s="3"/>
      <c r="P218" s="1">
        <f>+(5.6+87.6)*2</f>
        <v>186.39999999999998</v>
      </c>
      <c r="Q218" s="1" t="s">
        <v>106</v>
      </c>
      <c r="R218" s="3"/>
      <c r="S218" s="3"/>
      <c r="T218" s="3"/>
      <c r="U218" s="3"/>
      <c r="V218" s="3"/>
      <c r="W218" s="3"/>
      <c r="X218" s="8"/>
      <c r="Y218" s="8"/>
      <c r="Z218" s="8"/>
      <c r="AA218" s="8"/>
      <c r="AB218" s="8"/>
      <c r="AC218" s="8"/>
      <c r="AD218" s="8"/>
      <c r="AE218" s="8"/>
    </row>
    <row r="219" spans="1:31" s="1" customFormat="1">
      <c r="A219" s="9"/>
      <c r="N219" s="3"/>
      <c r="O219" s="44" t="s">
        <v>56</v>
      </c>
      <c r="P219" s="1">
        <f>+P214+P216+P218</f>
        <v>1603.6</v>
      </c>
      <c r="Q219" s="1" t="s">
        <v>106</v>
      </c>
      <c r="R219" s="3"/>
      <c r="S219" s="3"/>
      <c r="T219" s="3"/>
      <c r="U219" s="3"/>
      <c r="V219" s="3"/>
      <c r="W219" s="3"/>
      <c r="X219" s="8"/>
      <c r="Y219" s="8"/>
      <c r="Z219" s="8"/>
      <c r="AA219" s="8"/>
      <c r="AB219" s="8"/>
      <c r="AC219" s="8"/>
      <c r="AD219" s="8"/>
      <c r="AE219" s="8"/>
    </row>
    <row r="220" spans="1:31">
      <c r="M220" s="20"/>
      <c r="W220" s="8"/>
      <c r="X220" s="8"/>
      <c r="Y220" s="8"/>
      <c r="Z220" s="8"/>
      <c r="AA220" s="8"/>
      <c r="AB220" s="8"/>
      <c r="AC220" s="8"/>
      <c r="AD220" s="8"/>
    </row>
    <row r="221" spans="1:31">
      <c r="B221" s="1" t="s">
        <v>122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3"/>
      <c r="O221" s="1"/>
      <c r="P221" s="1"/>
      <c r="Q221" s="1"/>
      <c r="W221" s="8"/>
      <c r="X221" s="8"/>
      <c r="Y221" s="8"/>
      <c r="Z221" s="8"/>
      <c r="AA221" s="8"/>
      <c r="AB221" s="8"/>
      <c r="AC221" s="8"/>
      <c r="AD221" s="8"/>
    </row>
    <row r="222" spans="1:31">
      <c r="B222" s="1" t="s">
        <v>107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3"/>
      <c r="O222" s="1"/>
      <c r="P222" s="1"/>
      <c r="Q222" s="1"/>
      <c r="W222" s="8"/>
      <c r="X222" s="8"/>
      <c r="Y222" s="8"/>
      <c r="Z222" s="8"/>
      <c r="AA222" s="8"/>
      <c r="AB222" s="8"/>
      <c r="AC222" s="8"/>
      <c r="AD222" s="8"/>
    </row>
    <row r="223" spans="1:31">
      <c r="B223" s="1"/>
      <c r="C223" s="1" t="s">
        <v>108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3"/>
      <c r="O223" s="1"/>
      <c r="P223" s="1">
        <f>+L186</f>
        <v>1236.8000000000002</v>
      </c>
      <c r="Q223" s="1" t="s">
        <v>106</v>
      </c>
      <c r="W223" s="8"/>
      <c r="X223" s="8"/>
      <c r="Y223" s="8"/>
      <c r="Z223" s="8"/>
      <c r="AA223" s="8"/>
      <c r="AB223" s="8"/>
      <c r="AC223" s="8"/>
      <c r="AD223" s="8"/>
    </row>
    <row r="224" spans="1:31">
      <c r="N224" s="21"/>
      <c r="O224" s="44" t="s">
        <v>120</v>
      </c>
      <c r="P224" s="21">
        <f>+P219+P223</f>
        <v>2840.4</v>
      </c>
      <c r="Q224" s="1" t="s">
        <v>106</v>
      </c>
      <c r="R224" s="21"/>
      <c r="S224" s="21"/>
      <c r="T224" s="21"/>
      <c r="U224" s="21"/>
      <c r="V224" s="21"/>
    </row>
    <row r="225" spans="2:22">
      <c r="B225" s="21" t="s">
        <v>124</v>
      </c>
      <c r="N225" s="21"/>
      <c r="O225" s="21"/>
      <c r="P225" s="21"/>
      <c r="Q225" s="21"/>
      <c r="R225" s="21"/>
      <c r="S225" s="21"/>
      <c r="T225" s="21"/>
      <c r="U225" s="21"/>
      <c r="V225" s="21"/>
    </row>
    <row r="226" spans="2:22">
      <c r="B226" s="1" t="s">
        <v>109</v>
      </c>
      <c r="F226" s="21" t="s">
        <v>125</v>
      </c>
      <c r="N226" s="21"/>
      <c r="O226" s="21"/>
      <c r="P226" s="21"/>
      <c r="Q226" s="21"/>
      <c r="R226" s="21"/>
      <c r="S226" s="21"/>
      <c r="T226" s="21"/>
      <c r="U226" s="21"/>
      <c r="V226" s="21"/>
    </row>
    <row r="227" spans="2:22">
      <c r="N227" s="21"/>
      <c r="O227" s="21"/>
      <c r="P227" s="21"/>
      <c r="Q227" s="21"/>
      <c r="R227" s="21"/>
      <c r="S227" s="21"/>
      <c r="T227" s="21"/>
      <c r="U227" s="21"/>
      <c r="V227" s="21"/>
    </row>
    <row r="228" spans="2:22">
      <c r="B228" s="21" t="s">
        <v>139</v>
      </c>
      <c r="N228" s="21"/>
      <c r="O228" s="21"/>
      <c r="P228" s="21"/>
      <c r="Q228" s="21"/>
      <c r="R228" s="21"/>
      <c r="S228" s="21"/>
      <c r="T228" s="21"/>
      <c r="U228" s="21"/>
      <c r="V228" s="21"/>
    </row>
    <row r="229" spans="2:22">
      <c r="B229" s="1" t="s">
        <v>118</v>
      </c>
      <c r="C229" s="1"/>
      <c r="E229" s="1"/>
      <c r="F229" s="21" t="s">
        <v>125</v>
      </c>
      <c r="N229" s="21"/>
      <c r="O229" s="21"/>
      <c r="P229" s="21"/>
      <c r="Q229" s="21"/>
      <c r="R229" s="21"/>
      <c r="S229" s="21"/>
      <c r="T229" s="21"/>
      <c r="U229" s="21"/>
      <c r="V229" s="21"/>
    </row>
    <row r="230" spans="2:22">
      <c r="B230" s="1" t="s">
        <v>109</v>
      </c>
      <c r="F230" s="21" t="s">
        <v>126</v>
      </c>
      <c r="N230" s="21"/>
      <c r="O230" s="21"/>
      <c r="P230" s="21"/>
      <c r="Q230" s="21"/>
      <c r="R230" s="21"/>
      <c r="S230" s="21"/>
      <c r="T230" s="21"/>
      <c r="U230" s="21"/>
      <c r="V230" s="21"/>
    </row>
    <row r="231" spans="2:22">
      <c r="E231" s="46" t="s">
        <v>127</v>
      </c>
      <c r="F231" s="21" t="s">
        <v>128</v>
      </c>
      <c r="N231" s="21"/>
      <c r="O231" s="21"/>
      <c r="P231" s="21"/>
      <c r="Q231" s="21"/>
      <c r="R231" s="21"/>
      <c r="S231" s="21"/>
      <c r="T231" s="21"/>
      <c r="U231" s="21"/>
      <c r="V231" s="21"/>
    </row>
    <row r="232" spans="2:22">
      <c r="N232" s="21"/>
      <c r="O232" s="21"/>
      <c r="P232" s="21"/>
      <c r="Q232" s="21"/>
      <c r="R232" s="21"/>
      <c r="S232" s="21"/>
      <c r="T232" s="21"/>
      <c r="U232" s="21"/>
      <c r="V232" s="21"/>
    </row>
    <row r="233" spans="2:22">
      <c r="N233" s="21"/>
      <c r="O233" s="21"/>
      <c r="P233" s="21"/>
      <c r="Q233" s="21"/>
      <c r="R233" s="21"/>
      <c r="S233" s="21"/>
      <c r="T233" s="21"/>
      <c r="U233" s="21"/>
      <c r="V233" s="21"/>
    </row>
    <row r="234" spans="2:22">
      <c r="N234" s="21"/>
      <c r="O234" s="21"/>
      <c r="P234" s="21"/>
      <c r="Q234" s="21"/>
      <c r="R234" s="21"/>
      <c r="S234" s="21"/>
      <c r="T234" s="21"/>
      <c r="U234" s="21"/>
      <c r="V234" s="21"/>
    </row>
    <row r="235" spans="2:22">
      <c r="N235" s="21"/>
      <c r="O235" s="21"/>
      <c r="P235" s="21"/>
      <c r="Q235" s="21"/>
      <c r="R235" s="21"/>
      <c r="S235" s="21"/>
      <c r="T235" s="21"/>
      <c r="U235" s="21"/>
      <c r="V235" s="21"/>
    </row>
  </sheetData>
  <mergeCells count="103">
    <mergeCell ref="B177:J177"/>
    <mergeCell ref="N177:Q177"/>
    <mergeCell ref="R177:U177"/>
    <mergeCell ref="W177:AD177"/>
    <mergeCell ref="P143:Q143"/>
    <mergeCell ref="T143:U143"/>
    <mergeCell ref="R64:U64"/>
    <mergeCell ref="B89:J89"/>
    <mergeCell ref="N89:Q89"/>
    <mergeCell ref="R89:U89"/>
    <mergeCell ref="W99:AD99"/>
    <mergeCell ref="P100:Q100"/>
    <mergeCell ref="T100:U100"/>
    <mergeCell ref="B113:J113"/>
    <mergeCell ref="N113:Q113"/>
    <mergeCell ref="R113:U113"/>
    <mergeCell ref="W113:AD113"/>
    <mergeCell ref="W73:AD73"/>
    <mergeCell ref="P74:Q74"/>
    <mergeCell ref="T74:U74"/>
    <mergeCell ref="W89:AD89"/>
    <mergeCell ref="B73:J73"/>
    <mergeCell ref="N73:Q73"/>
    <mergeCell ref="R73:U73"/>
    <mergeCell ref="B154:J154"/>
    <mergeCell ref="N154:Q154"/>
    <mergeCell ref="R154:U154"/>
    <mergeCell ref="W154:AD154"/>
    <mergeCell ref="P155:Q155"/>
    <mergeCell ref="T155:U155"/>
    <mergeCell ref="B130:J130"/>
    <mergeCell ref="N130:Q130"/>
    <mergeCell ref="R130:U130"/>
    <mergeCell ref="W130:AD130"/>
    <mergeCell ref="P131:Q131"/>
    <mergeCell ref="T131:U131"/>
    <mergeCell ref="B142:J142"/>
    <mergeCell ref="N142:Q142"/>
    <mergeCell ref="R142:U142"/>
    <mergeCell ref="W120:AD120"/>
    <mergeCell ref="P121:Q121"/>
    <mergeCell ref="T121:U121"/>
    <mergeCell ref="P48:Q48"/>
    <mergeCell ref="T48:U48"/>
    <mergeCell ref="W163:AD163"/>
    <mergeCell ref="P164:Q164"/>
    <mergeCell ref="T164:U164"/>
    <mergeCell ref="W142:AD142"/>
    <mergeCell ref="W64:AD64"/>
    <mergeCell ref="P65:Q65"/>
    <mergeCell ref="T65:U65"/>
    <mergeCell ref="W3:AD3"/>
    <mergeCell ref="B17:J17"/>
    <mergeCell ref="N17:Q17"/>
    <mergeCell ref="R17:U17"/>
    <mergeCell ref="W17:AD17"/>
    <mergeCell ref="P18:Q18"/>
    <mergeCell ref="T18:U18"/>
    <mergeCell ref="B10:J10"/>
    <mergeCell ref="N10:Q10"/>
    <mergeCell ref="R10:U10"/>
    <mergeCell ref="W10:AD10"/>
    <mergeCell ref="P11:Q11"/>
    <mergeCell ref="B3:J3"/>
    <mergeCell ref="N3:Q3"/>
    <mergeCell ref="R3:U3"/>
    <mergeCell ref="T4:U4"/>
    <mergeCell ref="P4:Q4"/>
    <mergeCell ref="T11:U11"/>
    <mergeCell ref="G194:J194"/>
    <mergeCell ref="P25:Q25"/>
    <mergeCell ref="T25:U25"/>
    <mergeCell ref="P90:Q90"/>
    <mergeCell ref="T90:U90"/>
    <mergeCell ref="B99:J99"/>
    <mergeCell ref="N99:Q99"/>
    <mergeCell ref="R99:U99"/>
    <mergeCell ref="P114:Q114"/>
    <mergeCell ref="G191:J191"/>
    <mergeCell ref="G192:J192"/>
    <mergeCell ref="B163:J163"/>
    <mergeCell ref="N163:Q163"/>
    <mergeCell ref="R163:U163"/>
    <mergeCell ref="P178:Q178"/>
    <mergeCell ref="T178:U178"/>
    <mergeCell ref="G190:J190"/>
    <mergeCell ref="G193:J193"/>
    <mergeCell ref="G189:J189"/>
    <mergeCell ref="G188:J188"/>
    <mergeCell ref="T114:U114"/>
    <mergeCell ref="B120:J120"/>
    <mergeCell ref="N120:Q120"/>
    <mergeCell ref="R120:U120"/>
    <mergeCell ref="B64:J64"/>
    <mergeCell ref="N64:Q64"/>
    <mergeCell ref="B24:J24"/>
    <mergeCell ref="N24:Q24"/>
    <mergeCell ref="R24:U24"/>
    <mergeCell ref="W24:AD24"/>
    <mergeCell ref="B47:J47"/>
    <mergeCell ref="N47:Q47"/>
    <mergeCell ref="R47:U47"/>
    <mergeCell ref="W47:AD47"/>
  </mergeCells>
  <phoneticPr fontId="1"/>
  <pageMargins left="0.9055118110236221" right="0.51181102362204722" top="0.55118110236220474" bottom="0.55118110236220474" header="0.31496062992125984" footer="0.31496062992125984"/>
  <pageSetup paperSize="8" scale="68" fitToHeight="0" orientation="landscape" r:id="rId1"/>
  <rowBreaks count="2" manualBreakCount="2">
    <brk id="61" max="29" man="1"/>
    <brk id="161" max="29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15"/>
  <sheetViews>
    <sheetView view="pageBreakPreview" topLeftCell="A22" zoomScale="130" zoomScaleNormal="100" zoomScaleSheetLayoutView="130" workbookViewId="0">
      <selection activeCell="J215" sqref="J215"/>
    </sheetView>
  </sheetViews>
  <sheetFormatPr defaultRowHeight="13.2"/>
  <cols>
    <col min="1" max="1" width="1.59765625" style="11" customWidth="1"/>
    <col min="2" max="2" width="4.09765625" style="11" customWidth="1"/>
    <col min="3" max="3" width="5.69921875" style="11" customWidth="1"/>
    <col min="4" max="6" width="8.796875" style="11"/>
    <col min="7" max="7" width="8.796875" style="11" customWidth="1"/>
    <col min="8" max="9" width="8.796875" style="11"/>
    <col min="10" max="10" width="8.796875" style="11" customWidth="1"/>
    <col min="11" max="11" width="8.796875" style="11"/>
    <col min="12" max="12" width="2.3984375" style="11" customWidth="1"/>
    <col min="13" max="13" width="3.19921875" style="11" customWidth="1"/>
    <col min="14" max="16384" width="8.796875" style="11"/>
  </cols>
  <sheetData>
    <row r="2" spans="2:11" ht="16.2">
      <c r="B2" s="10" t="s">
        <v>63</v>
      </c>
    </row>
    <row r="3" spans="2:11" ht="16.2">
      <c r="B3" s="10"/>
    </row>
    <row r="4" spans="2:11" ht="18" customHeight="1">
      <c r="C4" s="84"/>
      <c r="D4" s="84"/>
      <c r="E4" s="17" t="s">
        <v>60</v>
      </c>
      <c r="F4" s="17" t="s">
        <v>61</v>
      </c>
      <c r="G4" s="17" t="s">
        <v>62</v>
      </c>
      <c r="H4" s="86" t="s">
        <v>59</v>
      </c>
      <c r="I4" s="87"/>
      <c r="J4" s="88"/>
    </row>
    <row r="5" spans="2:11" ht="32.4" customHeight="1">
      <c r="C5" s="84" t="s">
        <v>38</v>
      </c>
      <c r="D5" s="84"/>
      <c r="E5" s="17" t="s">
        <v>42</v>
      </c>
      <c r="F5" s="17" t="s">
        <v>43</v>
      </c>
      <c r="G5" s="17" t="s">
        <v>58</v>
      </c>
      <c r="H5" s="18" t="s">
        <v>55</v>
      </c>
      <c r="I5" s="18" t="s">
        <v>54</v>
      </c>
      <c r="J5" s="17" t="s">
        <v>18</v>
      </c>
    </row>
    <row r="6" spans="2:11" ht="18" customHeight="1">
      <c r="C6" s="84" t="s">
        <v>37</v>
      </c>
      <c r="D6" s="84"/>
      <c r="E6" s="19">
        <v>0.9</v>
      </c>
      <c r="F6" s="19">
        <f>+I31</f>
        <v>2.5500000000000003</v>
      </c>
      <c r="G6" s="19">
        <f>+I28</f>
        <v>1.6</v>
      </c>
      <c r="H6" s="19">
        <f>ROUND(+E6*F6*G6,2)</f>
        <v>3.67</v>
      </c>
      <c r="I6" s="19"/>
      <c r="J6" s="19"/>
      <c r="K6" s="11" t="s">
        <v>132</v>
      </c>
    </row>
    <row r="7" spans="2:11" ht="18" customHeight="1">
      <c r="C7" s="84" t="s">
        <v>37</v>
      </c>
      <c r="D7" s="84"/>
      <c r="E7" s="19">
        <v>0.9</v>
      </c>
      <c r="F7" s="19">
        <f>+I42</f>
        <v>1.5</v>
      </c>
      <c r="G7" s="19">
        <f>+I39</f>
        <v>1.5</v>
      </c>
      <c r="H7" s="19"/>
      <c r="I7" s="19">
        <f>ROUND(+E7*F7*G7,2)</f>
        <v>2.0299999999999998</v>
      </c>
      <c r="J7" s="19"/>
      <c r="K7" s="11" t="s">
        <v>133</v>
      </c>
    </row>
    <row r="8" spans="2:11" ht="18" customHeight="1">
      <c r="C8" s="84" t="s">
        <v>37</v>
      </c>
      <c r="D8" s="84"/>
      <c r="E8" s="19">
        <v>1</v>
      </c>
      <c r="F8" s="19">
        <f>+I55</f>
        <v>2.27</v>
      </c>
      <c r="G8" s="19">
        <f>+I52</f>
        <v>8.5400000000000009</v>
      </c>
      <c r="H8" s="19"/>
      <c r="I8" s="19"/>
      <c r="J8" s="19">
        <f>ROUND(E8*F8*G8,2)</f>
        <v>19.39</v>
      </c>
      <c r="K8" s="11" t="s">
        <v>138</v>
      </c>
    </row>
    <row r="9" spans="2:11" ht="18" customHeight="1">
      <c r="C9" s="84" t="s">
        <v>39</v>
      </c>
      <c r="D9" s="84"/>
      <c r="E9" s="19">
        <v>1</v>
      </c>
      <c r="F9" s="19">
        <f>+I67</f>
        <v>2.2400000000000002</v>
      </c>
      <c r="G9" s="19">
        <f>+I64</f>
        <v>5.9</v>
      </c>
      <c r="H9" s="19"/>
      <c r="I9" s="19"/>
      <c r="J9" s="19">
        <f>ROUND(E9*F9*G9,2)</f>
        <v>13.22</v>
      </c>
    </row>
    <row r="10" spans="2:11" ht="18" customHeight="1">
      <c r="C10" s="84" t="s">
        <v>40</v>
      </c>
      <c r="D10" s="84"/>
      <c r="E10" s="19">
        <v>1</v>
      </c>
      <c r="F10" s="19">
        <f>+I79</f>
        <v>2.76</v>
      </c>
      <c r="G10" s="19">
        <f>+I76</f>
        <v>7.72</v>
      </c>
      <c r="H10" s="19"/>
      <c r="I10" s="19"/>
      <c r="J10" s="19">
        <f>ROUND(E10*F10*G10,2)</f>
        <v>21.31</v>
      </c>
    </row>
    <row r="11" spans="2:11" ht="18" customHeight="1">
      <c r="C11" s="84" t="s">
        <v>41</v>
      </c>
      <c r="D11" s="84"/>
      <c r="E11" s="19">
        <v>1</v>
      </c>
      <c r="F11" s="19">
        <f>+I91</f>
        <v>2.1</v>
      </c>
      <c r="G11" s="19">
        <f>+I88</f>
        <v>3.69</v>
      </c>
      <c r="H11" s="19"/>
      <c r="I11" s="19"/>
      <c r="J11" s="19">
        <f t="shared" ref="J11" si="0">ROUND(E11*F11*G11,2)</f>
        <v>7.75</v>
      </c>
    </row>
    <row r="12" spans="2:11" ht="18" customHeight="1">
      <c r="C12" s="84" t="s">
        <v>45</v>
      </c>
      <c r="D12" s="84"/>
      <c r="E12" s="19">
        <v>1</v>
      </c>
      <c r="F12" s="19">
        <f>+I103</f>
        <v>2.33</v>
      </c>
      <c r="G12" s="19">
        <f>+I100</f>
        <v>12.52</v>
      </c>
      <c r="H12" s="19"/>
      <c r="I12" s="19"/>
      <c r="J12" s="19">
        <f>ROUND(E12*F12*G12,2)</f>
        <v>29.17</v>
      </c>
    </row>
    <row r="13" spans="2:11" ht="18" customHeight="1">
      <c r="C13" s="84" t="s">
        <v>46</v>
      </c>
      <c r="D13" s="84"/>
      <c r="E13" s="19">
        <v>1</v>
      </c>
      <c r="F13" s="19">
        <f>+I120</f>
        <v>1.8900000000000001</v>
      </c>
      <c r="G13" s="19">
        <f>+I117</f>
        <v>16.3</v>
      </c>
      <c r="H13" s="19"/>
      <c r="I13" s="19"/>
      <c r="J13" s="19">
        <f>ROUND(E13*F13*G13,2)</f>
        <v>30.81</v>
      </c>
    </row>
    <row r="14" spans="2:11" ht="18" customHeight="1">
      <c r="C14" s="84" t="s">
        <v>47</v>
      </c>
      <c r="D14" s="84"/>
      <c r="E14" s="19">
        <v>1</v>
      </c>
      <c r="F14" s="19">
        <f>+I132</f>
        <v>2.08</v>
      </c>
      <c r="G14" s="19">
        <f>+I129</f>
        <v>2.68</v>
      </c>
      <c r="H14" s="19"/>
      <c r="I14" s="19"/>
      <c r="J14" s="19">
        <f t="shared" ref="J14:J17" si="1">ROUND(E14*F14*G14,2)</f>
        <v>5.57</v>
      </c>
    </row>
    <row r="15" spans="2:11" ht="18" customHeight="1">
      <c r="C15" s="84" t="s">
        <v>48</v>
      </c>
      <c r="D15" s="84"/>
      <c r="E15" s="19">
        <v>1</v>
      </c>
      <c r="F15" s="19">
        <f>+I144</f>
        <v>2.08</v>
      </c>
      <c r="G15" s="19">
        <f>+I141</f>
        <v>2.68</v>
      </c>
      <c r="H15" s="19"/>
      <c r="I15" s="19"/>
      <c r="J15" s="19">
        <f t="shared" si="1"/>
        <v>5.57</v>
      </c>
    </row>
    <row r="16" spans="2:11" ht="18" customHeight="1">
      <c r="C16" s="84" t="s">
        <v>49</v>
      </c>
      <c r="D16" s="84"/>
      <c r="E16" s="19">
        <v>1</v>
      </c>
      <c r="F16" s="19">
        <f>+I156</f>
        <v>2.2000000000000002</v>
      </c>
      <c r="G16" s="19">
        <f>+I153</f>
        <v>5.17</v>
      </c>
      <c r="H16" s="19"/>
      <c r="I16" s="19"/>
      <c r="J16" s="19">
        <f t="shared" si="1"/>
        <v>11.37</v>
      </c>
    </row>
    <row r="17" spans="2:12" ht="18" customHeight="1">
      <c r="C17" s="84" t="s">
        <v>50</v>
      </c>
      <c r="D17" s="84"/>
      <c r="E17" s="19">
        <v>0.9</v>
      </c>
      <c r="F17" s="19">
        <f>+I171</f>
        <v>2.14</v>
      </c>
      <c r="G17" s="19">
        <f>+I168</f>
        <v>8.9300000000000015</v>
      </c>
      <c r="H17" s="19"/>
      <c r="I17" s="19"/>
      <c r="J17" s="19">
        <f t="shared" si="1"/>
        <v>17.2</v>
      </c>
    </row>
    <row r="18" spans="2:12" ht="18" customHeight="1">
      <c r="C18" s="84" t="s">
        <v>51</v>
      </c>
      <c r="D18" s="84"/>
      <c r="E18" s="19">
        <v>1</v>
      </c>
      <c r="F18" s="19">
        <f>+I183</f>
        <v>2.08</v>
      </c>
      <c r="G18" s="19">
        <f>+I180</f>
        <v>2.68</v>
      </c>
      <c r="H18" s="19"/>
      <c r="I18" s="19"/>
      <c r="J18" s="19">
        <f t="shared" ref="J18:J20" si="2">ROUND(E18*F18*G18,2)</f>
        <v>5.57</v>
      </c>
    </row>
    <row r="19" spans="2:12" ht="18" customHeight="1">
      <c r="C19" s="84" t="s">
        <v>52</v>
      </c>
      <c r="D19" s="84"/>
      <c r="E19" s="19">
        <v>1</v>
      </c>
      <c r="F19" s="19">
        <f>+I195</f>
        <v>2.08</v>
      </c>
      <c r="G19" s="19">
        <f>+I192</f>
        <v>2.68</v>
      </c>
      <c r="H19" s="19"/>
      <c r="I19" s="19"/>
      <c r="J19" s="19">
        <f t="shared" si="2"/>
        <v>5.57</v>
      </c>
    </row>
    <row r="20" spans="2:12" ht="18" customHeight="1">
      <c r="C20" s="84" t="s">
        <v>53</v>
      </c>
      <c r="D20" s="84"/>
      <c r="E20" s="19">
        <v>1</v>
      </c>
      <c r="F20" s="19">
        <f>+I207</f>
        <v>2.13</v>
      </c>
      <c r="G20" s="19">
        <f>+I204</f>
        <v>7.1899999999999995</v>
      </c>
      <c r="H20" s="19"/>
      <c r="I20" s="19"/>
      <c r="J20" s="19">
        <f t="shared" si="2"/>
        <v>15.31</v>
      </c>
    </row>
    <row r="21" spans="2:12" ht="18" customHeight="1">
      <c r="C21" s="84" t="s">
        <v>56</v>
      </c>
      <c r="D21" s="84"/>
      <c r="E21" s="19"/>
      <c r="F21" s="19"/>
      <c r="G21" s="19">
        <f>SUM(G6:G20)</f>
        <v>89.780000000000015</v>
      </c>
      <c r="H21" s="19">
        <f>SUM(H6:H20)</f>
        <v>3.67</v>
      </c>
      <c r="I21" s="19">
        <f>SUM(I6:I20)</f>
        <v>2.0299999999999998</v>
      </c>
      <c r="J21" s="19">
        <f>SUM(J6:J20)</f>
        <v>187.80999999999997</v>
      </c>
    </row>
    <row r="22" spans="2:12" ht="18" customHeight="1">
      <c r="C22" s="13"/>
      <c r="D22" s="13"/>
      <c r="E22" s="12"/>
      <c r="F22" s="12"/>
      <c r="G22" s="12"/>
      <c r="H22" s="12" t="s">
        <v>64</v>
      </c>
      <c r="I22" s="12" t="s">
        <v>65</v>
      </c>
      <c r="J22" s="12" t="s">
        <v>137</v>
      </c>
    </row>
    <row r="23" spans="2:12" ht="18" customHeight="1">
      <c r="C23" s="13"/>
      <c r="D23" s="13"/>
      <c r="E23" s="12"/>
      <c r="F23" s="12"/>
      <c r="G23" s="12"/>
      <c r="H23" s="12"/>
      <c r="I23" s="12"/>
      <c r="J23" s="12"/>
    </row>
    <row r="24" spans="2:12" ht="16.2">
      <c r="B24" s="10" t="s">
        <v>37</v>
      </c>
      <c r="E24" s="11" t="s">
        <v>131</v>
      </c>
    </row>
    <row r="25" spans="2:12" ht="16.2">
      <c r="B25" s="10"/>
    </row>
    <row r="26" spans="2:12">
      <c r="C26" s="11" t="s">
        <v>27</v>
      </c>
    </row>
    <row r="27" spans="2:12">
      <c r="C27" s="85" t="s">
        <v>28</v>
      </c>
      <c r="D27" s="85"/>
      <c r="E27" s="12">
        <v>2.4700000000000002</v>
      </c>
      <c r="F27" s="13" t="s">
        <v>29</v>
      </c>
      <c r="G27" s="12">
        <v>2.4700000000000002</v>
      </c>
      <c r="H27" s="13" t="s">
        <v>30</v>
      </c>
      <c r="I27" s="12">
        <v>1.6</v>
      </c>
      <c r="J27" s="13" t="s">
        <v>31</v>
      </c>
      <c r="K27" s="12">
        <f t="shared" ref="K27" si="3">ROUND(1/2*(E27+G27)*I27,2)</f>
        <v>3.95</v>
      </c>
    </row>
    <row r="28" spans="2:12">
      <c r="B28" s="14"/>
      <c r="C28" s="14"/>
      <c r="D28" s="14"/>
      <c r="E28" s="15"/>
      <c r="F28" s="14"/>
      <c r="G28" s="15"/>
      <c r="H28" s="16" t="s">
        <v>32</v>
      </c>
      <c r="I28" s="15">
        <f>SUM(I27:I27)</f>
        <v>1.6</v>
      </c>
      <c r="J28" s="16" t="s">
        <v>32</v>
      </c>
      <c r="K28" s="15">
        <f>SUM(K27:K27)</f>
        <v>3.95</v>
      </c>
      <c r="L28" s="14"/>
    </row>
    <row r="30" spans="2:12">
      <c r="D30" s="11" t="s">
        <v>33</v>
      </c>
      <c r="E30" s="12">
        <f>+K28</f>
        <v>3.95</v>
      </c>
      <c r="F30" s="13" t="s">
        <v>34</v>
      </c>
      <c r="G30" s="12">
        <f>+I28</f>
        <v>1.6</v>
      </c>
      <c r="H30" s="13" t="s">
        <v>31</v>
      </c>
      <c r="I30" s="12">
        <f>ROUND(E30/G30,2)</f>
        <v>2.4700000000000002</v>
      </c>
      <c r="J30" s="11" t="s">
        <v>35</v>
      </c>
    </row>
    <row r="31" spans="2:12">
      <c r="B31" s="85" t="s">
        <v>36</v>
      </c>
      <c r="C31" s="85"/>
      <c r="D31" s="85"/>
      <c r="E31" s="12">
        <f>+I30</f>
        <v>2.4700000000000002</v>
      </c>
      <c r="F31" s="13" t="s">
        <v>29</v>
      </c>
      <c r="G31" s="12">
        <v>0.08</v>
      </c>
      <c r="H31" s="13" t="s">
        <v>31</v>
      </c>
      <c r="I31" s="12">
        <f>+E31+G31</f>
        <v>2.5500000000000003</v>
      </c>
      <c r="J31" s="11" t="s">
        <v>35</v>
      </c>
    </row>
    <row r="33" spans="2:12" ht="16.2">
      <c r="B33" s="10"/>
      <c r="D33" s="11" t="s">
        <v>44</v>
      </c>
    </row>
    <row r="34" spans="2:12" ht="18" customHeight="1">
      <c r="C34" s="13"/>
      <c r="D34" s="13"/>
      <c r="E34" s="12"/>
      <c r="F34" s="12"/>
      <c r="G34" s="12"/>
      <c r="H34" s="12"/>
      <c r="I34" s="12"/>
      <c r="J34" s="12"/>
    </row>
    <row r="35" spans="2:12" ht="16.2">
      <c r="B35" s="10" t="s">
        <v>37</v>
      </c>
      <c r="E35" s="11" t="s">
        <v>129</v>
      </c>
    </row>
    <row r="36" spans="2:12" ht="16.2">
      <c r="B36" s="10"/>
    </row>
    <row r="37" spans="2:12">
      <c r="C37" s="11" t="s">
        <v>27</v>
      </c>
    </row>
    <row r="38" spans="2:12">
      <c r="C38" s="85" t="s">
        <v>28</v>
      </c>
      <c r="D38" s="85"/>
      <c r="E38" s="12">
        <v>1.2</v>
      </c>
      <c r="F38" s="13" t="s">
        <v>29</v>
      </c>
      <c r="G38" s="12">
        <v>1.2</v>
      </c>
      <c r="H38" s="13" t="s">
        <v>30</v>
      </c>
      <c r="I38" s="12">
        <v>1.5</v>
      </c>
      <c r="J38" s="13" t="s">
        <v>31</v>
      </c>
      <c r="K38" s="12">
        <f t="shared" ref="K38" si="4">ROUND(1/2*(E38+G38)*I38,2)</f>
        <v>1.8</v>
      </c>
    </row>
    <row r="39" spans="2:12">
      <c r="B39" s="14"/>
      <c r="C39" s="14"/>
      <c r="D39" s="14"/>
      <c r="E39" s="15"/>
      <c r="F39" s="14"/>
      <c r="G39" s="15"/>
      <c r="H39" s="16" t="s">
        <v>32</v>
      </c>
      <c r="I39" s="15">
        <f>SUM(I38:I38)</f>
        <v>1.5</v>
      </c>
      <c r="J39" s="16" t="s">
        <v>32</v>
      </c>
      <c r="K39" s="15">
        <f>SUM(K38:K38)</f>
        <v>1.8</v>
      </c>
      <c r="L39" s="14"/>
    </row>
    <row r="41" spans="2:12">
      <c r="D41" s="11" t="s">
        <v>33</v>
      </c>
      <c r="E41" s="12">
        <f>+K39</f>
        <v>1.8</v>
      </c>
      <c r="F41" s="13" t="s">
        <v>34</v>
      </c>
      <c r="G41" s="12">
        <f>+I39</f>
        <v>1.5</v>
      </c>
      <c r="H41" s="13" t="s">
        <v>31</v>
      </c>
      <c r="I41" s="12">
        <f>ROUND(E41/G41,2)</f>
        <v>1.2</v>
      </c>
      <c r="J41" s="11" t="s">
        <v>35</v>
      </c>
    </row>
    <row r="42" spans="2:12">
      <c r="B42" s="85" t="s">
        <v>36</v>
      </c>
      <c r="C42" s="85"/>
      <c r="D42" s="85"/>
      <c r="E42" s="12">
        <f>+I41</f>
        <v>1.2</v>
      </c>
      <c r="F42" s="13" t="s">
        <v>29</v>
      </c>
      <c r="G42" s="12">
        <v>0.3</v>
      </c>
      <c r="H42" s="13" t="s">
        <v>31</v>
      </c>
      <c r="I42" s="12">
        <f>+E42+G42</f>
        <v>1.5</v>
      </c>
      <c r="J42" s="11" t="s">
        <v>35</v>
      </c>
    </row>
    <row r="44" spans="2:12" ht="16.2">
      <c r="B44" s="10"/>
      <c r="D44" s="11" t="s">
        <v>44</v>
      </c>
    </row>
    <row r="45" spans="2:12" ht="16.2">
      <c r="B45" s="10"/>
    </row>
    <row r="46" spans="2:12" ht="16.2">
      <c r="B46" s="10" t="s">
        <v>37</v>
      </c>
      <c r="E46" s="11" t="s">
        <v>130</v>
      </c>
    </row>
    <row r="47" spans="2:12">
      <c r="C47" s="11" t="s">
        <v>27</v>
      </c>
    </row>
    <row r="48" spans="2:12">
      <c r="C48" s="85" t="s">
        <v>28</v>
      </c>
      <c r="D48" s="85"/>
      <c r="E48" s="12">
        <v>1.2</v>
      </c>
      <c r="F48" s="13" t="s">
        <v>29</v>
      </c>
      <c r="G48" s="12">
        <v>1.2</v>
      </c>
      <c r="H48" s="13" t="s">
        <v>30</v>
      </c>
      <c r="I48" s="12">
        <v>0.9</v>
      </c>
      <c r="J48" s="13" t="s">
        <v>31</v>
      </c>
      <c r="K48" s="12">
        <f>ROUND(1/2*(E48+G48)*I48,2)</f>
        <v>1.08</v>
      </c>
    </row>
    <row r="49" spans="2:12">
      <c r="C49" s="85" t="s">
        <v>28</v>
      </c>
      <c r="D49" s="85"/>
      <c r="E49" s="12">
        <v>1.2</v>
      </c>
      <c r="F49" s="13" t="s">
        <v>29</v>
      </c>
      <c r="G49" s="12">
        <v>1.9</v>
      </c>
      <c r="H49" s="13" t="s">
        <v>30</v>
      </c>
      <c r="I49" s="12">
        <v>1.1399999999999999</v>
      </c>
      <c r="J49" s="13" t="s">
        <v>31</v>
      </c>
      <c r="K49" s="12">
        <f>ROUND(1/2*(E49+G49)*I49,2)</f>
        <v>1.77</v>
      </c>
    </row>
    <row r="50" spans="2:12">
      <c r="C50" s="85" t="s">
        <v>28</v>
      </c>
      <c r="D50" s="85"/>
      <c r="E50" s="12">
        <v>1.9</v>
      </c>
      <c r="F50" s="13" t="s">
        <v>29</v>
      </c>
      <c r="G50" s="12">
        <v>2.23</v>
      </c>
      <c r="H50" s="13" t="s">
        <v>30</v>
      </c>
      <c r="I50" s="12">
        <v>5.48</v>
      </c>
      <c r="J50" s="13" t="s">
        <v>31</v>
      </c>
      <c r="K50" s="12">
        <f>ROUND(1/2*(E50+G50)*I50,2)</f>
        <v>11.32</v>
      </c>
    </row>
    <row r="51" spans="2:12">
      <c r="C51" s="85" t="s">
        <v>28</v>
      </c>
      <c r="D51" s="85"/>
      <c r="E51" s="12">
        <v>2.23</v>
      </c>
      <c r="F51" s="13" t="s">
        <v>29</v>
      </c>
      <c r="G51" s="12">
        <v>1.3</v>
      </c>
      <c r="H51" s="13" t="s">
        <v>30</v>
      </c>
      <c r="I51" s="12">
        <v>1.02</v>
      </c>
      <c r="J51" s="13" t="s">
        <v>31</v>
      </c>
      <c r="K51" s="12">
        <f t="shared" ref="K51" si="5">ROUND(1/2*(E51+G51)*I51,2)</f>
        <v>1.8</v>
      </c>
    </row>
    <row r="52" spans="2:12">
      <c r="B52" s="14"/>
      <c r="C52" s="14"/>
      <c r="D52" s="14"/>
      <c r="E52" s="15"/>
      <c r="F52" s="14"/>
      <c r="G52" s="15"/>
      <c r="H52" s="16" t="s">
        <v>32</v>
      </c>
      <c r="I52" s="15">
        <f>SUM(I48:I51)</f>
        <v>8.5400000000000009</v>
      </c>
      <c r="J52" s="16" t="s">
        <v>32</v>
      </c>
      <c r="K52" s="15">
        <f>SUM(K48:K51)</f>
        <v>15.97</v>
      </c>
      <c r="L52" s="14"/>
    </row>
    <row r="54" spans="2:12">
      <c r="D54" s="11" t="s">
        <v>33</v>
      </c>
      <c r="E54" s="12">
        <f>+K52</f>
        <v>15.97</v>
      </c>
      <c r="F54" s="13" t="s">
        <v>34</v>
      </c>
      <c r="G54" s="12">
        <f>+I52</f>
        <v>8.5400000000000009</v>
      </c>
      <c r="H54" s="13" t="s">
        <v>31</v>
      </c>
      <c r="I54" s="12">
        <f>ROUND(E54/G54,2)</f>
        <v>1.87</v>
      </c>
      <c r="J54" s="11" t="s">
        <v>35</v>
      </c>
    </row>
    <row r="55" spans="2:12">
      <c r="B55" s="85" t="s">
        <v>36</v>
      </c>
      <c r="C55" s="85"/>
      <c r="D55" s="85"/>
      <c r="E55" s="12">
        <f>+I54</f>
        <v>1.87</v>
      </c>
      <c r="F55" s="13" t="s">
        <v>29</v>
      </c>
      <c r="G55" s="12">
        <v>0.4</v>
      </c>
      <c r="H55" s="13" t="s">
        <v>31</v>
      </c>
      <c r="I55" s="12">
        <f>+E55+G55</f>
        <v>2.27</v>
      </c>
      <c r="J55" s="11" t="s">
        <v>35</v>
      </c>
    </row>
    <row r="57" spans="2:12" ht="16.2">
      <c r="B57" s="10"/>
      <c r="D57" s="11" t="s">
        <v>57</v>
      </c>
    </row>
    <row r="58" spans="2:12" ht="16.2">
      <c r="B58" s="10"/>
    </row>
    <row r="59" spans="2:12" ht="16.2">
      <c r="B59" s="10" t="s">
        <v>39</v>
      </c>
      <c r="E59" s="11" t="s">
        <v>134</v>
      </c>
    </row>
    <row r="60" spans="2:12">
      <c r="C60" s="11" t="s">
        <v>27</v>
      </c>
    </row>
    <row r="61" spans="2:12">
      <c r="C61" s="85" t="s">
        <v>28</v>
      </c>
      <c r="D61" s="85"/>
      <c r="E61" s="12">
        <v>1.3</v>
      </c>
      <c r="F61" s="13" t="s">
        <v>29</v>
      </c>
      <c r="G61" s="12">
        <v>1.87</v>
      </c>
      <c r="H61" s="13" t="s">
        <v>30</v>
      </c>
      <c r="I61" s="12">
        <v>1.19</v>
      </c>
      <c r="J61" s="13" t="s">
        <v>31</v>
      </c>
      <c r="K61" s="12">
        <f>ROUND(1/2*(E61+G61)*I61,2)</f>
        <v>1.89</v>
      </c>
    </row>
    <row r="62" spans="2:12">
      <c r="C62" s="85" t="s">
        <v>28</v>
      </c>
      <c r="D62" s="85"/>
      <c r="E62" s="12">
        <v>1.87</v>
      </c>
      <c r="F62" s="13" t="s">
        <v>29</v>
      </c>
      <c r="G62" s="12">
        <v>2.0499999999999998</v>
      </c>
      <c r="H62" s="13" t="s">
        <v>30</v>
      </c>
      <c r="I62" s="12">
        <v>3.8</v>
      </c>
      <c r="J62" s="13" t="s">
        <v>31</v>
      </c>
      <c r="K62" s="12">
        <f t="shared" ref="K62:K63" si="6">ROUND(1/2*(E62+G62)*I62,2)</f>
        <v>7.45</v>
      </c>
    </row>
    <row r="63" spans="2:12">
      <c r="C63" s="85" t="s">
        <v>28</v>
      </c>
      <c r="D63" s="85"/>
      <c r="E63" s="12">
        <v>2.0499999999999998</v>
      </c>
      <c r="F63" s="13" t="s">
        <v>29</v>
      </c>
      <c r="G63" s="12">
        <v>1.3</v>
      </c>
      <c r="H63" s="13" t="s">
        <v>30</v>
      </c>
      <c r="I63" s="12">
        <v>0.91</v>
      </c>
      <c r="J63" s="13" t="s">
        <v>31</v>
      </c>
      <c r="K63" s="12">
        <f t="shared" si="6"/>
        <v>1.52</v>
      </c>
    </row>
    <row r="64" spans="2:12">
      <c r="B64" s="14"/>
      <c r="C64" s="14"/>
      <c r="D64" s="14"/>
      <c r="E64" s="15"/>
      <c r="F64" s="14"/>
      <c r="G64" s="15"/>
      <c r="H64" s="16" t="s">
        <v>32</v>
      </c>
      <c r="I64" s="15">
        <f>SUM(I61:I63)</f>
        <v>5.9</v>
      </c>
      <c r="J64" s="16" t="s">
        <v>32</v>
      </c>
      <c r="K64" s="15">
        <f>SUM(K61:K63)</f>
        <v>10.86</v>
      </c>
      <c r="L64" s="14"/>
    </row>
    <row r="66" spans="2:12">
      <c r="D66" s="11" t="s">
        <v>33</v>
      </c>
      <c r="E66" s="12">
        <f>+K64</f>
        <v>10.86</v>
      </c>
      <c r="F66" s="13" t="s">
        <v>34</v>
      </c>
      <c r="G66" s="12">
        <f>+I64</f>
        <v>5.9</v>
      </c>
      <c r="H66" s="13" t="s">
        <v>31</v>
      </c>
      <c r="I66" s="12">
        <f>ROUND(E66/G66,2)</f>
        <v>1.84</v>
      </c>
      <c r="J66" s="11" t="s">
        <v>35</v>
      </c>
    </row>
    <row r="67" spans="2:12">
      <c r="B67" s="85" t="s">
        <v>36</v>
      </c>
      <c r="C67" s="85"/>
      <c r="D67" s="85"/>
      <c r="E67" s="12">
        <f>+I66</f>
        <v>1.84</v>
      </c>
      <c r="F67" s="13" t="s">
        <v>29</v>
      </c>
      <c r="G67" s="12">
        <v>0.4</v>
      </c>
      <c r="H67" s="13" t="s">
        <v>31</v>
      </c>
      <c r="I67" s="12">
        <f>+E67+G67</f>
        <v>2.2400000000000002</v>
      </c>
      <c r="J67" s="11" t="s">
        <v>35</v>
      </c>
    </row>
    <row r="69" spans="2:12" ht="16.2">
      <c r="B69" s="10"/>
      <c r="D69" s="11" t="s">
        <v>57</v>
      </c>
    </row>
    <row r="70" spans="2:12" ht="16.2">
      <c r="B70" s="10"/>
    </row>
    <row r="71" spans="2:12" ht="16.2">
      <c r="B71" s="10" t="s">
        <v>40</v>
      </c>
      <c r="E71" s="11" t="s">
        <v>134</v>
      </c>
    </row>
    <row r="72" spans="2:12">
      <c r="C72" s="11" t="s">
        <v>27</v>
      </c>
    </row>
    <row r="73" spans="2:12">
      <c r="C73" s="85" t="s">
        <v>28</v>
      </c>
      <c r="D73" s="85"/>
      <c r="E73" s="12">
        <v>1.3</v>
      </c>
      <c r="F73" s="13" t="s">
        <v>29</v>
      </c>
      <c r="G73" s="12">
        <v>3.1</v>
      </c>
      <c r="H73" s="13" t="s">
        <v>30</v>
      </c>
      <c r="I73" s="12">
        <v>1.81</v>
      </c>
      <c r="J73" s="13" t="s">
        <v>31</v>
      </c>
      <c r="K73" s="12">
        <f>ROUND(1/2*(E73+G73)*I73,2)</f>
        <v>3.98</v>
      </c>
    </row>
    <row r="74" spans="2:12">
      <c r="C74" s="85" t="s">
        <v>28</v>
      </c>
      <c r="D74" s="85"/>
      <c r="E74" s="12">
        <v>3.1</v>
      </c>
      <c r="F74" s="13" t="s">
        <v>29</v>
      </c>
      <c r="G74" s="12">
        <v>3.1</v>
      </c>
      <c r="H74" s="13" t="s">
        <v>30</v>
      </c>
      <c r="I74" s="12">
        <v>3.65</v>
      </c>
      <c r="J74" s="13" t="s">
        <v>31</v>
      </c>
      <c r="K74" s="12">
        <f t="shared" ref="K74:K75" si="7">ROUND(1/2*(E74+G74)*I74,2)</f>
        <v>11.32</v>
      </c>
    </row>
    <row r="75" spans="2:12">
      <c r="C75" s="85" t="s">
        <v>28</v>
      </c>
      <c r="D75" s="85"/>
      <c r="E75" s="12">
        <v>1.3</v>
      </c>
      <c r="F75" s="13" t="s">
        <v>29</v>
      </c>
      <c r="G75" s="12">
        <v>1.3</v>
      </c>
      <c r="H75" s="13" t="s">
        <v>30</v>
      </c>
      <c r="I75" s="12">
        <v>2.2599999999999998</v>
      </c>
      <c r="J75" s="13" t="s">
        <v>31</v>
      </c>
      <c r="K75" s="12">
        <f t="shared" si="7"/>
        <v>2.94</v>
      </c>
    </row>
    <row r="76" spans="2:12">
      <c r="B76" s="14"/>
      <c r="C76" s="14"/>
      <c r="D76" s="14"/>
      <c r="E76" s="15"/>
      <c r="F76" s="14"/>
      <c r="G76" s="15"/>
      <c r="H76" s="16" t="s">
        <v>32</v>
      </c>
      <c r="I76" s="15">
        <f>SUM(I73:I75)</f>
        <v>7.72</v>
      </c>
      <c r="J76" s="16" t="s">
        <v>32</v>
      </c>
      <c r="K76" s="15">
        <f>SUM(K73:K75)</f>
        <v>18.240000000000002</v>
      </c>
      <c r="L76" s="14"/>
    </row>
    <row r="78" spans="2:12">
      <c r="D78" s="11" t="s">
        <v>33</v>
      </c>
      <c r="E78" s="12">
        <f>+K76</f>
        <v>18.240000000000002</v>
      </c>
      <c r="F78" s="13" t="s">
        <v>34</v>
      </c>
      <c r="G78" s="12">
        <f>+I76</f>
        <v>7.72</v>
      </c>
      <c r="H78" s="13" t="s">
        <v>31</v>
      </c>
      <c r="I78" s="12">
        <f>ROUND(E78/G78,2)</f>
        <v>2.36</v>
      </c>
      <c r="J78" s="11" t="s">
        <v>35</v>
      </c>
    </row>
    <row r="79" spans="2:12">
      <c r="B79" s="85" t="s">
        <v>36</v>
      </c>
      <c r="C79" s="85"/>
      <c r="D79" s="85"/>
      <c r="E79" s="12">
        <f>+I78</f>
        <v>2.36</v>
      </c>
      <c r="F79" s="13" t="s">
        <v>29</v>
      </c>
      <c r="G79" s="12">
        <v>0.4</v>
      </c>
      <c r="H79" s="13" t="s">
        <v>31</v>
      </c>
      <c r="I79" s="12">
        <f>+E79+G79</f>
        <v>2.76</v>
      </c>
      <c r="J79" s="11" t="s">
        <v>35</v>
      </c>
    </row>
    <row r="81" spans="2:12" ht="16.2">
      <c r="B81" s="10"/>
      <c r="D81" s="11" t="s">
        <v>57</v>
      </c>
    </row>
    <row r="82" spans="2:12" ht="16.2">
      <c r="B82" s="10"/>
    </row>
    <row r="83" spans="2:12" ht="16.2">
      <c r="B83" s="10" t="s">
        <v>41</v>
      </c>
      <c r="E83" s="11" t="s">
        <v>135</v>
      </c>
    </row>
    <row r="84" spans="2:12">
      <c r="C84" s="11" t="s">
        <v>27</v>
      </c>
    </row>
    <row r="85" spans="2:12">
      <c r="C85" s="85" t="s">
        <v>28</v>
      </c>
      <c r="D85" s="85"/>
      <c r="E85" s="12">
        <v>1.3</v>
      </c>
      <c r="F85" s="13" t="s">
        <v>29</v>
      </c>
      <c r="G85" s="12">
        <v>1.76</v>
      </c>
      <c r="H85" s="13" t="s">
        <v>30</v>
      </c>
      <c r="I85" s="12">
        <v>0.46</v>
      </c>
      <c r="J85" s="13" t="s">
        <v>31</v>
      </c>
      <c r="K85" s="12">
        <f>ROUND(1/2*(E85+G85)*I85,2)</f>
        <v>0.7</v>
      </c>
    </row>
    <row r="86" spans="2:12">
      <c r="C86" s="85" t="s">
        <v>28</v>
      </c>
      <c r="D86" s="85"/>
      <c r="E86" s="12">
        <v>1.76</v>
      </c>
      <c r="F86" s="13" t="s">
        <v>29</v>
      </c>
      <c r="G86" s="12">
        <v>1.76</v>
      </c>
      <c r="H86" s="13" t="s">
        <v>30</v>
      </c>
      <c r="I86" s="12">
        <v>2.77</v>
      </c>
      <c r="J86" s="13" t="s">
        <v>31</v>
      </c>
      <c r="K86" s="12">
        <f t="shared" ref="K86:K87" si="8">ROUND(1/2*(E86+G86)*I86,2)</f>
        <v>4.88</v>
      </c>
    </row>
    <row r="87" spans="2:12">
      <c r="C87" s="85" t="s">
        <v>28</v>
      </c>
      <c r="D87" s="85"/>
      <c r="E87" s="12">
        <v>1.76</v>
      </c>
      <c r="F87" s="13" t="s">
        <v>29</v>
      </c>
      <c r="G87" s="12">
        <v>1.3</v>
      </c>
      <c r="H87" s="13" t="s">
        <v>30</v>
      </c>
      <c r="I87" s="12">
        <v>0.46</v>
      </c>
      <c r="J87" s="13" t="s">
        <v>31</v>
      </c>
      <c r="K87" s="12">
        <f t="shared" si="8"/>
        <v>0.7</v>
      </c>
    </row>
    <row r="88" spans="2:12">
      <c r="B88" s="14"/>
      <c r="C88" s="14"/>
      <c r="D88" s="14"/>
      <c r="E88" s="15"/>
      <c r="F88" s="14"/>
      <c r="G88" s="15"/>
      <c r="H88" s="16" t="s">
        <v>32</v>
      </c>
      <c r="I88" s="15">
        <f>SUM(I85:I87)</f>
        <v>3.69</v>
      </c>
      <c r="J88" s="16" t="s">
        <v>32</v>
      </c>
      <c r="K88" s="15">
        <f>SUM(K85:K87)</f>
        <v>6.28</v>
      </c>
      <c r="L88" s="14"/>
    </row>
    <row r="90" spans="2:12">
      <c r="D90" s="11" t="s">
        <v>33</v>
      </c>
      <c r="E90" s="12">
        <f>+K88</f>
        <v>6.28</v>
      </c>
      <c r="F90" s="13" t="s">
        <v>34</v>
      </c>
      <c r="G90" s="12">
        <f>+I88</f>
        <v>3.69</v>
      </c>
      <c r="H90" s="13" t="s">
        <v>31</v>
      </c>
      <c r="I90" s="12">
        <f>ROUND(E90/G90,2)</f>
        <v>1.7</v>
      </c>
      <c r="J90" s="11" t="s">
        <v>35</v>
      </c>
    </row>
    <row r="91" spans="2:12">
      <c r="B91" s="85" t="s">
        <v>36</v>
      </c>
      <c r="C91" s="85"/>
      <c r="D91" s="85"/>
      <c r="E91" s="12">
        <f>+I90</f>
        <v>1.7</v>
      </c>
      <c r="F91" s="13" t="s">
        <v>29</v>
      </c>
      <c r="G91" s="12">
        <v>0.4</v>
      </c>
      <c r="H91" s="13" t="s">
        <v>31</v>
      </c>
      <c r="I91" s="12">
        <f>+E91+G91</f>
        <v>2.1</v>
      </c>
      <c r="J91" s="11" t="s">
        <v>35</v>
      </c>
    </row>
    <row r="93" spans="2:12" ht="16.2">
      <c r="B93" s="10"/>
      <c r="D93" s="11" t="s">
        <v>57</v>
      </c>
    </row>
    <row r="94" spans="2:12" ht="16.2">
      <c r="B94" s="10"/>
    </row>
    <row r="95" spans="2:12" ht="16.2">
      <c r="B95" s="10" t="s">
        <v>45</v>
      </c>
      <c r="E95" s="11" t="s">
        <v>135</v>
      </c>
    </row>
    <row r="96" spans="2:12">
      <c r="C96" s="11" t="s">
        <v>27</v>
      </c>
    </row>
    <row r="97" spans="2:12">
      <c r="C97" s="85" t="s">
        <v>28</v>
      </c>
      <c r="D97" s="85"/>
      <c r="E97" s="12">
        <v>1.3</v>
      </c>
      <c r="F97" s="13" t="s">
        <v>29</v>
      </c>
      <c r="G97" s="12">
        <v>2.0299999999999998</v>
      </c>
      <c r="H97" s="13" t="s">
        <v>30</v>
      </c>
      <c r="I97" s="12">
        <v>1.76</v>
      </c>
      <c r="J97" s="13" t="s">
        <v>31</v>
      </c>
      <c r="K97" s="12">
        <f>ROUND(1/2*(E97+G97)*I97,2)</f>
        <v>2.93</v>
      </c>
    </row>
    <row r="98" spans="2:12">
      <c r="C98" s="85" t="s">
        <v>28</v>
      </c>
      <c r="D98" s="85"/>
      <c r="E98" s="12">
        <v>2.0299999999999998</v>
      </c>
      <c r="F98" s="13" t="s">
        <v>29</v>
      </c>
      <c r="G98" s="12">
        <v>2.0299999999999998</v>
      </c>
      <c r="H98" s="13" t="s">
        <v>30</v>
      </c>
      <c r="I98" s="12">
        <v>9</v>
      </c>
      <c r="J98" s="13" t="s">
        <v>31</v>
      </c>
      <c r="K98" s="12">
        <f t="shared" ref="K98:K99" si="9">ROUND(1/2*(E98+G98)*I98,2)</f>
        <v>18.27</v>
      </c>
    </row>
    <row r="99" spans="2:12">
      <c r="C99" s="85" t="s">
        <v>28</v>
      </c>
      <c r="D99" s="85"/>
      <c r="E99" s="12">
        <v>2.0299999999999998</v>
      </c>
      <c r="F99" s="13" t="s">
        <v>29</v>
      </c>
      <c r="G99" s="12">
        <v>1.3</v>
      </c>
      <c r="H99" s="13" t="s">
        <v>30</v>
      </c>
      <c r="I99" s="12">
        <v>1.76</v>
      </c>
      <c r="J99" s="13" t="s">
        <v>31</v>
      </c>
      <c r="K99" s="12">
        <f t="shared" si="9"/>
        <v>2.93</v>
      </c>
    </row>
    <row r="100" spans="2:12">
      <c r="B100" s="14"/>
      <c r="C100" s="14"/>
      <c r="D100" s="14"/>
      <c r="E100" s="15"/>
      <c r="F100" s="14"/>
      <c r="G100" s="15"/>
      <c r="H100" s="16" t="s">
        <v>32</v>
      </c>
      <c r="I100" s="15">
        <f>SUM(I97:I99)</f>
        <v>12.52</v>
      </c>
      <c r="J100" s="16" t="s">
        <v>32</v>
      </c>
      <c r="K100" s="15">
        <f>SUM(K97:K99)</f>
        <v>24.13</v>
      </c>
      <c r="L100" s="14"/>
    </row>
    <row r="102" spans="2:12">
      <c r="D102" s="11" t="s">
        <v>33</v>
      </c>
      <c r="E102" s="12">
        <f>+K100</f>
        <v>24.13</v>
      </c>
      <c r="F102" s="13" t="s">
        <v>34</v>
      </c>
      <c r="G102" s="12">
        <f>+I100</f>
        <v>12.52</v>
      </c>
      <c r="H102" s="13" t="s">
        <v>31</v>
      </c>
      <c r="I102" s="12">
        <f>ROUND(E102/G102,2)</f>
        <v>1.93</v>
      </c>
      <c r="J102" s="11" t="s">
        <v>35</v>
      </c>
    </row>
    <row r="103" spans="2:12">
      <c r="B103" s="85" t="s">
        <v>36</v>
      </c>
      <c r="C103" s="85"/>
      <c r="D103" s="85"/>
      <c r="E103" s="12">
        <f>+I102</f>
        <v>1.93</v>
      </c>
      <c r="F103" s="13" t="s">
        <v>29</v>
      </c>
      <c r="G103" s="12">
        <v>0.4</v>
      </c>
      <c r="H103" s="13" t="s">
        <v>31</v>
      </c>
      <c r="I103" s="12">
        <f>+E103+G103</f>
        <v>2.33</v>
      </c>
      <c r="J103" s="11" t="s">
        <v>35</v>
      </c>
    </row>
    <row r="105" spans="2:12" ht="16.2">
      <c r="B105" s="10"/>
      <c r="D105" s="11" t="s">
        <v>57</v>
      </c>
    </row>
    <row r="106" spans="2:12" ht="16.2">
      <c r="B106" s="10"/>
    </row>
    <row r="107" spans="2:12" ht="16.2">
      <c r="B107" s="10"/>
    </row>
    <row r="108" spans="2:12" ht="16.2">
      <c r="B108" s="10"/>
    </row>
    <row r="109" spans="2:12" ht="16.2">
      <c r="B109" s="10"/>
    </row>
    <row r="110" spans="2:12" ht="16.2">
      <c r="B110" s="10" t="s">
        <v>46</v>
      </c>
      <c r="E110" s="11" t="s">
        <v>135</v>
      </c>
    </row>
    <row r="111" spans="2:12">
      <c r="C111" s="11" t="s">
        <v>27</v>
      </c>
    </row>
    <row r="112" spans="2:12">
      <c r="C112" s="85" t="s">
        <v>28</v>
      </c>
      <c r="D112" s="85"/>
      <c r="E112" s="12">
        <v>1.3</v>
      </c>
      <c r="F112" s="13" t="s">
        <v>29</v>
      </c>
      <c r="G112" s="12">
        <v>1.57</v>
      </c>
      <c r="H112" s="13" t="s">
        <v>30</v>
      </c>
      <c r="I112" s="12">
        <v>4.8</v>
      </c>
      <c r="J112" s="13" t="s">
        <v>31</v>
      </c>
      <c r="K112" s="12">
        <f>ROUND(1/2*(E112+G112)*I112,2)</f>
        <v>6.89</v>
      </c>
    </row>
    <row r="113" spans="2:12">
      <c r="C113" s="85" t="s">
        <v>28</v>
      </c>
      <c r="D113" s="85"/>
      <c r="E113" s="12">
        <v>1.57</v>
      </c>
      <c r="F113" s="13" t="s">
        <v>29</v>
      </c>
      <c r="G113" s="12">
        <v>1.61</v>
      </c>
      <c r="H113" s="13" t="s">
        <v>30</v>
      </c>
      <c r="I113" s="12">
        <v>1.57</v>
      </c>
      <c r="J113" s="13" t="s">
        <v>31</v>
      </c>
      <c r="K113" s="12">
        <f t="shared" ref="K113:K114" si="10">ROUND(1/2*(E113+G113)*I113,2)</f>
        <v>2.5</v>
      </c>
    </row>
    <row r="114" spans="2:12">
      <c r="C114" s="85" t="s">
        <v>28</v>
      </c>
      <c r="D114" s="85"/>
      <c r="E114" s="12">
        <v>1.61</v>
      </c>
      <c r="F114" s="13" t="s">
        <v>29</v>
      </c>
      <c r="G114" s="12">
        <v>1.49</v>
      </c>
      <c r="H114" s="13" t="s">
        <v>30</v>
      </c>
      <c r="I114" s="12">
        <v>1.3</v>
      </c>
      <c r="J114" s="13" t="s">
        <v>31</v>
      </c>
      <c r="K114" s="12">
        <f t="shared" si="10"/>
        <v>2.02</v>
      </c>
    </row>
    <row r="115" spans="2:12">
      <c r="C115" s="85" t="s">
        <v>28</v>
      </c>
      <c r="D115" s="85"/>
      <c r="E115" s="12">
        <v>1.49</v>
      </c>
      <c r="F115" s="13" t="s">
        <v>29</v>
      </c>
      <c r="G115" s="12">
        <v>1.62</v>
      </c>
      <c r="H115" s="13" t="s">
        <v>30</v>
      </c>
      <c r="I115" s="12">
        <v>2.4500000000000002</v>
      </c>
      <c r="J115" s="13" t="s">
        <v>31</v>
      </c>
      <c r="K115" s="12">
        <f t="shared" ref="K115:K116" si="11">ROUND(1/2*(E115+G115)*I115,2)</f>
        <v>3.81</v>
      </c>
    </row>
    <row r="116" spans="2:12">
      <c r="C116" s="85" t="s">
        <v>28</v>
      </c>
      <c r="D116" s="85"/>
      <c r="E116" s="12">
        <v>1.62</v>
      </c>
      <c r="F116" s="13" t="s">
        <v>29</v>
      </c>
      <c r="G116" s="12">
        <v>1.3</v>
      </c>
      <c r="H116" s="13" t="s">
        <v>30</v>
      </c>
      <c r="I116" s="12">
        <v>6.18</v>
      </c>
      <c r="J116" s="13" t="s">
        <v>31</v>
      </c>
      <c r="K116" s="12">
        <f t="shared" si="11"/>
        <v>9.02</v>
      </c>
    </row>
    <row r="117" spans="2:12">
      <c r="B117" s="14"/>
      <c r="C117" s="14"/>
      <c r="D117" s="14"/>
      <c r="E117" s="15"/>
      <c r="F117" s="14"/>
      <c r="G117" s="15"/>
      <c r="H117" s="16" t="s">
        <v>32</v>
      </c>
      <c r="I117" s="15">
        <f>SUM(I112:I116)</f>
        <v>16.3</v>
      </c>
      <c r="J117" s="16" t="s">
        <v>32</v>
      </c>
      <c r="K117" s="15">
        <f>SUM(K112:K116)</f>
        <v>24.240000000000002</v>
      </c>
      <c r="L117" s="14"/>
    </row>
    <row r="119" spans="2:12">
      <c r="D119" s="11" t="s">
        <v>33</v>
      </c>
      <c r="E119" s="12">
        <f>+K117</f>
        <v>24.240000000000002</v>
      </c>
      <c r="F119" s="13" t="s">
        <v>34</v>
      </c>
      <c r="G119" s="12">
        <f>+I117</f>
        <v>16.3</v>
      </c>
      <c r="H119" s="13" t="s">
        <v>31</v>
      </c>
      <c r="I119" s="12">
        <f>ROUND(E119/G119,2)</f>
        <v>1.49</v>
      </c>
      <c r="J119" s="11" t="s">
        <v>35</v>
      </c>
    </row>
    <row r="120" spans="2:12">
      <c r="B120" s="85" t="s">
        <v>36</v>
      </c>
      <c r="C120" s="85"/>
      <c r="D120" s="85"/>
      <c r="E120" s="12">
        <f>+I119</f>
        <v>1.49</v>
      </c>
      <c r="F120" s="13" t="s">
        <v>29</v>
      </c>
      <c r="G120" s="12">
        <v>0.4</v>
      </c>
      <c r="H120" s="13" t="s">
        <v>31</v>
      </c>
      <c r="I120" s="12">
        <f>+E120+G120</f>
        <v>1.8900000000000001</v>
      </c>
      <c r="J120" s="11" t="s">
        <v>35</v>
      </c>
    </row>
    <row r="122" spans="2:12" ht="16.2">
      <c r="B122" s="10"/>
      <c r="D122" s="11" t="s">
        <v>57</v>
      </c>
    </row>
    <row r="123" spans="2:12" ht="16.2">
      <c r="B123" s="10"/>
    </row>
    <row r="124" spans="2:12" ht="16.2">
      <c r="B124" s="10" t="s">
        <v>47</v>
      </c>
      <c r="E124" s="11" t="s">
        <v>136</v>
      </c>
    </row>
    <row r="125" spans="2:12">
      <c r="C125" s="11" t="s">
        <v>27</v>
      </c>
    </row>
    <row r="126" spans="2:12">
      <c r="C126" s="85" t="s">
        <v>28</v>
      </c>
      <c r="D126" s="85"/>
      <c r="E126" s="12">
        <v>1.3</v>
      </c>
      <c r="F126" s="13" t="s">
        <v>29</v>
      </c>
      <c r="G126" s="12">
        <v>1.76</v>
      </c>
      <c r="H126" s="13" t="s">
        <v>30</v>
      </c>
      <c r="I126" s="12">
        <v>0.46</v>
      </c>
      <c r="J126" s="13" t="s">
        <v>31</v>
      </c>
      <c r="K126" s="12">
        <f>ROUND(1/2*(E126+G126)*I126,2)</f>
        <v>0.7</v>
      </c>
    </row>
    <row r="127" spans="2:12">
      <c r="C127" s="85" t="s">
        <v>28</v>
      </c>
      <c r="D127" s="85"/>
      <c r="E127" s="12">
        <v>1.76</v>
      </c>
      <c r="F127" s="13" t="s">
        <v>29</v>
      </c>
      <c r="G127" s="12">
        <v>1.76</v>
      </c>
      <c r="H127" s="13" t="s">
        <v>30</v>
      </c>
      <c r="I127" s="12">
        <v>1.76</v>
      </c>
      <c r="J127" s="13" t="s">
        <v>31</v>
      </c>
      <c r="K127" s="12">
        <f t="shared" ref="K127:K128" si="12">ROUND(1/2*(E127+G127)*I127,2)</f>
        <v>3.1</v>
      </c>
    </row>
    <row r="128" spans="2:12">
      <c r="C128" s="85" t="s">
        <v>28</v>
      </c>
      <c r="D128" s="85"/>
      <c r="E128" s="12">
        <v>1.76</v>
      </c>
      <c r="F128" s="13" t="s">
        <v>29</v>
      </c>
      <c r="G128" s="12">
        <v>1.3</v>
      </c>
      <c r="H128" s="13" t="s">
        <v>30</v>
      </c>
      <c r="I128" s="12">
        <v>0.46</v>
      </c>
      <c r="J128" s="13" t="s">
        <v>31</v>
      </c>
      <c r="K128" s="12">
        <f t="shared" si="12"/>
        <v>0.7</v>
      </c>
    </row>
    <row r="129" spans="2:12">
      <c r="B129" s="14"/>
      <c r="C129" s="14"/>
      <c r="D129" s="14"/>
      <c r="E129" s="15"/>
      <c r="F129" s="14"/>
      <c r="G129" s="15"/>
      <c r="H129" s="16" t="s">
        <v>32</v>
      </c>
      <c r="I129" s="15">
        <f>SUM(I126:I128)</f>
        <v>2.68</v>
      </c>
      <c r="J129" s="16" t="s">
        <v>32</v>
      </c>
      <c r="K129" s="15">
        <f>SUM(K126:K128)</f>
        <v>4.5</v>
      </c>
      <c r="L129" s="14"/>
    </row>
    <row r="131" spans="2:12">
      <c r="D131" s="11" t="s">
        <v>33</v>
      </c>
      <c r="E131" s="12">
        <f>+K129</f>
        <v>4.5</v>
      </c>
      <c r="F131" s="13" t="s">
        <v>34</v>
      </c>
      <c r="G131" s="12">
        <f>+I129</f>
        <v>2.68</v>
      </c>
      <c r="H131" s="13" t="s">
        <v>31</v>
      </c>
      <c r="I131" s="12">
        <f>ROUND(E131/G131,2)</f>
        <v>1.68</v>
      </c>
      <c r="J131" s="11" t="s">
        <v>35</v>
      </c>
    </row>
    <row r="132" spans="2:12">
      <c r="B132" s="85" t="s">
        <v>36</v>
      </c>
      <c r="C132" s="85"/>
      <c r="D132" s="85"/>
      <c r="E132" s="12">
        <f>+I131</f>
        <v>1.68</v>
      </c>
      <c r="F132" s="13" t="s">
        <v>29</v>
      </c>
      <c r="G132" s="12">
        <v>0.4</v>
      </c>
      <c r="H132" s="13" t="s">
        <v>31</v>
      </c>
      <c r="I132" s="12">
        <f>+E132+G132</f>
        <v>2.08</v>
      </c>
      <c r="J132" s="11" t="s">
        <v>35</v>
      </c>
    </row>
    <row r="134" spans="2:12" ht="16.2">
      <c r="B134" s="10"/>
      <c r="D134" s="11" t="s">
        <v>57</v>
      </c>
    </row>
    <row r="135" spans="2:12" ht="16.2">
      <c r="B135" s="10"/>
    </row>
    <row r="136" spans="2:12" ht="16.2">
      <c r="B136" s="10" t="s">
        <v>48</v>
      </c>
      <c r="E136" s="11" t="s">
        <v>136</v>
      </c>
    </row>
    <row r="137" spans="2:12">
      <c r="C137" s="11" t="s">
        <v>27</v>
      </c>
    </row>
    <row r="138" spans="2:12">
      <c r="C138" s="85" t="s">
        <v>28</v>
      </c>
      <c r="D138" s="85"/>
      <c r="E138" s="12">
        <v>1.3</v>
      </c>
      <c r="F138" s="13" t="s">
        <v>29</v>
      </c>
      <c r="G138" s="12">
        <v>1.76</v>
      </c>
      <c r="H138" s="13" t="s">
        <v>30</v>
      </c>
      <c r="I138" s="12">
        <v>0.46</v>
      </c>
      <c r="J138" s="13" t="s">
        <v>31</v>
      </c>
      <c r="K138" s="12">
        <f>ROUND(1/2*(E138+G138)*I138,2)</f>
        <v>0.7</v>
      </c>
    </row>
    <row r="139" spans="2:12">
      <c r="C139" s="85" t="s">
        <v>28</v>
      </c>
      <c r="D139" s="85"/>
      <c r="E139" s="12">
        <v>1.76</v>
      </c>
      <c r="F139" s="13" t="s">
        <v>29</v>
      </c>
      <c r="G139" s="12">
        <v>1.76</v>
      </c>
      <c r="H139" s="13" t="s">
        <v>30</v>
      </c>
      <c r="I139" s="12">
        <v>1.76</v>
      </c>
      <c r="J139" s="13" t="s">
        <v>31</v>
      </c>
      <c r="K139" s="12">
        <f t="shared" ref="K139:K140" si="13">ROUND(1/2*(E139+G139)*I139,2)</f>
        <v>3.1</v>
      </c>
    </row>
    <row r="140" spans="2:12">
      <c r="C140" s="85" t="s">
        <v>28</v>
      </c>
      <c r="D140" s="85"/>
      <c r="E140" s="12">
        <v>1.76</v>
      </c>
      <c r="F140" s="13" t="s">
        <v>29</v>
      </c>
      <c r="G140" s="12">
        <v>1.3</v>
      </c>
      <c r="H140" s="13" t="s">
        <v>30</v>
      </c>
      <c r="I140" s="12">
        <v>0.46</v>
      </c>
      <c r="J140" s="13" t="s">
        <v>31</v>
      </c>
      <c r="K140" s="12">
        <f t="shared" si="13"/>
        <v>0.7</v>
      </c>
    </row>
    <row r="141" spans="2:12">
      <c r="B141" s="14"/>
      <c r="C141" s="14"/>
      <c r="D141" s="14"/>
      <c r="E141" s="15"/>
      <c r="F141" s="14"/>
      <c r="G141" s="15"/>
      <c r="H141" s="16" t="s">
        <v>32</v>
      </c>
      <c r="I141" s="15">
        <f>SUM(I138:I140)</f>
        <v>2.68</v>
      </c>
      <c r="J141" s="16" t="s">
        <v>32</v>
      </c>
      <c r="K141" s="15">
        <f>SUM(K138:K140)</f>
        <v>4.5</v>
      </c>
      <c r="L141" s="14"/>
    </row>
    <row r="143" spans="2:12">
      <c r="D143" s="11" t="s">
        <v>33</v>
      </c>
      <c r="E143" s="12">
        <f>+K141</f>
        <v>4.5</v>
      </c>
      <c r="F143" s="13" t="s">
        <v>34</v>
      </c>
      <c r="G143" s="12">
        <f>+I141</f>
        <v>2.68</v>
      </c>
      <c r="H143" s="13" t="s">
        <v>31</v>
      </c>
      <c r="I143" s="12">
        <f>ROUND(E143/G143,2)</f>
        <v>1.68</v>
      </c>
      <c r="J143" s="11" t="s">
        <v>35</v>
      </c>
    </row>
    <row r="144" spans="2:12">
      <c r="B144" s="85" t="s">
        <v>36</v>
      </c>
      <c r="C144" s="85"/>
      <c r="D144" s="85"/>
      <c r="E144" s="12">
        <f>+I143</f>
        <v>1.68</v>
      </c>
      <c r="F144" s="13" t="s">
        <v>29</v>
      </c>
      <c r="G144" s="12">
        <v>0.4</v>
      </c>
      <c r="H144" s="13" t="s">
        <v>31</v>
      </c>
      <c r="I144" s="12">
        <f>+E144+G144</f>
        <v>2.08</v>
      </c>
      <c r="J144" s="11" t="s">
        <v>35</v>
      </c>
    </row>
    <row r="146" spans="2:12" ht="16.2">
      <c r="B146" s="10"/>
      <c r="D146" s="11" t="s">
        <v>57</v>
      </c>
    </row>
    <row r="147" spans="2:12" ht="16.2">
      <c r="B147" s="10"/>
    </row>
    <row r="148" spans="2:12" ht="16.2">
      <c r="B148" s="10" t="s">
        <v>49</v>
      </c>
      <c r="E148" s="11" t="s">
        <v>136</v>
      </c>
    </row>
    <row r="149" spans="2:12">
      <c r="C149" s="11" t="s">
        <v>27</v>
      </c>
    </row>
    <row r="150" spans="2:12">
      <c r="C150" s="85" t="s">
        <v>28</v>
      </c>
      <c r="D150" s="85"/>
      <c r="E150" s="12">
        <v>1.3</v>
      </c>
      <c r="F150" s="13" t="s">
        <v>29</v>
      </c>
      <c r="G150" s="12">
        <v>2.1</v>
      </c>
      <c r="H150" s="13" t="s">
        <v>30</v>
      </c>
      <c r="I150" s="12">
        <v>1.93</v>
      </c>
      <c r="J150" s="13" t="s">
        <v>31</v>
      </c>
      <c r="K150" s="12">
        <f>ROUND(1/2*(E150+G150)*I150,2)</f>
        <v>3.28</v>
      </c>
    </row>
    <row r="151" spans="2:12">
      <c r="C151" s="85" t="s">
        <v>28</v>
      </c>
      <c r="D151" s="85"/>
      <c r="E151" s="12">
        <v>2.1</v>
      </c>
      <c r="F151" s="13" t="s">
        <v>29</v>
      </c>
      <c r="G151" s="12">
        <v>2.1</v>
      </c>
      <c r="H151" s="13" t="s">
        <v>30</v>
      </c>
      <c r="I151" s="12">
        <v>1.31</v>
      </c>
      <c r="J151" s="13" t="s">
        <v>31</v>
      </c>
      <c r="K151" s="12">
        <f t="shared" ref="K151:K152" si="14">ROUND(1/2*(E151+G151)*I151,2)</f>
        <v>2.75</v>
      </c>
    </row>
    <row r="152" spans="2:12">
      <c r="C152" s="85" t="s">
        <v>28</v>
      </c>
      <c r="D152" s="85"/>
      <c r="E152" s="12">
        <v>2.1</v>
      </c>
      <c r="F152" s="13" t="s">
        <v>29</v>
      </c>
      <c r="G152" s="12">
        <v>1.3</v>
      </c>
      <c r="H152" s="13" t="s">
        <v>30</v>
      </c>
      <c r="I152" s="12">
        <v>1.93</v>
      </c>
      <c r="J152" s="13" t="s">
        <v>31</v>
      </c>
      <c r="K152" s="12">
        <f t="shared" si="14"/>
        <v>3.28</v>
      </c>
    </row>
    <row r="153" spans="2:12">
      <c r="B153" s="14"/>
      <c r="C153" s="14"/>
      <c r="D153" s="14"/>
      <c r="E153" s="15"/>
      <c r="F153" s="14"/>
      <c r="G153" s="15"/>
      <c r="H153" s="16" t="s">
        <v>32</v>
      </c>
      <c r="I153" s="15">
        <f>SUM(I150:I152)</f>
        <v>5.17</v>
      </c>
      <c r="J153" s="16" t="s">
        <v>32</v>
      </c>
      <c r="K153" s="15">
        <f>SUM(K150:K152)</f>
        <v>9.3099999999999987</v>
      </c>
      <c r="L153" s="14"/>
    </row>
    <row r="155" spans="2:12">
      <c r="D155" s="11" t="s">
        <v>33</v>
      </c>
      <c r="E155" s="12">
        <f>+K153</f>
        <v>9.3099999999999987</v>
      </c>
      <c r="F155" s="13" t="s">
        <v>34</v>
      </c>
      <c r="G155" s="12">
        <f>+I153</f>
        <v>5.17</v>
      </c>
      <c r="H155" s="13" t="s">
        <v>31</v>
      </c>
      <c r="I155" s="12">
        <f>ROUND(E155/G155,2)</f>
        <v>1.8</v>
      </c>
      <c r="J155" s="11" t="s">
        <v>35</v>
      </c>
    </row>
    <row r="156" spans="2:12">
      <c r="B156" s="85" t="s">
        <v>36</v>
      </c>
      <c r="C156" s="85"/>
      <c r="D156" s="85"/>
      <c r="E156" s="12">
        <f>+I155</f>
        <v>1.8</v>
      </c>
      <c r="F156" s="13" t="s">
        <v>29</v>
      </c>
      <c r="G156" s="12">
        <v>0.4</v>
      </c>
      <c r="H156" s="13" t="s">
        <v>31</v>
      </c>
      <c r="I156" s="12">
        <f>+E156+G156</f>
        <v>2.2000000000000002</v>
      </c>
      <c r="J156" s="11" t="s">
        <v>35</v>
      </c>
    </row>
    <row r="158" spans="2:12" ht="16.2">
      <c r="B158" s="10"/>
      <c r="D158" s="11" t="s">
        <v>57</v>
      </c>
    </row>
    <row r="159" spans="2:12" ht="16.2">
      <c r="B159" s="10"/>
    </row>
    <row r="160" spans="2:12" ht="16.2">
      <c r="B160" s="10"/>
    </row>
    <row r="161" spans="2:12" ht="16.2">
      <c r="B161" s="10"/>
    </row>
    <row r="162" spans="2:12" ht="16.2">
      <c r="B162" s="10"/>
    </row>
    <row r="163" spans="2:12" ht="16.2">
      <c r="B163" s="10" t="s">
        <v>50</v>
      </c>
      <c r="E163" s="11" t="s">
        <v>136</v>
      </c>
    </row>
    <row r="164" spans="2:12">
      <c r="C164" s="11" t="s">
        <v>27</v>
      </c>
    </row>
    <row r="165" spans="2:12">
      <c r="C165" s="85" t="s">
        <v>28</v>
      </c>
      <c r="D165" s="85"/>
      <c r="E165" s="12">
        <v>1.3</v>
      </c>
      <c r="F165" s="13" t="s">
        <v>29</v>
      </c>
      <c r="G165" s="12">
        <v>1.76</v>
      </c>
      <c r="H165" s="13" t="s">
        <v>30</v>
      </c>
      <c r="I165" s="12">
        <v>0.46</v>
      </c>
      <c r="J165" s="13" t="s">
        <v>31</v>
      </c>
      <c r="K165" s="12">
        <f>ROUND(1/2*(E165+G165)*I165,2)</f>
        <v>0.7</v>
      </c>
    </row>
    <row r="166" spans="2:12">
      <c r="C166" s="85" t="s">
        <v>28</v>
      </c>
      <c r="D166" s="85"/>
      <c r="E166" s="12">
        <v>1.76</v>
      </c>
      <c r="F166" s="13" t="s">
        <v>29</v>
      </c>
      <c r="G166" s="12">
        <v>1.76</v>
      </c>
      <c r="H166" s="13" t="s">
        <v>30</v>
      </c>
      <c r="I166" s="12">
        <v>8.01</v>
      </c>
      <c r="J166" s="13" t="s">
        <v>31</v>
      </c>
      <c r="K166" s="12">
        <f t="shared" ref="K166:K167" si="15">ROUND(1/2*(E166+G166)*I166,2)</f>
        <v>14.1</v>
      </c>
    </row>
    <row r="167" spans="2:12">
      <c r="C167" s="85" t="s">
        <v>28</v>
      </c>
      <c r="D167" s="85"/>
      <c r="E167" s="12">
        <v>1.76</v>
      </c>
      <c r="F167" s="13" t="s">
        <v>29</v>
      </c>
      <c r="G167" s="12">
        <v>1.3</v>
      </c>
      <c r="H167" s="13" t="s">
        <v>30</v>
      </c>
      <c r="I167" s="12">
        <v>0.46</v>
      </c>
      <c r="J167" s="13" t="s">
        <v>31</v>
      </c>
      <c r="K167" s="12">
        <f t="shared" si="15"/>
        <v>0.7</v>
      </c>
    </row>
    <row r="168" spans="2:12">
      <c r="B168" s="14"/>
      <c r="C168" s="14"/>
      <c r="D168" s="14"/>
      <c r="E168" s="15"/>
      <c r="F168" s="14"/>
      <c r="G168" s="15"/>
      <c r="H168" s="16" t="s">
        <v>32</v>
      </c>
      <c r="I168" s="15">
        <f>SUM(I165:I167)</f>
        <v>8.9300000000000015</v>
      </c>
      <c r="J168" s="16" t="s">
        <v>32</v>
      </c>
      <c r="K168" s="15">
        <f>SUM(K165:K167)</f>
        <v>15.499999999999998</v>
      </c>
      <c r="L168" s="14"/>
    </row>
    <row r="170" spans="2:12">
      <c r="D170" s="11" t="s">
        <v>33</v>
      </c>
      <c r="E170" s="12">
        <f>+K168</f>
        <v>15.499999999999998</v>
      </c>
      <c r="F170" s="13" t="s">
        <v>34</v>
      </c>
      <c r="G170" s="12">
        <f>+I168</f>
        <v>8.9300000000000015</v>
      </c>
      <c r="H170" s="13" t="s">
        <v>31</v>
      </c>
      <c r="I170" s="12">
        <f>ROUND(E170/G170,2)</f>
        <v>1.74</v>
      </c>
      <c r="J170" s="11" t="s">
        <v>35</v>
      </c>
    </row>
    <row r="171" spans="2:12">
      <c r="B171" s="85" t="s">
        <v>36</v>
      </c>
      <c r="C171" s="85"/>
      <c r="D171" s="85"/>
      <c r="E171" s="12">
        <f>+I170</f>
        <v>1.74</v>
      </c>
      <c r="F171" s="13" t="s">
        <v>29</v>
      </c>
      <c r="G171" s="12">
        <v>0.4</v>
      </c>
      <c r="H171" s="13" t="s">
        <v>31</v>
      </c>
      <c r="I171" s="12">
        <f>+E171+G171</f>
        <v>2.14</v>
      </c>
      <c r="J171" s="11" t="s">
        <v>35</v>
      </c>
    </row>
    <row r="173" spans="2:12" ht="16.2">
      <c r="B173" s="10"/>
      <c r="D173" s="11" t="s">
        <v>44</v>
      </c>
    </row>
    <row r="174" spans="2:12" ht="16.2">
      <c r="B174" s="10"/>
    </row>
    <row r="175" spans="2:12" ht="16.2">
      <c r="B175" s="10" t="s">
        <v>51</v>
      </c>
      <c r="E175" s="11" t="s">
        <v>136</v>
      </c>
    </row>
    <row r="176" spans="2:12">
      <c r="C176" s="11" t="s">
        <v>27</v>
      </c>
    </row>
    <row r="177" spans="2:12">
      <c r="C177" s="85" t="s">
        <v>28</v>
      </c>
      <c r="D177" s="85"/>
      <c r="E177" s="12">
        <v>1.3</v>
      </c>
      <c r="F177" s="13" t="s">
        <v>29</v>
      </c>
      <c r="G177" s="12">
        <v>1.76</v>
      </c>
      <c r="H177" s="13" t="s">
        <v>30</v>
      </c>
      <c r="I177" s="12">
        <v>0.46</v>
      </c>
      <c r="J177" s="13" t="s">
        <v>31</v>
      </c>
      <c r="K177" s="12">
        <f>ROUND(1/2*(E177+G177)*I177,2)</f>
        <v>0.7</v>
      </c>
    </row>
    <row r="178" spans="2:12">
      <c r="C178" s="85" t="s">
        <v>28</v>
      </c>
      <c r="D178" s="85"/>
      <c r="E178" s="12">
        <v>1.76</v>
      </c>
      <c r="F178" s="13" t="s">
        <v>29</v>
      </c>
      <c r="G178" s="12">
        <v>1.76</v>
      </c>
      <c r="H178" s="13" t="s">
        <v>30</v>
      </c>
      <c r="I178" s="12">
        <v>1.76</v>
      </c>
      <c r="J178" s="13" t="s">
        <v>31</v>
      </c>
      <c r="K178" s="12">
        <f t="shared" ref="K178:K179" si="16">ROUND(1/2*(E178+G178)*I178,2)</f>
        <v>3.1</v>
      </c>
    </row>
    <row r="179" spans="2:12">
      <c r="C179" s="85" t="s">
        <v>28</v>
      </c>
      <c r="D179" s="85"/>
      <c r="E179" s="12">
        <v>1.76</v>
      </c>
      <c r="F179" s="13" t="s">
        <v>29</v>
      </c>
      <c r="G179" s="12">
        <v>1.3</v>
      </c>
      <c r="H179" s="13" t="s">
        <v>30</v>
      </c>
      <c r="I179" s="12">
        <v>0.46</v>
      </c>
      <c r="J179" s="13" t="s">
        <v>31</v>
      </c>
      <c r="K179" s="12">
        <f t="shared" si="16"/>
        <v>0.7</v>
      </c>
    </row>
    <row r="180" spans="2:12">
      <c r="B180" s="14"/>
      <c r="C180" s="14"/>
      <c r="D180" s="14"/>
      <c r="E180" s="15"/>
      <c r="F180" s="14"/>
      <c r="G180" s="15"/>
      <c r="H180" s="16" t="s">
        <v>32</v>
      </c>
      <c r="I180" s="15">
        <f>SUM(I177:I179)</f>
        <v>2.68</v>
      </c>
      <c r="J180" s="16" t="s">
        <v>32</v>
      </c>
      <c r="K180" s="15">
        <f>SUM(K177:K179)</f>
        <v>4.5</v>
      </c>
      <c r="L180" s="14"/>
    </row>
    <row r="182" spans="2:12">
      <c r="D182" s="11" t="s">
        <v>33</v>
      </c>
      <c r="E182" s="12">
        <f>+K180</f>
        <v>4.5</v>
      </c>
      <c r="F182" s="13" t="s">
        <v>34</v>
      </c>
      <c r="G182" s="12">
        <f>+I180</f>
        <v>2.68</v>
      </c>
      <c r="H182" s="13" t="s">
        <v>31</v>
      </c>
      <c r="I182" s="12">
        <f>ROUND(E182/G182,2)</f>
        <v>1.68</v>
      </c>
      <c r="J182" s="11" t="s">
        <v>35</v>
      </c>
    </row>
    <row r="183" spans="2:12">
      <c r="B183" s="85" t="s">
        <v>36</v>
      </c>
      <c r="C183" s="85"/>
      <c r="D183" s="85"/>
      <c r="E183" s="12">
        <f>+I182</f>
        <v>1.68</v>
      </c>
      <c r="F183" s="13" t="s">
        <v>29</v>
      </c>
      <c r="G183" s="12">
        <v>0.4</v>
      </c>
      <c r="H183" s="13" t="s">
        <v>31</v>
      </c>
      <c r="I183" s="12">
        <f>+E183+G183</f>
        <v>2.08</v>
      </c>
      <c r="J183" s="11" t="s">
        <v>35</v>
      </c>
    </row>
    <row r="185" spans="2:12" ht="16.2">
      <c r="B185" s="10"/>
      <c r="D185" s="11" t="s">
        <v>57</v>
      </c>
    </row>
    <row r="186" spans="2:12" ht="16.2">
      <c r="B186" s="10"/>
    </row>
    <row r="187" spans="2:12" ht="16.2">
      <c r="B187" s="10" t="s">
        <v>52</v>
      </c>
      <c r="E187" s="11" t="s">
        <v>136</v>
      </c>
    </row>
    <row r="188" spans="2:12">
      <c r="C188" s="11" t="s">
        <v>27</v>
      </c>
    </row>
    <row r="189" spans="2:12">
      <c r="C189" s="85" t="s">
        <v>28</v>
      </c>
      <c r="D189" s="85"/>
      <c r="E189" s="12">
        <v>1.3</v>
      </c>
      <c r="F189" s="13" t="s">
        <v>29</v>
      </c>
      <c r="G189" s="12">
        <v>1.76</v>
      </c>
      <c r="H189" s="13" t="s">
        <v>30</v>
      </c>
      <c r="I189" s="12">
        <v>0.46</v>
      </c>
      <c r="J189" s="13" t="s">
        <v>31</v>
      </c>
      <c r="K189" s="12">
        <f>ROUND(1/2*(E189+G189)*I189,2)</f>
        <v>0.7</v>
      </c>
    </row>
    <row r="190" spans="2:12">
      <c r="C190" s="85" t="s">
        <v>28</v>
      </c>
      <c r="D190" s="85"/>
      <c r="E190" s="12">
        <v>1.76</v>
      </c>
      <c r="F190" s="13" t="s">
        <v>29</v>
      </c>
      <c r="G190" s="12">
        <v>1.76</v>
      </c>
      <c r="H190" s="13" t="s">
        <v>30</v>
      </c>
      <c r="I190" s="12">
        <v>1.76</v>
      </c>
      <c r="J190" s="13" t="s">
        <v>31</v>
      </c>
      <c r="K190" s="12">
        <f t="shared" ref="K190:K191" si="17">ROUND(1/2*(E190+G190)*I190,2)</f>
        <v>3.1</v>
      </c>
    </row>
    <row r="191" spans="2:12">
      <c r="C191" s="85" t="s">
        <v>28</v>
      </c>
      <c r="D191" s="85"/>
      <c r="E191" s="12">
        <v>1.76</v>
      </c>
      <c r="F191" s="13" t="s">
        <v>29</v>
      </c>
      <c r="G191" s="12">
        <v>1.3</v>
      </c>
      <c r="H191" s="13" t="s">
        <v>30</v>
      </c>
      <c r="I191" s="12">
        <v>0.46</v>
      </c>
      <c r="J191" s="13" t="s">
        <v>31</v>
      </c>
      <c r="K191" s="12">
        <f t="shared" si="17"/>
        <v>0.7</v>
      </c>
    </row>
    <row r="192" spans="2:12">
      <c r="B192" s="14"/>
      <c r="C192" s="14"/>
      <c r="D192" s="14"/>
      <c r="E192" s="15"/>
      <c r="F192" s="14"/>
      <c r="G192" s="15"/>
      <c r="H192" s="16" t="s">
        <v>32</v>
      </c>
      <c r="I192" s="15">
        <f>SUM(I189:I191)</f>
        <v>2.68</v>
      </c>
      <c r="J192" s="16" t="s">
        <v>32</v>
      </c>
      <c r="K192" s="15">
        <f>SUM(K189:K191)</f>
        <v>4.5</v>
      </c>
      <c r="L192" s="14"/>
    </row>
    <row r="194" spans="2:12">
      <c r="D194" s="11" t="s">
        <v>33</v>
      </c>
      <c r="E194" s="12">
        <f>+K192</f>
        <v>4.5</v>
      </c>
      <c r="F194" s="13" t="s">
        <v>34</v>
      </c>
      <c r="G194" s="12">
        <f>+I192</f>
        <v>2.68</v>
      </c>
      <c r="H194" s="13" t="s">
        <v>31</v>
      </c>
      <c r="I194" s="12">
        <f>ROUND(E194/G194,2)</f>
        <v>1.68</v>
      </c>
      <c r="J194" s="11" t="s">
        <v>35</v>
      </c>
    </row>
    <row r="195" spans="2:12">
      <c r="B195" s="85" t="s">
        <v>36</v>
      </c>
      <c r="C195" s="85"/>
      <c r="D195" s="85"/>
      <c r="E195" s="12">
        <f>+I194</f>
        <v>1.68</v>
      </c>
      <c r="F195" s="13" t="s">
        <v>29</v>
      </c>
      <c r="G195" s="12">
        <v>0.4</v>
      </c>
      <c r="H195" s="13" t="s">
        <v>31</v>
      </c>
      <c r="I195" s="12">
        <f>+E195+G195</f>
        <v>2.08</v>
      </c>
      <c r="J195" s="11" t="s">
        <v>35</v>
      </c>
    </row>
    <row r="197" spans="2:12" ht="16.2">
      <c r="B197" s="10"/>
      <c r="D197" s="11" t="s">
        <v>57</v>
      </c>
    </row>
    <row r="198" spans="2:12" ht="16.2">
      <c r="B198" s="10"/>
    </row>
    <row r="199" spans="2:12" ht="16.2">
      <c r="B199" s="10" t="s">
        <v>53</v>
      </c>
      <c r="E199" s="11" t="s">
        <v>135</v>
      </c>
    </row>
    <row r="200" spans="2:12">
      <c r="C200" s="11" t="s">
        <v>27</v>
      </c>
    </row>
    <row r="201" spans="2:12">
      <c r="C201" s="85" t="s">
        <v>28</v>
      </c>
      <c r="D201" s="85"/>
      <c r="E201" s="12">
        <v>1.3</v>
      </c>
      <c r="F201" s="13" t="s">
        <v>29</v>
      </c>
      <c r="G201" s="12">
        <v>1.76</v>
      </c>
      <c r="H201" s="13" t="s">
        <v>30</v>
      </c>
      <c r="I201" s="12">
        <v>0.46</v>
      </c>
      <c r="J201" s="13" t="s">
        <v>31</v>
      </c>
      <c r="K201" s="12">
        <f>ROUND(1/2*(E201+G201)*I201,2)</f>
        <v>0.7</v>
      </c>
    </row>
    <row r="202" spans="2:12">
      <c r="C202" s="85" t="s">
        <v>28</v>
      </c>
      <c r="D202" s="85"/>
      <c r="E202" s="12">
        <v>1.76</v>
      </c>
      <c r="F202" s="13" t="s">
        <v>29</v>
      </c>
      <c r="G202" s="12">
        <v>1.76</v>
      </c>
      <c r="H202" s="13" t="s">
        <v>30</v>
      </c>
      <c r="I202" s="12">
        <v>6.27</v>
      </c>
      <c r="J202" s="13" t="s">
        <v>31</v>
      </c>
      <c r="K202" s="12">
        <f t="shared" ref="K202:K203" si="18">ROUND(1/2*(E202+G202)*I202,2)</f>
        <v>11.04</v>
      </c>
    </row>
    <row r="203" spans="2:12">
      <c r="C203" s="85" t="s">
        <v>28</v>
      </c>
      <c r="D203" s="85"/>
      <c r="E203" s="12">
        <v>1.76</v>
      </c>
      <c r="F203" s="13" t="s">
        <v>29</v>
      </c>
      <c r="G203" s="12">
        <v>1.3</v>
      </c>
      <c r="H203" s="13" t="s">
        <v>30</v>
      </c>
      <c r="I203" s="12">
        <v>0.46</v>
      </c>
      <c r="J203" s="13" t="s">
        <v>31</v>
      </c>
      <c r="K203" s="12">
        <f t="shared" si="18"/>
        <v>0.7</v>
      </c>
    </row>
    <row r="204" spans="2:12">
      <c r="B204" s="14"/>
      <c r="C204" s="14"/>
      <c r="D204" s="14"/>
      <c r="E204" s="15"/>
      <c r="F204" s="14"/>
      <c r="G204" s="15"/>
      <c r="H204" s="16" t="s">
        <v>32</v>
      </c>
      <c r="I204" s="15">
        <f>SUM(I201:I203)</f>
        <v>7.1899999999999995</v>
      </c>
      <c r="J204" s="16" t="s">
        <v>32</v>
      </c>
      <c r="K204" s="15">
        <f>SUM(K201:K203)</f>
        <v>12.439999999999998</v>
      </c>
      <c r="L204" s="14"/>
    </row>
    <row r="206" spans="2:12">
      <c r="D206" s="11" t="s">
        <v>33</v>
      </c>
      <c r="E206" s="12">
        <f>+K204</f>
        <v>12.439999999999998</v>
      </c>
      <c r="F206" s="13" t="s">
        <v>34</v>
      </c>
      <c r="G206" s="12">
        <f>+I204</f>
        <v>7.1899999999999995</v>
      </c>
      <c r="H206" s="13" t="s">
        <v>31</v>
      </c>
      <c r="I206" s="12">
        <f>ROUND(E206/G206,2)</f>
        <v>1.73</v>
      </c>
      <c r="J206" s="11" t="s">
        <v>35</v>
      </c>
    </row>
    <row r="207" spans="2:12">
      <c r="B207" s="85" t="s">
        <v>36</v>
      </c>
      <c r="C207" s="85"/>
      <c r="D207" s="85"/>
      <c r="E207" s="12">
        <f>+I206</f>
        <v>1.73</v>
      </c>
      <c r="F207" s="13" t="s">
        <v>29</v>
      </c>
      <c r="G207" s="12">
        <v>0.4</v>
      </c>
      <c r="H207" s="13" t="s">
        <v>31</v>
      </c>
      <c r="I207" s="12">
        <f>+E207+G207</f>
        <v>2.13</v>
      </c>
      <c r="J207" s="11" t="s">
        <v>35</v>
      </c>
    </row>
    <row r="209" spans="2:7" ht="16.2">
      <c r="B209" s="10"/>
      <c r="D209" s="11" t="s">
        <v>57</v>
      </c>
    </row>
    <row r="210" spans="2:7" ht="16.2">
      <c r="B210" s="10"/>
    </row>
    <row r="211" spans="2:7">
      <c r="B211" s="11" t="s">
        <v>142</v>
      </c>
    </row>
    <row r="213" spans="2:7">
      <c r="C213" s="11" t="s">
        <v>143</v>
      </c>
    </row>
    <row r="215" spans="2:7">
      <c r="C215" s="11" t="s">
        <v>144</v>
      </c>
      <c r="F215" s="11">
        <f>ROUND(+PI()/4*0.4*0.4*6,2)</f>
        <v>0.75</v>
      </c>
      <c r="G215" s="11" t="s">
        <v>145</v>
      </c>
    </row>
  </sheetData>
  <mergeCells count="78">
    <mergeCell ref="C179:D179"/>
    <mergeCell ref="B183:D183"/>
    <mergeCell ref="C202:D202"/>
    <mergeCell ref="C203:D203"/>
    <mergeCell ref="B207:D207"/>
    <mergeCell ref="C190:D190"/>
    <mergeCell ref="C191:D191"/>
    <mergeCell ref="B195:D195"/>
    <mergeCell ref="C201:D201"/>
    <mergeCell ref="C189:D189"/>
    <mergeCell ref="C167:D167"/>
    <mergeCell ref="B132:D132"/>
    <mergeCell ref="C138:D138"/>
    <mergeCell ref="C139:D139"/>
    <mergeCell ref="C140:D140"/>
    <mergeCell ref="B144:D144"/>
    <mergeCell ref="C150:D150"/>
    <mergeCell ref="C151:D151"/>
    <mergeCell ref="C152:D152"/>
    <mergeCell ref="B156:D156"/>
    <mergeCell ref="C165:D165"/>
    <mergeCell ref="C166:D166"/>
    <mergeCell ref="B171:D171"/>
    <mergeCell ref="C177:D177"/>
    <mergeCell ref="C178:D178"/>
    <mergeCell ref="B79:D79"/>
    <mergeCell ref="C85:D85"/>
    <mergeCell ref="C86:D86"/>
    <mergeCell ref="C128:D128"/>
    <mergeCell ref="B91:D91"/>
    <mergeCell ref="C97:D97"/>
    <mergeCell ref="C98:D98"/>
    <mergeCell ref="C99:D99"/>
    <mergeCell ref="B103:D103"/>
    <mergeCell ref="C112:D112"/>
    <mergeCell ref="C115:D115"/>
    <mergeCell ref="C116:D116"/>
    <mergeCell ref="B120:D120"/>
    <mergeCell ref="C126:D126"/>
    <mergeCell ref="C127:D127"/>
    <mergeCell ref="C114:D114"/>
    <mergeCell ref="C12:D12"/>
    <mergeCell ref="C8:D8"/>
    <mergeCell ref="C87:D87"/>
    <mergeCell ref="C21:D21"/>
    <mergeCell ref="C74:D74"/>
    <mergeCell ref="C75:D75"/>
    <mergeCell ref="C27:D27"/>
    <mergeCell ref="B31:D31"/>
    <mergeCell ref="H4:J4"/>
    <mergeCell ref="C4:D4"/>
    <mergeCell ref="C61:D61"/>
    <mergeCell ref="C18:D18"/>
    <mergeCell ref="C19:D19"/>
    <mergeCell ref="C20:D20"/>
    <mergeCell ref="C13:D13"/>
    <mergeCell ref="C14:D14"/>
    <mergeCell ref="C15:D15"/>
    <mergeCell ref="C16:D16"/>
    <mergeCell ref="C5:D5"/>
    <mergeCell ref="C6:D6"/>
    <mergeCell ref="C9:D9"/>
    <mergeCell ref="C10:D10"/>
    <mergeCell ref="C11:D11"/>
    <mergeCell ref="C49:D49"/>
    <mergeCell ref="C7:D7"/>
    <mergeCell ref="C113:D113"/>
    <mergeCell ref="C62:D62"/>
    <mergeCell ref="C63:D63"/>
    <mergeCell ref="B67:D67"/>
    <mergeCell ref="C73:D73"/>
    <mergeCell ref="C38:D38"/>
    <mergeCell ref="B42:D42"/>
    <mergeCell ref="C48:D48"/>
    <mergeCell ref="C51:D51"/>
    <mergeCell ref="B55:D55"/>
    <mergeCell ref="C50:D50"/>
    <mergeCell ref="C17:D17"/>
  </mergeCells>
  <phoneticPr fontId="1"/>
  <pageMargins left="0.70866141732283472" right="0.31496062992125984" top="0.74803149606299213" bottom="0.55118110236220474" header="0.31496062992125984" footer="0.31496062992125984"/>
  <pageSetup paperSize="9" orientation="portrait" r:id="rId1"/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延長集計表  採用(伏越削除)</vt:lpstr>
      <vt:lpstr>延長集計表</vt:lpstr>
      <vt:lpstr>伏せ越し部等</vt:lpstr>
      <vt:lpstr>延長集計表!Print_Area</vt:lpstr>
      <vt:lpstr>'延長集計表  採用(伏越削除)'!Print_Area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和田慎司</dc:creator>
  <cp:lastModifiedBy>Windows ユーザー</cp:lastModifiedBy>
  <cp:lastPrinted>2025-09-16T07:28:37Z</cp:lastPrinted>
  <dcterms:created xsi:type="dcterms:W3CDTF">2020-09-17T23:40:58Z</dcterms:created>
  <dcterms:modified xsi:type="dcterms:W3CDTF">2025-09-29T03:03:56Z</dcterms:modified>
</cp:coreProperties>
</file>
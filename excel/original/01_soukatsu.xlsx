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00282\Desktop\東白川特2高層配水池揚水管取替工事\【当初設計これをさわっていく】00成果品\数量計算書\"/>
    </mc:Choice>
  </mc:AlternateContent>
  <bookViews>
    <workbookView xWindow="0" yWindow="0" windowWidth="28800" windowHeight="12372" tabRatio="532" activeTab="1"/>
  </bookViews>
  <sheets>
    <sheet name="表紙" sheetId="86" r:id="rId1"/>
    <sheet name="総括表（管工事）" sheetId="85" r:id="rId2"/>
  </sheets>
  <definedNames>
    <definedName name="_xlnm.Print_Area" localSheetId="1">'総括表（管工事）'!$B$1:$K$194</definedName>
    <definedName name="範囲1" localSheetId="1">#REF!</definedName>
    <definedName name="範囲1">#REF!</definedName>
    <definedName name="範囲2" localSheetId="1">#REF!</definedName>
    <definedName name="範囲2">#REF!</definedName>
    <definedName name="範囲３" localSheetId="1">#REF!</definedName>
    <definedName name="範囲３">#REF!</definedName>
    <definedName name="範囲４" localSheetId="1">#REF!</definedName>
    <definedName name="範囲４">#REF!</definedName>
  </definedNames>
  <calcPr calcId="162913"/>
</workbook>
</file>

<file path=xl/calcChain.xml><?xml version="1.0" encoding="utf-8"?>
<calcChain xmlns="http://schemas.openxmlformats.org/spreadsheetml/2006/main">
  <c r="J124" i="85" l="1"/>
  <c r="J113" i="85"/>
  <c r="J112" i="85"/>
  <c r="J111" i="85"/>
  <c r="B135" i="85" l="1"/>
  <c r="B70" i="85"/>
  <c r="B5" i="85"/>
  <c r="K183" i="85" l="1"/>
  <c r="K175" i="85"/>
  <c r="K176" i="85"/>
  <c r="K177" i="85"/>
  <c r="K178" i="85"/>
  <c r="K179" i="85"/>
  <c r="K180" i="85"/>
  <c r="K181" i="85"/>
  <c r="K182" i="85"/>
  <c r="K174" i="85"/>
  <c r="K173" i="85"/>
  <c r="J115" i="85" l="1"/>
</calcChain>
</file>

<file path=xl/sharedStrings.xml><?xml version="1.0" encoding="utf-8"?>
<sst xmlns="http://schemas.openxmlformats.org/spreadsheetml/2006/main" count="177" uniqueCount="110">
  <si>
    <t>消火栓据付</t>
    <rPh sb="0" eb="3">
      <t>ショウカセン</t>
    </rPh>
    <rPh sb="3" eb="5">
      <t>スエツケ</t>
    </rPh>
    <phoneticPr fontId="2"/>
  </si>
  <si>
    <t>空気弁据付</t>
    <rPh sb="0" eb="2">
      <t>クウキ</t>
    </rPh>
    <rPh sb="2" eb="3">
      <t>ベン</t>
    </rPh>
    <rPh sb="3" eb="5">
      <t>スエツケ</t>
    </rPh>
    <phoneticPr fontId="2"/>
  </si>
  <si>
    <t>鋼管据付</t>
    <rPh sb="0" eb="1">
      <t>コウ</t>
    </rPh>
    <rPh sb="1" eb="2">
      <t>カン</t>
    </rPh>
    <rPh sb="2" eb="4">
      <t>スエツケ</t>
    </rPh>
    <phoneticPr fontId="2"/>
  </si>
  <si>
    <t>鋼管撤去</t>
    <rPh sb="0" eb="1">
      <t>コウ</t>
    </rPh>
    <rPh sb="1" eb="2">
      <t>カン</t>
    </rPh>
    <rPh sb="2" eb="4">
      <t>テッキョ</t>
    </rPh>
    <phoneticPr fontId="2"/>
  </si>
  <si>
    <t>φ75</t>
    <phoneticPr fontId="2"/>
  </si>
  <si>
    <t>φ100</t>
    <phoneticPr fontId="2"/>
  </si>
  <si>
    <t>φ150</t>
    <phoneticPr fontId="2"/>
  </si>
  <si>
    <t>φ200</t>
    <phoneticPr fontId="2"/>
  </si>
  <si>
    <t>メカニカル継手</t>
    <rPh sb="5" eb="7">
      <t>ツギテ</t>
    </rPh>
    <phoneticPr fontId="2"/>
  </si>
  <si>
    <t>φ75</t>
    <phoneticPr fontId="2"/>
  </si>
  <si>
    <t>φ100</t>
    <phoneticPr fontId="2"/>
  </si>
  <si>
    <t>φ150</t>
    <phoneticPr fontId="2"/>
  </si>
  <si>
    <t>φ200</t>
    <phoneticPr fontId="2"/>
  </si>
  <si>
    <t>φ75</t>
    <phoneticPr fontId="2"/>
  </si>
  <si>
    <t>φ100</t>
    <phoneticPr fontId="2"/>
  </si>
  <si>
    <t>φ150</t>
    <phoneticPr fontId="2"/>
  </si>
  <si>
    <t>φ200</t>
    <phoneticPr fontId="2"/>
  </si>
  <si>
    <t>φ300</t>
    <phoneticPr fontId="2"/>
  </si>
  <si>
    <t>φ400</t>
    <phoneticPr fontId="2"/>
  </si>
  <si>
    <t>鋳鉄管切断
（新　管）</t>
    <rPh sb="0" eb="2">
      <t>チュウテツ</t>
    </rPh>
    <rPh sb="2" eb="3">
      <t>カン</t>
    </rPh>
    <rPh sb="3" eb="5">
      <t>セツダン</t>
    </rPh>
    <rPh sb="7" eb="8">
      <t>シン</t>
    </rPh>
    <rPh sb="9" eb="10">
      <t>カン</t>
    </rPh>
    <phoneticPr fontId="2"/>
  </si>
  <si>
    <t>φ75</t>
    <phoneticPr fontId="2"/>
  </si>
  <si>
    <t>仕切弁据付
（車道部）</t>
    <rPh sb="0" eb="2">
      <t>シキ</t>
    </rPh>
    <rPh sb="2" eb="3">
      <t>ベン</t>
    </rPh>
    <rPh sb="3" eb="5">
      <t>スエツケ</t>
    </rPh>
    <rPh sb="7" eb="9">
      <t>シャドウ</t>
    </rPh>
    <rPh sb="9" eb="10">
      <t>ブ</t>
    </rPh>
    <phoneticPr fontId="2"/>
  </si>
  <si>
    <t>仕切弁据付
（歩道部）</t>
    <rPh sb="0" eb="2">
      <t>シキ</t>
    </rPh>
    <rPh sb="2" eb="3">
      <t>ベン</t>
    </rPh>
    <rPh sb="3" eb="5">
      <t>スエツケ</t>
    </rPh>
    <rPh sb="7" eb="9">
      <t>ホドウ</t>
    </rPh>
    <rPh sb="9" eb="10">
      <t>ブ</t>
    </rPh>
    <phoneticPr fontId="2"/>
  </si>
  <si>
    <t>バタフライ弁</t>
    <rPh sb="5" eb="6">
      <t>ベン</t>
    </rPh>
    <phoneticPr fontId="2"/>
  </si>
  <si>
    <t>名　称</t>
    <rPh sb="0" eb="1">
      <t>ナ</t>
    </rPh>
    <rPh sb="2" eb="3">
      <t>ショウ</t>
    </rPh>
    <phoneticPr fontId="2"/>
  </si>
  <si>
    <t>摘　要</t>
    <rPh sb="0" eb="1">
      <t>テキ</t>
    </rPh>
    <rPh sb="2" eb="3">
      <t>ヨウ</t>
    </rPh>
    <phoneticPr fontId="2"/>
  </si>
  <si>
    <t>鋳鉄管据付</t>
    <rPh sb="0" eb="3">
      <t>チュウテツカン</t>
    </rPh>
    <rPh sb="3" eb="5">
      <t>スエツケ</t>
    </rPh>
    <phoneticPr fontId="2"/>
  </si>
  <si>
    <t>鋳鉄管撤去</t>
    <rPh sb="0" eb="3">
      <t>チュウテツカン</t>
    </rPh>
    <rPh sb="3" eb="5">
      <t>テッキョ</t>
    </rPh>
    <phoneticPr fontId="2"/>
  </si>
  <si>
    <t>空気弁撤去</t>
    <rPh sb="0" eb="2">
      <t>クウキ</t>
    </rPh>
    <rPh sb="2" eb="3">
      <t>ベン</t>
    </rPh>
    <rPh sb="3" eb="5">
      <t>テッキョ</t>
    </rPh>
    <phoneticPr fontId="2"/>
  </si>
  <si>
    <t>単口</t>
    <rPh sb="0" eb="1">
      <t>タン</t>
    </rPh>
    <rPh sb="1" eb="2">
      <t>コウ</t>
    </rPh>
    <phoneticPr fontId="2"/>
  </si>
  <si>
    <t>特殊メカニカル継手</t>
    <rPh sb="0" eb="2">
      <t>トクシュ</t>
    </rPh>
    <rPh sb="7" eb="9">
      <t>ツギテ</t>
    </rPh>
    <phoneticPr fontId="2"/>
  </si>
  <si>
    <t>フランジ継手</t>
    <rPh sb="4" eb="6">
      <t>ツギテ</t>
    </rPh>
    <phoneticPr fontId="2"/>
  </si>
  <si>
    <t>備　考</t>
    <rPh sb="0" eb="1">
      <t>ソナエ</t>
    </rPh>
    <rPh sb="2" eb="3">
      <t>コウ</t>
    </rPh>
    <phoneticPr fontId="2"/>
  </si>
  <si>
    <t>数量総括表（管工事-1）</t>
    <rPh sb="0" eb="2">
      <t>スウリョウ</t>
    </rPh>
    <rPh sb="2" eb="4">
      <t>ソウカツ</t>
    </rPh>
    <rPh sb="4" eb="5">
      <t>ヒョウ</t>
    </rPh>
    <rPh sb="6" eb="7">
      <t>カン</t>
    </rPh>
    <rPh sb="7" eb="9">
      <t>コウジ</t>
    </rPh>
    <phoneticPr fontId="2"/>
  </si>
  <si>
    <t>配　水　管　管　工　事</t>
    <rPh sb="0" eb="1">
      <t>クバ</t>
    </rPh>
    <rPh sb="2" eb="3">
      <t>ミズ</t>
    </rPh>
    <rPh sb="4" eb="5">
      <t>カン</t>
    </rPh>
    <rPh sb="6" eb="7">
      <t>カン</t>
    </rPh>
    <rPh sb="8" eb="9">
      <t>コウ</t>
    </rPh>
    <rPh sb="10" eb="11">
      <t>コト</t>
    </rPh>
    <phoneticPr fontId="2"/>
  </si>
  <si>
    <t>数量総括表（管工事-2）</t>
    <rPh sb="0" eb="2">
      <t>スウリョウ</t>
    </rPh>
    <rPh sb="2" eb="4">
      <t>ソウカツ</t>
    </rPh>
    <rPh sb="4" eb="5">
      <t>ヒョウ</t>
    </rPh>
    <rPh sb="6" eb="7">
      <t>カン</t>
    </rPh>
    <rPh sb="7" eb="9">
      <t>コウジ</t>
    </rPh>
    <phoneticPr fontId="2"/>
  </si>
  <si>
    <t>鋳鉄管切断
（新管Ｔ・Ｋ）</t>
    <rPh sb="0" eb="3">
      <t>チュウテツカン</t>
    </rPh>
    <rPh sb="3" eb="5">
      <t>セツダン</t>
    </rPh>
    <rPh sb="7" eb="8">
      <t>シン</t>
    </rPh>
    <rPh sb="8" eb="9">
      <t>カン</t>
    </rPh>
    <phoneticPr fontId="2"/>
  </si>
  <si>
    <t>特殊タイトン
取外し</t>
    <rPh sb="0" eb="2">
      <t>トクシュ</t>
    </rPh>
    <rPh sb="7" eb="9">
      <t>トリハズ</t>
    </rPh>
    <phoneticPr fontId="2"/>
  </si>
  <si>
    <t>タイトン
取外し</t>
    <rPh sb="5" eb="7">
      <t>トリハズ</t>
    </rPh>
    <phoneticPr fontId="2"/>
  </si>
  <si>
    <t>メカニカル継手
取外し</t>
    <rPh sb="5" eb="7">
      <t>ツギテ</t>
    </rPh>
    <rPh sb="8" eb="10">
      <t>トリハズ</t>
    </rPh>
    <phoneticPr fontId="2"/>
  </si>
  <si>
    <t>SⅡ継手
取外し</t>
    <rPh sb="2" eb="4">
      <t>ツギテ</t>
    </rPh>
    <rPh sb="5" eb="7">
      <t>トリハズ</t>
    </rPh>
    <phoneticPr fontId="2"/>
  </si>
  <si>
    <t>フランジ継手
取外し</t>
    <rPh sb="4" eb="6">
      <t>ツギテ</t>
    </rPh>
    <rPh sb="7" eb="9">
      <t>トリハズ</t>
    </rPh>
    <phoneticPr fontId="2"/>
  </si>
  <si>
    <t>数量総括表（管工事-3）</t>
    <rPh sb="0" eb="2">
      <t>スウリョウ</t>
    </rPh>
    <rPh sb="2" eb="4">
      <t>ソウカツ</t>
    </rPh>
    <rPh sb="4" eb="5">
      <t>ヒョウ</t>
    </rPh>
    <rPh sb="6" eb="7">
      <t>カン</t>
    </rPh>
    <rPh sb="7" eb="9">
      <t>コウジ</t>
    </rPh>
    <phoneticPr fontId="2"/>
  </si>
  <si>
    <t>管工事</t>
    <rPh sb="0" eb="1">
      <t>カン</t>
    </rPh>
    <rPh sb="1" eb="3">
      <t>コウジ</t>
    </rPh>
    <phoneticPr fontId="2"/>
  </si>
  <si>
    <t>消火栓撤去</t>
    <rPh sb="0" eb="3">
      <t>ショウカセン</t>
    </rPh>
    <rPh sb="3" eb="5">
      <t>テッキョ</t>
    </rPh>
    <phoneticPr fontId="2"/>
  </si>
  <si>
    <t>仕切弁撤去</t>
    <rPh sb="0" eb="3">
      <t>シキリベン</t>
    </rPh>
    <rPh sb="3" eb="5">
      <t>テッキョ</t>
    </rPh>
    <phoneticPr fontId="2"/>
  </si>
  <si>
    <t>特殊メカニカル
継手取外し</t>
    <rPh sb="0" eb="2">
      <t>トクシュ</t>
    </rPh>
    <rPh sb="8" eb="10">
      <t>ツギテ</t>
    </rPh>
    <rPh sb="10" eb="12">
      <t>トリハズ</t>
    </rPh>
    <phoneticPr fontId="2"/>
  </si>
  <si>
    <t>工事名：</t>
    <rPh sb="0" eb="2">
      <t>コウジ</t>
    </rPh>
    <rPh sb="2" eb="3">
      <t>メイ</t>
    </rPh>
    <phoneticPr fontId="2"/>
  </si>
  <si>
    <t>事業名：</t>
    <rPh sb="0" eb="2">
      <t>ジギョウ</t>
    </rPh>
    <rPh sb="2" eb="3">
      <t>メイ</t>
    </rPh>
    <phoneticPr fontId="2"/>
  </si>
  <si>
    <t>工事番号：</t>
    <rPh sb="0" eb="2">
      <t>コウジ</t>
    </rPh>
    <rPh sb="2" eb="4">
      <t>バンゴウ</t>
    </rPh>
    <phoneticPr fontId="2"/>
  </si>
  <si>
    <t>　数　量　計　算　書　</t>
    <rPh sb="1" eb="2">
      <t>カズ</t>
    </rPh>
    <rPh sb="3" eb="4">
      <t>リョウ</t>
    </rPh>
    <rPh sb="5" eb="6">
      <t>ケイ</t>
    </rPh>
    <rPh sb="7" eb="8">
      <t>ザン</t>
    </rPh>
    <rPh sb="9" eb="10">
      <t>ショ</t>
    </rPh>
    <phoneticPr fontId="2"/>
  </si>
  <si>
    <t>工事場所：</t>
    <rPh sb="0" eb="2">
      <t>コウジ</t>
    </rPh>
    <rPh sb="2" eb="4">
      <t>バショ</t>
    </rPh>
    <phoneticPr fontId="2"/>
  </si>
  <si>
    <t>×</t>
    <phoneticPr fontId="2"/>
  </si>
  <si>
    <t>鋳鉄管切断
（撤去管）
FC</t>
    <rPh sb="0" eb="3">
      <t>チュウテツカン</t>
    </rPh>
    <rPh sb="3" eb="5">
      <t>セツダン</t>
    </rPh>
    <rPh sb="7" eb="9">
      <t>テッキョ</t>
    </rPh>
    <rPh sb="9" eb="10">
      <t>カン</t>
    </rPh>
    <phoneticPr fontId="2"/>
  </si>
  <si>
    <t>φ150</t>
  </si>
  <si>
    <t>φ200</t>
  </si>
  <si>
    <t>φ300</t>
  </si>
  <si>
    <t>φ75</t>
  </si>
  <si>
    <t>ポリエチレン管据付</t>
    <rPh sb="6" eb="7">
      <t>カン</t>
    </rPh>
    <rPh sb="7" eb="9">
      <t>スエツケ</t>
    </rPh>
    <phoneticPr fontId="2"/>
  </si>
  <si>
    <t>ポリエチレン管
EF継手(1口)</t>
    <rPh sb="6" eb="7">
      <t>カン</t>
    </rPh>
    <rPh sb="10" eb="11">
      <t>ツ</t>
    </rPh>
    <rPh sb="11" eb="12">
      <t>テ</t>
    </rPh>
    <rPh sb="14" eb="15">
      <t>クチ</t>
    </rPh>
    <phoneticPr fontId="2"/>
  </si>
  <si>
    <t>ポリエチレン管
EF継手(2口)</t>
    <rPh sb="6" eb="7">
      <t>カン</t>
    </rPh>
    <rPh sb="10" eb="11">
      <t>ツ</t>
    </rPh>
    <rPh sb="11" eb="12">
      <t>テ</t>
    </rPh>
    <rPh sb="14" eb="15">
      <t>クチ</t>
    </rPh>
    <phoneticPr fontId="2"/>
  </si>
  <si>
    <t>撤去延長/6</t>
    <rPh sb="0" eb="2">
      <t>テッキョ</t>
    </rPh>
    <rPh sb="2" eb="4">
      <t>エンチョウ</t>
    </rPh>
    <phoneticPr fontId="2"/>
  </si>
  <si>
    <t>塩化ビニル管据付</t>
    <rPh sb="0" eb="2">
      <t>エンカ</t>
    </rPh>
    <rPh sb="5" eb="6">
      <t>カン</t>
    </rPh>
    <rPh sb="6" eb="7">
      <t>ス</t>
    </rPh>
    <rPh sb="7" eb="8">
      <t>ツ</t>
    </rPh>
    <phoneticPr fontId="2"/>
  </si>
  <si>
    <t>φ75</t>
    <phoneticPr fontId="2"/>
  </si>
  <si>
    <t>塩化ビニル管継手</t>
    <rPh sb="5" eb="6">
      <t>カン</t>
    </rPh>
    <rPh sb="6" eb="8">
      <t>ツギテ</t>
    </rPh>
    <phoneticPr fontId="2"/>
  </si>
  <si>
    <t>ポリエチレン管切断</t>
    <rPh sb="6" eb="7">
      <t>カン</t>
    </rPh>
    <rPh sb="7" eb="9">
      <t>セツダン</t>
    </rPh>
    <phoneticPr fontId="2"/>
  </si>
  <si>
    <t>φ100</t>
    <phoneticPr fontId="2"/>
  </si>
  <si>
    <t>×××-×××-××××</t>
    <phoneticPr fontId="2"/>
  </si>
  <si>
    <t>GX継手
（直部）</t>
    <rPh sb="2" eb="4">
      <t>ツギテ</t>
    </rPh>
    <rPh sb="6" eb="7">
      <t>チョク</t>
    </rPh>
    <rPh sb="7" eb="8">
      <t>ブ</t>
    </rPh>
    <phoneticPr fontId="2"/>
  </si>
  <si>
    <t>GX継手
（異形部）</t>
    <rPh sb="2" eb="4">
      <t>ツギテ</t>
    </rPh>
    <rPh sb="6" eb="8">
      <t>イケイ</t>
    </rPh>
    <rPh sb="8" eb="9">
      <t>ブ</t>
    </rPh>
    <phoneticPr fontId="2"/>
  </si>
  <si>
    <t>GX継手
取外し
（直部）</t>
    <rPh sb="2" eb="4">
      <t>ツギテ</t>
    </rPh>
    <rPh sb="5" eb="7">
      <t>トリハズ</t>
    </rPh>
    <rPh sb="10" eb="11">
      <t>チョク</t>
    </rPh>
    <rPh sb="11" eb="12">
      <t>ブ</t>
    </rPh>
    <phoneticPr fontId="2"/>
  </si>
  <si>
    <t>GX継手
取外し
（異形部）</t>
    <rPh sb="2" eb="4">
      <t>ツギテ</t>
    </rPh>
    <rPh sb="5" eb="7">
      <t>トリハズ</t>
    </rPh>
    <rPh sb="10" eb="12">
      <t>イケイ</t>
    </rPh>
    <rPh sb="12" eb="13">
      <t>ブ</t>
    </rPh>
    <phoneticPr fontId="2"/>
  </si>
  <si>
    <t>GX継手
取外し
（継輪部）</t>
    <rPh sb="2" eb="4">
      <t>ツギテ</t>
    </rPh>
    <rPh sb="5" eb="7">
      <t>トリハズ</t>
    </rPh>
    <rPh sb="10" eb="11">
      <t>ツ</t>
    </rPh>
    <rPh sb="11" eb="12">
      <t>ワ</t>
    </rPh>
    <rPh sb="12" eb="13">
      <t>ブ</t>
    </rPh>
    <phoneticPr fontId="2"/>
  </si>
  <si>
    <t>GX継手
取外し
（帽）</t>
    <rPh sb="2" eb="4">
      <t>ツギテ</t>
    </rPh>
    <rPh sb="5" eb="7">
      <t>トリハズ</t>
    </rPh>
    <rPh sb="10" eb="11">
      <t>ボウ</t>
    </rPh>
    <phoneticPr fontId="2"/>
  </si>
  <si>
    <t>挿口加工費
（GX形）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phoneticPr fontId="2"/>
  </si>
  <si>
    <t>挿口加工費
（GX形）
溝切加工のみ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2" eb="13">
      <t>ミゾ</t>
    </rPh>
    <rPh sb="13" eb="14">
      <t>キリ</t>
    </rPh>
    <rPh sb="14" eb="16">
      <t>カコウ</t>
    </rPh>
    <phoneticPr fontId="2"/>
  </si>
  <si>
    <t>挿口加工費
（GX形）
リング取付のみ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5" eb="17">
      <t>トリツケ</t>
    </rPh>
    <phoneticPr fontId="2"/>
  </si>
  <si>
    <t>×</t>
  </si>
  <si>
    <t>不断水式
管路遮断弁設置</t>
    <rPh sb="0" eb="3">
      <t>フダンスイ</t>
    </rPh>
    <rPh sb="3" eb="4">
      <t>シキ</t>
    </rPh>
    <rPh sb="5" eb="7">
      <t>カンロ</t>
    </rPh>
    <rPh sb="7" eb="9">
      <t>シャダン</t>
    </rPh>
    <rPh sb="9" eb="10">
      <t>ベン</t>
    </rPh>
    <rPh sb="10" eb="12">
      <t>セッチ</t>
    </rPh>
    <phoneticPr fontId="2"/>
  </si>
  <si>
    <t>割丁字管設置
(管工事用)</t>
    <rPh sb="0" eb="1">
      <t>ワリ</t>
    </rPh>
    <rPh sb="1" eb="3">
      <t>テイジ</t>
    </rPh>
    <rPh sb="3" eb="4">
      <t>カン</t>
    </rPh>
    <rPh sb="4" eb="6">
      <t>セッチ</t>
    </rPh>
    <rPh sb="8" eb="11">
      <t>カンコウジ</t>
    </rPh>
    <rPh sb="11" eb="12">
      <t>ヨウ</t>
    </rPh>
    <phoneticPr fontId="2"/>
  </si>
  <si>
    <t>GX継手
（特殊押輪部）</t>
    <rPh sb="2" eb="4">
      <t>ツギテ</t>
    </rPh>
    <rPh sb="6" eb="8">
      <t>トクシュ</t>
    </rPh>
    <rPh sb="8" eb="10">
      <t>オシワ</t>
    </rPh>
    <rPh sb="10" eb="11">
      <t>ブ</t>
    </rPh>
    <phoneticPr fontId="2"/>
  </si>
  <si>
    <t>G-Link</t>
    <phoneticPr fontId="2"/>
  </si>
  <si>
    <t>東白川特２高層配水池揚水管取替工事</t>
    <rPh sb="0" eb="1">
      <t>ヒガシ</t>
    </rPh>
    <rPh sb="1" eb="3">
      <t>シラカワ</t>
    </rPh>
    <rPh sb="3" eb="4">
      <t>トク</t>
    </rPh>
    <rPh sb="5" eb="7">
      <t>コウソウ</t>
    </rPh>
    <rPh sb="7" eb="10">
      <t>ハイスイチ</t>
    </rPh>
    <rPh sb="10" eb="13">
      <t>ヨウスイカン</t>
    </rPh>
    <rPh sb="13" eb="17">
      <t>トリカエコウジ</t>
    </rPh>
    <phoneticPr fontId="2"/>
  </si>
  <si>
    <t>基幹施設整備事業</t>
    <rPh sb="0" eb="2">
      <t>キカン</t>
    </rPh>
    <rPh sb="2" eb="4">
      <t>シセツ</t>
    </rPh>
    <rPh sb="4" eb="6">
      <t>セイビ</t>
    </rPh>
    <rPh sb="6" eb="8">
      <t>ジギョウ</t>
    </rPh>
    <phoneticPr fontId="2"/>
  </si>
  <si>
    <t>神戸市 須磨区東白川台他</t>
    <rPh sb="4" eb="7">
      <t>スマク</t>
    </rPh>
    <rPh sb="7" eb="8">
      <t>ヒガシ</t>
    </rPh>
    <rPh sb="8" eb="11">
      <t>シラカワダイ</t>
    </rPh>
    <rPh sb="11" eb="12">
      <t>タ</t>
    </rPh>
    <phoneticPr fontId="2"/>
  </si>
  <si>
    <t>排水管</t>
    <rPh sb="0" eb="3">
      <t>ハイスイカン</t>
    </rPh>
    <phoneticPr fontId="2"/>
  </si>
  <si>
    <t>電送管据付</t>
    <rPh sb="0" eb="3">
      <t>デンソウカン</t>
    </rPh>
    <rPh sb="3" eb="5">
      <t>スエツケ</t>
    </rPh>
    <phoneticPr fontId="2"/>
  </si>
  <si>
    <t>φ80（FEP)</t>
    <phoneticPr fontId="2"/>
  </si>
  <si>
    <t>電送管撤去</t>
    <rPh sb="0" eb="3">
      <t>デンソウカン</t>
    </rPh>
    <rPh sb="3" eb="5">
      <t>テッキョ</t>
    </rPh>
    <phoneticPr fontId="2"/>
  </si>
  <si>
    <t>φ82（VE)</t>
    <phoneticPr fontId="2"/>
  </si>
  <si>
    <t>VE管切断
（撤去管）</t>
    <rPh sb="2" eb="3">
      <t>カン</t>
    </rPh>
    <rPh sb="3" eb="5">
      <t>セツダン</t>
    </rPh>
    <rPh sb="7" eb="10">
      <t>テッキョカン</t>
    </rPh>
    <phoneticPr fontId="2"/>
  </si>
  <si>
    <t>1079.4m×2条</t>
    <rPh sb="9" eb="10">
      <t>ジョウ</t>
    </rPh>
    <phoneticPr fontId="2"/>
  </si>
  <si>
    <t>補修弁 2有</t>
  </si>
  <si>
    <t>F短管 有</t>
  </si>
  <si>
    <t>φ25 16k</t>
    <phoneticPr fontId="2"/>
  </si>
  <si>
    <t>φ75　10k</t>
    <phoneticPr fontId="2"/>
  </si>
  <si>
    <t>φ75　16k</t>
    <phoneticPr fontId="2"/>
  </si>
  <si>
    <t xml:space="preserve">鋼管切断
（撤去管）
</t>
    <rPh sb="0" eb="2">
      <t>コウカン</t>
    </rPh>
    <rPh sb="2" eb="4">
      <t>セツダン</t>
    </rPh>
    <rPh sb="6" eb="8">
      <t>テッキョ</t>
    </rPh>
    <rPh sb="8" eb="9">
      <t>カン</t>
    </rPh>
    <phoneticPr fontId="2"/>
  </si>
  <si>
    <t>挿口加工費
（NS形）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phoneticPr fontId="2"/>
  </si>
  <si>
    <t>挿口加工費
（NS形）
溝切加工のみ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2" eb="13">
      <t>ミゾ</t>
    </rPh>
    <rPh sb="13" eb="14">
      <t>キリ</t>
    </rPh>
    <rPh sb="14" eb="16">
      <t>カコウ</t>
    </rPh>
    <phoneticPr fontId="2"/>
  </si>
  <si>
    <t>挿口加工費
（NS形）
リング取付のみ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5" eb="17">
      <t>トリツケ</t>
    </rPh>
    <phoneticPr fontId="2"/>
  </si>
  <si>
    <t>20K</t>
    <phoneticPr fontId="2"/>
  </si>
  <si>
    <t>ステンレス鋼管
現場溶接</t>
    <rPh sb="5" eb="7">
      <t>コウカン</t>
    </rPh>
    <rPh sb="8" eb="10">
      <t>ゲンバ</t>
    </rPh>
    <rPh sb="10" eb="12">
      <t>ヨウセツ</t>
    </rPh>
    <phoneticPr fontId="2"/>
  </si>
  <si>
    <t>φ80</t>
    <phoneticPr fontId="2"/>
  </si>
  <si>
    <t>16K(絶縁)</t>
    <rPh sb="4" eb="6">
      <t>ゼツエン</t>
    </rPh>
    <phoneticPr fontId="2"/>
  </si>
  <si>
    <t>φ300</t>
    <phoneticPr fontId="2"/>
  </si>
  <si>
    <t>φ400</t>
    <phoneticPr fontId="2"/>
  </si>
  <si>
    <t>鋼管現場溶接</t>
    <rPh sb="0" eb="2">
      <t>コウカン</t>
    </rPh>
    <rPh sb="2" eb="4">
      <t>ゲンバ</t>
    </rPh>
    <rPh sb="4" eb="6">
      <t>ヨウセツ</t>
    </rPh>
    <phoneticPr fontId="2"/>
  </si>
  <si>
    <t>閉塞蓋部</t>
    <rPh sb="0" eb="2">
      <t>ヘイソク</t>
    </rPh>
    <rPh sb="2" eb="3">
      <t>フタ</t>
    </rPh>
    <rPh sb="3" eb="4">
      <t>ブ</t>
    </rPh>
    <phoneticPr fontId="2"/>
  </si>
  <si>
    <t>〃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</si>
</sst>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#,##0.0_);[Red]\(#,##0.0\)"/>
    <numFmt numFmtId="177" formatCode="#,##0_);[Red]\(#,##0\)"/>
    <numFmt numFmtId="178" formatCode="#,##0.00_ "/>
    <numFmt numFmtId="179" formatCode="&quot;φ&quot;0"/>
    <numFmt numFmtId="180" formatCode="&quot;T&quot;0000"/>
    <numFmt numFmtId="181" formatCode="&quot;令和　&quot;#,##0&quot;　年度&quot;"/>
    <numFmt numFmtId="182" formatCode="0.0_ 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8"/>
      <name val="ＭＳ Ｐゴシック"/>
      <family val="3"/>
      <charset val="128"/>
    </font>
    <font>
      <u/>
      <sz val="2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56">
    <xf numFmtId="0" fontId="0" fillId="0" borderId="0" xfId="0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178" fontId="5" fillId="0" borderId="2" xfId="0" applyNumberFormat="1" applyFont="1" applyFill="1" applyBorder="1" applyAlignment="1">
      <alignment vertical="center" shrinkToFit="1"/>
    </xf>
    <xf numFmtId="178" fontId="5" fillId="0" borderId="9" xfId="0" applyNumberFormat="1" applyFont="1" applyFill="1" applyBorder="1" applyAlignment="1">
      <alignment vertical="center" shrinkToFit="1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15" xfId="0" applyFont="1" applyFill="1" applyBorder="1" applyAlignment="1">
      <alignment horizontal="center" vertical="center" shrinkToFit="1"/>
    </xf>
    <xf numFmtId="0" fontId="6" fillId="0" borderId="0" xfId="0" applyFont="1" applyFill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176" fontId="5" fillId="0" borderId="0" xfId="0" applyNumberFormat="1" applyFont="1" applyFill="1" applyAlignment="1">
      <alignment vertical="center" shrinkToFit="1"/>
    </xf>
    <xf numFmtId="178" fontId="5" fillId="0" borderId="16" xfId="0" applyNumberFormat="1" applyFont="1" applyFill="1" applyBorder="1" applyAlignment="1">
      <alignment vertical="center" shrinkToFit="1"/>
    </xf>
    <xf numFmtId="178" fontId="5" fillId="0" borderId="17" xfId="0" applyNumberFormat="1" applyFont="1" applyFill="1" applyBorder="1" applyAlignment="1">
      <alignment vertical="center" shrinkToFit="1"/>
    </xf>
    <xf numFmtId="0" fontId="5" fillId="0" borderId="3" xfId="0" applyFont="1" applyFill="1" applyBorder="1" applyAlignment="1">
      <alignment vertical="center" shrinkToFit="1"/>
    </xf>
    <xf numFmtId="0" fontId="5" fillId="0" borderId="1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4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5" fillId="0" borderId="0" xfId="0" applyFont="1" applyBorder="1" applyAlignment="1">
      <alignment vertical="center"/>
    </xf>
    <xf numFmtId="179" fontId="5" fillId="0" borderId="1" xfId="0" applyNumberFormat="1" applyFont="1" applyFill="1" applyBorder="1" applyAlignment="1">
      <alignment horizontal="left" vertical="center" shrinkToFit="1"/>
    </xf>
    <xf numFmtId="178" fontId="5" fillId="0" borderId="21" xfId="0" applyNumberFormat="1" applyFont="1" applyFill="1" applyBorder="1" applyAlignment="1">
      <alignment vertical="center" shrinkToFit="1"/>
    </xf>
    <xf numFmtId="0" fontId="5" fillId="0" borderId="19" xfId="0" applyFont="1" applyFill="1" applyBorder="1" applyAlignment="1">
      <alignment vertical="center" shrinkToFit="1"/>
    </xf>
    <xf numFmtId="179" fontId="5" fillId="0" borderId="4" xfId="0" applyNumberFormat="1" applyFont="1" applyFill="1" applyBorder="1" applyAlignment="1">
      <alignment horizontal="left" vertical="center" shrinkToFit="1"/>
    </xf>
    <xf numFmtId="178" fontId="5" fillId="0" borderId="22" xfId="0" applyNumberFormat="1" applyFont="1" applyFill="1" applyBorder="1" applyAlignment="1">
      <alignment vertical="center" shrinkToFit="1"/>
    </xf>
    <xf numFmtId="179" fontId="5" fillId="0" borderId="5" xfId="0" applyNumberFormat="1" applyFont="1" applyFill="1" applyBorder="1" applyAlignment="1">
      <alignment horizontal="left" vertical="center" shrinkToFit="1"/>
    </xf>
    <xf numFmtId="0" fontId="5" fillId="0" borderId="5" xfId="0" applyFont="1" applyFill="1" applyBorder="1" applyAlignment="1">
      <alignment vertical="center" shrinkToFit="1"/>
    </xf>
    <xf numFmtId="0" fontId="5" fillId="0" borderId="23" xfId="0" applyFont="1" applyFill="1" applyBorder="1" applyAlignment="1">
      <alignment horizontal="center" vertical="center" shrinkToFit="1"/>
    </xf>
    <xf numFmtId="0" fontId="5" fillId="0" borderId="24" xfId="0" applyFont="1" applyFill="1" applyBorder="1" applyAlignment="1">
      <alignment horizontal="center" vertical="center" shrinkToFit="1"/>
    </xf>
    <xf numFmtId="176" fontId="5" fillId="0" borderId="24" xfId="0" applyNumberFormat="1" applyFont="1" applyFill="1" applyBorder="1" applyAlignment="1">
      <alignment horizontal="center" vertical="center" shrinkToFit="1"/>
    </xf>
    <xf numFmtId="178" fontId="5" fillId="0" borderId="25" xfId="0" applyNumberFormat="1" applyFont="1" applyFill="1" applyBorder="1" applyAlignment="1">
      <alignment vertical="center" shrinkToFit="1"/>
    </xf>
    <xf numFmtId="179" fontId="5" fillId="0" borderId="3" xfId="0" applyNumberFormat="1" applyFont="1" applyFill="1" applyBorder="1" applyAlignment="1">
      <alignment horizontal="left" vertical="center" shrinkToFit="1"/>
    </xf>
    <xf numFmtId="0" fontId="5" fillId="0" borderId="26" xfId="0" applyFont="1" applyFill="1" applyBorder="1" applyAlignment="1">
      <alignment vertical="center" shrinkToFit="1"/>
    </xf>
    <xf numFmtId="0" fontId="5" fillId="0" borderId="27" xfId="0" applyFont="1" applyFill="1" applyBorder="1" applyAlignment="1">
      <alignment vertical="center" shrinkToFit="1"/>
    </xf>
    <xf numFmtId="178" fontId="5" fillId="0" borderId="28" xfId="0" applyNumberFormat="1" applyFont="1" applyFill="1" applyBorder="1" applyAlignment="1">
      <alignment vertical="center" shrinkToFit="1"/>
    </xf>
    <xf numFmtId="179" fontId="5" fillId="0" borderId="27" xfId="0" applyNumberFormat="1" applyFont="1" applyFill="1" applyBorder="1" applyAlignment="1">
      <alignment horizontal="left" vertical="center" shrinkToFit="1"/>
    </xf>
    <xf numFmtId="0" fontId="5" fillId="0" borderId="20" xfId="0" applyFont="1" applyFill="1" applyBorder="1" applyAlignment="1">
      <alignment vertical="center" shrinkToFit="1"/>
    </xf>
    <xf numFmtId="178" fontId="5" fillId="0" borderId="29" xfId="0" applyNumberFormat="1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shrinkToFit="1"/>
    </xf>
    <xf numFmtId="0" fontId="5" fillId="2" borderId="4" xfId="0" applyFont="1" applyFill="1" applyBorder="1" applyAlignment="1">
      <alignment vertical="center" shrinkToFit="1"/>
    </xf>
    <xf numFmtId="0" fontId="5" fillId="0" borderId="28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1" fillId="0" borderId="0" xfId="1" applyAlignment="1"/>
    <xf numFmtId="0" fontId="1" fillId="0" borderId="0" xfId="1">
      <alignment vertical="center"/>
    </xf>
    <xf numFmtId="0" fontId="7" fillId="0" borderId="32" xfId="1" applyFont="1" applyBorder="1" applyAlignment="1">
      <alignment horizont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7" fillId="0" borderId="33" xfId="1" applyFont="1" applyBorder="1" applyAlignment="1">
      <alignment horizontal="center"/>
    </xf>
    <xf numFmtId="179" fontId="5" fillId="0" borderId="42" xfId="0" applyNumberFormat="1" applyFont="1" applyFill="1" applyBorder="1" applyAlignment="1">
      <alignment horizontal="left" vertical="center" shrinkToFit="1"/>
    </xf>
    <xf numFmtId="178" fontId="5" fillId="0" borderId="44" xfId="0" applyNumberFormat="1" applyFont="1" applyFill="1" applyBorder="1" applyAlignment="1">
      <alignment vertical="center" shrinkToFit="1"/>
    </xf>
    <xf numFmtId="0" fontId="5" fillId="0" borderId="25" xfId="0" applyFont="1" applyFill="1" applyBorder="1" applyAlignment="1">
      <alignment vertical="center" shrinkToFit="1"/>
    </xf>
    <xf numFmtId="179" fontId="5" fillId="0" borderId="24" xfId="0" applyNumberFormat="1" applyFont="1" applyFill="1" applyBorder="1" applyAlignment="1">
      <alignment horizontal="left" vertical="center" shrinkToFit="1"/>
    </xf>
    <xf numFmtId="176" fontId="5" fillId="2" borderId="24" xfId="0" applyNumberFormat="1" applyFont="1" applyFill="1" applyBorder="1" applyAlignment="1">
      <alignment vertical="center" shrinkToFit="1"/>
    </xf>
    <xf numFmtId="178" fontId="5" fillId="0" borderId="15" xfId="0" applyNumberFormat="1" applyFont="1" applyFill="1" applyBorder="1" applyAlignment="1">
      <alignment vertical="center" shrinkToFit="1"/>
    </xf>
    <xf numFmtId="0" fontId="5" fillId="2" borderId="3" xfId="0" applyFont="1" applyFill="1" applyBorder="1" applyAlignment="1">
      <alignment vertical="center" shrinkToFit="1"/>
    </xf>
    <xf numFmtId="0" fontId="5" fillId="0" borderId="16" xfId="0" applyFont="1" applyFill="1" applyBorder="1" applyAlignment="1">
      <alignment vertical="center" shrinkToFit="1"/>
    </xf>
    <xf numFmtId="179" fontId="5" fillId="0" borderId="6" xfId="0" applyNumberFormat="1" applyFont="1" applyFill="1" applyBorder="1" applyAlignment="1">
      <alignment vertical="center" shrinkToFit="1"/>
    </xf>
    <xf numFmtId="179" fontId="5" fillId="0" borderId="11" xfId="0" applyNumberFormat="1" applyFont="1" applyFill="1" applyBorder="1" applyAlignment="1">
      <alignment vertical="center" shrinkToFit="1"/>
    </xf>
    <xf numFmtId="179" fontId="5" fillId="0" borderId="2" xfId="0" applyNumberFormat="1" applyFont="1" applyFill="1" applyBorder="1" applyAlignment="1">
      <alignment vertical="center" shrinkToFit="1"/>
    </xf>
    <xf numFmtId="179" fontId="5" fillId="0" borderId="12" xfId="0" applyNumberFormat="1" applyFont="1" applyFill="1" applyBorder="1" applyAlignment="1">
      <alignment vertical="center" shrinkToFit="1"/>
    </xf>
    <xf numFmtId="179" fontId="5" fillId="0" borderId="9" xfId="0" applyNumberFormat="1" applyFont="1" applyFill="1" applyBorder="1" applyAlignment="1">
      <alignment vertical="center" shrinkToFit="1"/>
    </xf>
    <xf numFmtId="179" fontId="5" fillId="0" borderId="13" xfId="0" applyNumberFormat="1" applyFont="1" applyFill="1" applyBorder="1" applyAlignment="1">
      <alignment vertical="center" shrinkToFit="1"/>
    </xf>
    <xf numFmtId="179" fontId="5" fillId="0" borderId="7" xfId="0" applyNumberFormat="1" applyFont="1" applyFill="1" applyBorder="1" applyAlignment="1">
      <alignment horizontal="center" vertical="center" shrinkToFit="1"/>
    </xf>
    <xf numFmtId="179" fontId="5" fillId="0" borderId="8" xfId="0" applyNumberFormat="1" applyFont="1" applyFill="1" applyBorder="1" applyAlignment="1">
      <alignment horizontal="center" vertical="center" shrinkToFit="1"/>
    </xf>
    <xf numFmtId="179" fontId="5" fillId="0" borderId="10" xfId="0" applyNumberFormat="1" applyFont="1" applyFill="1" applyBorder="1" applyAlignment="1">
      <alignment horizontal="center" vertical="center" shrinkToFit="1"/>
    </xf>
    <xf numFmtId="0" fontId="5" fillId="0" borderId="45" xfId="0" applyFont="1" applyFill="1" applyBorder="1" applyAlignment="1">
      <alignment vertical="center" shrinkToFit="1"/>
    </xf>
    <xf numFmtId="0" fontId="5" fillId="2" borderId="45" xfId="0" applyFont="1" applyFill="1" applyBorder="1" applyAlignment="1">
      <alignment vertical="center" shrinkToFit="1"/>
    </xf>
    <xf numFmtId="180" fontId="5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 shrinkToFit="1"/>
    </xf>
    <xf numFmtId="179" fontId="5" fillId="0" borderId="2" xfId="0" applyNumberFormat="1" applyFont="1" applyFill="1" applyBorder="1" applyAlignment="1">
      <alignment horizontal="left" vertical="center" shrinkToFit="1"/>
    </xf>
    <xf numFmtId="176" fontId="5" fillId="2" borderId="1" xfId="0" applyNumberFormat="1" applyFont="1" applyFill="1" applyBorder="1" applyAlignment="1">
      <alignment vertical="center" shrinkToFit="1"/>
    </xf>
    <xf numFmtId="176" fontId="5" fillId="2" borderId="4" xfId="0" applyNumberFormat="1" applyFont="1" applyFill="1" applyBorder="1" applyAlignment="1">
      <alignment vertical="center" shrinkToFit="1"/>
    </xf>
    <xf numFmtId="176" fontId="5" fillId="2" borderId="3" xfId="0" applyNumberFormat="1" applyFont="1" applyFill="1" applyBorder="1" applyAlignment="1">
      <alignment vertical="center" shrinkToFit="1"/>
    </xf>
    <xf numFmtId="176" fontId="5" fillId="2" borderId="27" xfId="0" applyNumberFormat="1" applyFont="1" applyFill="1" applyBorder="1" applyAlignment="1">
      <alignment vertical="center" shrinkToFit="1"/>
    </xf>
    <xf numFmtId="176" fontId="5" fillId="2" borderId="42" xfId="0" applyNumberFormat="1" applyFont="1" applyFill="1" applyBorder="1" applyAlignment="1">
      <alignment vertical="center" shrinkToFit="1"/>
    </xf>
    <xf numFmtId="176" fontId="5" fillId="2" borderId="5" xfId="0" applyNumberFormat="1" applyFont="1" applyFill="1" applyBorder="1" applyAlignment="1">
      <alignment vertical="center" shrinkToFit="1"/>
    </xf>
    <xf numFmtId="0" fontId="5" fillId="0" borderId="14" xfId="0" applyFont="1" applyFill="1" applyBorder="1" applyAlignment="1">
      <alignment horizontal="center" vertical="center" shrinkToFit="1"/>
    </xf>
    <xf numFmtId="179" fontId="5" fillId="0" borderId="25" xfId="0" applyNumberFormat="1" applyFont="1" applyFill="1" applyBorder="1" applyAlignment="1">
      <alignment horizontal="left" vertical="center" shrinkToFit="1"/>
    </xf>
    <xf numFmtId="0" fontId="4" fillId="0" borderId="0" xfId="0" applyFont="1" applyFill="1" applyAlignment="1">
      <alignment horizontal="center" vertical="center"/>
    </xf>
    <xf numFmtId="177" fontId="5" fillId="2" borderId="42" xfId="0" applyNumberFormat="1" applyFont="1" applyFill="1" applyBorder="1" applyAlignment="1">
      <alignment vertical="center" shrinkToFit="1"/>
    </xf>
    <xf numFmtId="177" fontId="5" fillId="2" borderId="1" xfId="0" applyNumberFormat="1" applyFont="1" applyFill="1" applyBorder="1" applyAlignment="1">
      <alignment vertical="center" shrinkToFit="1"/>
    </xf>
    <xf numFmtId="0" fontId="0" fillId="0" borderId="9" xfId="0" applyFont="1" applyFill="1" applyBorder="1" applyAlignment="1">
      <alignment horizontal="center" vertical="center" shrinkToFit="1"/>
    </xf>
    <xf numFmtId="0" fontId="7" fillId="2" borderId="32" xfId="1" applyFont="1" applyFill="1" applyBorder="1" applyAlignment="1">
      <alignment horizontal="center" shrinkToFit="1"/>
    </xf>
    <xf numFmtId="0" fontId="1" fillId="0" borderId="0" xfId="1" applyAlignment="1">
      <alignment horizontal="center" vertical="center"/>
    </xf>
    <xf numFmtId="181" fontId="4" fillId="2" borderId="0" xfId="1" applyNumberFormat="1" applyFont="1" applyFill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3" fillId="0" borderId="0" xfId="0" applyFont="1" applyFill="1" applyBorder="1" applyAlignment="1">
      <alignment horizontal="right" vertical="center" shrinkToFit="1"/>
    </xf>
    <xf numFmtId="0" fontId="3" fillId="0" borderId="3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47" xfId="0" applyFont="1" applyFill="1" applyBorder="1" applyAlignment="1">
      <alignment horizontal="center" vertical="center" wrapText="1" shrinkToFit="1"/>
    </xf>
    <xf numFmtId="0" fontId="5" fillId="0" borderId="46" xfId="0" applyFont="1" applyFill="1" applyBorder="1" applyAlignment="1">
      <alignment horizontal="center" vertical="center" wrapText="1" shrinkToFit="1"/>
    </xf>
    <xf numFmtId="0" fontId="5" fillId="0" borderId="30" xfId="0" applyFont="1" applyFill="1" applyBorder="1" applyAlignment="1">
      <alignment horizontal="center" vertical="center" wrapText="1" shrinkToFit="1"/>
    </xf>
    <xf numFmtId="0" fontId="5" fillId="0" borderId="47" xfId="0" applyFont="1" applyFill="1" applyBorder="1" applyAlignment="1">
      <alignment horizontal="center" vertical="center" shrinkToFit="1"/>
    </xf>
    <xf numFmtId="0" fontId="5" fillId="0" borderId="46" xfId="0" applyFont="1" applyFill="1" applyBorder="1" applyAlignment="1">
      <alignment horizontal="center" vertical="center" shrinkToFit="1"/>
    </xf>
    <xf numFmtId="0" fontId="5" fillId="0" borderId="30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 shrinkToFit="1"/>
    </xf>
    <xf numFmtId="179" fontId="5" fillId="0" borderId="2" xfId="0" applyNumberFormat="1" applyFont="1" applyFill="1" applyBorder="1" applyAlignment="1">
      <alignment horizontal="left" vertical="center" shrinkToFit="1"/>
    </xf>
    <xf numFmtId="179" fontId="5" fillId="0" borderId="8" xfId="0" applyNumberFormat="1" applyFont="1" applyFill="1" applyBorder="1" applyAlignment="1">
      <alignment horizontal="left" vertical="center" shrinkToFit="1"/>
    </xf>
    <xf numFmtId="179" fontId="5" fillId="0" borderId="12" xfId="0" applyNumberFormat="1" applyFont="1" applyFill="1" applyBorder="1" applyAlignment="1">
      <alignment horizontal="left" vertical="center" shrinkToFit="1"/>
    </xf>
    <xf numFmtId="179" fontId="5" fillId="0" borderId="6" xfId="0" applyNumberFormat="1" applyFont="1" applyFill="1" applyBorder="1" applyAlignment="1">
      <alignment horizontal="left" vertical="center" shrinkToFit="1"/>
    </xf>
    <xf numFmtId="179" fontId="5" fillId="0" borderId="7" xfId="0" applyNumberFormat="1" applyFont="1" applyFill="1" applyBorder="1" applyAlignment="1">
      <alignment horizontal="left" vertical="center" shrinkToFit="1"/>
    </xf>
    <xf numFmtId="179" fontId="5" fillId="0" borderId="11" xfId="0" applyNumberFormat="1" applyFont="1" applyFill="1" applyBorder="1" applyAlignment="1">
      <alignment horizontal="left" vertical="center" shrinkToFit="1"/>
    </xf>
    <xf numFmtId="0" fontId="5" fillId="0" borderId="18" xfId="0" applyFont="1" applyFill="1" applyBorder="1" applyAlignment="1">
      <alignment horizontal="center" vertical="center" wrapText="1" shrinkToFit="1"/>
    </xf>
    <xf numFmtId="0" fontId="5" fillId="0" borderId="26" xfId="0" applyFont="1" applyFill="1" applyBorder="1" applyAlignment="1">
      <alignment horizontal="center" vertical="center" wrapText="1" shrinkToFit="1"/>
    </xf>
    <xf numFmtId="0" fontId="5" fillId="0" borderId="50" xfId="0" applyFont="1" applyFill="1" applyBorder="1" applyAlignment="1">
      <alignment horizontal="center" vertical="center" shrinkToFit="1"/>
    </xf>
    <xf numFmtId="0" fontId="5" fillId="0" borderId="48" xfId="0" applyFont="1" applyFill="1" applyBorder="1" applyAlignment="1">
      <alignment horizontal="center" vertical="center" shrinkToFit="1"/>
    </xf>
    <xf numFmtId="179" fontId="5" fillId="0" borderId="9" xfId="0" applyNumberFormat="1" applyFont="1" applyFill="1" applyBorder="1" applyAlignment="1">
      <alignment horizontal="left" vertical="center" shrinkToFit="1"/>
    </xf>
    <xf numFmtId="179" fontId="5" fillId="0" borderId="10" xfId="0" applyNumberFormat="1" applyFont="1" applyFill="1" applyBorder="1" applyAlignment="1">
      <alignment horizontal="left" vertical="center" shrinkToFit="1"/>
    </xf>
    <xf numFmtId="179" fontId="5" fillId="0" borderId="13" xfId="0" applyNumberFormat="1" applyFont="1" applyFill="1" applyBorder="1" applyAlignment="1">
      <alignment horizontal="left" vertical="center" shrinkToFit="1"/>
    </xf>
    <xf numFmtId="0" fontId="5" fillId="0" borderId="26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vertical="center" shrinkToFit="1"/>
    </xf>
    <xf numFmtId="176" fontId="5" fillId="2" borderId="4" xfId="0" applyNumberFormat="1" applyFont="1" applyFill="1" applyBorder="1" applyAlignment="1">
      <alignment vertical="center" shrinkToFit="1"/>
    </xf>
    <xf numFmtId="176" fontId="5" fillId="2" borderId="3" xfId="0" applyNumberFormat="1" applyFont="1" applyFill="1" applyBorder="1" applyAlignment="1">
      <alignment vertical="center" shrinkToFit="1"/>
    </xf>
    <xf numFmtId="176" fontId="5" fillId="2" borderId="27" xfId="0" applyNumberFormat="1" applyFont="1" applyFill="1" applyBorder="1" applyAlignment="1">
      <alignment vertical="center" shrinkToFit="1"/>
    </xf>
    <xf numFmtId="176" fontId="5" fillId="2" borderId="42" xfId="0" applyNumberFormat="1" applyFont="1" applyFill="1" applyBorder="1" applyAlignment="1">
      <alignment vertical="center" shrinkToFit="1"/>
    </xf>
    <xf numFmtId="176" fontId="5" fillId="2" borderId="5" xfId="0" applyNumberFormat="1" applyFont="1" applyFill="1" applyBorder="1" applyAlignment="1">
      <alignment vertical="center" shrinkToFit="1"/>
    </xf>
    <xf numFmtId="179" fontId="5" fillId="0" borderId="49" xfId="0" applyNumberFormat="1" applyFont="1" applyFill="1" applyBorder="1" applyAlignment="1">
      <alignment horizontal="center" vertical="center" shrinkToFit="1"/>
    </xf>
    <xf numFmtId="179" fontId="5" fillId="0" borderId="45" xfId="0" applyNumberFormat="1" applyFont="1" applyFill="1" applyBorder="1" applyAlignment="1">
      <alignment horizontal="center" vertical="center" shrinkToFit="1"/>
    </xf>
    <xf numFmtId="179" fontId="5" fillId="0" borderId="39" xfId="0" applyNumberFormat="1" applyFont="1" applyFill="1" applyBorder="1" applyAlignment="1">
      <alignment horizontal="center" vertical="center" shrinkToFit="1"/>
    </xf>
    <xf numFmtId="179" fontId="5" fillId="0" borderId="25" xfId="0" applyNumberFormat="1" applyFont="1" applyFill="1" applyBorder="1" applyAlignment="1">
      <alignment horizontal="center" vertical="center" shrinkToFit="1"/>
    </xf>
    <xf numFmtId="179" fontId="5" fillId="0" borderId="34" xfId="0" applyNumberFormat="1" applyFont="1" applyFill="1" applyBorder="1" applyAlignment="1">
      <alignment horizontal="center" vertical="center" shrinkToFit="1"/>
    </xf>
    <xf numFmtId="179" fontId="5" fillId="0" borderId="35" xfId="0" applyNumberFormat="1" applyFont="1" applyFill="1" applyBorder="1" applyAlignment="1">
      <alignment horizontal="center" vertical="center" shrinkToFit="1"/>
    </xf>
    <xf numFmtId="179" fontId="5" fillId="0" borderId="29" xfId="0" applyNumberFormat="1" applyFont="1" applyFill="1" applyBorder="1" applyAlignment="1">
      <alignment horizontal="center" vertical="center" shrinkToFit="1"/>
    </xf>
    <xf numFmtId="179" fontId="5" fillId="0" borderId="36" xfId="0" applyNumberFormat="1" applyFont="1" applyFill="1" applyBorder="1" applyAlignment="1">
      <alignment horizontal="center" vertical="center" shrinkToFit="1"/>
    </xf>
    <xf numFmtId="179" fontId="5" fillId="0" borderId="37" xfId="0" applyNumberFormat="1" applyFont="1" applyFill="1" applyBorder="1" applyAlignment="1">
      <alignment horizontal="center" vertical="center" shrinkToFit="1"/>
    </xf>
    <xf numFmtId="179" fontId="5" fillId="0" borderId="31" xfId="0" applyNumberFormat="1" applyFont="1" applyFill="1" applyBorder="1" applyAlignment="1">
      <alignment horizontal="center" vertical="center" shrinkToFit="1"/>
    </xf>
    <xf numFmtId="179" fontId="5" fillId="0" borderId="38" xfId="0" applyNumberFormat="1" applyFont="1" applyFill="1" applyBorder="1" applyAlignment="1">
      <alignment horizontal="center" vertical="center" shrinkToFit="1"/>
    </xf>
    <xf numFmtId="179" fontId="5" fillId="0" borderId="43" xfId="0" applyNumberFormat="1" applyFont="1" applyFill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shrinkToFit="1"/>
    </xf>
    <xf numFmtId="0" fontId="5" fillId="0" borderId="40" xfId="0" applyFont="1" applyFill="1" applyBorder="1" applyAlignment="1">
      <alignment horizontal="center" vertical="center" shrinkToFit="1"/>
    </xf>
    <xf numFmtId="0" fontId="5" fillId="0" borderId="41" xfId="0" applyFont="1" applyFill="1" applyBorder="1" applyAlignment="1">
      <alignment horizontal="center" vertical="center" shrinkToFit="1"/>
    </xf>
    <xf numFmtId="0" fontId="5" fillId="0" borderId="49" xfId="0" applyFont="1" applyFill="1" applyBorder="1" applyAlignment="1">
      <alignment horizontal="center" vertical="center" shrinkToFit="1"/>
    </xf>
    <xf numFmtId="0" fontId="5" fillId="0" borderId="45" xfId="0" applyFont="1" applyFill="1" applyBorder="1" applyAlignment="1">
      <alignment horizontal="center" vertical="center" shrinkToFit="1"/>
    </xf>
    <xf numFmtId="0" fontId="5" fillId="0" borderId="39" xfId="0" applyFont="1" applyFill="1" applyBorder="1" applyAlignment="1">
      <alignment horizontal="center" vertical="center" shrinkToFit="1"/>
    </xf>
    <xf numFmtId="0" fontId="5" fillId="0" borderId="25" xfId="0" applyFont="1" applyFill="1" applyBorder="1" applyAlignment="1">
      <alignment horizontal="center" vertical="center" shrinkToFit="1"/>
    </xf>
    <xf numFmtId="0" fontId="5" fillId="0" borderId="34" xfId="0" applyFont="1" applyFill="1" applyBorder="1" applyAlignment="1">
      <alignment horizontal="center" vertical="center" shrinkToFit="1"/>
    </xf>
    <xf numFmtId="0" fontId="5" fillId="0" borderId="35" xfId="0" applyFont="1" applyFill="1" applyBorder="1" applyAlignment="1">
      <alignment horizontal="center" vertical="center" shrinkToFit="1"/>
    </xf>
    <xf numFmtId="0" fontId="5" fillId="0" borderId="29" xfId="0" applyFont="1" applyFill="1" applyBorder="1" applyAlignment="1">
      <alignment horizontal="center" vertical="center" shrinkToFit="1"/>
    </xf>
    <xf numFmtId="0" fontId="5" fillId="0" borderId="36" xfId="0" applyFont="1" applyFill="1" applyBorder="1" applyAlignment="1">
      <alignment horizontal="center" vertical="center" shrinkToFit="1"/>
    </xf>
    <xf numFmtId="0" fontId="5" fillId="0" borderId="37" xfId="0" applyFont="1" applyFill="1" applyBorder="1" applyAlignment="1">
      <alignment horizontal="center" vertical="center" shrinkToFit="1"/>
    </xf>
    <xf numFmtId="179" fontId="5" fillId="0" borderId="29" xfId="0" applyNumberFormat="1" applyFont="1" applyFill="1" applyBorder="1" applyAlignment="1">
      <alignment horizontal="left" vertical="center" shrinkToFit="1"/>
    </xf>
    <xf numFmtId="179" fontId="5" fillId="0" borderId="36" xfId="0" applyNumberFormat="1" applyFont="1" applyFill="1" applyBorder="1" applyAlignment="1">
      <alignment horizontal="left" vertical="center" shrinkToFit="1"/>
    </xf>
    <xf numFmtId="179" fontId="5" fillId="0" borderId="37" xfId="0" applyNumberFormat="1" applyFont="1" applyFill="1" applyBorder="1" applyAlignment="1">
      <alignment horizontal="left" vertical="center" shrinkToFit="1"/>
    </xf>
    <xf numFmtId="179" fontId="5" fillId="0" borderId="25" xfId="0" applyNumberFormat="1" applyFont="1" applyFill="1" applyBorder="1" applyAlignment="1">
      <alignment horizontal="left" vertical="center" shrinkToFit="1"/>
    </xf>
    <xf numFmtId="179" fontId="5" fillId="0" borderId="34" xfId="0" applyNumberFormat="1" applyFont="1" applyFill="1" applyBorder="1" applyAlignment="1">
      <alignment horizontal="left" vertical="center" shrinkToFit="1"/>
    </xf>
    <xf numFmtId="179" fontId="5" fillId="0" borderId="35" xfId="0" applyNumberFormat="1" applyFont="1" applyFill="1" applyBorder="1" applyAlignment="1">
      <alignment horizontal="left" vertical="center" shrinkToFit="1"/>
    </xf>
    <xf numFmtId="0" fontId="5" fillId="0" borderId="31" xfId="0" applyFont="1" applyFill="1" applyBorder="1" applyAlignment="1">
      <alignment horizontal="center" vertical="center" shrinkToFit="1"/>
    </xf>
    <xf numFmtId="0" fontId="5" fillId="0" borderId="38" xfId="0" applyFont="1" applyFill="1" applyBorder="1" applyAlignment="1">
      <alignment horizontal="center" vertical="center" shrinkToFit="1"/>
    </xf>
    <xf numFmtId="0" fontId="5" fillId="0" borderId="43" xfId="0" applyFont="1" applyFill="1" applyBorder="1" applyAlignment="1">
      <alignment horizontal="center" vertical="center" shrinkToFit="1"/>
    </xf>
    <xf numFmtId="182" fontId="5" fillId="2" borderId="4" xfId="0" applyNumberFormat="1" applyFont="1" applyFill="1" applyBorder="1" applyAlignment="1">
      <alignment vertical="center" shrinkToFit="1"/>
    </xf>
  </cellXfs>
  <cellStyles count="2">
    <cellStyle name="標準" xfId="0" builtinId="0"/>
    <cellStyle name="標準_土工事・舗装復旧　数量計算書2006.10.01" xfId="1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I7"/>
  <sheetViews>
    <sheetView showGridLines="0" view="pageBreakPreview" zoomScale="70" zoomScaleNormal="60" zoomScaleSheetLayoutView="70" workbookViewId="0">
      <selection activeCell="L6" sqref="L6"/>
    </sheetView>
  </sheetViews>
  <sheetFormatPr defaultColWidth="9" defaultRowHeight="13.2" x14ac:dyDescent="0.2"/>
  <cols>
    <col min="1" max="1" width="5.6640625" style="46" customWidth="1"/>
    <col min="2" max="7" width="13.6640625" style="46" customWidth="1"/>
    <col min="8" max="8" width="5.6640625" style="46" customWidth="1"/>
    <col min="9" max="16384" width="9" style="46"/>
  </cols>
  <sheetData>
    <row r="1" spans="1:9" ht="50.1" customHeight="1" x14ac:dyDescent="0.3">
      <c r="A1" s="45"/>
      <c r="B1" s="87">
        <v>7</v>
      </c>
      <c r="C1" s="87"/>
      <c r="D1" s="87"/>
      <c r="E1" s="87"/>
      <c r="F1" s="87"/>
      <c r="G1" s="87"/>
      <c r="H1" s="45"/>
    </row>
    <row r="2" spans="1:9" ht="100.2" customHeight="1" x14ac:dyDescent="0.25">
      <c r="A2" s="45"/>
      <c r="B2" s="47" t="s">
        <v>47</v>
      </c>
      <c r="C2" s="85" t="s">
        <v>82</v>
      </c>
      <c r="D2" s="85"/>
      <c r="E2" s="85"/>
      <c r="F2" s="85"/>
      <c r="G2" s="85"/>
      <c r="H2" s="45"/>
      <c r="I2" s="48"/>
    </row>
    <row r="3" spans="1:9" ht="80.099999999999994" customHeight="1" x14ac:dyDescent="0.25">
      <c r="B3" s="49"/>
      <c r="C3" s="50" t="s">
        <v>48</v>
      </c>
      <c r="D3" s="88" t="s">
        <v>83</v>
      </c>
      <c r="E3" s="88"/>
      <c r="F3" s="88"/>
      <c r="G3" s="49"/>
    </row>
    <row r="4" spans="1:9" ht="80.099999999999994" customHeight="1" x14ac:dyDescent="0.25">
      <c r="B4" s="49"/>
      <c r="C4" s="50" t="s">
        <v>49</v>
      </c>
      <c r="D4" s="88" t="s">
        <v>67</v>
      </c>
      <c r="E4" s="88"/>
      <c r="F4" s="88"/>
      <c r="G4" s="49"/>
    </row>
    <row r="5" spans="1:9" ht="250.2" customHeight="1" x14ac:dyDescent="0.2">
      <c r="A5" s="89" t="s">
        <v>50</v>
      </c>
      <c r="B5" s="89"/>
      <c r="C5" s="89"/>
      <c r="D5" s="89"/>
      <c r="E5" s="89"/>
      <c r="F5" s="89"/>
      <c r="G5" s="89"/>
      <c r="H5" s="89"/>
    </row>
    <row r="6" spans="1:9" ht="150" customHeight="1" x14ac:dyDescent="0.25">
      <c r="A6" s="45"/>
      <c r="B6" s="47" t="s">
        <v>51</v>
      </c>
      <c r="C6" s="85" t="s">
        <v>84</v>
      </c>
      <c r="D6" s="85"/>
      <c r="E6" s="85"/>
      <c r="F6" s="85"/>
      <c r="G6" s="85"/>
      <c r="H6" s="45"/>
      <c r="I6" s="48"/>
    </row>
    <row r="7" spans="1:9" ht="50.1" customHeight="1" x14ac:dyDescent="0.2">
      <c r="A7" s="86"/>
      <c r="B7" s="86"/>
      <c r="C7" s="86"/>
      <c r="D7" s="86"/>
      <c r="E7" s="86"/>
      <c r="F7" s="86"/>
      <c r="G7" s="86"/>
      <c r="H7" s="86"/>
    </row>
  </sheetData>
  <mergeCells count="7">
    <mergeCell ref="C6:G6"/>
    <mergeCell ref="A7:H7"/>
    <mergeCell ref="C2:G2"/>
    <mergeCell ref="B1:G1"/>
    <mergeCell ref="D3:F3"/>
    <mergeCell ref="D4:F4"/>
    <mergeCell ref="A5:H5"/>
  </mergeCells>
  <phoneticPr fontId="2"/>
  <printOptions horizontalCentered="1"/>
  <pageMargins left="0.39370078740157483" right="0.39370078740157483" top="0.98425196850393704" bottom="0.98425196850393704" header="0.51181102362204722" footer="0.51181102362204722"/>
  <pageSetup paperSize="9" scale="99" orientation="portrait" blackAndWhite="1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B1:S216"/>
  <sheetViews>
    <sheetView showGridLines="0" showZeros="0" tabSelected="1" view="pageBreakPreview" topLeftCell="A52" zoomScale="115" zoomScaleNormal="75" zoomScaleSheetLayoutView="115" workbookViewId="0">
      <selection activeCell="B68" sqref="B68:K69"/>
    </sheetView>
  </sheetViews>
  <sheetFormatPr defaultColWidth="3.6640625" defaultRowHeight="16.2" customHeight="1" x14ac:dyDescent="0.2"/>
  <cols>
    <col min="1" max="1" width="2.6640625" style="1" customWidth="1"/>
    <col min="2" max="2" width="15.6640625" style="12" customWidth="1"/>
    <col min="3" max="3" width="10.6640625" style="12" customWidth="1"/>
    <col min="4" max="4" width="10.6640625" style="13" customWidth="1"/>
    <col min="5" max="5" width="10.6640625" style="12" customWidth="1"/>
    <col min="6" max="6" width="15.6640625" style="12" customWidth="1"/>
    <col min="7" max="9" width="3.88671875" style="12" customWidth="1"/>
    <col min="10" max="11" width="10.6640625" style="12" customWidth="1"/>
    <col min="12" max="12" width="2.6640625" style="1" customWidth="1"/>
    <col min="13" max="14" width="3.6640625" style="1"/>
    <col min="15" max="15" width="13.88671875" style="1" bestFit="1" customWidth="1"/>
    <col min="16" max="16" width="7" style="1" bestFit="1" customWidth="1"/>
    <col min="17" max="17" width="4" style="1" bestFit="1" customWidth="1"/>
    <col min="18" max="18" width="11.33203125" style="1" bestFit="1" customWidth="1"/>
    <col min="19" max="19" width="6" style="1" bestFit="1" customWidth="1"/>
    <col min="20" max="16384" width="3.6640625" style="1"/>
  </cols>
  <sheetData>
    <row r="1" spans="2:12" ht="16.2" customHeight="1" x14ac:dyDescent="0.2">
      <c r="B1" s="11"/>
      <c r="C1" s="11"/>
      <c r="D1" s="11"/>
      <c r="E1" s="11"/>
      <c r="F1" s="11"/>
      <c r="G1" s="11"/>
      <c r="H1" s="11"/>
      <c r="I1" s="11"/>
      <c r="J1" s="11"/>
      <c r="K1" s="11"/>
      <c r="L1" s="9"/>
    </row>
    <row r="2" spans="2:12" ht="16.2" customHeight="1" x14ac:dyDescent="0.2">
      <c r="B2" s="90" t="s">
        <v>33</v>
      </c>
      <c r="C2" s="90"/>
      <c r="D2" s="90"/>
      <c r="E2" s="90"/>
      <c r="F2" s="90"/>
      <c r="G2" s="90"/>
      <c r="H2" s="90"/>
      <c r="I2" s="90"/>
      <c r="J2" s="90"/>
      <c r="K2" s="90"/>
      <c r="L2" s="5"/>
    </row>
    <row r="3" spans="2:12" ht="16.2" customHeight="1" x14ac:dyDescent="0.2">
      <c r="B3" s="101" t="s">
        <v>34</v>
      </c>
      <c r="C3" s="101"/>
      <c r="D3" s="101"/>
      <c r="E3" s="101"/>
      <c r="F3" s="101"/>
      <c r="G3" s="101"/>
      <c r="H3" s="101"/>
      <c r="I3" s="101"/>
      <c r="J3" s="101"/>
      <c r="K3" s="101"/>
      <c r="L3" s="81"/>
    </row>
    <row r="4" spans="2:12" ht="16.2" customHeight="1" x14ac:dyDescent="0.2"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81"/>
    </row>
    <row r="5" spans="2:12" ht="16.2" customHeight="1" thickBot="1" x14ac:dyDescent="0.25">
      <c r="B5" s="91" t="str">
        <f>表紙!C2</f>
        <v>東白川特２高層配水池揚水管取替工事</v>
      </c>
      <c r="C5" s="91"/>
      <c r="D5" s="91"/>
      <c r="E5" s="91"/>
      <c r="F5" s="91"/>
      <c r="G5" s="91"/>
      <c r="H5" s="91"/>
      <c r="I5" s="91"/>
      <c r="J5" s="91"/>
      <c r="K5" s="91"/>
      <c r="L5" s="71"/>
    </row>
    <row r="6" spans="2:12" s="2" customFormat="1" ht="16.2" customHeight="1" thickBot="1" x14ac:dyDescent="0.25">
      <c r="B6" s="29" t="s">
        <v>24</v>
      </c>
      <c r="C6" s="30" t="s">
        <v>25</v>
      </c>
      <c r="D6" s="31" t="s">
        <v>43</v>
      </c>
      <c r="E6" s="79" t="s">
        <v>32</v>
      </c>
      <c r="F6" s="29" t="s">
        <v>24</v>
      </c>
      <c r="G6" s="134" t="s">
        <v>25</v>
      </c>
      <c r="H6" s="135"/>
      <c r="I6" s="136"/>
      <c r="J6" s="31" t="s">
        <v>43</v>
      </c>
      <c r="K6" s="10" t="s">
        <v>32</v>
      </c>
      <c r="L6" s="6"/>
    </row>
    <row r="7" spans="2:12" ht="16.2" customHeight="1" x14ac:dyDescent="0.2">
      <c r="B7" s="92" t="s">
        <v>26</v>
      </c>
      <c r="C7" s="33">
        <v>75</v>
      </c>
      <c r="D7" s="75"/>
      <c r="E7" s="14"/>
      <c r="F7" s="98" t="s">
        <v>8</v>
      </c>
      <c r="G7" s="105">
        <v>75</v>
      </c>
      <c r="H7" s="106"/>
      <c r="I7" s="107"/>
      <c r="J7" s="75"/>
      <c r="K7" s="14"/>
      <c r="L7" s="7"/>
    </row>
    <row r="8" spans="2:12" ht="16.2" customHeight="1" x14ac:dyDescent="0.2">
      <c r="B8" s="93"/>
      <c r="C8" s="22">
        <v>100</v>
      </c>
      <c r="D8" s="73"/>
      <c r="E8" s="23"/>
      <c r="F8" s="99"/>
      <c r="G8" s="102">
        <v>100</v>
      </c>
      <c r="H8" s="103"/>
      <c r="I8" s="104"/>
      <c r="J8" s="73"/>
      <c r="K8" s="23"/>
      <c r="L8" s="7"/>
    </row>
    <row r="9" spans="2:12" ht="16.2" customHeight="1" x14ac:dyDescent="0.2">
      <c r="B9" s="93"/>
      <c r="C9" s="22">
        <v>150</v>
      </c>
      <c r="D9" s="73"/>
      <c r="E9" s="23"/>
      <c r="F9" s="99"/>
      <c r="G9" s="102">
        <v>150</v>
      </c>
      <c r="H9" s="103"/>
      <c r="I9" s="104"/>
      <c r="J9" s="73"/>
      <c r="K9" s="23"/>
      <c r="L9" s="7"/>
    </row>
    <row r="10" spans="2:12" ht="16.2" customHeight="1" x14ac:dyDescent="0.2">
      <c r="B10" s="93"/>
      <c r="C10" s="22">
        <v>200</v>
      </c>
      <c r="D10" s="73">
        <v>41.2</v>
      </c>
      <c r="E10" s="23" t="s">
        <v>85</v>
      </c>
      <c r="F10" s="99"/>
      <c r="G10" s="102">
        <v>200</v>
      </c>
      <c r="H10" s="103"/>
      <c r="I10" s="104"/>
      <c r="J10" s="73"/>
      <c r="K10" s="23"/>
      <c r="L10" s="7"/>
    </row>
    <row r="11" spans="2:12" ht="16.2" customHeight="1" x14ac:dyDescent="0.2">
      <c r="B11" s="93"/>
      <c r="C11" s="22">
        <v>300</v>
      </c>
      <c r="D11" s="73">
        <v>1.5</v>
      </c>
      <c r="E11" s="23" t="s">
        <v>85</v>
      </c>
      <c r="F11" s="99"/>
      <c r="G11" s="102">
        <v>300</v>
      </c>
      <c r="H11" s="103"/>
      <c r="I11" s="104"/>
      <c r="J11" s="73"/>
      <c r="K11" s="23"/>
      <c r="L11" s="7"/>
    </row>
    <row r="12" spans="2:12" ht="16.2" customHeight="1" x14ac:dyDescent="0.2">
      <c r="B12" s="93"/>
      <c r="C12" s="22">
        <v>400</v>
      </c>
      <c r="D12" s="73">
        <v>638.1</v>
      </c>
      <c r="E12" s="23"/>
      <c r="F12" s="99"/>
      <c r="G12" s="102">
        <v>400</v>
      </c>
      <c r="H12" s="103"/>
      <c r="I12" s="104"/>
      <c r="J12" s="73"/>
      <c r="K12" s="23"/>
      <c r="L12" s="7"/>
    </row>
    <row r="13" spans="2:12" ht="16.2" customHeight="1" x14ac:dyDescent="0.2">
      <c r="B13" s="93"/>
      <c r="C13" s="22">
        <v>500</v>
      </c>
      <c r="D13" s="73"/>
      <c r="E13" s="23"/>
      <c r="F13" s="99"/>
      <c r="G13" s="102">
        <v>500</v>
      </c>
      <c r="H13" s="103"/>
      <c r="I13" s="104"/>
      <c r="J13" s="73"/>
      <c r="K13" s="23"/>
      <c r="L13" s="7"/>
    </row>
    <row r="14" spans="2:12" ht="16.2" customHeight="1" x14ac:dyDescent="0.2">
      <c r="B14" s="93"/>
      <c r="C14" s="22">
        <v>600</v>
      </c>
      <c r="D14" s="73"/>
      <c r="E14" s="23"/>
      <c r="F14" s="99"/>
      <c r="G14" s="102">
        <v>600</v>
      </c>
      <c r="H14" s="103"/>
      <c r="I14" s="104"/>
      <c r="J14" s="73"/>
      <c r="K14" s="23"/>
      <c r="L14" s="7"/>
    </row>
    <row r="15" spans="2:12" ht="16.2" customHeight="1" x14ac:dyDescent="0.2">
      <c r="B15" s="93"/>
      <c r="C15" s="22">
        <v>700</v>
      </c>
      <c r="D15" s="73"/>
      <c r="E15" s="23"/>
      <c r="F15" s="99"/>
      <c r="G15" s="102">
        <v>700</v>
      </c>
      <c r="H15" s="103"/>
      <c r="I15" s="104"/>
      <c r="J15" s="73"/>
      <c r="K15" s="23"/>
      <c r="L15" s="7"/>
    </row>
    <row r="16" spans="2:12" ht="16.2" customHeight="1" x14ac:dyDescent="0.2">
      <c r="B16" s="93"/>
      <c r="C16" s="22">
        <v>800</v>
      </c>
      <c r="D16" s="73"/>
      <c r="E16" s="23"/>
      <c r="F16" s="99"/>
      <c r="G16" s="102">
        <v>800</v>
      </c>
      <c r="H16" s="103"/>
      <c r="I16" s="104">
        <v>800</v>
      </c>
      <c r="J16" s="73"/>
      <c r="K16" s="23"/>
      <c r="L16" s="7"/>
    </row>
    <row r="17" spans="2:12" ht="16.2" customHeight="1" thickBot="1" x14ac:dyDescent="0.25">
      <c r="B17" s="94"/>
      <c r="C17" s="25">
        <v>900</v>
      </c>
      <c r="D17" s="74"/>
      <c r="E17" s="26"/>
      <c r="F17" s="100"/>
      <c r="G17" s="112">
        <v>900</v>
      </c>
      <c r="H17" s="113"/>
      <c r="I17" s="114">
        <v>900</v>
      </c>
      <c r="J17" s="74"/>
      <c r="K17" s="26"/>
      <c r="L17" s="7"/>
    </row>
    <row r="18" spans="2:12" ht="16.2" customHeight="1" x14ac:dyDescent="0.2">
      <c r="B18" s="92" t="s">
        <v>2</v>
      </c>
      <c r="C18" s="33">
        <v>80</v>
      </c>
      <c r="D18" s="75">
        <v>1.1000000000000001</v>
      </c>
      <c r="E18" s="14"/>
      <c r="F18" s="99" t="s">
        <v>30</v>
      </c>
      <c r="G18" s="105">
        <v>75</v>
      </c>
      <c r="H18" s="106"/>
      <c r="I18" s="107"/>
      <c r="J18" s="75"/>
      <c r="K18" s="15"/>
      <c r="L18" s="7"/>
    </row>
    <row r="19" spans="2:12" ht="16.2" customHeight="1" x14ac:dyDescent="0.2">
      <c r="B19" s="93"/>
      <c r="C19" s="22">
        <v>100</v>
      </c>
      <c r="D19" s="73"/>
      <c r="E19" s="23"/>
      <c r="F19" s="99"/>
      <c r="G19" s="102">
        <v>100</v>
      </c>
      <c r="H19" s="103"/>
      <c r="I19" s="104"/>
      <c r="J19" s="73"/>
      <c r="K19" s="23"/>
      <c r="L19" s="7"/>
    </row>
    <row r="20" spans="2:12" ht="16.2" customHeight="1" x14ac:dyDescent="0.2">
      <c r="B20" s="93"/>
      <c r="C20" s="22">
        <v>150</v>
      </c>
      <c r="D20" s="73"/>
      <c r="E20" s="23"/>
      <c r="F20" s="99"/>
      <c r="G20" s="102">
        <v>150</v>
      </c>
      <c r="H20" s="103"/>
      <c r="I20" s="104"/>
      <c r="J20" s="73"/>
      <c r="K20" s="23"/>
      <c r="L20" s="7"/>
    </row>
    <row r="21" spans="2:12" ht="16.2" customHeight="1" x14ac:dyDescent="0.2">
      <c r="B21" s="93"/>
      <c r="C21" s="22">
        <v>200</v>
      </c>
      <c r="D21" s="73"/>
      <c r="E21" s="23"/>
      <c r="F21" s="99"/>
      <c r="G21" s="102">
        <v>200</v>
      </c>
      <c r="H21" s="103"/>
      <c r="I21" s="104"/>
      <c r="J21" s="73"/>
      <c r="K21" s="23"/>
      <c r="L21" s="7"/>
    </row>
    <row r="22" spans="2:12" ht="16.2" customHeight="1" x14ac:dyDescent="0.2">
      <c r="B22" s="93"/>
      <c r="C22" s="22">
        <v>300</v>
      </c>
      <c r="D22" s="73">
        <v>1</v>
      </c>
      <c r="E22" s="23"/>
      <c r="F22" s="99"/>
      <c r="G22" s="102">
        <v>300</v>
      </c>
      <c r="H22" s="103"/>
      <c r="I22" s="104"/>
      <c r="J22" s="73"/>
      <c r="K22" s="23"/>
      <c r="L22" s="7"/>
    </row>
    <row r="23" spans="2:12" ht="16.2" customHeight="1" x14ac:dyDescent="0.2">
      <c r="B23" s="93"/>
      <c r="C23" s="22">
        <v>400</v>
      </c>
      <c r="D23" s="73">
        <v>459.3</v>
      </c>
      <c r="E23" s="23"/>
      <c r="F23" s="99"/>
      <c r="G23" s="102">
        <v>400</v>
      </c>
      <c r="H23" s="103"/>
      <c r="I23" s="104"/>
      <c r="J23" s="73"/>
      <c r="K23" s="23"/>
      <c r="L23" s="7"/>
    </row>
    <row r="24" spans="2:12" ht="16.2" customHeight="1" x14ac:dyDescent="0.2">
      <c r="B24" s="93"/>
      <c r="C24" s="22">
        <v>500</v>
      </c>
      <c r="D24" s="73"/>
      <c r="E24" s="23"/>
      <c r="F24" s="99"/>
      <c r="G24" s="102">
        <v>500</v>
      </c>
      <c r="H24" s="103"/>
      <c r="I24" s="104"/>
      <c r="J24" s="73"/>
      <c r="K24" s="23"/>
      <c r="L24" s="7"/>
    </row>
    <row r="25" spans="2:12" ht="16.2" customHeight="1" x14ac:dyDescent="0.2">
      <c r="B25" s="93"/>
      <c r="C25" s="22">
        <v>600</v>
      </c>
      <c r="D25" s="73"/>
      <c r="E25" s="23"/>
      <c r="F25" s="99"/>
      <c r="G25" s="102">
        <v>600</v>
      </c>
      <c r="H25" s="103"/>
      <c r="I25" s="104"/>
      <c r="J25" s="73"/>
      <c r="K25" s="23"/>
      <c r="L25" s="7"/>
    </row>
    <row r="26" spans="2:12" ht="16.2" customHeight="1" x14ac:dyDescent="0.2">
      <c r="B26" s="93"/>
      <c r="C26" s="22">
        <v>700</v>
      </c>
      <c r="D26" s="73"/>
      <c r="E26" s="23"/>
      <c r="F26" s="99"/>
      <c r="G26" s="102">
        <v>700</v>
      </c>
      <c r="H26" s="103"/>
      <c r="I26" s="104"/>
      <c r="J26" s="73"/>
      <c r="K26" s="23"/>
      <c r="L26" s="7"/>
    </row>
    <row r="27" spans="2:12" ht="16.2" customHeight="1" x14ac:dyDescent="0.2">
      <c r="B27" s="93"/>
      <c r="C27" s="22">
        <v>800</v>
      </c>
      <c r="D27" s="73"/>
      <c r="E27" s="23"/>
      <c r="F27" s="99"/>
      <c r="G27" s="102">
        <v>800</v>
      </c>
      <c r="H27" s="103"/>
      <c r="I27" s="104">
        <v>800</v>
      </c>
      <c r="J27" s="73"/>
      <c r="K27" s="23"/>
      <c r="L27" s="7"/>
    </row>
    <row r="28" spans="2:12" ht="16.2" customHeight="1" thickBot="1" x14ac:dyDescent="0.25">
      <c r="B28" s="94"/>
      <c r="C28" s="25">
        <v>900</v>
      </c>
      <c r="D28" s="74"/>
      <c r="E28" s="26"/>
      <c r="F28" s="100"/>
      <c r="G28" s="112">
        <v>900</v>
      </c>
      <c r="H28" s="113"/>
      <c r="I28" s="114">
        <v>900</v>
      </c>
      <c r="J28" s="74"/>
      <c r="K28" s="26"/>
      <c r="L28" s="7"/>
    </row>
    <row r="29" spans="2:12" ht="16.2" customHeight="1" x14ac:dyDescent="0.2">
      <c r="B29" s="92" t="s">
        <v>27</v>
      </c>
      <c r="C29" s="33">
        <v>75</v>
      </c>
      <c r="D29" s="75"/>
      <c r="E29" s="14"/>
      <c r="F29" s="95" t="s">
        <v>68</v>
      </c>
      <c r="G29" s="105">
        <v>75</v>
      </c>
      <c r="H29" s="106"/>
      <c r="I29" s="107"/>
      <c r="J29" s="75"/>
      <c r="K29" s="14"/>
      <c r="L29" s="7"/>
    </row>
    <row r="30" spans="2:12" ht="16.2" customHeight="1" x14ac:dyDescent="0.2">
      <c r="B30" s="93"/>
      <c r="C30" s="22">
        <v>100</v>
      </c>
      <c r="D30" s="73"/>
      <c r="E30" s="23"/>
      <c r="F30" s="96"/>
      <c r="G30" s="102">
        <v>100</v>
      </c>
      <c r="H30" s="103"/>
      <c r="I30" s="104"/>
      <c r="J30" s="73"/>
      <c r="K30" s="23"/>
      <c r="L30" s="7"/>
    </row>
    <row r="31" spans="2:12" ht="16.2" customHeight="1" x14ac:dyDescent="0.2">
      <c r="B31" s="93"/>
      <c r="C31" s="22">
        <v>150</v>
      </c>
      <c r="D31" s="73"/>
      <c r="E31" s="23"/>
      <c r="F31" s="96"/>
      <c r="G31" s="102">
        <v>150</v>
      </c>
      <c r="H31" s="103"/>
      <c r="I31" s="104"/>
      <c r="J31" s="73"/>
      <c r="K31" s="23"/>
      <c r="L31" s="7"/>
    </row>
    <row r="32" spans="2:12" ht="16.2" customHeight="1" x14ac:dyDescent="0.2">
      <c r="B32" s="93"/>
      <c r="C32" s="22">
        <v>200</v>
      </c>
      <c r="D32" s="73"/>
      <c r="E32" s="23"/>
      <c r="F32" s="96"/>
      <c r="G32" s="102">
        <v>200</v>
      </c>
      <c r="H32" s="103"/>
      <c r="I32" s="104"/>
      <c r="J32" s="73">
        <v>8</v>
      </c>
      <c r="K32" s="23"/>
      <c r="L32" s="7"/>
    </row>
    <row r="33" spans="2:12" ht="16.2" customHeight="1" x14ac:dyDescent="0.2">
      <c r="B33" s="93"/>
      <c r="C33" s="22">
        <v>300</v>
      </c>
      <c r="D33" s="73"/>
      <c r="E33" s="23"/>
      <c r="F33" s="96"/>
      <c r="G33" s="102">
        <v>300</v>
      </c>
      <c r="H33" s="103"/>
      <c r="I33" s="104"/>
      <c r="J33" s="73"/>
      <c r="K33" s="23"/>
      <c r="L33" s="7"/>
    </row>
    <row r="34" spans="2:12" ht="16.2" customHeight="1" thickBot="1" x14ac:dyDescent="0.25">
      <c r="B34" s="93"/>
      <c r="C34" s="22">
        <v>400</v>
      </c>
      <c r="D34" s="73"/>
      <c r="E34" s="23"/>
      <c r="F34" s="97"/>
      <c r="G34" s="102">
        <v>400</v>
      </c>
      <c r="H34" s="103"/>
      <c r="I34" s="104"/>
      <c r="J34" s="74">
        <v>114</v>
      </c>
      <c r="K34" s="26"/>
      <c r="L34" s="7"/>
    </row>
    <row r="35" spans="2:12" ht="16.2" customHeight="1" x14ac:dyDescent="0.2">
      <c r="B35" s="93"/>
      <c r="C35" s="22">
        <v>500</v>
      </c>
      <c r="D35" s="73"/>
      <c r="E35" s="23"/>
      <c r="F35" s="95" t="s">
        <v>69</v>
      </c>
      <c r="G35" s="105">
        <v>75</v>
      </c>
      <c r="H35" s="106"/>
      <c r="I35" s="107"/>
      <c r="J35" s="75"/>
      <c r="K35" s="14"/>
      <c r="L35" s="7"/>
    </row>
    <row r="36" spans="2:12" ht="16.2" customHeight="1" x14ac:dyDescent="0.2">
      <c r="B36" s="93"/>
      <c r="C36" s="22">
        <v>600</v>
      </c>
      <c r="D36" s="73"/>
      <c r="E36" s="23"/>
      <c r="F36" s="96"/>
      <c r="G36" s="102">
        <v>100</v>
      </c>
      <c r="H36" s="103"/>
      <c r="I36" s="104"/>
      <c r="J36" s="73"/>
      <c r="K36" s="23"/>
      <c r="L36" s="7"/>
    </row>
    <row r="37" spans="2:12" ht="16.2" customHeight="1" x14ac:dyDescent="0.2">
      <c r="B37" s="93"/>
      <c r="C37" s="22">
        <v>700</v>
      </c>
      <c r="D37" s="73"/>
      <c r="E37" s="23"/>
      <c r="F37" s="96"/>
      <c r="G37" s="102">
        <v>150</v>
      </c>
      <c r="H37" s="103"/>
      <c r="I37" s="104"/>
      <c r="J37" s="73"/>
      <c r="K37" s="23"/>
      <c r="L37" s="7"/>
    </row>
    <row r="38" spans="2:12" ht="16.2" customHeight="1" x14ac:dyDescent="0.2">
      <c r="B38" s="93"/>
      <c r="C38" s="22">
        <v>800</v>
      </c>
      <c r="D38" s="73"/>
      <c r="E38" s="23"/>
      <c r="F38" s="96"/>
      <c r="G38" s="102">
        <v>200</v>
      </c>
      <c r="H38" s="103"/>
      <c r="I38" s="104"/>
      <c r="J38" s="73">
        <v>18</v>
      </c>
      <c r="K38" s="23"/>
      <c r="L38" s="7"/>
    </row>
    <row r="39" spans="2:12" ht="16.2" customHeight="1" thickBot="1" x14ac:dyDescent="0.25">
      <c r="B39" s="94"/>
      <c r="C39" s="25">
        <v>900</v>
      </c>
      <c r="D39" s="74"/>
      <c r="E39" s="26"/>
      <c r="F39" s="96"/>
      <c r="G39" s="102">
        <v>300</v>
      </c>
      <c r="H39" s="103"/>
      <c r="I39" s="104"/>
      <c r="J39" s="73">
        <v>3</v>
      </c>
      <c r="K39" s="23"/>
      <c r="L39" s="7"/>
    </row>
    <row r="40" spans="2:12" ht="16.2" customHeight="1" thickBot="1" x14ac:dyDescent="0.25">
      <c r="B40" s="92" t="s">
        <v>3</v>
      </c>
      <c r="C40" s="33">
        <v>75</v>
      </c>
      <c r="D40" s="75"/>
      <c r="E40" s="14"/>
      <c r="F40" s="97"/>
      <c r="G40" s="102">
        <v>400</v>
      </c>
      <c r="H40" s="103"/>
      <c r="I40" s="104"/>
      <c r="J40" s="74">
        <v>100</v>
      </c>
      <c r="K40" s="26"/>
      <c r="L40" s="7"/>
    </row>
    <row r="41" spans="2:12" ht="16.2" customHeight="1" x14ac:dyDescent="0.2">
      <c r="B41" s="93"/>
      <c r="C41" s="22">
        <v>100</v>
      </c>
      <c r="D41" s="73"/>
      <c r="E41" s="23"/>
      <c r="F41" s="95" t="s">
        <v>80</v>
      </c>
      <c r="G41" s="105">
        <v>75</v>
      </c>
      <c r="H41" s="106"/>
      <c r="I41" s="107"/>
      <c r="J41" s="78"/>
      <c r="K41" s="15"/>
      <c r="L41" s="7"/>
    </row>
    <row r="42" spans="2:12" ht="16.2" customHeight="1" x14ac:dyDescent="0.2">
      <c r="B42" s="93"/>
      <c r="C42" s="22">
        <v>150</v>
      </c>
      <c r="D42" s="73"/>
      <c r="E42" s="23"/>
      <c r="F42" s="96"/>
      <c r="G42" s="102">
        <v>100</v>
      </c>
      <c r="H42" s="103"/>
      <c r="I42" s="104"/>
      <c r="J42" s="73"/>
      <c r="K42" s="23"/>
      <c r="L42" s="7"/>
    </row>
    <row r="43" spans="2:12" ht="16.2" customHeight="1" x14ac:dyDescent="0.2">
      <c r="B43" s="93"/>
      <c r="C43" s="22">
        <v>200</v>
      </c>
      <c r="D43" s="73"/>
      <c r="E43" s="23"/>
      <c r="F43" s="96"/>
      <c r="G43" s="102">
        <v>150</v>
      </c>
      <c r="H43" s="103"/>
      <c r="I43" s="104"/>
      <c r="J43" s="73"/>
      <c r="K43" s="23"/>
      <c r="L43" s="7"/>
    </row>
    <row r="44" spans="2:12" ht="16.2" customHeight="1" x14ac:dyDescent="0.2">
      <c r="B44" s="93"/>
      <c r="C44" s="22">
        <v>250</v>
      </c>
      <c r="D44" s="73">
        <v>2.5</v>
      </c>
      <c r="E44" s="23"/>
      <c r="F44" s="96"/>
      <c r="G44" s="102">
        <v>200</v>
      </c>
      <c r="H44" s="103"/>
      <c r="I44" s="104"/>
      <c r="J44" s="73"/>
      <c r="K44" s="23"/>
      <c r="L44" s="7"/>
    </row>
    <row r="45" spans="2:12" ht="16.2" customHeight="1" thickBot="1" x14ac:dyDescent="0.25">
      <c r="B45" s="93"/>
      <c r="C45" s="22">
        <v>300</v>
      </c>
      <c r="D45" s="73">
        <v>1023.4</v>
      </c>
      <c r="E45" s="23"/>
      <c r="F45" s="97"/>
      <c r="G45" s="102">
        <v>400</v>
      </c>
      <c r="H45" s="103"/>
      <c r="I45" s="104"/>
      <c r="J45" s="74">
        <v>2</v>
      </c>
      <c r="K45" s="26"/>
      <c r="L45" s="7"/>
    </row>
    <row r="46" spans="2:12" ht="16.2" customHeight="1" x14ac:dyDescent="0.2">
      <c r="B46" s="93"/>
      <c r="C46" s="22">
        <v>400</v>
      </c>
      <c r="D46" s="73">
        <v>459.23</v>
      </c>
      <c r="E46" s="23"/>
      <c r="F46" s="98" t="s">
        <v>81</v>
      </c>
      <c r="G46" s="105">
        <v>75</v>
      </c>
      <c r="H46" s="106"/>
      <c r="I46" s="107"/>
      <c r="J46" s="75"/>
      <c r="K46" s="14"/>
      <c r="L46" s="7"/>
    </row>
    <row r="47" spans="2:12" ht="16.2" customHeight="1" x14ac:dyDescent="0.2">
      <c r="B47" s="93"/>
      <c r="C47" s="22">
        <v>600</v>
      </c>
      <c r="D47" s="73"/>
      <c r="E47" s="23"/>
      <c r="F47" s="99"/>
      <c r="G47" s="102">
        <v>100</v>
      </c>
      <c r="H47" s="103"/>
      <c r="I47" s="104"/>
      <c r="J47" s="73"/>
      <c r="K47" s="23"/>
      <c r="L47" s="7"/>
    </row>
    <row r="48" spans="2:12" ht="16.2" customHeight="1" x14ac:dyDescent="0.2">
      <c r="B48" s="93"/>
      <c r="C48" s="22">
        <v>700</v>
      </c>
      <c r="D48" s="73"/>
      <c r="E48" s="23"/>
      <c r="F48" s="99"/>
      <c r="G48" s="102">
        <v>150</v>
      </c>
      <c r="H48" s="103"/>
      <c r="I48" s="104"/>
      <c r="J48" s="73"/>
      <c r="K48" s="23"/>
      <c r="L48" s="7"/>
    </row>
    <row r="49" spans="2:12" ht="16.2" customHeight="1" x14ac:dyDescent="0.2">
      <c r="B49" s="93"/>
      <c r="C49" s="22">
        <v>800</v>
      </c>
      <c r="D49" s="73"/>
      <c r="E49" s="23"/>
      <c r="F49" s="99"/>
      <c r="G49" s="102">
        <v>200</v>
      </c>
      <c r="H49" s="103"/>
      <c r="I49" s="104"/>
      <c r="J49" s="73"/>
      <c r="K49" s="23"/>
      <c r="L49" s="7"/>
    </row>
    <row r="50" spans="2:12" ht="16.2" customHeight="1" thickBot="1" x14ac:dyDescent="0.25">
      <c r="B50" s="94"/>
      <c r="C50" s="25">
        <v>900</v>
      </c>
      <c r="D50" s="74"/>
      <c r="E50" s="26"/>
      <c r="F50" s="99"/>
      <c r="G50" s="146">
        <v>300</v>
      </c>
      <c r="H50" s="147"/>
      <c r="I50" s="148"/>
      <c r="J50" s="76"/>
      <c r="K50" s="36"/>
      <c r="L50" s="7"/>
    </row>
    <row r="51" spans="2:12" ht="16.2" customHeight="1" x14ac:dyDescent="0.2">
      <c r="B51" s="98" t="s">
        <v>58</v>
      </c>
      <c r="C51" s="51">
        <v>50</v>
      </c>
      <c r="D51" s="77"/>
      <c r="E51" s="52"/>
      <c r="F51" s="98" t="s">
        <v>31</v>
      </c>
      <c r="G51" s="105">
        <v>80</v>
      </c>
      <c r="H51" s="106"/>
      <c r="I51" s="107"/>
      <c r="J51" s="75">
        <v>1</v>
      </c>
      <c r="K51" s="14" t="s">
        <v>104</v>
      </c>
      <c r="L51" s="7"/>
    </row>
    <row r="52" spans="2:12" ht="16.2" customHeight="1" thickBot="1" x14ac:dyDescent="0.25">
      <c r="B52" s="100"/>
      <c r="C52" s="25">
        <v>75</v>
      </c>
      <c r="D52" s="74"/>
      <c r="E52" s="26"/>
      <c r="F52" s="99"/>
      <c r="G52" s="149">
        <v>100</v>
      </c>
      <c r="H52" s="150"/>
      <c r="I52" s="151"/>
      <c r="J52" s="78"/>
      <c r="K52" s="15"/>
      <c r="L52" s="7"/>
    </row>
    <row r="53" spans="2:12" ht="16.2" customHeight="1" x14ac:dyDescent="0.2">
      <c r="B53" s="95" t="s">
        <v>59</v>
      </c>
      <c r="C53" s="51">
        <v>50</v>
      </c>
      <c r="D53" s="77"/>
      <c r="E53" s="52"/>
      <c r="F53" s="99"/>
      <c r="G53" s="102">
        <v>150</v>
      </c>
      <c r="H53" s="103"/>
      <c r="I53" s="104"/>
      <c r="J53" s="73"/>
      <c r="K53" s="23"/>
      <c r="L53" s="7"/>
    </row>
    <row r="54" spans="2:12" ht="16.2" customHeight="1" thickBot="1" x14ac:dyDescent="0.25">
      <c r="B54" s="100"/>
      <c r="C54" s="25">
        <v>75</v>
      </c>
      <c r="D54" s="74"/>
      <c r="E54" s="26"/>
      <c r="F54" s="99"/>
      <c r="G54" s="102">
        <v>200</v>
      </c>
      <c r="H54" s="103"/>
      <c r="I54" s="104"/>
      <c r="J54" s="73"/>
      <c r="K54" s="23"/>
      <c r="L54" s="7"/>
    </row>
    <row r="55" spans="2:12" ht="16.2" customHeight="1" x14ac:dyDescent="0.2">
      <c r="B55" s="95" t="s">
        <v>60</v>
      </c>
      <c r="C55" s="51">
        <v>50</v>
      </c>
      <c r="D55" s="77"/>
      <c r="E55" s="52"/>
      <c r="F55" s="99"/>
      <c r="G55" s="102">
        <v>250</v>
      </c>
      <c r="H55" s="103"/>
      <c r="I55" s="104"/>
      <c r="J55" s="73">
        <v>1</v>
      </c>
      <c r="K55" s="23" t="s">
        <v>101</v>
      </c>
      <c r="L55" s="7"/>
    </row>
    <row r="56" spans="2:12" ht="16.2" customHeight="1" thickBot="1" x14ac:dyDescent="0.25">
      <c r="B56" s="100"/>
      <c r="C56" s="25">
        <v>75</v>
      </c>
      <c r="D56" s="74"/>
      <c r="E56" s="26"/>
      <c r="F56" s="99"/>
      <c r="G56" s="102">
        <v>400</v>
      </c>
      <c r="H56" s="103"/>
      <c r="I56" s="104"/>
      <c r="J56" s="73"/>
      <c r="K56" s="23"/>
      <c r="L56" s="7"/>
    </row>
    <row r="57" spans="2:12" ht="16.2" customHeight="1" thickBot="1" x14ac:dyDescent="0.25">
      <c r="B57" s="29" t="s">
        <v>62</v>
      </c>
      <c r="C57" s="54" t="s">
        <v>63</v>
      </c>
      <c r="D57" s="55"/>
      <c r="E57" s="56"/>
      <c r="F57" s="99"/>
      <c r="G57" s="102">
        <v>500</v>
      </c>
      <c r="H57" s="103"/>
      <c r="I57" s="104"/>
      <c r="J57" s="73"/>
      <c r="K57" s="23"/>
      <c r="L57" s="7"/>
    </row>
    <row r="58" spans="2:12" ht="16.2" customHeight="1" x14ac:dyDescent="0.2">
      <c r="B58" s="99" t="s">
        <v>64</v>
      </c>
      <c r="C58" s="27">
        <v>50</v>
      </c>
      <c r="D58" s="78"/>
      <c r="E58" s="32"/>
      <c r="F58" s="99"/>
      <c r="G58" s="102">
        <v>600</v>
      </c>
      <c r="H58" s="103"/>
      <c r="I58" s="104"/>
      <c r="J58" s="73"/>
      <c r="K58" s="23"/>
      <c r="L58" s="7"/>
    </row>
    <row r="59" spans="2:12" ht="16.2" customHeight="1" thickBot="1" x14ac:dyDescent="0.25">
      <c r="B59" s="99"/>
      <c r="C59" s="37">
        <v>75</v>
      </c>
      <c r="D59" s="76"/>
      <c r="E59" s="39"/>
      <c r="F59" s="99"/>
      <c r="G59" s="102">
        <v>700</v>
      </c>
      <c r="H59" s="103"/>
      <c r="I59" s="104"/>
      <c r="J59" s="73"/>
      <c r="K59" s="23"/>
      <c r="L59" s="7"/>
    </row>
    <row r="60" spans="2:12" ht="16.2" customHeight="1" x14ac:dyDescent="0.2">
      <c r="B60" s="108" t="s">
        <v>102</v>
      </c>
      <c r="C60" s="16" t="s">
        <v>103</v>
      </c>
      <c r="D60" s="75">
        <v>1</v>
      </c>
      <c r="E60" s="14"/>
      <c r="F60" s="99"/>
      <c r="G60" s="102">
        <v>800</v>
      </c>
      <c r="H60" s="103"/>
      <c r="I60" s="104"/>
      <c r="J60" s="73"/>
      <c r="K60" s="23"/>
      <c r="L60" s="7"/>
    </row>
    <row r="61" spans="2:12" ht="16.2" customHeight="1" thickBot="1" x14ac:dyDescent="0.25">
      <c r="B61" s="93"/>
      <c r="C61" s="17" t="s">
        <v>17</v>
      </c>
      <c r="D61" s="73">
        <v>3</v>
      </c>
      <c r="E61" s="23"/>
      <c r="F61" s="99"/>
      <c r="G61" s="146">
        <v>900</v>
      </c>
      <c r="H61" s="147"/>
      <c r="I61" s="148">
        <v>800</v>
      </c>
      <c r="J61" s="76"/>
      <c r="K61" s="36"/>
      <c r="L61" s="7"/>
    </row>
    <row r="62" spans="2:12" ht="16.2" customHeight="1" x14ac:dyDescent="0.2">
      <c r="B62" s="93"/>
      <c r="C62" s="17" t="s">
        <v>18</v>
      </c>
      <c r="D62" s="73">
        <v>149</v>
      </c>
      <c r="E62" s="23"/>
      <c r="F62" s="98" t="s">
        <v>86</v>
      </c>
      <c r="G62" s="105" t="s">
        <v>87</v>
      </c>
      <c r="H62" s="106"/>
      <c r="I62" s="107"/>
      <c r="J62" s="75">
        <v>2158.8000000000002</v>
      </c>
      <c r="K62" s="14" t="s">
        <v>91</v>
      </c>
    </row>
    <row r="63" spans="2:12" ht="16.2" customHeight="1" thickBot="1" x14ac:dyDescent="0.25">
      <c r="B63" s="94"/>
      <c r="C63" s="19"/>
      <c r="D63" s="74"/>
      <c r="E63" s="26"/>
      <c r="F63" s="111"/>
      <c r="G63" s="149"/>
      <c r="H63" s="150"/>
      <c r="I63" s="151"/>
      <c r="J63" s="78"/>
      <c r="K63" s="15"/>
    </row>
    <row r="64" spans="2:12" ht="16.2" customHeight="1" x14ac:dyDescent="0.2">
      <c r="B64" s="95" t="s">
        <v>107</v>
      </c>
      <c r="C64" s="28" t="s">
        <v>105</v>
      </c>
      <c r="D64" s="78">
        <v>2</v>
      </c>
      <c r="E64" s="53" t="s">
        <v>108</v>
      </c>
      <c r="F64" s="99" t="s">
        <v>88</v>
      </c>
      <c r="G64" s="102" t="s">
        <v>89</v>
      </c>
      <c r="H64" s="103"/>
      <c r="I64" s="104"/>
      <c r="J64" s="73">
        <v>2840.4</v>
      </c>
      <c r="K64" s="23"/>
    </row>
    <row r="65" spans="2:12" ht="16.2" customHeight="1" thickBot="1" x14ac:dyDescent="0.25">
      <c r="B65" s="100"/>
      <c r="C65" s="19" t="s">
        <v>106</v>
      </c>
      <c r="D65" s="155">
        <v>2</v>
      </c>
      <c r="E65" s="84" t="s">
        <v>109</v>
      </c>
      <c r="F65" s="100"/>
      <c r="G65" s="131"/>
      <c r="H65" s="132"/>
      <c r="I65" s="133"/>
      <c r="J65" s="74"/>
      <c r="K65" s="26"/>
      <c r="L65" s="9"/>
    </row>
    <row r="66" spans="2:12" ht="16.2" customHeight="1" x14ac:dyDescent="0.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9"/>
    </row>
    <row r="67" spans="2:12" ht="16.2" customHeight="1" x14ac:dyDescent="0.2">
      <c r="B67" s="90" t="s">
        <v>35</v>
      </c>
      <c r="C67" s="90"/>
      <c r="D67" s="90"/>
      <c r="E67" s="90"/>
      <c r="F67" s="90"/>
      <c r="G67" s="90"/>
      <c r="H67" s="90"/>
      <c r="I67" s="90"/>
      <c r="J67" s="90"/>
      <c r="K67" s="90"/>
      <c r="L67" s="5"/>
    </row>
    <row r="68" spans="2:12" ht="16.2" customHeight="1" x14ac:dyDescent="0.2">
      <c r="B68" s="101" t="s">
        <v>34</v>
      </c>
      <c r="C68" s="101"/>
      <c r="D68" s="101"/>
      <c r="E68" s="101"/>
      <c r="F68" s="101"/>
      <c r="G68" s="101"/>
      <c r="H68" s="101"/>
      <c r="I68" s="101"/>
      <c r="J68" s="101"/>
      <c r="K68" s="101"/>
      <c r="L68" s="81"/>
    </row>
    <row r="69" spans="2:12" ht="16.2" customHeight="1" x14ac:dyDescent="0.2"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81"/>
    </row>
    <row r="70" spans="2:12" ht="16.2" customHeight="1" thickBot="1" x14ac:dyDescent="0.25">
      <c r="B70" s="91" t="str">
        <f>B5</f>
        <v>東白川特２高層配水池揚水管取替工事</v>
      </c>
      <c r="C70" s="91"/>
      <c r="D70" s="91"/>
      <c r="E70" s="91"/>
      <c r="F70" s="91"/>
      <c r="G70" s="91"/>
      <c r="H70" s="91"/>
      <c r="I70" s="91"/>
      <c r="J70" s="91"/>
      <c r="K70" s="91"/>
      <c r="L70" s="71"/>
    </row>
    <row r="71" spans="2:12" s="2" customFormat="1" ht="16.2" customHeight="1" thickBot="1" x14ac:dyDescent="0.25">
      <c r="B71" s="29" t="s">
        <v>24</v>
      </c>
      <c r="C71" s="30" t="s">
        <v>25</v>
      </c>
      <c r="D71" s="31" t="s">
        <v>43</v>
      </c>
      <c r="E71" s="79" t="s">
        <v>32</v>
      </c>
      <c r="F71" s="29" t="s">
        <v>24</v>
      </c>
      <c r="G71" s="134" t="s">
        <v>25</v>
      </c>
      <c r="H71" s="135"/>
      <c r="I71" s="136"/>
      <c r="J71" s="31" t="s">
        <v>43</v>
      </c>
      <c r="K71" s="10" t="s">
        <v>32</v>
      </c>
      <c r="L71" s="6"/>
    </row>
    <row r="72" spans="2:12" ht="16.2" customHeight="1" x14ac:dyDescent="0.2">
      <c r="B72" s="109" t="s">
        <v>38</v>
      </c>
      <c r="C72" s="28" t="s">
        <v>4</v>
      </c>
      <c r="D72" s="78"/>
      <c r="E72" s="32"/>
      <c r="F72" s="115" t="s">
        <v>41</v>
      </c>
      <c r="G72" s="105">
        <v>75</v>
      </c>
      <c r="H72" s="106"/>
      <c r="I72" s="107"/>
      <c r="J72" s="78">
        <v>1</v>
      </c>
      <c r="K72" s="15"/>
      <c r="L72" s="7"/>
    </row>
    <row r="73" spans="2:12" ht="16.2" customHeight="1" x14ac:dyDescent="0.2">
      <c r="B73" s="93"/>
      <c r="C73" s="17" t="s">
        <v>5</v>
      </c>
      <c r="D73" s="73"/>
      <c r="E73" s="3"/>
      <c r="F73" s="93"/>
      <c r="G73" s="102">
        <v>100</v>
      </c>
      <c r="H73" s="103"/>
      <c r="I73" s="104"/>
      <c r="J73" s="73"/>
      <c r="K73" s="23"/>
      <c r="L73" s="7"/>
    </row>
    <row r="74" spans="2:12" ht="16.2" customHeight="1" x14ac:dyDescent="0.2">
      <c r="B74" s="93"/>
      <c r="C74" s="17" t="s">
        <v>6</v>
      </c>
      <c r="D74" s="73"/>
      <c r="E74" s="3"/>
      <c r="F74" s="93"/>
      <c r="G74" s="102">
        <v>150</v>
      </c>
      <c r="H74" s="103"/>
      <c r="I74" s="104"/>
      <c r="J74" s="73"/>
      <c r="K74" s="23"/>
      <c r="L74" s="7"/>
    </row>
    <row r="75" spans="2:12" ht="16.2" customHeight="1" thickBot="1" x14ac:dyDescent="0.25">
      <c r="B75" s="110"/>
      <c r="C75" s="35" t="s">
        <v>7</v>
      </c>
      <c r="D75" s="76"/>
      <c r="E75" s="39"/>
      <c r="F75" s="93"/>
      <c r="G75" s="102">
        <v>200</v>
      </c>
      <c r="H75" s="103"/>
      <c r="I75" s="104"/>
      <c r="J75" s="73"/>
      <c r="K75" s="23"/>
      <c r="L75" s="7"/>
    </row>
    <row r="76" spans="2:12" ht="16.2" customHeight="1" x14ac:dyDescent="0.2">
      <c r="B76" s="108" t="s">
        <v>37</v>
      </c>
      <c r="C76" s="16" t="s">
        <v>9</v>
      </c>
      <c r="D76" s="75"/>
      <c r="E76" s="14"/>
      <c r="F76" s="93"/>
      <c r="G76" s="102">
        <v>250</v>
      </c>
      <c r="H76" s="103"/>
      <c r="I76" s="104"/>
      <c r="J76" s="73">
        <v>1</v>
      </c>
      <c r="K76" s="23"/>
      <c r="L76" s="7"/>
    </row>
    <row r="77" spans="2:12" ht="16.2" customHeight="1" x14ac:dyDescent="0.2">
      <c r="B77" s="93"/>
      <c r="C77" s="17" t="s">
        <v>10</v>
      </c>
      <c r="D77" s="73"/>
      <c r="E77" s="23"/>
      <c r="F77" s="93"/>
      <c r="G77" s="102">
        <v>400</v>
      </c>
      <c r="H77" s="103"/>
      <c r="I77" s="104"/>
      <c r="J77" s="73"/>
      <c r="K77" s="23"/>
      <c r="L77" s="7"/>
    </row>
    <row r="78" spans="2:12" s="2" customFormat="1" ht="16.2" customHeight="1" x14ac:dyDescent="0.2">
      <c r="B78" s="93"/>
      <c r="C78" s="17" t="s">
        <v>11</v>
      </c>
      <c r="D78" s="73"/>
      <c r="E78" s="23"/>
      <c r="F78" s="93"/>
      <c r="G78" s="102">
        <v>500</v>
      </c>
      <c r="H78" s="103"/>
      <c r="I78" s="104"/>
      <c r="J78" s="73"/>
      <c r="K78" s="23"/>
      <c r="L78" s="7"/>
    </row>
    <row r="79" spans="2:12" ht="16.2" customHeight="1" thickBot="1" x14ac:dyDescent="0.25">
      <c r="B79" s="94"/>
      <c r="C79" s="19" t="s">
        <v>12</v>
      </c>
      <c r="D79" s="74"/>
      <c r="E79" s="26"/>
      <c r="F79" s="93"/>
      <c r="G79" s="102">
        <v>600</v>
      </c>
      <c r="H79" s="103"/>
      <c r="I79" s="104"/>
      <c r="J79" s="73"/>
      <c r="K79" s="23"/>
      <c r="L79" s="7"/>
    </row>
    <row r="80" spans="2:12" ht="16.2" customHeight="1" x14ac:dyDescent="0.2">
      <c r="B80" s="109" t="s">
        <v>39</v>
      </c>
      <c r="C80" s="27">
        <v>75</v>
      </c>
      <c r="D80" s="78"/>
      <c r="E80" s="32"/>
      <c r="F80" s="93"/>
      <c r="G80" s="102">
        <v>700</v>
      </c>
      <c r="H80" s="103"/>
      <c r="I80" s="104"/>
      <c r="J80" s="73"/>
      <c r="K80" s="23"/>
      <c r="L80" s="7"/>
    </row>
    <row r="81" spans="2:12" ht="16.2" customHeight="1" x14ac:dyDescent="0.2">
      <c r="B81" s="93"/>
      <c r="C81" s="22">
        <v>100</v>
      </c>
      <c r="D81" s="73"/>
      <c r="E81" s="3"/>
      <c r="F81" s="93"/>
      <c r="G81" s="102">
        <v>800</v>
      </c>
      <c r="H81" s="103"/>
      <c r="I81" s="104">
        <v>800</v>
      </c>
      <c r="J81" s="73"/>
      <c r="K81" s="23"/>
      <c r="L81" s="7"/>
    </row>
    <row r="82" spans="2:12" ht="16.2" customHeight="1" thickBot="1" x14ac:dyDescent="0.25">
      <c r="B82" s="93"/>
      <c r="C82" s="22">
        <v>150</v>
      </c>
      <c r="D82" s="73"/>
      <c r="E82" s="3"/>
      <c r="F82" s="110"/>
      <c r="G82" s="112">
        <v>900</v>
      </c>
      <c r="H82" s="113"/>
      <c r="I82" s="114">
        <v>900</v>
      </c>
      <c r="J82" s="76"/>
      <c r="K82" s="36"/>
      <c r="L82" s="7"/>
    </row>
    <row r="83" spans="2:12" ht="16.2" customHeight="1" x14ac:dyDescent="0.2">
      <c r="B83" s="93"/>
      <c r="C83" s="22">
        <v>200</v>
      </c>
      <c r="D83" s="73"/>
      <c r="E83" s="3"/>
      <c r="F83" s="108" t="s">
        <v>19</v>
      </c>
      <c r="G83" s="105">
        <v>75</v>
      </c>
      <c r="H83" s="106"/>
      <c r="I83" s="107"/>
      <c r="J83" s="75"/>
      <c r="K83" s="14"/>
      <c r="L83" s="7"/>
    </row>
    <row r="84" spans="2:12" ht="16.2" customHeight="1" x14ac:dyDescent="0.2">
      <c r="B84" s="93"/>
      <c r="C84" s="22">
        <v>300</v>
      </c>
      <c r="D84" s="73"/>
      <c r="E84" s="3"/>
      <c r="F84" s="93"/>
      <c r="G84" s="102">
        <v>100</v>
      </c>
      <c r="H84" s="103"/>
      <c r="I84" s="104"/>
      <c r="J84" s="73"/>
      <c r="K84" s="23"/>
      <c r="L84" s="7"/>
    </row>
    <row r="85" spans="2:12" ht="16.2" customHeight="1" x14ac:dyDescent="0.2">
      <c r="B85" s="93"/>
      <c r="C85" s="22">
        <v>400</v>
      </c>
      <c r="D85" s="73"/>
      <c r="E85" s="3"/>
      <c r="F85" s="93"/>
      <c r="G85" s="102">
        <v>150</v>
      </c>
      <c r="H85" s="103"/>
      <c r="I85" s="104"/>
      <c r="J85" s="73"/>
      <c r="K85" s="23"/>
      <c r="L85" s="7"/>
    </row>
    <row r="86" spans="2:12" ht="16.2" customHeight="1" x14ac:dyDescent="0.2">
      <c r="B86" s="93"/>
      <c r="C86" s="22">
        <v>500</v>
      </c>
      <c r="D86" s="73"/>
      <c r="E86" s="3"/>
      <c r="F86" s="93"/>
      <c r="G86" s="102">
        <v>200</v>
      </c>
      <c r="H86" s="103"/>
      <c r="I86" s="104"/>
      <c r="J86" s="73">
        <v>7</v>
      </c>
      <c r="K86" s="23"/>
      <c r="L86" s="7"/>
    </row>
    <row r="87" spans="2:12" ht="16.2" customHeight="1" x14ac:dyDescent="0.2">
      <c r="B87" s="93"/>
      <c r="C87" s="22">
        <v>600</v>
      </c>
      <c r="D87" s="73"/>
      <c r="E87" s="3"/>
      <c r="F87" s="93"/>
      <c r="G87" s="102">
        <v>300</v>
      </c>
      <c r="H87" s="103"/>
      <c r="I87" s="104"/>
      <c r="J87" s="73"/>
      <c r="K87" s="23"/>
      <c r="L87" s="7"/>
    </row>
    <row r="88" spans="2:12" ht="16.2" customHeight="1" thickBot="1" x14ac:dyDescent="0.25">
      <c r="B88" s="93"/>
      <c r="C88" s="22">
        <v>700</v>
      </c>
      <c r="D88" s="73"/>
      <c r="E88" s="3"/>
      <c r="F88" s="94"/>
      <c r="G88" s="102">
        <v>400</v>
      </c>
      <c r="H88" s="103"/>
      <c r="I88" s="104"/>
      <c r="J88" s="74">
        <v>48</v>
      </c>
      <c r="K88" s="26"/>
      <c r="L88" s="7"/>
    </row>
    <row r="89" spans="2:12" ht="16.2" customHeight="1" x14ac:dyDescent="0.2">
      <c r="B89" s="93"/>
      <c r="C89" s="22">
        <v>800</v>
      </c>
      <c r="D89" s="73"/>
      <c r="E89" s="3"/>
      <c r="F89" s="109" t="s">
        <v>36</v>
      </c>
      <c r="G89" s="105">
        <v>75</v>
      </c>
      <c r="H89" s="106"/>
      <c r="I89" s="107"/>
      <c r="J89" s="78"/>
      <c r="K89" s="15"/>
      <c r="L89" s="7"/>
    </row>
    <row r="90" spans="2:12" ht="16.2" customHeight="1" thickBot="1" x14ac:dyDescent="0.25">
      <c r="B90" s="110"/>
      <c r="C90" s="37">
        <v>900</v>
      </c>
      <c r="D90" s="76"/>
      <c r="E90" s="39"/>
      <c r="F90" s="93"/>
      <c r="G90" s="102">
        <v>100</v>
      </c>
      <c r="H90" s="103"/>
      <c r="I90" s="104"/>
      <c r="J90" s="73"/>
      <c r="K90" s="23"/>
      <c r="L90" s="7"/>
    </row>
    <row r="91" spans="2:12" ht="16.2" customHeight="1" x14ac:dyDescent="0.2">
      <c r="B91" s="108" t="s">
        <v>46</v>
      </c>
      <c r="C91" s="33">
        <v>75</v>
      </c>
      <c r="D91" s="75"/>
      <c r="E91" s="14"/>
      <c r="F91" s="93"/>
      <c r="G91" s="102">
        <v>150</v>
      </c>
      <c r="H91" s="103"/>
      <c r="I91" s="104"/>
      <c r="J91" s="73"/>
      <c r="K91" s="23"/>
      <c r="L91" s="7"/>
    </row>
    <row r="92" spans="2:12" ht="16.2" customHeight="1" x14ac:dyDescent="0.2">
      <c r="B92" s="93"/>
      <c r="C92" s="22">
        <v>100</v>
      </c>
      <c r="D92" s="73"/>
      <c r="E92" s="23"/>
      <c r="F92" s="93"/>
      <c r="G92" s="102">
        <v>200</v>
      </c>
      <c r="H92" s="103"/>
      <c r="I92" s="104"/>
      <c r="J92" s="73"/>
      <c r="K92" s="23"/>
      <c r="L92" s="7"/>
    </row>
    <row r="93" spans="2:12" ht="16.2" customHeight="1" x14ac:dyDescent="0.2">
      <c r="B93" s="93"/>
      <c r="C93" s="22">
        <v>150</v>
      </c>
      <c r="D93" s="73"/>
      <c r="E93" s="23"/>
      <c r="F93" s="93"/>
      <c r="G93" s="102">
        <v>300</v>
      </c>
      <c r="H93" s="103"/>
      <c r="I93" s="104"/>
      <c r="J93" s="73"/>
      <c r="K93" s="23"/>
      <c r="L93" s="7"/>
    </row>
    <row r="94" spans="2:12" ht="16.2" customHeight="1" x14ac:dyDescent="0.2">
      <c r="B94" s="93"/>
      <c r="C94" s="22">
        <v>200</v>
      </c>
      <c r="D94" s="73"/>
      <c r="E94" s="23"/>
      <c r="F94" s="93"/>
      <c r="G94" s="102">
        <v>400</v>
      </c>
      <c r="H94" s="103"/>
      <c r="I94" s="104"/>
      <c r="J94" s="73"/>
      <c r="K94" s="23"/>
      <c r="L94" s="7"/>
    </row>
    <row r="95" spans="2:12" ht="16.2" customHeight="1" x14ac:dyDescent="0.2">
      <c r="B95" s="93"/>
      <c r="C95" s="22">
        <v>300</v>
      </c>
      <c r="D95" s="73"/>
      <c r="E95" s="23"/>
      <c r="F95" s="93"/>
      <c r="G95" s="102">
        <v>500</v>
      </c>
      <c r="H95" s="103"/>
      <c r="I95" s="104"/>
      <c r="J95" s="73"/>
      <c r="K95" s="23"/>
      <c r="L95" s="7"/>
    </row>
    <row r="96" spans="2:12" ht="16.2" customHeight="1" x14ac:dyDescent="0.2">
      <c r="B96" s="93"/>
      <c r="C96" s="22">
        <v>400</v>
      </c>
      <c r="D96" s="73"/>
      <c r="E96" s="23"/>
      <c r="F96" s="93"/>
      <c r="G96" s="102">
        <v>600</v>
      </c>
      <c r="H96" s="103"/>
      <c r="I96" s="104"/>
      <c r="J96" s="73"/>
      <c r="K96" s="23"/>
      <c r="L96" s="7"/>
    </row>
    <row r="97" spans="2:12" ht="16.2" customHeight="1" x14ac:dyDescent="0.2">
      <c r="B97" s="93"/>
      <c r="C97" s="22">
        <v>500</v>
      </c>
      <c r="D97" s="73"/>
      <c r="E97" s="23"/>
      <c r="F97" s="93"/>
      <c r="G97" s="102">
        <v>700</v>
      </c>
      <c r="H97" s="103"/>
      <c r="I97" s="104"/>
      <c r="J97" s="73"/>
      <c r="K97" s="23"/>
      <c r="L97" s="7"/>
    </row>
    <row r="98" spans="2:12" ht="16.2" customHeight="1" x14ac:dyDescent="0.2">
      <c r="B98" s="93"/>
      <c r="C98" s="22">
        <v>600</v>
      </c>
      <c r="D98" s="73"/>
      <c r="E98" s="23"/>
      <c r="F98" s="93"/>
      <c r="G98" s="102">
        <v>800</v>
      </c>
      <c r="H98" s="103"/>
      <c r="I98" s="104">
        <v>800</v>
      </c>
      <c r="J98" s="73"/>
      <c r="K98" s="23"/>
      <c r="L98" s="7"/>
    </row>
    <row r="99" spans="2:12" ht="16.2" customHeight="1" thickBot="1" x14ac:dyDescent="0.25">
      <c r="B99" s="93"/>
      <c r="C99" s="22">
        <v>700</v>
      </c>
      <c r="D99" s="73"/>
      <c r="E99" s="23"/>
      <c r="F99" s="110"/>
      <c r="G99" s="112">
        <v>900</v>
      </c>
      <c r="H99" s="113"/>
      <c r="I99" s="114">
        <v>900</v>
      </c>
      <c r="J99" s="76"/>
      <c r="K99" s="36"/>
      <c r="L99" s="7"/>
    </row>
    <row r="100" spans="2:12" ht="16.2" customHeight="1" x14ac:dyDescent="0.2">
      <c r="B100" s="93"/>
      <c r="C100" s="22">
        <v>800</v>
      </c>
      <c r="D100" s="73"/>
      <c r="E100" s="23"/>
      <c r="F100" s="108" t="s">
        <v>53</v>
      </c>
      <c r="G100" s="105">
        <v>75</v>
      </c>
      <c r="H100" s="106"/>
      <c r="I100" s="107"/>
      <c r="J100" s="75"/>
      <c r="K100" s="14"/>
      <c r="L100" s="7"/>
    </row>
    <row r="101" spans="2:12" ht="16.2" customHeight="1" thickBot="1" x14ac:dyDescent="0.25">
      <c r="B101" s="94"/>
      <c r="C101" s="25">
        <v>900</v>
      </c>
      <c r="D101" s="74"/>
      <c r="E101" s="26"/>
      <c r="F101" s="93"/>
      <c r="G101" s="102">
        <v>100</v>
      </c>
      <c r="H101" s="103"/>
      <c r="I101" s="104"/>
      <c r="J101" s="73"/>
      <c r="K101" s="23"/>
      <c r="L101" s="7"/>
    </row>
    <row r="102" spans="2:12" ht="16.2" customHeight="1" x14ac:dyDescent="0.2">
      <c r="B102" s="109" t="s">
        <v>70</v>
      </c>
      <c r="C102" s="28" t="s">
        <v>13</v>
      </c>
      <c r="D102" s="78"/>
      <c r="E102" s="32"/>
      <c r="F102" s="93"/>
      <c r="G102" s="102">
        <v>150</v>
      </c>
      <c r="H102" s="103"/>
      <c r="I102" s="104"/>
      <c r="J102" s="73"/>
      <c r="K102" s="23"/>
      <c r="L102" s="7"/>
    </row>
    <row r="103" spans="2:12" ht="16.2" customHeight="1" x14ac:dyDescent="0.2">
      <c r="B103" s="93"/>
      <c r="C103" s="17" t="s">
        <v>14</v>
      </c>
      <c r="D103" s="73"/>
      <c r="E103" s="3"/>
      <c r="F103" s="93"/>
      <c r="G103" s="102">
        <v>200</v>
      </c>
      <c r="H103" s="103"/>
      <c r="I103" s="104"/>
      <c r="J103" s="73"/>
      <c r="K103" s="23"/>
      <c r="L103" s="7"/>
    </row>
    <row r="104" spans="2:12" ht="16.2" customHeight="1" x14ac:dyDescent="0.2">
      <c r="B104" s="93"/>
      <c r="C104" s="17" t="s">
        <v>15</v>
      </c>
      <c r="D104" s="73"/>
      <c r="E104" s="3"/>
      <c r="F104" s="93"/>
      <c r="G104" s="102">
        <v>300</v>
      </c>
      <c r="H104" s="103"/>
      <c r="I104" s="104"/>
      <c r="J104" s="73"/>
      <c r="K104" s="23"/>
      <c r="L104" s="7"/>
    </row>
    <row r="105" spans="2:12" ht="16.2" customHeight="1" thickBot="1" x14ac:dyDescent="0.25">
      <c r="B105" s="110"/>
      <c r="C105" s="35" t="s">
        <v>18</v>
      </c>
      <c r="D105" s="76"/>
      <c r="E105" s="39"/>
      <c r="F105" s="93"/>
      <c r="G105" s="102">
        <v>400</v>
      </c>
      <c r="H105" s="103"/>
      <c r="I105" s="104"/>
      <c r="J105" s="73"/>
      <c r="K105" s="23"/>
      <c r="L105" s="7"/>
    </row>
    <row r="106" spans="2:12" ht="16.2" customHeight="1" x14ac:dyDescent="0.2">
      <c r="B106" s="108" t="s">
        <v>71</v>
      </c>
      <c r="C106" s="16" t="s">
        <v>13</v>
      </c>
      <c r="D106" s="75"/>
      <c r="E106" s="14"/>
      <c r="F106" s="93"/>
      <c r="G106" s="102">
        <v>500</v>
      </c>
      <c r="H106" s="103"/>
      <c r="I106" s="104"/>
      <c r="J106" s="73"/>
      <c r="K106" s="23"/>
      <c r="L106" s="7"/>
    </row>
    <row r="107" spans="2:12" ht="16.2" customHeight="1" x14ac:dyDescent="0.2">
      <c r="B107" s="93"/>
      <c r="C107" s="17" t="s">
        <v>14</v>
      </c>
      <c r="D107" s="73"/>
      <c r="E107" s="23"/>
      <c r="F107" s="93"/>
      <c r="G107" s="102">
        <v>600</v>
      </c>
      <c r="H107" s="103"/>
      <c r="I107" s="104"/>
      <c r="J107" s="73"/>
      <c r="K107" s="23"/>
      <c r="L107" s="7"/>
    </row>
    <row r="108" spans="2:12" ht="16.2" customHeight="1" x14ac:dyDescent="0.2">
      <c r="B108" s="93"/>
      <c r="C108" s="17" t="s">
        <v>15</v>
      </c>
      <c r="D108" s="73"/>
      <c r="E108" s="23"/>
      <c r="F108" s="93"/>
      <c r="G108" s="102">
        <v>700</v>
      </c>
      <c r="H108" s="103"/>
      <c r="I108" s="104"/>
      <c r="J108" s="73"/>
      <c r="K108" s="23"/>
      <c r="L108" s="7"/>
    </row>
    <row r="109" spans="2:12" ht="16.2" customHeight="1" thickBot="1" x14ac:dyDescent="0.25">
      <c r="B109" s="94"/>
      <c r="C109" s="19" t="s">
        <v>18</v>
      </c>
      <c r="D109" s="74">
        <v>1</v>
      </c>
      <c r="E109" s="26"/>
      <c r="F109" s="93"/>
      <c r="G109" s="102">
        <v>800</v>
      </c>
      <c r="H109" s="103"/>
      <c r="I109" s="104">
        <v>800</v>
      </c>
      <c r="J109" s="73"/>
      <c r="K109" s="23"/>
      <c r="L109" s="7"/>
    </row>
    <row r="110" spans="2:12" ht="16.2" customHeight="1" thickBot="1" x14ac:dyDescent="0.25">
      <c r="B110" s="109" t="s">
        <v>72</v>
      </c>
      <c r="C110" s="28" t="s">
        <v>13</v>
      </c>
      <c r="D110" s="78"/>
      <c r="E110" s="32"/>
      <c r="F110" s="94"/>
      <c r="G110" s="112">
        <v>900</v>
      </c>
      <c r="H110" s="113"/>
      <c r="I110" s="114">
        <v>900</v>
      </c>
      <c r="J110" s="74"/>
      <c r="K110" s="26"/>
      <c r="L110" s="7"/>
    </row>
    <row r="111" spans="2:12" ht="16.2" customHeight="1" x14ac:dyDescent="0.2">
      <c r="B111" s="93"/>
      <c r="C111" s="17" t="s">
        <v>14</v>
      </c>
      <c r="D111" s="73"/>
      <c r="E111" s="3"/>
      <c r="F111" s="108" t="s">
        <v>97</v>
      </c>
      <c r="G111" s="105">
        <v>250</v>
      </c>
      <c r="H111" s="106"/>
      <c r="I111" s="107"/>
      <c r="J111" s="82">
        <f>ROUNDUP(D44/6,0)</f>
        <v>1</v>
      </c>
      <c r="K111" s="14"/>
    </row>
    <row r="112" spans="2:12" ht="16.2" customHeight="1" x14ac:dyDescent="0.2">
      <c r="B112" s="93"/>
      <c r="C112" s="17" t="s">
        <v>15</v>
      </c>
      <c r="D112" s="73"/>
      <c r="E112" s="3"/>
      <c r="F112" s="93"/>
      <c r="G112" s="102">
        <v>300</v>
      </c>
      <c r="H112" s="103"/>
      <c r="I112" s="104"/>
      <c r="J112" s="83">
        <f t="shared" ref="J112:J113" si="0">ROUNDUP(D45/6,0)</f>
        <v>171</v>
      </c>
      <c r="K112" s="23"/>
    </row>
    <row r="113" spans="2:11" ht="16.2" customHeight="1" thickBot="1" x14ac:dyDescent="0.25">
      <c r="B113" s="110"/>
      <c r="C113" s="35" t="s">
        <v>16</v>
      </c>
      <c r="D113" s="76"/>
      <c r="E113" s="39"/>
      <c r="F113" s="93"/>
      <c r="G113" s="102">
        <v>400</v>
      </c>
      <c r="H113" s="103"/>
      <c r="I113" s="104"/>
      <c r="J113" s="83">
        <f t="shared" si="0"/>
        <v>77</v>
      </c>
      <c r="K113" s="23"/>
    </row>
    <row r="114" spans="2:11" ht="16.2" customHeight="1" x14ac:dyDescent="0.2">
      <c r="B114" s="108" t="s">
        <v>73</v>
      </c>
      <c r="C114" s="16" t="s">
        <v>13</v>
      </c>
      <c r="D114" s="75"/>
      <c r="E114" s="14"/>
      <c r="F114" s="93"/>
      <c r="G114" s="102"/>
      <c r="H114" s="103"/>
      <c r="I114" s="104"/>
      <c r="J114" s="73"/>
      <c r="K114" s="23"/>
    </row>
    <row r="115" spans="2:11" ht="16.2" customHeight="1" x14ac:dyDescent="0.2">
      <c r="B115" s="93"/>
      <c r="C115" s="17" t="s">
        <v>14</v>
      </c>
      <c r="D115" s="73"/>
      <c r="E115" s="23"/>
      <c r="F115" s="93"/>
      <c r="G115" s="102"/>
      <c r="H115" s="103"/>
      <c r="I115" s="104"/>
      <c r="J115" s="78">
        <f>ROUNDUP(D33/6,0)</f>
        <v>0</v>
      </c>
      <c r="K115" s="23"/>
    </row>
    <row r="116" spans="2:11" ht="16.2" customHeight="1" x14ac:dyDescent="0.2">
      <c r="B116" s="93"/>
      <c r="C116" s="17" t="s">
        <v>15</v>
      </c>
      <c r="D116" s="73"/>
      <c r="E116" s="23"/>
      <c r="F116" s="93"/>
      <c r="G116" s="102"/>
      <c r="H116" s="103"/>
      <c r="I116" s="104"/>
      <c r="J116" s="78"/>
      <c r="K116" s="23"/>
    </row>
    <row r="117" spans="2:11" ht="16.2" customHeight="1" thickBot="1" x14ac:dyDescent="0.25">
      <c r="B117" s="94"/>
      <c r="C117" s="19" t="s">
        <v>16</v>
      </c>
      <c r="D117" s="74"/>
      <c r="E117" s="26"/>
      <c r="F117" s="93"/>
      <c r="G117" s="102"/>
      <c r="H117" s="103"/>
      <c r="I117" s="104"/>
      <c r="J117" s="78"/>
      <c r="K117" s="23"/>
    </row>
    <row r="118" spans="2:11" ht="16.2" customHeight="1" x14ac:dyDescent="0.2">
      <c r="B118" s="108" t="s">
        <v>40</v>
      </c>
      <c r="C118" s="16" t="s">
        <v>13</v>
      </c>
      <c r="D118" s="75"/>
      <c r="E118" s="14"/>
      <c r="F118" s="93"/>
      <c r="G118" s="102"/>
      <c r="H118" s="103"/>
      <c r="I118" s="104"/>
      <c r="J118" s="73"/>
      <c r="K118" s="23"/>
    </row>
    <row r="119" spans="2:11" ht="16.2" customHeight="1" x14ac:dyDescent="0.2">
      <c r="B119" s="93"/>
      <c r="C119" s="17" t="s">
        <v>14</v>
      </c>
      <c r="D119" s="73"/>
      <c r="E119" s="23"/>
      <c r="F119" s="93"/>
      <c r="G119" s="102"/>
      <c r="H119" s="103"/>
      <c r="I119" s="104"/>
      <c r="J119" s="73"/>
      <c r="K119" s="23"/>
    </row>
    <row r="120" spans="2:11" ht="16.2" customHeight="1" x14ac:dyDescent="0.2">
      <c r="B120" s="93"/>
      <c r="C120" s="17" t="s">
        <v>15</v>
      </c>
      <c r="D120" s="73"/>
      <c r="E120" s="23"/>
      <c r="F120" s="93"/>
      <c r="G120" s="102"/>
      <c r="H120" s="103"/>
      <c r="I120" s="104"/>
      <c r="J120" s="73"/>
      <c r="K120" s="23"/>
    </row>
    <row r="121" spans="2:11" ht="16.2" customHeight="1" thickBot="1" x14ac:dyDescent="0.25">
      <c r="B121" s="93"/>
      <c r="C121" s="17" t="s">
        <v>16</v>
      </c>
      <c r="D121" s="73"/>
      <c r="E121" s="23"/>
      <c r="F121" s="94"/>
      <c r="G121" s="112"/>
      <c r="H121" s="113"/>
      <c r="I121" s="114"/>
      <c r="J121" s="74"/>
      <c r="K121" s="26"/>
    </row>
    <row r="122" spans="2:11" ht="16.2" customHeight="1" x14ac:dyDescent="0.2">
      <c r="B122" s="93"/>
      <c r="C122" s="17" t="s">
        <v>17</v>
      </c>
      <c r="D122" s="73"/>
      <c r="E122" s="23"/>
      <c r="F122" s="24" t="s">
        <v>65</v>
      </c>
      <c r="G122" s="105">
        <v>50</v>
      </c>
      <c r="H122" s="106"/>
      <c r="I122" s="107"/>
      <c r="J122" s="73"/>
      <c r="K122" s="23"/>
    </row>
    <row r="123" spans="2:11" ht="16.2" customHeight="1" thickBot="1" x14ac:dyDescent="0.25">
      <c r="B123" s="94"/>
      <c r="C123" s="19" t="s">
        <v>18</v>
      </c>
      <c r="D123" s="74"/>
      <c r="E123" s="26"/>
      <c r="F123" s="24"/>
      <c r="G123" s="102"/>
      <c r="H123" s="103"/>
      <c r="I123" s="104"/>
      <c r="J123" s="73"/>
      <c r="K123" s="23"/>
    </row>
    <row r="124" spans="2:11" ht="16.2" customHeight="1" x14ac:dyDescent="0.2">
      <c r="B124" s="34"/>
      <c r="C124" s="27"/>
      <c r="D124" s="78"/>
      <c r="E124" s="32"/>
      <c r="F124" s="95" t="s">
        <v>90</v>
      </c>
      <c r="G124" s="105">
        <v>82</v>
      </c>
      <c r="H124" s="106"/>
      <c r="I124" s="107"/>
      <c r="J124" s="75">
        <f>ROUNDUP((J64)/6,0)</f>
        <v>474</v>
      </c>
      <c r="K124" s="14" t="s">
        <v>61</v>
      </c>
    </row>
    <row r="125" spans="2:11" ht="16.2" customHeight="1" x14ac:dyDescent="0.2">
      <c r="B125" s="24"/>
      <c r="C125" s="22"/>
      <c r="D125" s="73"/>
      <c r="E125" s="3"/>
      <c r="F125" s="115"/>
      <c r="G125" s="102"/>
      <c r="H125" s="103"/>
      <c r="I125" s="104"/>
      <c r="J125" s="73"/>
      <c r="K125" s="23"/>
    </row>
    <row r="126" spans="2:11" ht="16.2" customHeight="1" x14ac:dyDescent="0.2">
      <c r="B126" s="24"/>
      <c r="C126" s="22"/>
      <c r="D126" s="73"/>
      <c r="E126" s="3"/>
      <c r="F126" s="24"/>
      <c r="G126" s="102"/>
      <c r="H126" s="103"/>
      <c r="I126" s="104"/>
      <c r="J126" s="73"/>
      <c r="K126" s="23"/>
    </row>
    <row r="127" spans="2:11" ht="16.2" customHeight="1" x14ac:dyDescent="0.2">
      <c r="B127" s="24"/>
      <c r="C127" s="22"/>
      <c r="D127" s="73"/>
      <c r="E127" s="3"/>
      <c r="F127" s="24"/>
      <c r="G127" s="102"/>
      <c r="H127" s="103"/>
      <c r="I127" s="104"/>
      <c r="J127" s="73"/>
      <c r="K127" s="23"/>
    </row>
    <row r="128" spans="2:11" ht="16.2" customHeight="1" x14ac:dyDescent="0.2">
      <c r="B128" s="24"/>
      <c r="C128" s="22"/>
      <c r="D128" s="73"/>
      <c r="E128" s="3"/>
      <c r="F128" s="24"/>
      <c r="G128" s="102"/>
      <c r="H128" s="103"/>
      <c r="I128" s="104"/>
      <c r="J128" s="73"/>
      <c r="K128" s="23"/>
    </row>
    <row r="129" spans="2:12" ht="16.2" customHeight="1" x14ac:dyDescent="0.2">
      <c r="B129" s="24"/>
      <c r="C129" s="22"/>
      <c r="D129" s="73"/>
      <c r="E129" s="3"/>
      <c r="F129" s="24"/>
      <c r="G129" s="102"/>
      <c r="H129" s="103"/>
      <c r="I129" s="104"/>
      <c r="J129" s="73"/>
      <c r="K129" s="23"/>
    </row>
    <row r="130" spans="2:12" ht="16.2" customHeight="1" thickBot="1" x14ac:dyDescent="0.25">
      <c r="B130" s="38"/>
      <c r="C130" s="25"/>
      <c r="D130" s="74"/>
      <c r="E130" s="4"/>
      <c r="F130" s="38"/>
      <c r="G130" s="112"/>
      <c r="H130" s="113"/>
      <c r="I130" s="114"/>
      <c r="J130" s="74"/>
      <c r="K130" s="26"/>
    </row>
    <row r="131" spans="2:12" ht="16.2" customHeight="1" x14ac:dyDescent="0.2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9"/>
    </row>
    <row r="132" spans="2:12" ht="16.2" customHeight="1" x14ac:dyDescent="0.2">
      <c r="B132" s="90" t="s">
        <v>42</v>
      </c>
      <c r="C132" s="90"/>
      <c r="D132" s="90"/>
      <c r="E132" s="90"/>
      <c r="F132" s="90"/>
      <c r="G132" s="90"/>
      <c r="H132" s="90"/>
      <c r="I132" s="90"/>
      <c r="J132" s="90"/>
      <c r="K132" s="90"/>
      <c r="L132" s="5"/>
    </row>
    <row r="133" spans="2:12" ht="16.2" customHeight="1" x14ac:dyDescent="0.2">
      <c r="B133" s="101" t="s">
        <v>34</v>
      </c>
      <c r="C133" s="101"/>
      <c r="D133" s="101"/>
      <c r="E133" s="101"/>
      <c r="F133" s="101"/>
      <c r="G133" s="101"/>
      <c r="H133" s="101"/>
      <c r="I133" s="101"/>
      <c r="J133" s="101"/>
      <c r="K133" s="101"/>
      <c r="L133" s="81"/>
    </row>
    <row r="134" spans="2:12" ht="16.2" customHeight="1" x14ac:dyDescent="0.2"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81"/>
    </row>
    <row r="135" spans="2:12" ht="16.2" customHeight="1" thickBot="1" x14ac:dyDescent="0.25">
      <c r="B135" s="91" t="str">
        <f>B70</f>
        <v>東白川特２高層配水池揚水管取替工事</v>
      </c>
      <c r="C135" s="91"/>
      <c r="D135" s="91"/>
      <c r="E135" s="91"/>
      <c r="F135" s="91"/>
      <c r="G135" s="91"/>
      <c r="H135" s="91"/>
      <c r="I135" s="91"/>
      <c r="J135" s="91"/>
      <c r="K135" s="91"/>
      <c r="L135" s="71"/>
    </row>
    <row r="136" spans="2:12" s="2" customFormat="1" ht="16.2" customHeight="1" thickBot="1" x14ac:dyDescent="0.25">
      <c r="B136" s="29" t="s">
        <v>24</v>
      </c>
      <c r="C136" s="30" t="s">
        <v>25</v>
      </c>
      <c r="D136" s="31" t="s">
        <v>43</v>
      </c>
      <c r="E136" s="79" t="s">
        <v>32</v>
      </c>
      <c r="F136" s="29" t="s">
        <v>24</v>
      </c>
      <c r="G136" s="134" t="s">
        <v>25</v>
      </c>
      <c r="H136" s="135"/>
      <c r="I136" s="136"/>
      <c r="J136" s="31" t="s">
        <v>43</v>
      </c>
      <c r="K136" s="10" t="s">
        <v>32</v>
      </c>
      <c r="L136" s="6"/>
    </row>
    <row r="137" spans="2:12" ht="16.2" customHeight="1" x14ac:dyDescent="0.2">
      <c r="B137" s="109" t="s">
        <v>74</v>
      </c>
      <c r="C137" s="28" t="s">
        <v>20</v>
      </c>
      <c r="D137" s="78"/>
      <c r="E137" s="32"/>
      <c r="F137" s="115" t="s">
        <v>0</v>
      </c>
      <c r="G137" s="122" t="s">
        <v>29</v>
      </c>
      <c r="H137" s="123"/>
      <c r="I137" s="124"/>
      <c r="J137" s="121"/>
      <c r="K137" s="15"/>
    </row>
    <row r="138" spans="2:12" ht="16.2" customHeight="1" x14ac:dyDescent="0.2">
      <c r="B138" s="93"/>
      <c r="C138" s="17" t="s">
        <v>66</v>
      </c>
      <c r="D138" s="73"/>
      <c r="E138" s="3"/>
      <c r="F138" s="93"/>
      <c r="G138" s="125"/>
      <c r="H138" s="126"/>
      <c r="I138" s="127"/>
      <c r="J138" s="116"/>
      <c r="K138" s="40"/>
    </row>
    <row r="139" spans="2:12" ht="16.2" customHeight="1" x14ac:dyDescent="0.2">
      <c r="B139" s="93"/>
      <c r="C139" s="17" t="s">
        <v>7</v>
      </c>
      <c r="D139" s="73">
        <v>7</v>
      </c>
      <c r="E139" s="3"/>
      <c r="F139" s="93"/>
      <c r="G139" s="128" t="s">
        <v>29</v>
      </c>
      <c r="H139" s="129"/>
      <c r="I139" s="130"/>
      <c r="J139" s="116"/>
      <c r="K139" s="23"/>
    </row>
    <row r="140" spans="2:12" ht="16.2" customHeight="1" thickBot="1" x14ac:dyDescent="0.25">
      <c r="B140" s="110"/>
      <c r="C140" s="35" t="s">
        <v>18</v>
      </c>
      <c r="D140" s="76">
        <v>50</v>
      </c>
      <c r="E140" s="39"/>
      <c r="F140" s="93"/>
      <c r="G140" s="125"/>
      <c r="H140" s="126"/>
      <c r="I140" s="127"/>
      <c r="J140" s="116"/>
      <c r="K140" s="40"/>
    </row>
    <row r="141" spans="2:12" ht="16.2" customHeight="1" x14ac:dyDescent="0.2">
      <c r="B141" s="108" t="s">
        <v>75</v>
      </c>
      <c r="C141" s="16" t="s">
        <v>57</v>
      </c>
      <c r="D141" s="75"/>
      <c r="E141" s="14"/>
      <c r="F141" s="93"/>
      <c r="G141" s="128" t="s">
        <v>29</v>
      </c>
      <c r="H141" s="129"/>
      <c r="I141" s="130"/>
      <c r="J141" s="116"/>
      <c r="K141" s="23"/>
    </row>
    <row r="142" spans="2:12" ht="16.2" customHeight="1" x14ac:dyDescent="0.2">
      <c r="B142" s="93"/>
      <c r="C142" s="17" t="s">
        <v>54</v>
      </c>
      <c r="D142" s="73"/>
      <c r="E142" s="23"/>
      <c r="F142" s="93"/>
      <c r="G142" s="125"/>
      <c r="H142" s="126"/>
      <c r="I142" s="127"/>
      <c r="J142" s="116"/>
      <c r="K142" s="40"/>
    </row>
    <row r="143" spans="2:12" ht="16.2" customHeight="1" x14ac:dyDescent="0.2">
      <c r="B143" s="93"/>
      <c r="C143" s="17" t="s">
        <v>55</v>
      </c>
      <c r="D143" s="73"/>
      <c r="E143" s="23"/>
      <c r="F143" s="93"/>
      <c r="G143" s="128" t="s">
        <v>29</v>
      </c>
      <c r="H143" s="129"/>
      <c r="I143" s="130"/>
      <c r="J143" s="116"/>
      <c r="K143" s="23"/>
    </row>
    <row r="144" spans="2:12" ht="16.2" customHeight="1" thickBot="1" x14ac:dyDescent="0.25">
      <c r="B144" s="94"/>
      <c r="C144" s="19" t="s">
        <v>56</v>
      </c>
      <c r="D144" s="74"/>
      <c r="E144" s="26"/>
      <c r="F144" s="110"/>
      <c r="G144" s="131"/>
      <c r="H144" s="132"/>
      <c r="I144" s="133"/>
      <c r="J144" s="119"/>
      <c r="K144" s="43"/>
    </row>
    <row r="145" spans="2:11" ht="16.2" customHeight="1" x14ac:dyDescent="0.2">
      <c r="B145" s="109" t="s">
        <v>76</v>
      </c>
      <c r="C145" s="28" t="s">
        <v>4</v>
      </c>
      <c r="D145" s="78"/>
      <c r="E145" s="32"/>
      <c r="F145" s="92" t="s">
        <v>1</v>
      </c>
      <c r="G145" s="122" t="s">
        <v>94</v>
      </c>
      <c r="H145" s="123"/>
      <c r="I145" s="124"/>
      <c r="J145" s="118">
        <v>1</v>
      </c>
      <c r="K145" s="14" t="s">
        <v>92</v>
      </c>
    </row>
    <row r="146" spans="2:11" ht="16.2" customHeight="1" x14ac:dyDescent="0.2">
      <c r="B146" s="93"/>
      <c r="C146" s="17" t="s">
        <v>6</v>
      </c>
      <c r="D146" s="73"/>
      <c r="E146" s="3"/>
      <c r="F146" s="93"/>
      <c r="G146" s="125"/>
      <c r="H146" s="126"/>
      <c r="I146" s="127"/>
      <c r="J146" s="116"/>
      <c r="K146" s="40" t="s">
        <v>93</v>
      </c>
    </row>
    <row r="147" spans="2:11" ht="16.2" customHeight="1" x14ac:dyDescent="0.2">
      <c r="B147" s="93"/>
      <c r="C147" s="17" t="s">
        <v>7</v>
      </c>
      <c r="D147" s="73"/>
      <c r="E147" s="3"/>
      <c r="F147" s="93"/>
      <c r="G147" s="128"/>
      <c r="H147" s="129"/>
      <c r="I147" s="130"/>
      <c r="J147" s="116"/>
      <c r="K147" s="23"/>
    </row>
    <row r="148" spans="2:11" ht="16.2" customHeight="1" thickBot="1" x14ac:dyDescent="0.25">
      <c r="B148" s="110"/>
      <c r="C148" s="19" t="s">
        <v>17</v>
      </c>
      <c r="D148" s="76"/>
      <c r="E148" s="39"/>
      <c r="F148" s="93"/>
      <c r="G148" s="125"/>
      <c r="H148" s="126"/>
      <c r="I148" s="127"/>
      <c r="J148" s="116"/>
      <c r="K148" s="40"/>
    </row>
    <row r="149" spans="2:11" ht="16.2" customHeight="1" x14ac:dyDescent="0.2">
      <c r="B149" s="108" t="s">
        <v>98</v>
      </c>
      <c r="C149" s="80">
        <v>400</v>
      </c>
      <c r="D149" s="75"/>
      <c r="E149" s="14"/>
      <c r="F149" s="93"/>
      <c r="G149" s="128" t="s">
        <v>95</v>
      </c>
      <c r="H149" s="129"/>
      <c r="I149" s="130"/>
      <c r="J149" s="116">
        <v>9</v>
      </c>
      <c r="K149" s="23" t="s">
        <v>92</v>
      </c>
    </row>
    <row r="150" spans="2:11" ht="16.2" customHeight="1" x14ac:dyDescent="0.2">
      <c r="B150" s="93"/>
      <c r="C150" s="72">
        <v>500</v>
      </c>
      <c r="D150" s="73"/>
      <c r="E150" s="23"/>
      <c r="F150" s="93"/>
      <c r="G150" s="125"/>
      <c r="H150" s="126"/>
      <c r="I150" s="127"/>
      <c r="J150" s="116"/>
      <c r="K150" s="40" t="s">
        <v>93</v>
      </c>
    </row>
    <row r="151" spans="2:11" ht="16.2" customHeight="1" x14ac:dyDescent="0.2">
      <c r="B151" s="93"/>
      <c r="C151" s="72">
        <v>600</v>
      </c>
      <c r="D151" s="73"/>
      <c r="E151" s="23"/>
      <c r="F151" s="93"/>
      <c r="G151" s="128" t="s">
        <v>96</v>
      </c>
      <c r="H151" s="129"/>
      <c r="I151" s="130"/>
      <c r="J151" s="116">
        <v>3</v>
      </c>
      <c r="K151" s="23" t="s">
        <v>92</v>
      </c>
    </row>
    <row r="152" spans="2:11" ht="16.2" customHeight="1" thickBot="1" x14ac:dyDescent="0.25">
      <c r="B152" s="93"/>
      <c r="C152" s="72">
        <v>700</v>
      </c>
      <c r="D152" s="73"/>
      <c r="E152" s="23"/>
      <c r="F152" s="94"/>
      <c r="G152" s="131"/>
      <c r="H152" s="132"/>
      <c r="I152" s="133"/>
      <c r="J152" s="117"/>
      <c r="K152" s="44" t="s">
        <v>93</v>
      </c>
    </row>
    <row r="153" spans="2:11" ht="16.2" customHeight="1" x14ac:dyDescent="0.2">
      <c r="B153" s="93"/>
      <c r="C153" s="72">
        <v>800</v>
      </c>
      <c r="D153" s="73"/>
      <c r="E153" s="23"/>
      <c r="F153" s="115"/>
      <c r="G153" s="137"/>
      <c r="H153" s="138"/>
      <c r="I153" s="139"/>
      <c r="J153" s="121"/>
      <c r="K153" s="15"/>
    </row>
    <row r="154" spans="2:11" ht="16.2" customHeight="1" thickBot="1" x14ac:dyDescent="0.25">
      <c r="B154" s="94"/>
      <c r="C154" s="25">
        <v>900</v>
      </c>
      <c r="D154" s="74"/>
      <c r="E154" s="26"/>
      <c r="F154" s="93"/>
      <c r="G154" s="140"/>
      <c r="H154" s="141"/>
      <c r="I154" s="142"/>
      <c r="J154" s="116"/>
      <c r="K154" s="40"/>
    </row>
    <row r="155" spans="2:11" ht="16.2" customHeight="1" x14ac:dyDescent="0.2">
      <c r="B155" s="109" t="s">
        <v>99</v>
      </c>
      <c r="C155" s="80">
        <v>400</v>
      </c>
      <c r="D155" s="78"/>
      <c r="E155" s="32"/>
      <c r="F155" s="93"/>
      <c r="G155" s="143"/>
      <c r="H155" s="144"/>
      <c r="I155" s="145"/>
      <c r="J155" s="116"/>
      <c r="K155" s="23"/>
    </row>
    <row r="156" spans="2:11" ht="16.2" customHeight="1" thickBot="1" x14ac:dyDescent="0.25">
      <c r="B156" s="93"/>
      <c r="C156" s="72">
        <v>500</v>
      </c>
      <c r="D156" s="73"/>
      <c r="E156" s="3"/>
      <c r="F156" s="110"/>
      <c r="G156" s="152"/>
      <c r="H156" s="153"/>
      <c r="I156" s="154"/>
      <c r="J156" s="119"/>
      <c r="K156" s="43"/>
    </row>
    <row r="157" spans="2:11" ht="16.2" customHeight="1" x14ac:dyDescent="0.2">
      <c r="B157" s="93"/>
      <c r="C157" s="72">
        <v>600</v>
      </c>
      <c r="D157" s="73"/>
      <c r="E157" s="3"/>
      <c r="F157" s="92" t="s">
        <v>44</v>
      </c>
      <c r="G157" s="137" t="s">
        <v>29</v>
      </c>
      <c r="H157" s="138"/>
      <c r="I157" s="139"/>
      <c r="J157" s="120"/>
      <c r="K157" s="14"/>
    </row>
    <row r="158" spans="2:11" ht="16.2" customHeight="1" x14ac:dyDescent="0.2">
      <c r="B158" s="93"/>
      <c r="C158" s="72">
        <v>700</v>
      </c>
      <c r="D158" s="73"/>
      <c r="E158" s="3"/>
      <c r="F158" s="93"/>
      <c r="G158" s="140"/>
      <c r="H158" s="141"/>
      <c r="I158" s="142"/>
      <c r="J158" s="121"/>
      <c r="K158" s="23"/>
    </row>
    <row r="159" spans="2:11" ht="16.2" customHeight="1" x14ac:dyDescent="0.2">
      <c r="B159" s="93"/>
      <c r="C159" s="72">
        <v>800</v>
      </c>
      <c r="D159" s="73"/>
      <c r="E159" s="3"/>
      <c r="F159" s="93"/>
      <c r="G159" s="143" t="s">
        <v>29</v>
      </c>
      <c r="H159" s="144"/>
      <c r="I159" s="145"/>
      <c r="J159" s="116"/>
      <c r="K159" s="23"/>
    </row>
    <row r="160" spans="2:11" ht="16.2" customHeight="1" thickBot="1" x14ac:dyDescent="0.25">
      <c r="B160" s="110"/>
      <c r="C160" s="25">
        <v>900</v>
      </c>
      <c r="D160" s="76"/>
      <c r="E160" s="39"/>
      <c r="F160" s="93"/>
      <c r="G160" s="140"/>
      <c r="H160" s="141"/>
      <c r="I160" s="142"/>
      <c r="J160" s="116"/>
      <c r="K160" s="23"/>
    </row>
    <row r="161" spans="2:19" ht="16.2" customHeight="1" x14ac:dyDescent="0.2">
      <c r="B161" s="108" t="s">
        <v>100</v>
      </c>
      <c r="C161" s="80">
        <v>400</v>
      </c>
      <c r="D161" s="75"/>
      <c r="E161" s="14"/>
      <c r="F161" s="93"/>
      <c r="G161" s="143" t="s">
        <v>29</v>
      </c>
      <c r="H161" s="144"/>
      <c r="I161" s="145"/>
      <c r="J161" s="116"/>
      <c r="K161" s="23"/>
    </row>
    <row r="162" spans="2:19" ht="16.2" customHeight="1" x14ac:dyDescent="0.2">
      <c r="B162" s="93"/>
      <c r="C162" s="72">
        <v>500</v>
      </c>
      <c r="D162" s="73"/>
      <c r="E162" s="23"/>
      <c r="F162" s="93"/>
      <c r="G162" s="140"/>
      <c r="H162" s="141"/>
      <c r="I162" s="142"/>
      <c r="J162" s="116"/>
      <c r="K162" s="23"/>
    </row>
    <row r="163" spans="2:19" ht="16.2" customHeight="1" x14ac:dyDescent="0.2">
      <c r="B163" s="93"/>
      <c r="C163" s="72">
        <v>600</v>
      </c>
      <c r="D163" s="73"/>
      <c r="E163" s="23"/>
      <c r="F163" s="93"/>
      <c r="G163" s="143" t="s">
        <v>29</v>
      </c>
      <c r="H163" s="144"/>
      <c r="I163" s="145"/>
      <c r="J163" s="116"/>
      <c r="K163" s="23"/>
    </row>
    <row r="164" spans="2:19" ht="16.2" customHeight="1" thickBot="1" x14ac:dyDescent="0.25">
      <c r="B164" s="93"/>
      <c r="C164" s="72">
        <v>700</v>
      </c>
      <c r="D164" s="73"/>
      <c r="E164" s="23"/>
      <c r="F164" s="94"/>
      <c r="G164" s="152"/>
      <c r="H164" s="153"/>
      <c r="I164" s="154"/>
      <c r="J164" s="117"/>
      <c r="K164" s="26"/>
    </row>
    <row r="165" spans="2:19" ht="16.2" customHeight="1" x14ac:dyDescent="0.2">
      <c r="B165" s="93"/>
      <c r="C165" s="72">
        <v>800</v>
      </c>
      <c r="D165" s="73"/>
      <c r="E165" s="23"/>
      <c r="F165" s="92" t="s">
        <v>28</v>
      </c>
      <c r="G165" s="122">
        <v>25</v>
      </c>
      <c r="H165" s="123"/>
      <c r="I165" s="124"/>
      <c r="J165" s="118">
        <v>4</v>
      </c>
      <c r="K165" s="14"/>
    </row>
    <row r="166" spans="2:19" ht="16.2" customHeight="1" thickBot="1" x14ac:dyDescent="0.25">
      <c r="B166" s="94"/>
      <c r="C166" s="25">
        <v>900</v>
      </c>
      <c r="D166" s="74"/>
      <c r="E166" s="26"/>
      <c r="F166" s="93"/>
      <c r="G166" s="125"/>
      <c r="H166" s="126"/>
      <c r="I166" s="127"/>
      <c r="J166" s="116"/>
      <c r="K166" s="23"/>
    </row>
    <row r="167" spans="2:19" ht="16.2" customHeight="1" x14ac:dyDescent="0.2">
      <c r="B167" s="109" t="s">
        <v>21</v>
      </c>
      <c r="C167" s="27">
        <v>75</v>
      </c>
      <c r="D167" s="78"/>
      <c r="E167" s="32"/>
      <c r="F167" s="93"/>
      <c r="G167" s="128">
        <v>75</v>
      </c>
      <c r="H167" s="129"/>
      <c r="I167" s="130"/>
      <c r="J167" s="116">
        <v>1</v>
      </c>
      <c r="K167" s="23"/>
    </row>
    <row r="168" spans="2:19" ht="16.2" customHeight="1" x14ac:dyDescent="0.2">
      <c r="B168" s="93"/>
      <c r="C168" s="22">
        <v>100</v>
      </c>
      <c r="D168" s="73"/>
      <c r="E168" s="3"/>
      <c r="F168" s="93"/>
      <c r="G168" s="125"/>
      <c r="H168" s="126"/>
      <c r="I168" s="127"/>
      <c r="J168" s="116"/>
      <c r="K168" s="23"/>
    </row>
    <row r="169" spans="2:19" ht="16.2" customHeight="1" x14ac:dyDescent="0.2">
      <c r="B169" s="93"/>
      <c r="C169" s="22">
        <v>150</v>
      </c>
      <c r="D169" s="73"/>
      <c r="E169" s="3"/>
      <c r="F169" s="93"/>
      <c r="G169" s="128"/>
      <c r="H169" s="129"/>
      <c r="I169" s="130"/>
      <c r="J169" s="116"/>
      <c r="K169" s="23"/>
    </row>
    <row r="170" spans="2:19" ht="16.2" customHeight="1" x14ac:dyDescent="0.2">
      <c r="B170" s="93"/>
      <c r="C170" s="22">
        <v>200</v>
      </c>
      <c r="D170" s="73">
        <v>2</v>
      </c>
      <c r="E170" s="3"/>
      <c r="F170" s="93"/>
      <c r="G170" s="125"/>
      <c r="H170" s="126"/>
      <c r="I170" s="127"/>
      <c r="J170" s="116"/>
      <c r="K170" s="23"/>
    </row>
    <row r="171" spans="2:19" ht="16.2" customHeight="1" x14ac:dyDescent="0.2">
      <c r="B171" s="93"/>
      <c r="C171" s="22">
        <v>300</v>
      </c>
      <c r="D171" s="73"/>
      <c r="E171" s="3"/>
      <c r="F171" s="93"/>
      <c r="G171" s="128"/>
      <c r="H171" s="129"/>
      <c r="I171" s="130"/>
      <c r="J171" s="116"/>
      <c r="K171" s="23"/>
    </row>
    <row r="172" spans="2:19" ht="16.2" customHeight="1" thickBot="1" x14ac:dyDescent="0.25">
      <c r="B172" s="110"/>
      <c r="C172" s="37">
        <v>400</v>
      </c>
      <c r="D172" s="76">
        <v>1</v>
      </c>
      <c r="E172" s="39"/>
      <c r="F172" s="94"/>
      <c r="G172" s="131"/>
      <c r="H172" s="132"/>
      <c r="I172" s="133"/>
      <c r="J172" s="117"/>
      <c r="K172" s="26"/>
      <c r="N172" s="8"/>
      <c r="O172" s="8"/>
      <c r="P172" s="8"/>
      <c r="Q172" s="8"/>
      <c r="R172" s="8"/>
      <c r="S172" s="8"/>
    </row>
    <row r="173" spans="2:19" ht="16.2" customHeight="1" x14ac:dyDescent="0.2">
      <c r="B173" s="108" t="s">
        <v>22</v>
      </c>
      <c r="C173" s="33">
        <v>75</v>
      </c>
      <c r="D173" s="75"/>
      <c r="E173" s="14"/>
      <c r="F173" s="95" t="s">
        <v>79</v>
      </c>
      <c r="G173" s="59"/>
      <c r="H173" s="65" t="s">
        <v>52</v>
      </c>
      <c r="I173" s="60"/>
      <c r="J173" s="57"/>
      <c r="K173" s="58" t="str">
        <f>IFERROR(VLOOKUP(CONCATENATE(G173,I173),$O$173:$R$204,4,FALSE),"")</f>
        <v/>
      </c>
      <c r="N173" s="8"/>
      <c r="O173" s="70"/>
      <c r="P173" s="21"/>
      <c r="Q173" s="21"/>
      <c r="R173" s="21"/>
      <c r="S173" s="21"/>
    </row>
    <row r="174" spans="2:19" ht="16.2" customHeight="1" x14ac:dyDescent="0.2">
      <c r="B174" s="93"/>
      <c r="C174" s="22">
        <v>100</v>
      </c>
      <c r="D174" s="73"/>
      <c r="E174" s="23"/>
      <c r="F174" s="99"/>
      <c r="G174" s="61"/>
      <c r="H174" s="66" t="s">
        <v>77</v>
      </c>
      <c r="I174" s="62"/>
      <c r="J174" s="41"/>
      <c r="K174" s="18" t="str">
        <f>IFERROR(VLOOKUP(CONCATENATE(G174,I174),$O$173:$R$204,4,FALSE),"")</f>
        <v/>
      </c>
      <c r="N174" s="8"/>
      <c r="O174" s="70"/>
      <c r="P174" s="21"/>
      <c r="Q174" s="21"/>
      <c r="R174" s="21"/>
      <c r="S174" s="21"/>
    </row>
    <row r="175" spans="2:19" ht="16.2" customHeight="1" x14ac:dyDescent="0.2">
      <c r="B175" s="93"/>
      <c r="C175" s="22">
        <v>150</v>
      </c>
      <c r="D175" s="73"/>
      <c r="E175" s="23"/>
      <c r="F175" s="99"/>
      <c r="G175" s="61"/>
      <c r="H175" s="66" t="s">
        <v>77</v>
      </c>
      <c r="I175" s="62"/>
      <c r="J175" s="41"/>
      <c r="K175" s="18" t="str">
        <f t="shared" ref="K175:K182" si="1">IFERROR(VLOOKUP(CONCATENATE(G175,I175),$O$173:$R$204,4,FALSE),"")</f>
        <v/>
      </c>
      <c r="N175" s="8"/>
      <c r="O175" s="70"/>
      <c r="P175" s="21"/>
      <c r="Q175" s="21"/>
      <c r="R175" s="21"/>
      <c r="S175" s="21"/>
    </row>
    <row r="176" spans="2:19" ht="16.2" customHeight="1" x14ac:dyDescent="0.2">
      <c r="B176" s="93"/>
      <c r="C176" s="22">
        <v>200</v>
      </c>
      <c r="D176" s="73">
        <v>1</v>
      </c>
      <c r="E176" s="23"/>
      <c r="F176" s="99"/>
      <c r="G176" s="61"/>
      <c r="H176" s="66" t="s">
        <v>77</v>
      </c>
      <c r="I176" s="62"/>
      <c r="J176" s="41"/>
      <c r="K176" s="18" t="str">
        <f t="shared" si="1"/>
        <v/>
      </c>
      <c r="N176" s="8"/>
      <c r="O176" s="70"/>
      <c r="P176" s="21"/>
      <c r="Q176" s="21"/>
      <c r="R176" s="21"/>
      <c r="S176" s="21"/>
    </row>
    <row r="177" spans="2:19" ht="16.2" customHeight="1" x14ac:dyDescent="0.2">
      <c r="B177" s="93"/>
      <c r="C177" s="22">
        <v>300</v>
      </c>
      <c r="D177" s="73"/>
      <c r="E177" s="23"/>
      <c r="F177" s="99"/>
      <c r="G177" s="61"/>
      <c r="H177" s="66" t="s">
        <v>77</v>
      </c>
      <c r="I177" s="62"/>
      <c r="J177" s="41"/>
      <c r="K177" s="18" t="str">
        <f t="shared" si="1"/>
        <v/>
      </c>
      <c r="N177" s="8"/>
      <c r="O177" s="70"/>
      <c r="P177" s="21"/>
      <c r="Q177" s="21"/>
      <c r="R177" s="21"/>
      <c r="S177" s="21"/>
    </row>
    <row r="178" spans="2:19" ht="16.2" customHeight="1" thickBot="1" x14ac:dyDescent="0.25">
      <c r="B178" s="94"/>
      <c r="C178" s="25">
        <v>400</v>
      </c>
      <c r="D178" s="74">
        <v>1</v>
      </c>
      <c r="E178" s="26"/>
      <c r="F178" s="99"/>
      <c r="G178" s="61"/>
      <c r="H178" s="66" t="s">
        <v>77</v>
      </c>
      <c r="I178" s="62"/>
      <c r="J178" s="41"/>
      <c r="K178" s="18" t="str">
        <f t="shared" si="1"/>
        <v/>
      </c>
      <c r="N178" s="8"/>
      <c r="O178" s="70"/>
      <c r="P178" s="21"/>
      <c r="Q178" s="21"/>
      <c r="R178" s="21"/>
      <c r="S178" s="21"/>
    </row>
    <row r="179" spans="2:19" ht="16.2" customHeight="1" x14ac:dyDescent="0.2">
      <c r="B179" s="115" t="s">
        <v>23</v>
      </c>
      <c r="C179" s="27">
        <v>500</v>
      </c>
      <c r="D179" s="78"/>
      <c r="E179" s="32"/>
      <c r="F179" s="99"/>
      <c r="G179" s="61"/>
      <c r="H179" s="66" t="s">
        <v>77</v>
      </c>
      <c r="I179" s="62"/>
      <c r="J179" s="41"/>
      <c r="K179" s="18" t="str">
        <f t="shared" si="1"/>
        <v/>
      </c>
      <c r="N179" s="8"/>
      <c r="O179" s="70"/>
      <c r="P179" s="21"/>
      <c r="Q179" s="21"/>
      <c r="R179" s="21"/>
      <c r="S179" s="21"/>
    </row>
    <row r="180" spans="2:19" ht="16.2" customHeight="1" x14ac:dyDescent="0.2">
      <c r="B180" s="93"/>
      <c r="C180" s="22">
        <v>600</v>
      </c>
      <c r="D180" s="73"/>
      <c r="E180" s="3"/>
      <c r="F180" s="99"/>
      <c r="G180" s="61"/>
      <c r="H180" s="66" t="s">
        <v>77</v>
      </c>
      <c r="I180" s="62"/>
      <c r="J180" s="41"/>
      <c r="K180" s="18" t="str">
        <f t="shared" si="1"/>
        <v/>
      </c>
      <c r="N180" s="8"/>
      <c r="O180" s="70"/>
      <c r="P180" s="21"/>
      <c r="Q180" s="21"/>
      <c r="R180" s="21"/>
      <c r="S180" s="21"/>
    </row>
    <row r="181" spans="2:19" ht="16.2" customHeight="1" x14ac:dyDescent="0.2">
      <c r="B181" s="93"/>
      <c r="C181" s="22">
        <v>700</v>
      </c>
      <c r="D181" s="73"/>
      <c r="E181" s="3"/>
      <c r="F181" s="99"/>
      <c r="G181" s="61"/>
      <c r="H181" s="66" t="s">
        <v>77</v>
      </c>
      <c r="I181" s="62"/>
      <c r="J181" s="41"/>
      <c r="K181" s="18" t="str">
        <f t="shared" si="1"/>
        <v/>
      </c>
      <c r="N181" s="8"/>
      <c r="O181" s="70"/>
      <c r="P181" s="21"/>
      <c r="Q181" s="21"/>
      <c r="R181" s="21"/>
      <c r="S181" s="21"/>
    </row>
    <row r="182" spans="2:19" ht="16.2" customHeight="1" x14ac:dyDescent="0.2">
      <c r="B182" s="93"/>
      <c r="C182" s="22">
        <v>800</v>
      </c>
      <c r="D182" s="73"/>
      <c r="E182" s="3"/>
      <c r="F182" s="99"/>
      <c r="G182" s="61"/>
      <c r="H182" s="66" t="s">
        <v>77</v>
      </c>
      <c r="I182" s="62"/>
      <c r="J182" s="41"/>
      <c r="K182" s="18" t="str">
        <f t="shared" si="1"/>
        <v/>
      </c>
      <c r="N182" s="8"/>
      <c r="O182" s="70"/>
      <c r="P182" s="21"/>
      <c r="Q182" s="21"/>
      <c r="R182" s="21"/>
      <c r="S182" s="21"/>
    </row>
    <row r="183" spans="2:19" ht="16.2" customHeight="1" thickBot="1" x14ac:dyDescent="0.25">
      <c r="B183" s="110"/>
      <c r="C183" s="37">
        <v>900</v>
      </c>
      <c r="D183" s="76"/>
      <c r="E183" s="39"/>
      <c r="F183" s="100"/>
      <c r="G183" s="63"/>
      <c r="H183" s="67" t="s">
        <v>77</v>
      </c>
      <c r="I183" s="64"/>
      <c r="J183" s="42"/>
      <c r="K183" s="18" t="str">
        <f>IFERROR(VLOOKUP(CONCATENATE(G183,I183),$O$173:$R$204,4,FALSE),"")</f>
        <v/>
      </c>
      <c r="N183" s="8"/>
      <c r="O183" s="70"/>
      <c r="P183" s="21"/>
      <c r="Q183" s="21"/>
      <c r="R183" s="21"/>
      <c r="S183" s="21"/>
    </row>
    <row r="184" spans="2:19" ht="16.2" customHeight="1" x14ac:dyDescent="0.2">
      <c r="B184" s="92" t="s">
        <v>45</v>
      </c>
      <c r="C184" s="33">
        <v>75</v>
      </c>
      <c r="D184" s="75"/>
      <c r="E184" s="14"/>
      <c r="F184" s="95" t="s">
        <v>78</v>
      </c>
      <c r="G184" s="105">
        <v>75</v>
      </c>
      <c r="H184" s="106"/>
      <c r="I184" s="107"/>
      <c r="J184" s="57"/>
      <c r="K184" s="58"/>
      <c r="N184" s="8"/>
      <c r="O184" s="70"/>
      <c r="P184" s="21"/>
      <c r="Q184" s="21"/>
      <c r="R184" s="21"/>
      <c r="S184" s="21"/>
    </row>
    <row r="185" spans="2:19" ht="16.2" customHeight="1" x14ac:dyDescent="0.2">
      <c r="B185" s="93"/>
      <c r="C185" s="22">
        <v>100</v>
      </c>
      <c r="D185" s="73"/>
      <c r="E185" s="23"/>
      <c r="F185" s="99"/>
      <c r="G185" s="102">
        <v>100</v>
      </c>
      <c r="H185" s="103"/>
      <c r="I185" s="104"/>
      <c r="J185" s="41"/>
      <c r="K185" s="18"/>
      <c r="N185" s="8"/>
      <c r="O185" s="70"/>
      <c r="P185" s="21"/>
      <c r="Q185" s="21"/>
      <c r="R185" s="21"/>
      <c r="S185" s="21"/>
    </row>
    <row r="186" spans="2:19" ht="16.2" customHeight="1" x14ac:dyDescent="0.2">
      <c r="B186" s="93"/>
      <c r="C186" s="22">
        <v>150</v>
      </c>
      <c r="D186" s="73"/>
      <c r="E186" s="23"/>
      <c r="F186" s="99"/>
      <c r="G186" s="102">
        <v>150</v>
      </c>
      <c r="H186" s="103"/>
      <c r="I186" s="104"/>
      <c r="J186" s="41"/>
      <c r="K186" s="18"/>
      <c r="N186" s="8"/>
      <c r="O186" s="70"/>
      <c r="P186" s="21"/>
      <c r="Q186" s="21"/>
      <c r="R186" s="21"/>
      <c r="S186" s="21"/>
    </row>
    <row r="187" spans="2:19" ht="16.2" customHeight="1" x14ac:dyDescent="0.2">
      <c r="B187" s="93"/>
      <c r="C187" s="22">
        <v>200</v>
      </c>
      <c r="D187" s="73"/>
      <c r="E187" s="23"/>
      <c r="F187" s="99"/>
      <c r="G187" s="102">
        <v>200</v>
      </c>
      <c r="H187" s="103"/>
      <c r="I187" s="104"/>
      <c r="J187" s="41"/>
      <c r="K187" s="18"/>
      <c r="N187" s="8"/>
      <c r="O187" s="70"/>
      <c r="P187" s="21"/>
      <c r="Q187" s="21"/>
      <c r="R187" s="21"/>
      <c r="S187" s="21"/>
    </row>
    <row r="188" spans="2:19" ht="16.2" customHeight="1" x14ac:dyDescent="0.2">
      <c r="B188" s="93"/>
      <c r="C188" s="22">
        <v>300</v>
      </c>
      <c r="D188" s="73"/>
      <c r="E188" s="23"/>
      <c r="F188" s="99"/>
      <c r="G188" s="102">
        <v>250</v>
      </c>
      <c r="H188" s="103"/>
      <c r="I188" s="104"/>
      <c r="J188" s="41"/>
      <c r="K188" s="18"/>
      <c r="N188" s="8"/>
      <c r="O188" s="70"/>
      <c r="P188" s="21"/>
      <c r="Q188" s="21"/>
      <c r="R188" s="21"/>
      <c r="S188" s="21"/>
    </row>
    <row r="189" spans="2:19" ht="16.2" customHeight="1" x14ac:dyDescent="0.2">
      <c r="B189" s="93"/>
      <c r="C189" s="22">
        <v>400</v>
      </c>
      <c r="D189" s="73"/>
      <c r="E189" s="23"/>
      <c r="F189" s="99"/>
      <c r="G189" s="102">
        <v>300</v>
      </c>
      <c r="H189" s="103"/>
      <c r="I189" s="104"/>
      <c r="J189" s="41"/>
      <c r="K189" s="18"/>
      <c r="N189" s="8"/>
      <c r="O189" s="70"/>
      <c r="P189" s="21"/>
      <c r="Q189" s="21"/>
      <c r="R189" s="21"/>
      <c r="S189" s="21"/>
    </row>
    <row r="190" spans="2:19" ht="16.2" customHeight="1" x14ac:dyDescent="0.2">
      <c r="B190" s="93"/>
      <c r="C190" s="22">
        <v>500</v>
      </c>
      <c r="D190" s="73"/>
      <c r="E190" s="23"/>
      <c r="F190" s="99"/>
      <c r="G190" s="102">
        <v>350</v>
      </c>
      <c r="H190" s="103"/>
      <c r="I190" s="104"/>
      <c r="J190" s="41"/>
      <c r="K190" s="18"/>
      <c r="N190" s="8"/>
      <c r="O190" s="70"/>
      <c r="P190" s="21"/>
      <c r="Q190" s="21"/>
      <c r="R190" s="21"/>
      <c r="S190" s="21"/>
    </row>
    <row r="191" spans="2:19" ht="16.2" customHeight="1" x14ac:dyDescent="0.2">
      <c r="B191" s="93"/>
      <c r="C191" s="22">
        <v>600</v>
      </c>
      <c r="D191" s="73"/>
      <c r="E191" s="23"/>
      <c r="F191" s="99"/>
      <c r="G191" s="102">
        <v>400</v>
      </c>
      <c r="H191" s="103"/>
      <c r="I191" s="104"/>
      <c r="J191" s="41"/>
      <c r="K191" s="18"/>
      <c r="N191" s="8"/>
      <c r="O191" s="70"/>
      <c r="P191" s="21"/>
      <c r="Q191" s="21"/>
      <c r="R191" s="21"/>
      <c r="S191" s="21"/>
    </row>
    <row r="192" spans="2:19" ht="16.2" customHeight="1" x14ac:dyDescent="0.2">
      <c r="B192" s="93"/>
      <c r="C192" s="22">
        <v>700</v>
      </c>
      <c r="D192" s="73"/>
      <c r="E192" s="23"/>
      <c r="F192" s="99"/>
      <c r="G192" s="102">
        <v>450</v>
      </c>
      <c r="H192" s="103"/>
      <c r="I192" s="104"/>
      <c r="J192" s="41"/>
      <c r="K192" s="18"/>
      <c r="N192" s="8"/>
      <c r="O192" s="70"/>
      <c r="P192" s="21"/>
      <c r="Q192" s="21"/>
      <c r="R192" s="21"/>
      <c r="S192" s="21"/>
    </row>
    <row r="193" spans="2:19" ht="16.2" customHeight="1" x14ac:dyDescent="0.2">
      <c r="B193" s="93"/>
      <c r="C193" s="22">
        <v>800</v>
      </c>
      <c r="D193" s="73"/>
      <c r="E193" s="23"/>
      <c r="F193" s="99"/>
      <c r="G193" s="102">
        <v>500</v>
      </c>
      <c r="H193" s="103"/>
      <c r="I193" s="104">
        <v>800</v>
      </c>
      <c r="J193" s="41"/>
      <c r="K193" s="18"/>
      <c r="N193" s="8"/>
      <c r="O193" s="70"/>
      <c r="P193" s="21"/>
      <c r="Q193" s="21"/>
      <c r="R193" s="21"/>
      <c r="S193" s="8"/>
    </row>
    <row r="194" spans="2:19" ht="16.2" customHeight="1" thickBot="1" x14ac:dyDescent="0.25">
      <c r="B194" s="94"/>
      <c r="C194" s="25">
        <v>900</v>
      </c>
      <c r="D194" s="74"/>
      <c r="E194" s="26"/>
      <c r="F194" s="100"/>
      <c r="G194" s="112"/>
      <c r="H194" s="113"/>
      <c r="I194" s="114">
        <v>900</v>
      </c>
      <c r="J194" s="42"/>
      <c r="K194" s="20"/>
      <c r="N194" s="8"/>
      <c r="O194" s="70"/>
      <c r="P194" s="21"/>
      <c r="Q194" s="21"/>
      <c r="R194" s="21"/>
      <c r="S194" s="8"/>
    </row>
    <row r="195" spans="2:19" ht="16.2" customHeight="1" x14ac:dyDescent="0.2">
      <c r="B195" s="68"/>
      <c r="C195" s="68"/>
      <c r="D195" s="69"/>
      <c r="E195" s="68"/>
      <c r="F195" s="68"/>
      <c r="G195" s="68"/>
      <c r="H195" s="68"/>
      <c r="I195" s="68"/>
      <c r="J195" s="69"/>
      <c r="K195" s="68"/>
      <c r="N195" s="8"/>
      <c r="O195" s="70"/>
      <c r="P195" s="21"/>
      <c r="Q195" s="21"/>
      <c r="R195" s="21"/>
      <c r="S195" s="8"/>
    </row>
    <row r="196" spans="2:19" ht="16.2" customHeight="1" x14ac:dyDescent="0.2">
      <c r="D196" s="12"/>
      <c r="N196" s="8"/>
      <c r="O196" s="70"/>
      <c r="P196" s="21"/>
      <c r="Q196" s="21"/>
      <c r="R196" s="21"/>
      <c r="S196" s="8"/>
    </row>
    <row r="197" spans="2:19" ht="16.2" customHeight="1" x14ac:dyDescent="0.2">
      <c r="D197" s="12"/>
      <c r="N197" s="8"/>
      <c r="O197" s="70"/>
      <c r="P197" s="21"/>
      <c r="Q197" s="21"/>
      <c r="R197" s="21"/>
      <c r="S197" s="8"/>
    </row>
    <row r="198" spans="2:19" ht="16.2" customHeight="1" x14ac:dyDescent="0.2">
      <c r="D198" s="12"/>
      <c r="N198" s="8"/>
      <c r="O198" s="70"/>
      <c r="P198" s="21"/>
      <c r="Q198" s="21"/>
      <c r="R198" s="21"/>
      <c r="S198" s="8"/>
    </row>
    <row r="199" spans="2:19" ht="16.2" customHeight="1" x14ac:dyDescent="0.2">
      <c r="D199" s="12"/>
      <c r="N199" s="8"/>
      <c r="O199" s="70"/>
      <c r="P199" s="21"/>
      <c r="Q199" s="21"/>
      <c r="R199" s="21"/>
      <c r="S199" s="8"/>
    </row>
    <row r="200" spans="2:19" ht="16.2" customHeight="1" x14ac:dyDescent="0.2">
      <c r="D200" s="12"/>
      <c r="N200" s="8"/>
      <c r="O200" s="70"/>
      <c r="P200" s="21"/>
      <c r="Q200" s="21"/>
      <c r="R200" s="21"/>
      <c r="S200" s="8"/>
    </row>
    <row r="201" spans="2:19" ht="16.2" customHeight="1" x14ac:dyDescent="0.2">
      <c r="D201" s="12"/>
      <c r="N201" s="8"/>
      <c r="O201" s="70"/>
      <c r="P201" s="21"/>
      <c r="Q201" s="21"/>
      <c r="R201" s="21"/>
      <c r="S201" s="8"/>
    </row>
    <row r="202" spans="2:19" ht="16.2" customHeight="1" x14ac:dyDescent="0.2">
      <c r="D202" s="12"/>
      <c r="N202" s="8"/>
      <c r="O202" s="70"/>
      <c r="P202" s="21"/>
      <c r="Q202" s="21"/>
      <c r="R202" s="21"/>
      <c r="S202" s="8"/>
    </row>
    <row r="203" spans="2:19" ht="16.2" customHeight="1" x14ac:dyDescent="0.2">
      <c r="D203" s="12"/>
      <c r="N203" s="8"/>
      <c r="O203" s="70"/>
      <c r="P203" s="21"/>
      <c r="Q203" s="21"/>
      <c r="R203" s="21"/>
      <c r="S203" s="8"/>
    </row>
    <row r="204" spans="2:19" ht="16.2" customHeight="1" x14ac:dyDescent="0.2">
      <c r="D204" s="12"/>
      <c r="N204" s="8"/>
      <c r="O204" s="70"/>
      <c r="P204" s="21"/>
      <c r="Q204" s="21"/>
      <c r="R204" s="21"/>
      <c r="S204" s="8"/>
    </row>
    <row r="205" spans="2:19" ht="16.2" customHeight="1" x14ac:dyDescent="0.2">
      <c r="D205" s="12"/>
      <c r="N205" s="8"/>
      <c r="O205" s="8"/>
      <c r="P205" s="8"/>
      <c r="Q205" s="8"/>
      <c r="R205" s="8"/>
      <c r="S205" s="8"/>
    </row>
    <row r="206" spans="2:19" ht="16.2" customHeight="1" x14ac:dyDescent="0.2">
      <c r="D206" s="12"/>
    </row>
    <row r="207" spans="2:19" ht="16.2" customHeight="1" x14ac:dyDescent="0.2">
      <c r="D207" s="12"/>
    </row>
    <row r="208" spans="2:19" ht="16.2" customHeight="1" x14ac:dyDescent="0.2">
      <c r="D208" s="12"/>
    </row>
    <row r="209" spans="4:4" ht="16.2" customHeight="1" x14ac:dyDescent="0.2">
      <c r="D209" s="12"/>
    </row>
    <row r="210" spans="4:4" ht="16.2" customHeight="1" x14ac:dyDescent="0.2">
      <c r="D210" s="12"/>
    </row>
    <row r="211" spans="4:4" ht="16.2" customHeight="1" x14ac:dyDescent="0.2">
      <c r="D211" s="12"/>
    </row>
    <row r="212" spans="4:4" ht="16.2" customHeight="1" x14ac:dyDescent="0.2">
      <c r="D212" s="12"/>
    </row>
    <row r="213" spans="4:4" ht="16.2" customHeight="1" x14ac:dyDescent="0.2">
      <c r="D213" s="12"/>
    </row>
    <row r="214" spans="4:4" ht="16.2" customHeight="1" x14ac:dyDescent="0.2">
      <c r="D214" s="12"/>
    </row>
    <row r="215" spans="4:4" ht="16.2" customHeight="1" x14ac:dyDescent="0.2">
      <c r="D215" s="12"/>
    </row>
    <row r="216" spans="4:4" ht="16.2" customHeight="1" x14ac:dyDescent="0.2">
      <c r="D216" s="12"/>
    </row>
  </sheetData>
  <mergeCells count="228">
    <mergeCell ref="B64:B65"/>
    <mergeCell ref="F46:F50"/>
    <mergeCell ref="F51:F61"/>
    <mergeCell ref="G190:I190"/>
    <mergeCell ref="G191:I191"/>
    <mergeCell ref="G192:I192"/>
    <mergeCell ref="G193:I193"/>
    <mergeCell ref="G194:I194"/>
    <mergeCell ref="G185:I185"/>
    <mergeCell ref="G186:I186"/>
    <mergeCell ref="G187:I187"/>
    <mergeCell ref="G188:I188"/>
    <mergeCell ref="G189:I189"/>
    <mergeCell ref="G184:I184"/>
    <mergeCell ref="G167:I168"/>
    <mergeCell ref="G169:I170"/>
    <mergeCell ref="G171:I172"/>
    <mergeCell ref="G147:I148"/>
    <mergeCell ref="G149:I150"/>
    <mergeCell ref="G151:I152"/>
    <mergeCell ref="G153:I154"/>
    <mergeCell ref="G155:I156"/>
    <mergeCell ref="G163:I164"/>
    <mergeCell ref="G165:I166"/>
    <mergeCell ref="G127:I127"/>
    <mergeCell ref="G128:I128"/>
    <mergeCell ref="G129:I129"/>
    <mergeCell ref="G130:I130"/>
    <mergeCell ref="G136:I136"/>
    <mergeCell ref="G122:I122"/>
    <mergeCell ref="G123:I123"/>
    <mergeCell ref="G124:I124"/>
    <mergeCell ref="G125:I125"/>
    <mergeCell ref="G126:I126"/>
    <mergeCell ref="B133:K134"/>
    <mergeCell ref="B132:K132"/>
    <mergeCell ref="F124:F125"/>
    <mergeCell ref="G117:I117"/>
    <mergeCell ref="G118:I118"/>
    <mergeCell ref="G119:I119"/>
    <mergeCell ref="G120:I120"/>
    <mergeCell ref="G121:I121"/>
    <mergeCell ref="G112:I112"/>
    <mergeCell ref="G113:I113"/>
    <mergeCell ref="G114:I114"/>
    <mergeCell ref="G115:I115"/>
    <mergeCell ref="G116:I116"/>
    <mergeCell ref="G107:I107"/>
    <mergeCell ref="G108:I108"/>
    <mergeCell ref="G109:I109"/>
    <mergeCell ref="G110:I110"/>
    <mergeCell ref="G111:I111"/>
    <mergeCell ref="G102:I102"/>
    <mergeCell ref="G103:I103"/>
    <mergeCell ref="G104:I104"/>
    <mergeCell ref="G105:I105"/>
    <mergeCell ref="G106:I106"/>
    <mergeCell ref="G97:I97"/>
    <mergeCell ref="G98:I98"/>
    <mergeCell ref="G99:I99"/>
    <mergeCell ref="G100:I100"/>
    <mergeCell ref="G101:I101"/>
    <mergeCell ref="G92:I92"/>
    <mergeCell ref="G93:I93"/>
    <mergeCell ref="G94:I94"/>
    <mergeCell ref="G95:I95"/>
    <mergeCell ref="G96:I96"/>
    <mergeCell ref="G87:I87"/>
    <mergeCell ref="G88:I88"/>
    <mergeCell ref="G89:I89"/>
    <mergeCell ref="G90:I90"/>
    <mergeCell ref="G91:I91"/>
    <mergeCell ref="G82:I82"/>
    <mergeCell ref="G83:I83"/>
    <mergeCell ref="G84:I84"/>
    <mergeCell ref="G85:I85"/>
    <mergeCell ref="G86:I86"/>
    <mergeCell ref="G77:I77"/>
    <mergeCell ref="G78:I78"/>
    <mergeCell ref="G79:I79"/>
    <mergeCell ref="G80:I80"/>
    <mergeCell ref="G81:I81"/>
    <mergeCell ref="G72:I72"/>
    <mergeCell ref="G73:I73"/>
    <mergeCell ref="G74:I74"/>
    <mergeCell ref="G75:I75"/>
    <mergeCell ref="G76:I76"/>
    <mergeCell ref="G62:I62"/>
    <mergeCell ref="G63:I63"/>
    <mergeCell ref="G64:I64"/>
    <mergeCell ref="G65:I65"/>
    <mergeCell ref="G71:I71"/>
    <mergeCell ref="G57:I57"/>
    <mergeCell ref="G58:I58"/>
    <mergeCell ref="G59:I59"/>
    <mergeCell ref="G60:I60"/>
    <mergeCell ref="G61:I61"/>
    <mergeCell ref="G54:I54"/>
    <mergeCell ref="G55:I55"/>
    <mergeCell ref="G56:I56"/>
    <mergeCell ref="G47:I47"/>
    <mergeCell ref="G48:I48"/>
    <mergeCell ref="G49:I49"/>
    <mergeCell ref="G50:I50"/>
    <mergeCell ref="G51:I51"/>
    <mergeCell ref="G40:I40"/>
    <mergeCell ref="G41:I41"/>
    <mergeCell ref="G52:I52"/>
    <mergeCell ref="F173:F183"/>
    <mergeCell ref="F184:F194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157:I158"/>
    <mergeCell ref="G159:I160"/>
    <mergeCell ref="G161:I162"/>
    <mergeCell ref="G32:I32"/>
    <mergeCell ref="G33:I33"/>
    <mergeCell ref="G34:I34"/>
    <mergeCell ref="G35:I35"/>
    <mergeCell ref="G36:I36"/>
    <mergeCell ref="B173:B178"/>
    <mergeCell ref="B70:K70"/>
    <mergeCell ref="F83:F88"/>
    <mergeCell ref="J143:J144"/>
    <mergeCell ref="J137:J138"/>
    <mergeCell ref="B149:B154"/>
    <mergeCell ref="B137:B140"/>
    <mergeCell ref="B102:B105"/>
    <mergeCell ref="B145:B148"/>
    <mergeCell ref="J153:J154"/>
    <mergeCell ref="B76:B79"/>
    <mergeCell ref="B114:B117"/>
    <mergeCell ref="F72:F82"/>
    <mergeCell ref="B106:B109"/>
    <mergeCell ref="B80:B90"/>
    <mergeCell ref="J147:J148"/>
    <mergeCell ref="B135:K135"/>
    <mergeCell ref="B141:B144"/>
    <mergeCell ref="G137:I138"/>
    <mergeCell ref="G139:I140"/>
    <mergeCell ref="G141:I142"/>
    <mergeCell ref="G143:I144"/>
    <mergeCell ref="G145:I146"/>
    <mergeCell ref="F89:F99"/>
    <mergeCell ref="B184:B194"/>
    <mergeCell ref="B179:B183"/>
    <mergeCell ref="B167:B172"/>
    <mergeCell ref="J141:J142"/>
    <mergeCell ref="F137:F144"/>
    <mergeCell ref="J139:J140"/>
    <mergeCell ref="J171:J172"/>
    <mergeCell ref="F145:F152"/>
    <mergeCell ref="J145:J146"/>
    <mergeCell ref="J169:J170"/>
    <mergeCell ref="J159:J160"/>
    <mergeCell ref="J161:J162"/>
    <mergeCell ref="J163:J164"/>
    <mergeCell ref="J149:J150"/>
    <mergeCell ref="J155:J156"/>
    <mergeCell ref="J165:J166"/>
    <mergeCell ref="J167:J168"/>
    <mergeCell ref="J157:J158"/>
    <mergeCell ref="J151:J152"/>
    <mergeCell ref="B161:B166"/>
    <mergeCell ref="F157:F164"/>
    <mergeCell ref="F165:F172"/>
    <mergeCell ref="B155:B160"/>
    <mergeCell ref="F153:F156"/>
    <mergeCell ref="B91:B101"/>
    <mergeCell ref="F111:F121"/>
    <mergeCell ref="B7:B17"/>
    <mergeCell ref="B72:B75"/>
    <mergeCell ref="B18:B28"/>
    <mergeCell ref="B110:B113"/>
    <mergeCell ref="B68:K69"/>
    <mergeCell ref="B60:B63"/>
    <mergeCell ref="F100:F110"/>
    <mergeCell ref="B58:B59"/>
    <mergeCell ref="B55:B56"/>
    <mergeCell ref="B51:B52"/>
    <mergeCell ref="B118:B123"/>
    <mergeCell ref="G20:I20"/>
    <mergeCell ref="G21:I21"/>
    <mergeCell ref="G22:I22"/>
    <mergeCell ref="G23:I23"/>
    <mergeCell ref="G24:I24"/>
    <mergeCell ref="G25:I25"/>
    <mergeCell ref="G26:I26"/>
    <mergeCell ref="G27:I27"/>
    <mergeCell ref="F62:F63"/>
    <mergeCell ref="F64:F65"/>
    <mergeCell ref="G28:I28"/>
    <mergeCell ref="B2:K2"/>
    <mergeCell ref="B5:K5"/>
    <mergeCell ref="B67:K67"/>
    <mergeCell ref="B40:B50"/>
    <mergeCell ref="B29:B39"/>
    <mergeCell ref="F41:F45"/>
    <mergeCell ref="F7:F17"/>
    <mergeCell ref="F18:F28"/>
    <mergeCell ref="F29:F34"/>
    <mergeCell ref="F35:F40"/>
    <mergeCell ref="B53:B54"/>
    <mergeCell ref="B3:K4"/>
    <mergeCell ref="G31:I31"/>
    <mergeCell ref="G42:I42"/>
    <mergeCell ref="G43:I43"/>
    <mergeCell ref="G44:I44"/>
    <mergeCell ref="G45:I45"/>
    <mergeCell ref="G46:I46"/>
    <mergeCell ref="G37:I37"/>
    <mergeCell ref="G38:I38"/>
    <mergeCell ref="G39:I39"/>
    <mergeCell ref="G29:I29"/>
    <mergeCell ref="G30:I30"/>
    <mergeCell ref="G53:I53"/>
  </mergeCells>
  <phoneticPr fontId="2"/>
  <dataValidations count="2">
    <dataValidation type="list" allowBlank="1" showInputMessage="1" showErrorMessage="1" sqref="K155 K137 K139 K141 K143 K145 K147 K149 K151 K153">
      <formula1>"補修弁 有,補修弁 2有,補修弁 無"</formula1>
    </dataValidation>
    <dataValidation type="list" allowBlank="1" showInputMessage="1" showErrorMessage="1" sqref="K156 K138 K140 K142 K144 K146 K148 K150 K152 K154">
      <formula1>"F短管 有,F短管 2有,F短管 無"</formula1>
    </dataValidation>
  </dataValidations>
  <printOptions horizontalCentered="1"/>
  <pageMargins left="0.78740157480314965" right="0.39370078740157483" top="0.11811023622047244" bottom="0.11811023622047244" header="0.19685039370078741" footer="0.19685039370078741"/>
  <pageSetup paperSize="9" scale="83" fitToHeight="0" orientation="portrait" r:id="rId1"/>
  <headerFooter alignWithMargins="0"/>
  <rowBreaks count="2" manualBreakCount="2">
    <brk id="65" min="1" max="10" man="1"/>
    <brk id="130" min="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表紙</vt:lpstr>
      <vt:lpstr>総括表（管工事）</vt:lpstr>
      <vt:lpstr>'総括表（管工事）'!Print_Area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 俊吾</dc:creator>
  <cp:lastModifiedBy>Windows ユーザー</cp:lastModifiedBy>
  <cp:lastPrinted>2025-09-26T09:41:31Z</cp:lastPrinted>
  <dcterms:created xsi:type="dcterms:W3CDTF">2000-07-13T05:26:51Z</dcterms:created>
  <dcterms:modified xsi:type="dcterms:W3CDTF">2025-10-01T08:58:57Z</dcterms:modified>
</cp:coreProperties>
</file>
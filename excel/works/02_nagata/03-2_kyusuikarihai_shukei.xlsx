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4004\Desktop\フォルダ\○設計・積算業務\〇長田（花山町２丁目他）配水管取替工事\数量計算書\"/>
    </mc:Choice>
  </mc:AlternateContent>
  <bookViews>
    <workbookView xWindow="0" yWindow="0" windowWidth="28800" windowHeight="12310"/>
  </bookViews>
  <sheets>
    <sheet name="給水掘削延長(面積）" sheetId="1" r:id="rId1"/>
  </sheets>
  <definedNames>
    <definedName name="_xlnm.Print_Area" localSheetId="0">'給水掘削延長(面積）'!$B$1:$K$229</definedName>
    <definedName name="Print_Area_MI">#REF!</definedName>
    <definedName name="PRINT_AREA_MI1">#REF!</definedName>
  </definedNames>
  <calcPr calcId="162913"/>
</workbook>
</file>

<file path=xl/calcChain.xml><?xml version="1.0" encoding="utf-8"?>
<calcChain xmlns="http://schemas.openxmlformats.org/spreadsheetml/2006/main">
  <c r="F136" i="1" l="1"/>
  <c r="F145" i="1" s="1"/>
  <c r="E196" i="1" l="1"/>
  <c r="E197" i="1"/>
  <c r="E195" i="1"/>
  <c r="E191" i="1"/>
  <c r="E203" i="1" l="1"/>
  <c r="E194" i="1" l="1"/>
  <c r="E188" i="1"/>
  <c r="E185" i="1"/>
  <c r="G73" i="1" l="1"/>
  <c r="F133" i="1" l="1"/>
  <c r="F131" i="1"/>
  <c r="E204" i="1" l="1"/>
  <c r="E187" i="1"/>
  <c r="E186" i="1"/>
  <c r="E183" i="1"/>
  <c r="E181" i="1"/>
  <c r="E184" i="1"/>
  <c r="E190" i="1"/>
  <c r="E189" i="1"/>
  <c r="E192" i="1"/>
  <c r="E193" i="1"/>
  <c r="G8" i="1" l="1"/>
  <c r="F132" i="1"/>
  <c r="G4" i="1"/>
  <c r="E228" i="1" l="1"/>
  <c r="E227" i="1"/>
  <c r="E226" i="1"/>
  <c r="E225" i="1"/>
  <c r="E224" i="1"/>
  <c r="O227" i="1"/>
  <c r="O228" i="1"/>
  <c r="O226" i="1"/>
  <c r="O225" i="1"/>
  <c r="O224" i="1"/>
  <c r="O223" i="1"/>
  <c r="J133" i="1"/>
  <c r="E209" i="1"/>
  <c r="E207" i="1"/>
  <c r="E206" i="1"/>
  <c r="E222" i="1"/>
  <c r="E221" i="1"/>
  <c r="E220" i="1"/>
  <c r="E219" i="1"/>
  <c r="E218" i="1"/>
  <c r="E216" i="1"/>
  <c r="E215" i="1"/>
  <c r="E214" i="1"/>
  <c r="E213" i="1"/>
  <c r="E211" i="1"/>
  <c r="E210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5" i="1"/>
  <c r="G6" i="1"/>
  <c r="G7" i="1"/>
  <c r="F138" i="1" l="1"/>
  <c r="F139" i="1" s="1"/>
  <c r="F140" i="1"/>
  <c r="F149" i="1" s="1"/>
  <c r="C149" i="1"/>
  <c r="C150" i="1"/>
  <c r="F142" i="1"/>
  <c r="F134" i="1"/>
  <c r="F141" i="1" l="1"/>
  <c r="F150" i="1"/>
  <c r="F159" i="1"/>
  <c r="J187" i="1" l="1"/>
  <c r="J186" i="1"/>
  <c r="J185" i="1"/>
  <c r="J184" i="1"/>
  <c r="J183" i="1"/>
  <c r="J182" i="1"/>
  <c r="J181" i="1"/>
  <c r="J180" i="1"/>
  <c r="J179" i="1"/>
  <c r="E182" i="1"/>
  <c r="J178" i="1"/>
  <c r="J177" i="1"/>
  <c r="J176" i="1"/>
  <c r="J175" i="1"/>
  <c r="J174" i="1"/>
  <c r="J173" i="1"/>
  <c r="F175" i="1"/>
  <c r="J167" i="1"/>
  <c r="F174" i="1"/>
  <c r="J166" i="1"/>
  <c r="F173" i="1"/>
  <c r="J165" i="1"/>
  <c r="F172" i="1"/>
  <c r="J164" i="1"/>
  <c r="F171" i="1"/>
  <c r="J163" i="1"/>
  <c r="J162" i="1"/>
  <c r="F169" i="1"/>
  <c r="J161" i="1"/>
  <c r="F168" i="1"/>
  <c r="J160" i="1"/>
  <c r="F167" i="1"/>
  <c r="J159" i="1"/>
  <c r="F166" i="1"/>
  <c r="J158" i="1"/>
  <c r="F165" i="1"/>
  <c r="J157" i="1"/>
  <c r="J156" i="1"/>
  <c r="F163" i="1"/>
  <c r="J155" i="1"/>
  <c r="F162" i="1"/>
  <c r="J154" i="1"/>
  <c r="F161" i="1"/>
  <c r="J153" i="1"/>
  <c r="F160" i="1"/>
  <c r="J147" i="1"/>
  <c r="J146" i="1"/>
  <c r="J145" i="1"/>
  <c r="J144" i="1"/>
  <c r="J143" i="1"/>
  <c r="J142" i="1"/>
  <c r="C148" i="1"/>
  <c r="J141" i="1"/>
  <c r="C147" i="1"/>
  <c r="J140" i="1"/>
  <c r="C146" i="1"/>
  <c r="J139" i="1"/>
  <c r="C145" i="1"/>
  <c r="J138" i="1"/>
  <c r="J137" i="1"/>
  <c r="J136" i="1"/>
  <c r="F147" i="1"/>
  <c r="F148" i="1" s="1"/>
  <c r="J135" i="1"/>
  <c r="J134" i="1"/>
  <c r="F137" i="1"/>
  <c r="F146" i="1" l="1"/>
</calcChain>
</file>

<file path=xl/sharedStrings.xml><?xml version="1.0" encoding="utf-8"?>
<sst xmlns="http://schemas.openxmlformats.org/spreadsheetml/2006/main" count="338" uniqueCount="142">
  <si>
    <t>給水管調書</t>
    <rPh sb="0" eb="1">
      <t>キュウ</t>
    </rPh>
    <rPh sb="1" eb="2">
      <t>スイ</t>
    </rPh>
    <rPh sb="2" eb="3">
      <t>カン</t>
    </rPh>
    <rPh sb="3" eb="5">
      <t>チョウショ</t>
    </rPh>
    <phoneticPr fontId="2"/>
  </si>
  <si>
    <t>給水番号</t>
    <rPh sb="0" eb="2">
      <t>キュウスイ</t>
    </rPh>
    <rPh sb="2" eb="4">
      <t>バンゴウ</t>
    </rPh>
    <phoneticPr fontId="2"/>
  </si>
  <si>
    <t>給水口径</t>
    <rPh sb="0" eb="2">
      <t>キュウスイ</t>
    </rPh>
    <rPh sb="2" eb="4">
      <t>コウケイ</t>
    </rPh>
    <phoneticPr fontId="2"/>
  </si>
  <si>
    <t>給水延長</t>
    <rPh sb="0" eb="2">
      <t>キュウスイ</t>
    </rPh>
    <rPh sb="2" eb="4">
      <t>エンチョウ</t>
    </rPh>
    <phoneticPr fontId="2"/>
  </si>
  <si>
    <t>舗装工種</t>
    <rPh sb="0" eb="2">
      <t>ホソウ</t>
    </rPh>
    <rPh sb="2" eb="4">
      <t>コウシュ</t>
    </rPh>
    <phoneticPr fontId="2"/>
  </si>
  <si>
    <t>仮配水管</t>
    <rPh sb="0" eb="1">
      <t>カリ</t>
    </rPh>
    <rPh sb="1" eb="4">
      <t>ハイスイカン</t>
    </rPh>
    <phoneticPr fontId="2"/>
  </si>
  <si>
    <t>仮給水管</t>
    <rPh sb="0" eb="1">
      <t>カリ</t>
    </rPh>
    <rPh sb="1" eb="4">
      <t>キュウスイカン</t>
    </rPh>
    <phoneticPr fontId="2"/>
  </si>
  <si>
    <t>case</t>
    <phoneticPr fontId="2"/>
  </si>
  <si>
    <t>case1</t>
    <phoneticPr fontId="2"/>
  </si>
  <si>
    <t>＜　給水本付替集計　＞</t>
    <rPh sb="2" eb="4">
      <t>キュウスイ</t>
    </rPh>
    <rPh sb="4" eb="5">
      <t>ホン</t>
    </rPh>
    <rPh sb="5" eb="6">
      <t>ツ</t>
    </rPh>
    <rPh sb="6" eb="7">
      <t>カ</t>
    </rPh>
    <phoneticPr fontId="2"/>
  </si>
  <si>
    <t>＜　仮付替集計　＞</t>
    <rPh sb="2" eb="3">
      <t>カリ</t>
    </rPh>
    <rPh sb="3" eb="4">
      <t>ツ</t>
    </rPh>
    <rPh sb="4" eb="5">
      <t>カ</t>
    </rPh>
    <rPh sb="5" eb="7">
      <t>シュウケイ</t>
    </rPh>
    <phoneticPr fontId="2"/>
  </si>
  <si>
    <t>口径</t>
    <rPh sb="0" eb="2">
      <t>コウケイ</t>
    </rPh>
    <phoneticPr fontId="2"/>
  </si>
  <si>
    <t>case1</t>
    <phoneticPr fontId="2"/>
  </si>
  <si>
    <t>φ50×φ20</t>
  </si>
  <si>
    <t>φ50×φ25</t>
  </si>
  <si>
    <t>φ50×φ30</t>
  </si>
  <si>
    <t>φ50×φ40</t>
  </si>
  <si>
    <t>φ50×φ50</t>
  </si>
  <si>
    <t>φ75×φ20</t>
  </si>
  <si>
    <t>φ75×φ25</t>
  </si>
  <si>
    <t>φ75×φ30</t>
  </si>
  <si>
    <t>φ75×φ40</t>
  </si>
  <si>
    <t>φ75×φ50</t>
  </si>
  <si>
    <t>φ100×φ20</t>
  </si>
  <si>
    <t>φ100×φ25</t>
  </si>
  <si>
    <t>φ100×φ30</t>
  </si>
  <si>
    <t>φ100×φ40</t>
  </si>
  <si>
    <t>φ100×φ50</t>
  </si>
  <si>
    <t>case2</t>
    <phoneticPr fontId="2"/>
  </si>
  <si>
    <t>case3</t>
    <phoneticPr fontId="2"/>
  </si>
  <si>
    <t>備考</t>
    <rPh sb="0" eb="2">
      <t>ビコウ</t>
    </rPh>
    <phoneticPr fontId="2"/>
  </si>
  <si>
    <t>PP管</t>
    <rPh sb="2" eb="3">
      <t>カン</t>
    </rPh>
    <phoneticPr fontId="2"/>
  </si>
  <si>
    <t>φ75×φ20</t>
    <phoneticPr fontId="2"/>
  </si>
  <si>
    <t>φ75×φ25</t>
    <phoneticPr fontId="2"/>
  </si>
  <si>
    <t>φ150×φ20</t>
  </si>
  <si>
    <t>φ150×φ25</t>
  </si>
  <si>
    <t>φ200×φ20</t>
  </si>
  <si>
    <t>φ200×φ25</t>
  </si>
  <si>
    <t>2度掘部掘削延長</t>
    <rPh sb="1" eb="2">
      <t>ド</t>
    </rPh>
    <rPh sb="2" eb="3">
      <t>ボ</t>
    </rPh>
    <rPh sb="3" eb="4">
      <t>ブ</t>
    </rPh>
    <rPh sb="4" eb="6">
      <t>クッサク</t>
    </rPh>
    <rPh sb="6" eb="8">
      <t>エンチョウ</t>
    </rPh>
    <phoneticPr fontId="2"/>
  </si>
  <si>
    <t>2度掘り部給水掘削面積</t>
    <rPh sb="1" eb="2">
      <t>ド</t>
    </rPh>
    <rPh sb="2" eb="3">
      <t>ボ</t>
    </rPh>
    <rPh sb="4" eb="5">
      <t>ブ</t>
    </rPh>
    <rPh sb="5" eb="7">
      <t>キュウスイ</t>
    </rPh>
    <rPh sb="7" eb="9">
      <t>クッサク</t>
    </rPh>
    <rPh sb="9" eb="11">
      <t>メンセキ</t>
    </rPh>
    <phoneticPr fontId="2"/>
  </si>
  <si>
    <t>給水掘削延長</t>
    <rPh sb="0" eb="2">
      <t>キュウスイ</t>
    </rPh>
    <rPh sb="1" eb="2">
      <t>ホキュウ</t>
    </rPh>
    <rPh sb="2" eb="4">
      <t>クッサク</t>
    </rPh>
    <rPh sb="4" eb="6">
      <t>エンチョウ</t>
    </rPh>
    <phoneticPr fontId="2"/>
  </si>
  <si>
    <t>給水掘削面積</t>
    <rPh sb="0" eb="2">
      <t>キュウスイ</t>
    </rPh>
    <rPh sb="1" eb="2">
      <t>ホキュウ</t>
    </rPh>
    <rPh sb="2" eb="4">
      <t>クッサク</t>
    </rPh>
    <rPh sb="4" eb="6">
      <t>メンセキ</t>
    </rPh>
    <phoneticPr fontId="2"/>
  </si>
  <si>
    <t>本管2度掘部給水延長</t>
    <rPh sb="0" eb="1">
      <t>ホン</t>
    </rPh>
    <rPh sb="1" eb="2">
      <t>カン</t>
    </rPh>
    <rPh sb="3" eb="4">
      <t>ド</t>
    </rPh>
    <rPh sb="4" eb="5">
      <t>ボ</t>
    </rPh>
    <rPh sb="5" eb="6">
      <t>ブ</t>
    </rPh>
    <rPh sb="6" eb="8">
      <t>キュウスイ</t>
    </rPh>
    <rPh sb="8" eb="10">
      <t>エンチョウ</t>
    </rPh>
    <phoneticPr fontId="2"/>
  </si>
  <si>
    <t>＜　付替工　＞</t>
    <rPh sb="2" eb="3">
      <t>ツ</t>
    </rPh>
    <rPh sb="3" eb="4">
      <t>カ</t>
    </rPh>
    <rPh sb="4" eb="5">
      <t>コウ</t>
    </rPh>
    <phoneticPr fontId="2"/>
  </si>
  <si>
    <t>＜　サドル分水栓　＞</t>
    <rPh sb="5" eb="8">
      <t>ブンスイセン</t>
    </rPh>
    <phoneticPr fontId="2"/>
  </si>
  <si>
    <t>数量</t>
    <rPh sb="0" eb="2">
      <t>スウリョウ</t>
    </rPh>
    <phoneticPr fontId="2"/>
  </si>
  <si>
    <t>総延長</t>
    <rPh sb="0" eb="1">
      <t>ソウ</t>
    </rPh>
    <rPh sb="1" eb="3">
      <t>エンチョウ</t>
    </rPh>
    <phoneticPr fontId="2"/>
  </si>
  <si>
    <t>掘削表</t>
    <rPh sb="0" eb="2">
      <t>クッサク</t>
    </rPh>
    <rPh sb="2" eb="3">
      <t>ヒョウ</t>
    </rPh>
    <phoneticPr fontId="2"/>
  </si>
  <si>
    <t>口径</t>
    <rPh sb="0" eb="2">
      <t>コウケイ</t>
    </rPh>
    <phoneticPr fontId="2"/>
  </si>
  <si>
    <t>掘削幅</t>
    <rPh sb="0" eb="2">
      <t>クッサク</t>
    </rPh>
    <rPh sb="2" eb="3">
      <t>ハバ</t>
    </rPh>
    <phoneticPr fontId="2"/>
  </si>
  <si>
    <t>配水管新設管口径</t>
    <rPh sb="0" eb="2">
      <t>ハイスイ</t>
    </rPh>
    <rPh sb="2" eb="3">
      <t>カン</t>
    </rPh>
    <rPh sb="3" eb="5">
      <t>シンセツ</t>
    </rPh>
    <rPh sb="5" eb="6">
      <t>カン</t>
    </rPh>
    <rPh sb="6" eb="8">
      <t>コウケイ</t>
    </rPh>
    <phoneticPr fontId="2"/>
  </si>
  <si>
    <t>配水管撤去管口径</t>
    <rPh sb="0" eb="2">
      <t>ハイスイ</t>
    </rPh>
    <rPh sb="2" eb="3">
      <t>カン</t>
    </rPh>
    <rPh sb="3" eb="5">
      <t>テッキョ</t>
    </rPh>
    <rPh sb="5" eb="6">
      <t>カン</t>
    </rPh>
    <rPh sb="6" eb="8">
      <t>コウケイ</t>
    </rPh>
    <phoneticPr fontId="2"/>
  </si>
  <si>
    <t>φ150×φ40</t>
  </si>
  <si>
    <t>φ150×φ50</t>
  </si>
  <si>
    <t>φ200×φ40</t>
    <phoneticPr fontId="2"/>
  </si>
  <si>
    <t>φ75×φ75</t>
    <phoneticPr fontId="2"/>
  </si>
  <si>
    <t>φ100×φ75</t>
    <phoneticPr fontId="2"/>
  </si>
  <si>
    <t>φ100×φ100</t>
    <phoneticPr fontId="2"/>
  </si>
  <si>
    <t>φ150×φ75</t>
    <phoneticPr fontId="2"/>
  </si>
  <si>
    <t>φ150×φ100</t>
    <phoneticPr fontId="2"/>
  </si>
  <si>
    <t>φ150×φ150</t>
    <phoneticPr fontId="2"/>
  </si>
  <si>
    <t>φ200×φ50</t>
    <phoneticPr fontId="2"/>
  </si>
  <si>
    <t>φ200×φ75</t>
    <phoneticPr fontId="2"/>
  </si>
  <si>
    <t>φ200×φ100</t>
    <phoneticPr fontId="2"/>
  </si>
  <si>
    <t>φ200×φ150</t>
    <phoneticPr fontId="2"/>
  </si>
  <si>
    <t>φ200×φ200</t>
    <phoneticPr fontId="2"/>
  </si>
  <si>
    <t>φ300×φ40</t>
  </si>
  <si>
    <t>φ300×φ50</t>
  </si>
  <si>
    <t>φ300×φ75</t>
  </si>
  <si>
    <t>φ300×φ100</t>
  </si>
  <si>
    <t>φ300×φ150</t>
  </si>
  <si>
    <t>φ300×φ200</t>
    <phoneticPr fontId="2"/>
  </si>
  <si>
    <t>□割丁字管設置工</t>
    <rPh sb="1" eb="2">
      <t>ワリ</t>
    </rPh>
    <rPh sb="2" eb="4">
      <t>テイジ</t>
    </rPh>
    <rPh sb="4" eb="5">
      <t>カン</t>
    </rPh>
    <rPh sb="5" eb="7">
      <t>セッチ</t>
    </rPh>
    <rPh sb="7" eb="8">
      <t>コウ</t>
    </rPh>
    <phoneticPr fontId="2"/>
  </si>
  <si>
    <t>コード</t>
    <phoneticPr fontId="2"/>
  </si>
  <si>
    <t>V8001</t>
    <phoneticPr fontId="2"/>
  </si>
  <si>
    <t>V8002</t>
    <phoneticPr fontId="2"/>
  </si>
  <si>
    <t>V8003</t>
    <phoneticPr fontId="2"/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</si>
  <si>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</si>
  <si>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</si>
  <si>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</si>
  <si>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</si>
  <si>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</si>
  <si>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</si>
  <si>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</si>
  <si>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</si>
  <si>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</si>
  <si>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</si>
  <si>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</si>
  <si>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</si>
  <si>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</si>
  <si>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</si>
  <si>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</si>
  <si>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</si>
  <si>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</si>
  <si>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</si>
  <si>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</si>
  <si>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</si>
  <si>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</si>
  <si>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</si>
  <si>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</si>
  <si>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昼間施工</t>
    <rPh sb="0" eb="2">
      <t>ヒルマ</t>
    </rPh>
    <rPh sb="2" eb="4">
      <t>セコウ</t>
    </rPh>
    <phoneticPr fontId="2"/>
  </si>
  <si>
    <t>夜間施工</t>
    <rPh sb="0" eb="2">
      <t>ヤカン</t>
    </rPh>
    <rPh sb="2" eb="4">
      <t>セコウ</t>
    </rPh>
    <phoneticPr fontId="2"/>
  </si>
  <si>
    <t>V8101</t>
    <phoneticPr fontId="2"/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</si>
  <si>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</si>
  <si>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</si>
  <si>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</si>
  <si>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</si>
  <si>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</si>
  <si>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</si>
  <si>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</si>
  <si>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</si>
  <si>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</si>
  <si>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</si>
  <si>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</si>
  <si>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</si>
  <si>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V8115</t>
  </si>
  <si>
    <t>V8116</t>
  </si>
  <si>
    <t>V8117</t>
  </si>
  <si>
    <t>V8118</t>
  </si>
  <si>
    <t>V8121</t>
  </si>
  <si>
    <t>V8122</t>
  </si>
  <si>
    <t>V8123</t>
  </si>
  <si>
    <t>V8124</t>
  </si>
  <si>
    <t>V8014</t>
    <phoneticPr fontId="2"/>
  </si>
  <si>
    <t>V8019</t>
    <phoneticPr fontId="2"/>
  </si>
  <si>
    <t>V8020</t>
    <phoneticPr fontId="2"/>
  </si>
  <si>
    <t>V8025</t>
    <phoneticPr fontId="2"/>
  </si>
  <si>
    <t>V8026</t>
    <phoneticPr fontId="2"/>
  </si>
  <si>
    <t>※φ75以上は記載しないこと。</t>
    <rPh sb="4" eb="6">
      <t>イジョウ</t>
    </rPh>
    <rPh sb="7" eb="9">
      <t>キサイ</t>
    </rPh>
    <phoneticPr fontId="2"/>
  </si>
  <si>
    <t>φ200×φ40</t>
    <phoneticPr fontId="2"/>
  </si>
  <si>
    <t>φ150×φ40</t>
    <phoneticPr fontId="2"/>
  </si>
  <si>
    <t>φ100×φ40</t>
    <phoneticPr fontId="2"/>
  </si>
  <si>
    <t>φ75×φ40</t>
    <phoneticPr fontId="2"/>
  </si>
  <si>
    <t>φ300×φ20</t>
    <phoneticPr fontId="2"/>
  </si>
  <si>
    <t>φ300×φ25</t>
    <phoneticPr fontId="2"/>
  </si>
  <si>
    <t>φ300×φ40</t>
    <phoneticPr fontId="2"/>
  </si>
  <si>
    <t>3</t>
    <phoneticPr fontId="2"/>
  </si>
  <si>
    <t>10→10-1</t>
    <phoneticPr fontId="2"/>
  </si>
  <si>
    <t>10乗→10-1乗</t>
    <rPh sb="2" eb="3">
      <t>ノリ</t>
    </rPh>
    <rPh sb="8" eb="9">
      <t>ノリ</t>
    </rPh>
    <phoneticPr fontId="2"/>
  </si>
  <si>
    <t>○</t>
    <phoneticPr fontId="2"/>
  </si>
  <si>
    <t>10→10-1</t>
  </si>
  <si>
    <t>10乗→10-1乗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</si>
</sst>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\φ#"/>
    <numFmt numFmtId="178" formatCode="&quot;φ&quot;#,##0"/>
    <numFmt numFmtId="179" formatCode="@&quot;号&quot;&quot;工&quot;"/>
    <numFmt numFmtId="180" formatCode="0.000_ "/>
  </numFmts>
  <fonts count="13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rgb="FF0070C0"/>
      <name val="ＭＳ 明朝"/>
      <family val="1"/>
      <charset val="128"/>
    </font>
    <font>
      <sz val="10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8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3" fillId="3" borderId="7" xfId="0" applyFont="1" applyFill="1" applyBorder="1" applyAlignment="1" applyProtection="1">
      <alignment vertical="center" shrinkToFit="1"/>
      <protection locked="0"/>
    </xf>
    <xf numFmtId="0" fontId="3" fillId="3" borderId="12" xfId="0" applyFont="1" applyFill="1" applyBorder="1" applyAlignment="1" applyProtection="1">
      <alignment vertical="center" shrinkToFit="1"/>
      <protection locked="0"/>
    </xf>
    <xf numFmtId="177" fontId="3" fillId="5" borderId="17" xfId="0" applyNumberFormat="1" applyFont="1" applyFill="1" applyBorder="1" applyAlignment="1" applyProtection="1">
      <alignment horizontal="center" vertical="center" shrinkToFit="1"/>
      <protection locked="0"/>
    </xf>
    <xf numFmtId="0" fontId="0" fillId="5" borderId="18" xfId="0" applyFill="1" applyBorder="1" applyAlignment="1" applyProtection="1">
      <alignment horizontal="center" vertical="center" shrinkToFit="1"/>
      <protection locked="0"/>
    </xf>
    <xf numFmtId="0" fontId="3" fillId="3" borderId="20" xfId="0" applyFont="1" applyFill="1" applyBorder="1" applyAlignment="1" applyProtection="1">
      <alignment vertical="center" shrinkToFit="1"/>
      <protection locked="0"/>
    </xf>
    <xf numFmtId="177" fontId="3" fillId="5" borderId="24" xfId="0" applyNumberFormat="1" applyFont="1" applyFill="1" applyBorder="1" applyAlignment="1" applyProtection="1">
      <alignment horizontal="center" vertical="center" shrinkToFit="1"/>
      <protection locked="0"/>
    </xf>
    <xf numFmtId="0" fontId="0" fillId="5" borderId="25" xfId="0" applyFill="1" applyBorder="1" applyAlignment="1" applyProtection="1">
      <alignment horizontal="center" vertical="center" shrinkToFit="1"/>
      <protection locked="0"/>
    </xf>
    <xf numFmtId="177" fontId="3" fillId="5" borderId="27" xfId="0" applyNumberFormat="1" applyFont="1" applyFill="1" applyBorder="1" applyAlignment="1" applyProtection="1">
      <alignment horizontal="center" vertical="center" shrinkToFit="1"/>
      <protection locked="0"/>
    </xf>
    <xf numFmtId="178" fontId="5" fillId="0" borderId="0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30" xfId="0" applyFont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0" xfId="0" applyFont="1" applyBorder="1" applyAlignment="1">
      <alignment vertical="center" shrinkToFit="1"/>
    </xf>
    <xf numFmtId="0" fontId="0" fillId="0" borderId="37" xfId="0" applyFont="1" applyBorder="1" applyAlignment="1">
      <alignment vertical="center" shrinkToFit="1"/>
    </xf>
    <xf numFmtId="179" fontId="3" fillId="4" borderId="0" xfId="0" applyNumberFormat="1" applyFont="1" applyFill="1" applyBorder="1" applyAlignment="1" applyProtection="1">
      <alignment horizontal="left" vertical="center" shrinkToFit="1"/>
      <protection locked="0"/>
    </xf>
    <xf numFmtId="179" fontId="3" fillId="4" borderId="16" xfId="0" applyNumberFormat="1" applyFont="1" applyFill="1" applyBorder="1" applyAlignment="1" applyProtection="1">
      <alignment horizontal="center" vertical="center" shrinkToFit="1"/>
      <protection locked="0"/>
    </xf>
    <xf numFmtId="179" fontId="3" fillId="4" borderId="23" xfId="0" applyNumberFormat="1" applyFont="1" applyFill="1" applyBorder="1" applyAlignment="1" applyProtection="1">
      <alignment horizontal="center" vertical="center" shrinkToFit="1"/>
      <protection locked="0"/>
    </xf>
    <xf numFmtId="179" fontId="0" fillId="0" borderId="0" xfId="0" applyNumberFormat="1" applyBorder="1" applyAlignment="1">
      <alignment horizontal="left" vertical="center" shrinkToFit="1"/>
    </xf>
    <xf numFmtId="0" fontId="0" fillId="5" borderId="13" xfId="0" applyFill="1" applyBorder="1" applyAlignment="1" applyProtection="1">
      <alignment horizontal="center" vertical="center" shrinkToFit="1"/>
      <protection locked="0"/>
    </xf>
    <xf numFmtId="0" fontId="0" fillId="5" borderId="8" xfId="0" applyFill="1" applyBorder="1" applyAlignment="1" applyProtection="1">
      <alignment horizontal="center" vertical="center" shrinkToFit="1"/>
      <protection locked="0"/>
    </xf>
    <xf numFmtId="180" fontId="8" fillId="0" borderId="0" xfId="0" applyNumberFormat="1" applyFont="1" applyAlignment="1">
      <alignment vertical="center" shrinkToFit="1"/>
    </xf>
    <xf numFmtId="180" fontId="9" fillId="0" borderId="0" xfId="0" applyNumberFormat="1" applyFont="1" applyBorder="1" applyAlignment="1">
      <alignment vertical="center" shrinkToFit="1"/>
    </xf>
    <xf numFmtId="180" fontId="9" fillId="0" borderId="0" xfId="0" applyNumberFormat="1" applyFont="1" applyBorder="1" applyAlignment="1">
      <alignment horizontal="right" vertical="center" shrinkToFit="1"/>
    </xf>
    <xf numFmtId="180" fontId="8" fillId="0" borderId="0" xfId="0" applyNumberFormat="1" applyFont="1" applyBorder="1" applyAlignment="1">
      <alignment vertical="center" shrinkToFit="1"/>
    </xf>
    <xf numFmtId="180" fontId="8" fillId="0" borderId="34" xfId="0" applyNumberFormat="1" applyFont="1" applyBorder="1" applyAlignment="1">
      <alignment horizontal="center" vertical="center" shrinkToFit="1"/>
    </xf>
    <xf numFmtId="180" fontId="8" fillId="0" borderId="11" xfId="0" applyNumberFormat="1" applyFont="1" applyBorder="1" applyAlignment="1">
      <alignment vertical="center" shrinkToFit="1"/>
    </xf>
    <xf numFmtId="180" fontId="8" fillId="0" borderId="19" xfId="0" applyNumberFormat="1" applyFont="1" applyBorder="1" applyAlignment="1">
      <alignment vertical="center" shrinkToFit="1"/>
    </xf>
    <xf numFmtId="180" fontId="3" fillId="3" borderId="13" xfId="0" applyNumberFormat="1" applyFont="1" applyFill="1" applyBorder="1" applyAlignment="1" applyProtection="1">
      <alignment vertical="center" shrinkToFit="1"/>
      <protection locked="0"/>
    </xf>
    <xf numFmtId="180" fontId="4" fillId="3" borderId="13" xfId="0" applyNumberFormat="1" applyFont="1" applyFill="1" applyBorder="1" applyAlignment="1" applyProtection="1">
      <alignment vertical="center" shrinkToFit="1"/>
      <protection locked="0"/>
    </xf>
    <xf numFmtId="180" fontId="3" fillId="3" borderId="21" xfId="0" applyNumberFormat="1" applyFont="1" applyFill="1" applyBorder="1" applyAlignment="1" applyProtection="1">
      <alignment vertical="center" shrinkToFit="1"/>
      <protection locked="0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179" fontId="3" fillId="4" borderId="43" xfId="0" applyNumberFormat="1" applyFont="1" applyFill="1" applyBorder="1" applyAlignment="1" applyProtection="1">
      <alignment horizontal="center" vertical="center" shrinkToFit="1"/>
      <protection locked="0"/>
    </xf>
    <xf numFmtId="0" fontId="0" fillId="5" borderId="44" xfId="0" applyFill="1" applyBorder="1" applyAlignment="1" applyProtection="1">
      <alignment horizontal="center" vertical="center" shrinkToFit="1"/>
      <protection locked="0"/>
    </xf>
    <xf numFmtId="177" fontId="3" fillId="0" borderId="29" xfId="0" applyNumberFormat="1" applyFont="1" applyBorder="1" applyAlignment="1">
      <alignment vertical="center" shrinkToFit="1"/>
    </xf>
    <xf numFmtId="177" fontId="3" fillId="0" borderId="28" xfId="0" applyNumberFormat="1" applyFont="1" applyBorder="1" applyAlignment="1">
      <alignment vertical="center" shrinkToFit="1"/>
    </xf>
    <xf numFmtId="0" fontId="10" fillId="0" borderId="0" xfId="0" applyFont="1" applyFill="1" applyBorder="1" applyAlignment="1" applyProtection="1">
      <alignment vertical="center" shrinkToFit="1"/>
      <protection locked="0"/>
    </xf>
    <xf numFmtId="0" fontId="0" fillId="0" borderId="3" xfId="0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vertical="center" shrinkToFit="1"/>
    </xf>
    <xf numFmtId="0" fontId="0" fillId="0" borderId="41" xfId="0" applyFont="1" applyBorder="1" applyAlignment="1">
      <alignment vertical="center" shrinkToFit="1"/>
    </xf>
    <xf numFmtId="0" fontId="0" fillId="0" borderId="19" xfId="0" applyFont="1" applyBorder="1" applyAlignment="1">
      <alignment vertical="center" shrinkToFit="1"/>
    </xf>
    <xf numFmtId="179" fontId="1" fillId="0" borderId="0" xfId="0" applyNumberFormat="1" applyFont="1" applyFill="1" applyBorder="1" applyAlignment="1">
      <alignment horizontal="left" vertical="center" shrinkToFit="1"/>
    </xf>
    <xf numFmtId="0" fontId="3" fillId="0" borderId="1" xfId="0" applyFont="1" applyBorder="1" applyAlignment="1">
      <alignment vertical="center" shrinkToFit="1"/>
    </xf>
    <xf numFmtId="176" fontId="3" fillId="0" borderId="0" xfId="0" applyNumberFormat="1" applyFont="1" applyBorder="1" applyAlignment="1">
      <alignment horizontal="center" vertical="center" shrinkToFit="1"/>
    </xf>
    <xf numFmtId="0" fontId="3" fillId="0" borderId="34" xfId="0" applyFont="1" applyBorder="1" applyAlignment="1">
      <alignment horizontal="center" vertical="center" shrinkToFit="1"/>
    </xf>
    <xf numFmtId="0" fontId="3" fillId="0" borderId="11" xfId="0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177" fontId="3" fillId="0" borderId="35" xfId="0" applyNumberFormat="1" applyFont="1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40" xfId="0" applyBorder="1" applyAlignment="1">
      <alignment vertical="center" shrinkToFit="1"/>
    </xf>
    <xf numFmtId="180" fontId="9" fillId="0" borderId="9" xfId="0" applyNumberFormat="1" applyFont="1" applyFill="1" applyBorder="1" applyAlignment="1" applyProtection="1">
      <alignment vertical="center" shrinkToFit="1"/>
    </xf>
    <xf numFmtId="0" fontId="0" fillId="0" borderId="0" xfId="0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80" fontId="3" fillId="3" borderId="8" xfId="0" applyNumberFormat="1" applyFont="1" applyFill="1" applyBorder="1" applyAlignment="1" applyProtection="1">
      <alignment vertical="center" shrinkToFit="1"/>
      <protection locked="0"/>
    </xf>
    <xf numFmtId="0" fontId="0" fillId="0" borderId="53" xfId="0" applyFont="1" applyBorder="1" applyAlignment="1">
      <alignment vertical="center" shrinkToFit="1"/>
    </xf>
    <xf numFmtId="0" fontId="0" fillId="0" borderId="54" xfId="0" applyFont="1" applyBorder="1" applyAlignment="1">
      <alignment vertical="center" shrinkToFit="1"/>
    </xf>
    <xf numFmtId="180" fontId="8" fillId="0" borderId="42" xfId="0" applyNumberFormat="1" applyFont="1" applyBorder="1" applyAlignment="1">
      <alignment horizontal="center" vertical="center" shrinkToFit="1"/>
    </xf>
    <xf numFmtId="0" fontId="0" fillId="0" borderId="42" xfId="0" applyBorder="1" applyAlignment="1">
      <alignment vertical="center" shrinkToFit="1"/>
    </xf>
    <xf numFmtId="180" fontId="8" fillId="0" borderId="56" xfId="0" applyNumberFormat="1" applyFont="1" applyBorder="1" applyAlignment="1">
      <alignment vertical="center" shrinkToFit="1"/>
    </xf>
    <xf numFmtId="0" fontId="0" fillId="0" borderId="56" xfId="0" applyBorder="1" applyAlignment="1">
      <alignment vertical="center" shrinkToFit="1"/>
    </xf>
    <xf numFmtId="180" fontId="8" fillId="0" borderId="57" xfId="0" applyNumberFormat="1" applyFont="1" applyBorder="1" applyAlignment="1">
      <alignment vertical="center" shrinkToFit="1"/>
    </xf>
    <xf numFmtId="0" fontId="0" fillId="0" borderId="57" xfId="0" applyBorder="1" applyAlignment="1">
      <alignment vertical="center" shrinkToFit="1"/>
    </xf>
    <xf numFmtId="0" fontId="0" fillId="4" borderId="30" xfId="0" applyFont="1" applyFill="1" applyBorder="1" applyAlignment="1">
      <alignment vertical="center" shrinkToFit="1"/>
    </xf>
    <xf numFmtId="0" fontId="0" fillId="4" borderId="54" xfId="0" applyFont="1" applyFill="1" applyBorder="1" applyAlignment="1">
      <alignment vertical="center" shrinkToFit="1"/>
    </xf>
    <xf numFmtId="180" fontId="8" fillId="4" borderId="57" xfId="0" applyNumberFormat="1" applyFont="1" applyFill="1" applyBorder="1" applyAlignment="1">
      <alignment vertical="center" shrinkToFit="1"/>
    </xf>
    <xf numFmtId="0" fontId="0" fillId="4" borderId="57" xfId="0" applyFill="1" applyBorder="1" applyAlignment="1">
      <alignment vertical="center" shrinkToFit="1"/>
    </xf>
    <xf numFmtId="0" fontId="0" fillId="4" borderId="36" xfId="0" applyFont="1" applyFill="1" applyBorder="1" applyAlignment="1">
      <alignment vertical="center" shrinkToFit="1"/>
    </xf>
    <xf numFmtId="0" fontId="0" fillId="4" borderId="55" xfId="0" applyFont="1" applyFill="1" applyBorder="1" applyAlignment="1">
      <alignment vertical="center" shrinkToFit="1"/>
    </xf>
    <xf numFmtId="0" fontId="10" fillId="0" borderId="57" xfId="0" applyFont="1" applyBorder="1" applyAlignment="1">
      <alignment vertical="center" shrinkToFit="1"/>
    </xf>
    <xf numFmtId="0" fontId="10" fillId="4" borderId="58" xfId="0" applyFont="1" applyFill="1" applyBorder="1" applyAlignment="1">
      <alignment vertical="center" shrinkToFit="1"/>
    </xf>
    <xf numFmtId="0" fontId="10" fillId="4" borderId="57" xfId="0" applyFont="1" applyFill="1" applyBorder="1" applyAlignment="1">
      <alignment vertical="center" shrinkToFit="1"/>
    </xf>
    <xf numFmtId="180" fontId="10" fillId="4" borderId="57" xfId="0" applyNumberFormat="1" applyFont="1" applyFill="1" applyBorder="1" applyAlignment="1">
      <alignment vertical="center" shrinkToFit="1"/>
    </xf>
    <xf numFmtId="180" fontId="10" fillId="0" borderId="57" xfId="0" applyNumberFormat="1" applyFont="1" applyBorder="1" applyAlignment="1">
      <alignment vertical="center" shrinkToFit="1"/>
    </xf>
    <xf numFmtId="180" fontId="10" fillId="4" borderId="58" xfId="0" applyNumberFormat="1" applyFont="1" applyFill="1" applyBorder="1" applyAlignment="1">
      <alignment vertical="center" shrinkToFit="1"/>
    </xf>
    <xf numFmtId="0" fontId="0" fillId="0" borderId="33" xfId="0" applyBorder="1" applyAlignment="1">
      <alignment horizontal="center" vertical="center" shrinkToFit="1"/>
    </xf>
    <xf numFmtId="0" fontId="3" fillId="2" borderId="59" xfId="0" applyFont="1" applyFill="1" applyBorder="1" applyAlignment="1" applyProtection="1">
      <alignment vertical="center" shrinkToFit="1"/>
      <protection locked="0"/>
    </xf>
    <xf numFmtId="0" fontId="0" fillId="5" borderId="60" xfId="0" applyFill="1" applyBorder="1" applyAlignment="1" applyProtection="1">
      <alignment horizontal="center" vertical="center" shrinkToFit="1"/>
      <protection locked="0"/>
    </xf>
    <xf numFmtId="0" fontId="3" fillId="2" borderId="61" xfId="0" applyFont="1" applyFill="1" applyBorder="1" applyAlignment="1" applyProtection="1">
      <alignment vertical="center" shrinkToFit="1"/>
      <protection locked="0"/>
    </xf>
    <xf numFmtId="0" fontId="0" fillId="5" borderId="62" xfId="0" applyFill="1" applyBorder="1" applyAlignment="1" applyProtection="1">
      <alignment horizontal="center" vertical="center" shrinkToFit="1"/>
      <protection locked="0"/>
    </xf>
    <xf numFmtId="0" fontId="3" fillId="2" borderId="63" xfId="0" applyFont="1" applyFill="1" applyBorder="1" applyAlignment="1" applyProtection="1">
      <alignment vertical="center" shrinkToFit="1"/>
      <protection locked="0"/>
    </xf>
    <xf numFmtId="0" fontId="3" fillId="3" borderId="64" xfId="0" applyFont="1" applyFill="1" applyBorder="1" applyAlignment="1" applyProtection="1">
      <alignment vertical="center" shrinkToFit="1"/>
      <protection locked="0"/>
    </xf>
    <xf numFmtId="180" fontId="3" fillId="3" borderId="65" xfId="0" applyNumberFormat="1" applyFont="1" applyFill="1" applyBorder="1" applyAlignment="1" applyProtection="1">
      <alignment vertical="center" shrinkToFit="1"/>
      <protection locked="0"/>
    </xf>
    <xf numFmtId="180" fontId="9" fillId="0" borderId="66" xfId="0" applyNumberFormat="1" applyFont="1" applyFill="1" applyBorder="1" applyAlignment="1" applyProtection="1">
      <alignment vertical="center" shrinkToFit="1"/>
    </xf>
    <xf numFmtId="179" fontId="3" fillId="4" borderId="67" xfId="0" applyNumberFormat="1" applyFont="1" applyFill="1" applyBorder="1" applyAlignment="1" applyProtection="1">
      <alignment horizontal="center" vertical="center" shrinkToFit="1"/>
      <protection locked="0"/>
    </xf>
    <xf numFmtId="177" fontId="3" fillId="5" borderId="68" xfId="0" applyNumberFormat="1" applyFont="1" applyFill="1" applyBorder="1" applyAlignment="1" applyProtection="1">
      <alignment horizontal="center" vertical="center" shrinkToFit="1"/>
      <protection locked="0"/>
    </xf>
    <xf numFmtId="0" fontId="0" fillId="5" borderId="69" xfId="0" applyFill="1" applyBorder="1" applyAlignment="1" applyProtection="1">
      <alignment horizontal="center" vertical="center" shrinkToFit="1"/>
      <protection locked="0"/>
    </xf>
    <xf numFmtId="0" fontId="0" fillId="5" borderId="70" xfId="0" applyFill="1" applyBorder="1" applyAlignment="1" applyProtection="1">
      <alignment horizontal="center" vertical="center" shrinkToFit="1"/>
      <protection locked="0"/>
    </xf>
    <xf numFmtId="0" fontId="0" fillId="0" borderId="0" xfId="0" applyFill="1" applyBorder="1" applyAlignment="1" applyProtection="1">
      <alignment vertical="center" shrinkToFit="1"/>
      <protection locked="0"/>
    </xf>
    <xf numFmtId="0" fontId="3" fillId="0" borderId="71" xfId="0" applyFont="1" applyBorder="1" applyAlignment="1">
      <alignment horizontal="center" vertical="center" shrinkToFit="1"/>
    </xf>
    <xf numFmtId="0" fontId="3" fillId="0" borderId="72" xfId="0" applyFont="1" applyBorder="1" applyAlignment="1">
      <alignment horizontal="center" vertical="center" shrinkToFit="1"/>
    </xf>
    <xf numFmtId="0" fontId="3" fillId="0" borderId="73" xfId="0" applyFont="1" applyBorder="1" applyAlignment="1">
      <alignment horizontal="centerContinuous" vertical="center" shrinkToFit="1"/>
    </xf>
    <xf numFmtId="180" fontId="9" fillId="0" borderId="74" xfId="0" applyNumberFormat="1" applyFont="1" applyBorder="1" applyAlignment="1">
      <alignment horizontal="center" vertical="center" shrinkToFit="1"/>
    </xf>
    <xf numFmtId="0" fontId="3" fillId="0" borderId="75" xfId="0" applyFont="1" applyBorder="1" applyAlignment="1">
      <alignment horizontal="center" vertical="center" shrinkToFit="1"/>
    </xf>
    <xf numFmtId="0" fontId="3" fillId="0" borderId="76" xfId="0" applyFont="1" applyBorder="1" applyAlignment="1">
      <alignment horizontal="center" vertical="center" shrinkToFit="1"/>
    </xf>
    <xf numFmtId="0" fontId="0" fillId="0" borderId="77" xfId="0" applyBorder="1" applyAlignment="1">
      <alignment horizontal="center" vertical="center" shrinkToFit="1"/>
    </xf>
    <xf numFmtId="0" fontId="0" fillId="0" borderId="78" xfId="0" applyBorder="1" applyAlignment="1">
      <alignment horizontal="center" vertical="center" shrinkToFit="1"/>
    </xf>
    <xf numFmtId="0" fontId="0" fillId="0" borderId="0" xfId="0" applyFont="1" applyBorder="1" applyAlignment="1">
      <alignment horizontal="center" vertical="center" shrinkToFit="1"/>
    </xf>
    <xf numFmtId="0" fontId="3" fillId="2" borderId="7" xfId="0" applyFont="1" applyFill="1" applyBorder="1" applyAlignment="1" applyProtection="1">
      <alignment vertical="center" shrinkToFit="1"/>
      <protection locked="0"/>
    </xf>
    <xf numFmtId="0" fontId="3" fillId="2" borderId="12" xfId="0" applyFont="1" applyFill="1" applyBorder="1" applyAlignment="1" applyProtection="1">
      <alignment vertical="center" shrinkToFit="1"/>
      <protection locked="0"/>
    </xf>
    <xf numFmtId="0" fontId="0" fillId="0" borderId="30" xfId="0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180" fontId="8" fillId="0" borderId="6" xfId="0" applyNumberFormat="1" applyFont="1" applyBorder="1" applyAlignment="1">
      <alignment vertical="center" shrinkToFit="1"/>
    </xf>
    <xf numFmtId="0" fontId="0" fillId="0" borderId="30" xfId="0" applyFont="1" applyFill="1" applyBorder="1" applyAlignment="1">
      <alignment vertical="center" shrinkToFit="1"/>
    </xf>
    <xf numFmtId="0" fontId="0" fillId="0" borderId="30" xfId="0" applyFill="1" applyBorder="1" applyAlignment="1">
      <alignment vertical="center" shrinkToFit="1"/>
    </xf>
    <xf numFmtId="180" fontId="9" fillId="0" borderId="80" xfId="0" applyNumberFormat="1" applyFont="1" applyFill="1" applyBorder="1" applyAlignment="1" applyProtection="1">
      <alignment vertical="center" shrinkToFit="1"/>
    </xf>
    <xf numFmtId="180" fontId="9" fillId="0" borderId="15" xfId="0" applyNumberFormat="1" applyFont="1" applyFill="1" applyBorder="1" applyAlignment="1" applyProtection="1">
      <alignment vertical="center" shrinkToFit="1"/>
    </xf>
    <xf numFmtId="0" fontId="10" fillId="0" borderId="45" xfId="0" applyFont="1" applyBorder="1" applyAlignment="1">
      <alignment vertical="center" shrinkToFit="1"/>
    </xf>
    <xf numFmtId="0" fontId="10" fillId="0" borderId="46" xfId="0" applyFont="1" applyBorder="1" applyAlignment="1">
      <alignment vertical="center" shrinkToFit="1"/>
    </xf>
    <xf numFmtId="0" fontId="10" fillId="0" borderId="47" xfId="0" applyFont="1" applyBorder="1" applyAlignment="1">
      <alignment vertical="center" shrinkToFit="1"/>
    </xf>
    <xf numFmtId="0" fontId="6" fillId="0" borderId="0" xfId="0" applyFont="1" applyBorder="1" applyAlignment="1">
      <alignment horizontal="left" vertical="center" shrinkToFit="1"/>
    </xf>
    <xf numFmtId="0" fontId="0" fillId="0" borderId="15" xfId="0" applyFont="1" applyBorder="1" applyAlignment="1">
      <alignment horizontal="center" vertical="center" shrinkToFit="1"/>
    </xf>
    <xf numFmtId="0" fontId="0" fillId="0" borderId="18" xfId="0" applyFont="1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50" xfId="0" applyBorder="1" applyAlignment="1">
      <alignment horizontal="center" vertical="center" shrinkToFit="1"/>
    </xf>
    <xf numFmtId="0" fontId="0" fillId="0" borderId="51" xfId="0" applyBorder="1" applyAlignment="1">
      <alignment horizontal="center" vertical="center" shrinkToFit="1"/>
    </xf>
    <xf numFmtId="0" fontId="0" fillId="0" borderId="52" xfId="0" applyBorder="1" applyAlignment="1">
      <alignment horizontal="center" vertical="center" shrinkToFit="1"/>
    </xf>
    <xf numFmtId="180" fontId="8" fillId="0" borderId="42" xfId="0" applyNumberFormat="1" applyFont="1" applyBorder="1" applyAlignment="1">
      <alignment horizontal="center" vertical="center" shrinkToFit="1"/>
    </xf>
    <xf numFmtId="177" fontId="0" fillId="0" borderId="15" xfId="0" applyNumberFormat="1" applyFont="1" applyBorder="1" applyAlignment="1">
      <alignment horizontal="center" vertical="center" shrinkToFit="1"/>
    </xf>
    <xf numFmtId="177" fontId="0" fillId="0" borderId="18" xfId="0" applyNumberFormat="1" applyFont="1" applyBorder="1" applyAlignment="1">
      <alignment horizontal="center" vertical="center" shrinkToFit="1"/>
    </xf>
    <xf numFmtId="177" fontId="0" fillId="0" borderId="39" xfId="0" applyNumberFormat="1" applyFont="1" applyBorder="1" applyAlignment="1">
      <alignment horizontal="center" vertical="center" shrinkToFit="1"/>
    </xf>
    <xf numFmtId="177" fontId="0" fillId="0" borderId="10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 shrinkToFit="1"/>
    </xf>
    <xf numFmtId="0" fontId="0" fillId="0" borderId="22" xfId="0" applyFont="1" applyBorder="1" applyAlignment="1">
      <alignment horizontal="center" vertical="center" shrinkToFit="1"/>
    </xf>
    <xf numFmtId="0" fontId="0" fillId="0" borderId="25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40" xfId="0" applyFont="1" applyBorder="1" applyAlignment="1">
      <alignment horizontal="center" vertical="center" shrinkToFit="1"/>
    </xf>
    <xf numFmtId="0" fontId="0" fillId="0" borderId="5" xfId="0" applyFont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177" fontId="3" fillId="0" borderId="39" xfId="0" applyNumberFormat="1" applyFont="1" applyBorder="1" applyAlignment="1">
      <alignment horizontal="center" vertical="center" shrinkToFit="1"/>
    </xf>
    <xf numFmtId="177" fontId="3" fillId="0" borderId="2" xfId="0" applyNumberFormat="1" applyFont="1" applyBorder="1" applyAlignment="1">
      <alignment horizontal="center" vertical="center" shrinkToFit="1"/>
    </xf>
    <xf numFmtId="177" fontId="3" fillId="0" borderId="10" xfId="0" applyNumberFormat="1" applyFont="1" applyBorder="1" applyAlignment="1">
      <alignment horizontal="center" vertical="center" shrinkToFit="1"/>
    </xf>
    <xf numFmtId="177" fontId="3" fillId="0" borderId="15" xfId="0" applyNumberFormat="1" applyFont="1" applyBorder="1" applyAlignment="1">
      <alignment horizontal="center" vertical="center" shrinkToFit="1"/>
    </xf>
    <xf numFmtId="177" fontId="3" fillId="0" borderId="14" xfId="0" applyNumberFormat="1" applyFont="1" applyBorder="1" applyAlignment="1">
      <alignment horizontal="center" vertical="center" shrinkToFit="1"/>
    </xf>
    <xf numFmtId="177" fontId="3" fillId="0" borderId="18" xfId="0" applyNumberFormat="1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177" fontId="3" fillId="0" borderId="35" xfId="0" applyNumberFormat="1" applyFont="1" applyBorder="1" applyAlignment="1">
      <alignment horizontal="center" vertical="center" shrinkToFit="1"/>
    </xf>
    <xf numFmtId="177" fontId="3" fillId="0" borderId="29" xfId="0" applyNumberFormat="1" applyFont="1" applyBorder="1" applyAlignment="1">
      <alignment horizontal="center" vertical="center" shrinkToFit="1"/>
    </xf>
    <xf numFmtId="177" fontId="3" fillId="0" borderId="28" xfId="0" applyNumberFormat="1" applyFont="1" applyBorder="1" applyAlignment="1">
      <alignment horizontal="center" vertical="center" shrinkToFit="1"/>
    </xf>
    <xf numFmtId="177" fontId="3" fillId="0" borderId="40" xfId="0" applyNumberFormat="1" applyFont="1" applyBorder="1" applyAlignment="1">
      <alignment horizontal="center" vertical="center" shrinkToFit="1"/>
    </xf>
    <xf numFmtId="177" fontId="3" fillId="0" borderId="4" xfId="0" applyNumberFormat="1" applyFont="1" applyBorder="1" applyAlignment="1">
      <alignment horizontal="center" vertical="center" shrinkToFit="1"/>
    </xf>
    <xf numFmtId="177" fontId="3" fillId="0" borderId="5" xfId="0" applyNumberFormat="1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0" fillId="0" borderId="79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0" fillId="4" borderId="15" xfId="0" applyFill="1" applyBorder="1" applyAlignment="1">
      <alignment horizontal="center" vertical="center" shrinkToFit="1"/>
    </xf>
    <xf numFmtId="0" fontId="0" fillId="4" borderId="18" xfId="0" applyFill="1" applyBorder="1" applyAlignment="1">
      <alignment horizontal="center" vertical="center" shrinkToFit="1"/>
    </xf>
    <xf numFmtId="0" fontId="0" fillId="4" borderId="40" xfId="0" applyFill="1" applyBorder="1" applyAlignment="1">
      <alignment horizontal="center" vertical="center" shrinkToFit="1"/>
    </xf>
    <xf numFmtId="0" fontId="0" fillId="4" borderId="5" xfId="0" applyFill="1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3" fillId="0" borderId="49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5" borderId="81" xfId="0" applyFill="1" applyBorder="1" applyAlignment="1" applyProtection="1">
      <alignment horizontal="center" vertical="center" shrinkToFit="1"/>
      <protection locked="0"/>
    </xf>
    <xf numFmtId="0" fontId="0" fillId="5" borderId="12" xfId="0" applyFill="1" applyBorder="1" applyAlignment="1" applyProtection="1">
      <alignment horizontal="center" vertical="center" shrinkToFit="1"/>
      <protection locked="0"/>
    </xf>
    <xf numFmtId="0" fontId="0" fillId="5" borderId="20" xfId="0" applyFill="1" applyBorder="1" applyAlignment="1" applyProtection="1">
      <alignment horizontal="center" vertical="center" shrinkToFit="1"/>
      <protection locked="0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8"/>
  <sheetViews>
    <sheetView tabSelected="1" view="pageBreakPreview" topLeftCell="A161" zoomScaleNormal="100" zoomScaleSheetLayoutView="100" workbookViewId="0">
      <selection activeCell="F137" sqref="F137"/>
    </sheetView>
  </sheetViews>
  <sheetFormatPr defaultColWidth="9" defaultRowHeight="13" x14ac:dyDescent="0.2"/>
  <cols>
    <col min="1" max="1" width="2.7265625" style="1" customWidth="1"/>
    <col min="2" max="2" width="8.6328125" style="1" customWidth="1"/>
    <col min="3" max="6" width="9.6328125" style="1" customWidth="1"/>
    <col min="7" max="7" width="9.6328125" style="26" customWidth="1"/>
    <col min="8" max="11" width="9.6328125" style="1" customWidth="1"/>
    <col min="12" max="12" width="8.26953125" style="1" customWidth="1"/>
    <col min="13" max="20" width="9" style="2"/>
    <col min="21" max="16384" width="9" style="1"/>
  </cols>
  <sheetData>
    <row r="1" spans="2:20" x14ac:dyDescent="0.2">
      <c r="B1" s="159" t="s">
        <v>0</v>
      </c>
      <c r="C1" s="159"/>
      <c r="D1" s="159"/>
      <c r="J1" s="44"/>
      <c r="K1" s="2"/>
      <c r="L1" s="65"/>
    </row>
    <row r="2" spans="2:20" ht="13.5" thickBot="1" x14ac:dyDescent="0.25">
      <c r="B2" s="159"/>
      <c r="C2" s="159"/>
      <c r="D2" s="159"/>
      <c r="J2" s="105"/>
      <c r="K2" s="2"/>
      <c r="L2" s="65"/>
    </row>
    <row r="3" spans="2:20" ht="27" customHeight="1" x14ac:dyDescent="0.2">
      <c r="B3" s="106" t="s">
        <v>1</v>
      </c>
      <c r="C3" s="107" t="s">
        <v>50</v>
      </c>
      <c r="D3" s="107" t="s">
        <v>51</v>
      </c>
      <c r="E3" s="107" t="s">
        <v>2</v>
      </c>
      <c r="F3" s="108" t="s">
        <v>3</v>
      </c>
      <c r="G3" s="109" t="s">
        <v>42</v>
      </c>
      <c r="H3" s="110" t="s">
        <v>4</v>
      </c>
      <c r="I3" s="111" t="s">
        <v>5</v>
      </c>
      <c r="J3" s="112" t="s">
        <v>6</v>
      </c>
      <c r="K3" s="113" t="s">
        <v>7</v>
      </c>
      <c r="L3" s="66"/>
      <c r="T3" s="1"/>
    </row>
    <row r="4" spans="2:20" x14ac:dyDescent="0.2">
      <c r="B4" s="115">
        <v>1</v>
      </c>
      <c r="C4" s="3">
        <v>300</v>
      </c>
      <c r="D4" s="3">
        <v>300</v>
      </c>
      <c r="E4" s="3">
        <v>20</v>
      </c>
      <c r="F4" s="71">
        <v>3</v>
      </c>
      <c r="G4" s="64">
        <f t="shared" ref="G4:G35" si="0">IF(B4="","",VLOOKUP(MAX(C4:D4),$M$12:$N$18,2,TRUE)/2)</f>
        <v>0.3</v>
      </c>
      <c r="H4" s="40" t="s">
        <v>136</v>
      </c>
      <c r="I4" s="10"/>
      <c r="J4" s="41"/>
      <c r="K4" s="184"/>
      <c r="L4" s="67" t="s">
        <v>128</v>
      </c>
      <c r="T4" s="1"/>
    </row>
    <row r="5" spans="2:20" x14ac:dyDescent="0.2">
      <c r="B5" s="116"/>
      <c r="C5" s="4"/>
      <c r="D5" s="4"/>
      <c r="E5" s="4"/>
      <c r="F5" s="33">
        <v>3.4</v>
      </c>
      <c r="G5" s="64" t="str">
        <f t="shared" si="0"/>
        <v/>
      </c>
      <c r="H5" s="21" t="s">
        <v>137</v>
      </c>
      <c r="I5" s="5"/>
      <c r="J5" s="6"/>
      <c r="K5" s="185"/>
      <c r="L5" s="67"/>
      <c r="T5" s="1"/>
    </row>
    <row r="6" spans="2:20" x14ac:dyDescent="0.2">
      <c r="B6" s="115">
        <v>2</v>
      </c>
      <c r="C6" s="4">
        <v>300</v>
      </c>
      <c r="D6" s="4">
        <v>300</v>
      </c>
      <c r="E6" s="4">
        <v>20</v>
      </c>
      <c r="F6" s="33">
        <v>3</v>
      </c>
      <c r="G6" s="64">
        <f t="shared" si="0"/>
        <v>0.3</v>
      </c>
      <c r="H6" s="21" t="s">
        <v>136</v>
      </c>
      <c r="I6" s="5"/>
      <c r="J6" s="6"/>
      <c r="K6" s="185"/>
      <c r="L6" s="68"/>
      <c r="T6" s="1"/>
    </row>
    <row r="7" spans="2:20" x14ac:dyDescent="0.2">
      <c r="B7" s="116"/>
      <c r="C7" s="4"/>
      <c r="D7" s="4"/>
      <c r="E7" s="4"/>
      <c r="F7" s="33">
        <v>3</v>
      </c>
      <c r="G7" s="64" t="str">
        <f t="shared" si="0"/>
        <v/>
      </c>
      <c r="H7" s="21" t="s">
        <v>138</v>
      </c>
      <c r="I7" s="5"/>
      <c r="J7" s="6"/>
      <c r="K7" s="185"/>
      <c r="L7" s="67"/>
      <c r="T7" s="1"/>
    </row>
    <row r="8" spans="2:20" x14ac:dyDescent="0.2">
      <c r="B8" s="115">
        <v>3</v>
      </c>
      <c r="C8" s="4">
        <v>300</v>
      </c>
      <c r="D8" s="4">
        <v>300</v>
      </c>
      <c r="E8" s="4">
        <v>20</v>
      </c>
      <c r="F8" s="33">
        <v>2.2000000000000002</v>
      </c>
      <c r="G8" s="64">
        <f t="shared" si="0"/>
        <v>0.3</v>
      </c>
      <c r="H8" s="21" t="s">
        <v>136</v>
      </c>
      <c r="I8" s="5"/>
      <c r="J8" s="6"/>
      <c r="K8" s="185"/>
      <c r="L8" s="69"/>
      <c r="T8" s="1"/>
    </row>
    <row r="9" spans="2:20" x14ac:dyDescent="0.2">
      <c r="B9" s="116">
        <v>4</v>
      </c>
      <c r="C9" s="4">
        <v>300</v>
      </c>
      <c r="D9" s="4">
        <v>300</v>
      </c>
      <c r="E9" s="4">
        <v>25</v>
      </c>
      <c r="F9" s="33">
        <v>3.9</v>
      </c>
      <c r="G9" s="64">
        <f t="shared" si="0"/>
        <v>0.3</v>
      </c>
      <c r="H9" s="21" t="s">
        <v>136</v>
      </c>
      <c r="I9" s="5"/>
      <c r="J9" s="6"/>
      <c r="K9" s="185"/>
      <c r="L9" s="69"/>
      <c r="T9" s="1"/>
    </row>
    <row r="10" spans="2:20" x14ac:dyDescent="0.2">
      <c r="B10" s="115">
        <v>5</v>
      </c>
      <c r="C10" s="4">
        <v>300</v>
      </c>
      <c r="D10" s="4">
        <v>300</v>
      </c>
      <c r="E10" s="4">
        <v>25</v>
      </c>
      <c r="F10" s="33">
        <v>2.1</v>
      </c>
      <c r="G10" s="64">
        <f t="shared" si="0"/>
        <v>0.3</v>
      </c>
      <c r="H10" s="21" t="s">
        <v>136</v>
      </c>
      <c r="I10" s="5"/>
      <c r="J10" s="6"/>
      <c r="K10" s="185"/>
      <c r="L10" s="2"/>
      <c r="T10" s="1"/>
    </row>
    <row r="11" spans="2:20" x14ac:dyDescent="0.2">
      <c r="B11" s="116">
        <v>6</v>
      </c>
      <c r="C11" s="4">
        <v>300</v>
      </c>
      <c r="D11" s="4">
        <v>300</v>
      </c>
      <c r="E11" s="4">
        <v>20</v>
      </c>
      <c r="F11" s="33">
        <v>3.9</v>
      </c>
      <c r="G11" s="64">
        <f t="shared" si="0"/>
        <v>0.3</v>
      </c>
      <c r="H11" s="21" t="s">
        <v>136</v>
      </c>
      <c r="I11" s="5"/>
      <c r="J11" s="6"/>
      <c r="K11" s="185"/>
      <c r="M11" s="2" t="s">
        <v>47</v>
      </c>
      <c r="T11" s="1"/>
    </row>
    <row r="12" spans="2:20" x14ac:dyDescent="0.2">
      <c r="B12" s="115">
        <v>7</v>
      </c>
      <c r="C12" s="4">
        <v>300</v>
      </c>
      <c r="D12" s="4">
        <v>300</v>
      </c>
      <c r="E12" s="4">
        <v>20</v>
      </c>
      <c r="F12" s="33">
        <v>4</v>
      </c>
      <c r="G12" s="64">
        <f t="shared" si="0"/>
        <v>0.3</v>
      </c>
      <c r="H12" s="21" t="s">
        <v>136</v>
      </c>
      <c r="I12" s="5"/>
      <c r="J12" s="6"/>
      <c r="K12" s="185"/>
      <c r="M12" s="59" t="s">
        <v>48</v>
      </c>
      <c r="N12" s="60" t="s">
        <v>49</v>
      </c>
      <c r="T12" s="1"/>
    </row>
    <row r="13" spans="2:20" x14ac:dyDescent="0.2">
      <c r="B13" s="116">
        <v>8</v>
      </c>
      <c r="C13" s="4">
        <v>300</v>
      </c>
      <c r="D13" s="4">
        <v>300</v>
      </c>
      <c r="E13" s="4">
        <v>20</v>
      </c>
      <c r="F13" s="33">
        <v>3.7</v>
      </c>
      <c r="G13" s="64">
        <f t="shared" si="0"/>
        <v>0.3</v>
      </c>
      <c r="H13" s="21" t="s">
        <v>136</v>
      </c>
      <c r="I13" s="5"/>
      <c r="J13" s="6"/>
      <c r="K13" s="185"/>
      <c r="M13" s="61">
        <v>50</v>
      </c>
      <c r="N13" s="124">
        <v>0.6</v>
      </c>
      <c r="T13" s="1"/>
    </row>
    <row r="14" spans="2:20" x14ac:dyDescent="0.2">
      <c r="B14" s="115">
        <v>9</v>
      </c>
      <c r="C14" s="4">
        <v>300</v>
      </c>
      <c r="D14" s="4">
        <v>300</v>
      </c>
      <c r="E14" s="4">
        <v>20</v>
      </c>
      <c r="F14" s="33">
        <v>3.7</v>
      </c>
      <c r="G14" s="64">
        <f t="shared" si="0"/>
        <v>0.3</v>
      </c>
      <c r="H14" s="21" t="s">
        <v>136</v>
      </c>
      <c r="I14" s="5"/>
      <c r="J14" s="6"/>
      <c r="K14" s="185"/>
      <c r="M14" s="62">
        <v>75</v>
      </c>
      <c r="N14" s="125">
        <v>0.6</v>
      </c>
      <c r="T14" s="1"/>
    </row>
    <row r="15" spans="2:20" x14ac:dyDescent="0.2">
      <c r="B15" s="116">
        <v>10</v>
      </c>
      <c r="C15" s="4">
        <v>300</v>
      </c>
      <c r="D15" s="4">
        <v>300</v>
      </c>
      <c r="E15" s="4">
        <v>20</v>
      </c>
      <c r="F15" s="33">
        <v>4.3</v>
      </c>
      <c r="G15" s="64">
        <f t="shared" si="0"/>
        <v>0.3</v>
      </c>
      <c r="H15" s="21" t="s">
        <v>136</v>
      </c>
      <c r="I15" s="5"/>
      <c r="J15" s="6"/>
      <c r="K15" s="185"/>
      <c r="M15" s="62">
        <v>100</v>
      </c>
      <c r="N15" s="125">
        <v>0.6</v>
      </c>
      <c r="T15" s="1"/>
    </row>
    <row r="16" spans="2:20" x14ac:dyDescent="0.2">
      <c r="B16" s="115">
        <v>11</v>
      </c>
      <c r="C16" s="4">
        <v>300</v>
      </c>
      <c r="D16" s="4">
        <v>300</v>
      </c>
      <c r="E16" s="4">
        <v>20</v>
      </c>
      <c r="F16" s="33">
        <v>6.6</v>
      </c>
      <c r="G16" s="64">
        <f t="shared" si="0"/>
        <v>0.3</v>
      </c>
      <c r="H16" s="21" t="s">
        <v>136</v>
      </c>
      <c r="I16" s="5"/>
      <c r="J16" s="6"/>
      <c r="K16" s="185"/>
      <c r="M16" s="62">
        <v>150</v>
      </c>
      <c r="N16" s="125">
        <v>0.6</v>
      </c>
      <c r="T16" s="1"/>
    </row>
    <row r="17" spans="2:20" x14ac:dyDescent="0.2">
      <c r="B17" s="116">
        <v>12</v>
      </c>
      <c r="C17" s="4">
        <v>300</v>
      </c>
      <c r="D17" s="4">
        <v>300</v>
      </c>
      <c r="E17" s="4">
        <v>20</v>
      </c>
      <c r="F17" s="33">
        <v>5.3</v>
      </c>
      <c r="G17" s="64">
        <f t="shared" si="0"/>
        <v>0.3</v>
      </c>
      <c r="H17" s="21" t="s">
        <v>136</v>
      </c>
      <c r="I17" s="5"/>
      <c r="J17" s="6"/>
      <c r="K17" s="185"/>
      <c r="M17" s="62">
        <v>200</v>
      </c>
      <c r="N17" s="125">
        <v>0.6</v>
      </c>
      <c r="T17" s="1"/>
    </row>
    <row r="18" spans="2:20" x14ac:dyDescent="0.2">
      <c r="B18" s="115">
        <v>13</v>
      </c>
      <c r="C18" s="4">
        <v>300</v>
      </c>
      <c r="D18" s="4">
        <v>300</v>
      </c>
      <c r="E18" s="4">
        <v>25</v>
      </c>
      <c r="F18" s="33">
        <v>2</v>
      </c>
      <c r="G18" s="64">
        <f t="shared" si="0"/>
        <v>0.3</v>
      </c>
      <c r="H18" s="21" t="s">
        <v>136</v>
      </c>
      <c r="I18" s="5"/>
      <c r="J18" s="6"/>
      <c r="K18" s="185"/>
      <c r="M18" s="63">
        <v>300</v>
      </c>
      <c r="N18" s="126">
        <v>0.6</v>
      </c>
      <c r="T18" s="1"/>
    </row>
    <row r="19" spans="2:20" x14ac:dyDescent="0.2">
      <c r="B19" s="116">
        <v>14</v>
      </c>
      <c r="C19" s="4">
        <v>300</v>
      </c>
      <c r="D19" s="4">
        <v>300</v>
      </c>
      <c r="E19" s="4">
        <v>50</v>
      </c>
      <c r="F19" s="33">
        <v>1.1000000000000001</v>
      </c>
      <c r="G19" s="64">
        <f t="shared" si="0"/>
        <v>0.3</v>
      </c>
      <c r="H19" s="21" t="s">
        <v>136</v>
      </c>
      <c r="I19" s="5"/>
      <c r="J19" s="6"/>
      <c r="K19" s="185"/>
      <c r="L19" s="2"/>
      <c r="T19" s="1"/>
    </row>
    <row r="20" spans="2:20" x14ac:dyDescent="0.2">
      <c r="B20" s="115">
        <v>15</v>
      </c>
      <c r="C20" s="4">
        <v>300</v>
      </c>
      <c r="D20" s="4">
        <v>300</v>
      </c>
      <c r="E20" s="4">
        <v>20</v>
      </c>
      <c r="F20" s="33">
        <v>5</v>
      </c>
      <c r="G20" s="64">
        <f t="shared" si="0"/>
        <v>0.3</v>
      </c>
      <c r="H20" s="21" t="s">
        <v>136</v>
      </c>
      <c r="I20" s="5"/>
      <c r="J20" s="6"/>
      <c r="K20" s="185"/>
      <c r="L20" s="2"/>
      <c r="T20" s="1"/>
    </row>
    <row r="21" spans="2:20" x14ac:dyDescent="0.2">
      <c r="B21" s="116">
        <v>16</v>
      </c>
      <c r="C21" s="4">
        <v>300</v>
      </c>
      <c r="D21" s="4">
        <v>300</v>
      </c>
      <c r="E21" s="4">
        <v>20</v>
      </c>
      <c r="F21" s="33">
        <v>5.0999999999999996</v>
      </c>
      <c r="G21" s="64">
        <f t="shared" si="0"/>
        <v>0.3</v>
      </c>
      <c r="H21" s="21" t="s">
        <v>136</v>
      </c>
      <c r="I21" s="5"/>
      <c r="J21" s="6"/>
      <c r="K21" s="185"/>
      <c r="L21" s="2"/>
      <c r="T21" s="1"/>
    </row>
    <row r="22" spans="2:20" x14ac:dyDescent="0.2">
      <c r="B22" s="115">
        <v>17</v>
      </c>
      <c r="C22" s="4">
        <v>300</v>
      </c>
      <c r="D22" s="4">
        <v>300</v>
      </c>
      <c r="E22" s="4">
        <v>20</v>
      </c>
      <c r="F22" s="33">
        <v>4.8</v>
      </c>
      <c r="G22" s="64">
        <f t="shared" si="0"/>
        <v>0.3</v>
      </c>
      <c r="H22" s="21" t="s">
        <v>136</v>
      </c>
      <c r="I22" s="5"/>
      <c r="J22" s="6"/>
      <c r="K22" s="185"/>
      <c r="L22" s="2"/>
      <c r="T22" s="1"/>
    </row>
    <row r="23" spans="2:20" x14ac:dyDescent="0.2">
      <c r="B23" s="116">
        <v>18</v>
      </c>
      <c r="C23" s="4">
        <v>300</v>
      </c>
      <c r="D23" s="4">
        <v>300</v>
      </c>
      <c r="E23" s="4">
        <v>40</v>
      </c>
      <c r="F23" s="33">
        <v>1.2</v>
      </c>
      <c r="G23" s="64">
        <f t="shared" si="0"/>
        <v>0.3</v>
      </c>
      <c r="H23" s="21" t="s">
        <v>136</v>
      </c>
      <c r="I23" s="5"/>
      <c r="J23" s="6"/>
      <c r="K23" s="185"/>
      <c r="L23" s="2"/>
      <c r="T23" s="1"/>
    </row>
    <row r="24" spans="2:20" x14ac:dyDescent="0.2">
      <c r="B24" s="115">
        <v>19</v>
      </c>
      <c r="C24" s="4">
        <v>300</v>
      </c>
      <c r="D24" s="4">
        <v>300</v>
      </c>
      <c r="E24" s="4">
        <v>20</v>
      </c>
      <c r="F24" s="33">
        <v>4.9000000000000004</v>
      </c>
      <c r="G24" s="64">
        <f t="shared" si="0"/>
        <v>0.3</v>
      </c>
      <c r="H24" s="21" t="s">
        <v>136</v>
      </c>
      <c r="I24" s="5"/>
      <c r="J24" s="6"/>
      <c r="K24" s="185"/>
      <c r="L24" s="2"/>
      <c r="T24" s="1"/>
    </row>
    <row r="25" spans="2:20" x14ac:dyDescent="0.2">
      <c r="B25" s="116">
        <v>20</v>
      </c>
      <c r="C25" s="4">
        <v>300</v>
      </c>
      <c r="D25" s="4">
        <v>300</v>
      </c>
      <c r="E25" s="4">
        <v>25</v>
      </c>
      <c r="F25" s="33">
        <v>1</v>
      </c>
      <c r="G25" s="64">
        <f t="shared" si="0"/>
        <v>0.3</v>
      </c>
      <c r="H25" s="21" t="s">
        <v>136</v>
      </c>
      <c r="I25" s="5"/>
      <c r="J25" s="6"/>
      <c r="K25" s="185"/>
      <c r="L25" s="2"/>
      <c r="T25" s="1"/>
    </row>
    <row r="26" spans="2:20" x14ac:dyDescent="0.2">
      <c r="B26" s="115">
        <v>21</v>
      </c>
      <c r="C26" s="4">
        <v>300</v>
      </c>
      <c r="D26" s="4">
        <v>300</v>
      </c>
      <c r="E26" s="4">
        <v>25</v>
      </c>
      <c r="F26" s="33">
        <v>4.5</v>
      </c>
      <c r="G26" s="64">
        <f t="shared" si="0"/>
        <v>0.3</v>
      </c>
      <c r="H26" s="21" t="s">
        <v>136</v>
      </c>
      <c r="I26" s="5"/>
      <c r="J26" s="6"/>
      <c r="K26" s="185"/>
      <c r="L26" s="2"/>
      <c r="T26" s="1"/>
    </row>
    <row r="27" spans="2:20" x14ac:dyDescent="0.2">
      <c r="B27" s="116">
        <v>22</v>
      </c>
      <c r="C27" s="4">
        <v>300</v>
      </c>
      <c r="D27" s="4">
        <v>300</v>
      </c>
      <c r="E27" s="4">
        <v>25</v>
      </c>
      <c r="F27" s="33">
        <v>1</v>
      </c>
      <c r="G27" s="64">
        <f t="shared" si="0"/>
        <v>0.3</v>
      </c>
      <c r="H27" s="21" t="s">
        <v>136</v>
      </c>
      <c r="I27" s="5"/>
      <c r="J27" s="6"/>
      <c r="K27" s="185"/>
      <c r="L27" s="2"/>
      <c r="T27" s="1"/>
    </row>
    <row r="28" spans="2:20" x14ac:dyDescent="0.2">
      <c r="B28" s="115">
        <v>23</v>
      </c>
      <c r="C28" s="4">
        <v>300</v>
      </c>
      <c r="D28" s="4">
        <v>300</v>
      </c>
      <c r="E28" s="4">
        <v>20</v>
      </c>
      <c r="F28" s="33">
        <v>1.2</v>
      </c>
      <c r="G28" s="64">
        <f t="shared" si="0"/>
        <v>0.3</v>
      </c>
      <c r="H28" s="21" t="s">
        <v>136</v>
      </c>
      <c r="I28" s="5"/>
      <c r="J28" s="6"/>
      <c r="K28" s="185"/>
      <c r="L28" s="2"/>
      <c r="T28" s="1"/>
    </row>
    <row r="29" spans="2:20" x14ac:dyDescent="0.2">
      <c r="B29" s="116">
        <v>24</v>
      </c>
      <c r="C29" s="4">
        <v>100</v>
      </c>
      <c r="D29" s="4">
        <v>150</v>
      </c>
      <c r="E29" s="4">
        <v>30</v>
      </c>
      <c r="F29" s="33">
        <v>3.6</v>
      </c>
      <c r="G29" s="64">
        <f t="shared" si="0"/>
        <v>0.3</v>
      </c>
      <c r="H29" s="21" t="s">
        <v>136</v>
      </c>
      <c r="I29" s="5">
        <v>50</v>
      </c>
      <c r="J29" s="6" t="s">
        <v>139</v>
      </c>
      <c r="K29" s="185" t="s">
        <v>8</v>
      </c>
      <c r="L29" s="2"/>
      <c r="T29" s="1"/>
    </row>
    <row r="30" spans="2:20" x14ac:dyDescent="0.2">
      <c r="B30" s="115">
        <v>25</v>
      </c>
      <c r="C30" s="4">
        <v>100</v>
      </c>
      <c r="D30" s="4">
        <v>150</v>
      </c>
      <c r="E30" s="4">
        <v>40</v>
      </c>
      <c r="F30" s="33">
        <v>6.6</v>
      </c>
      <c r="G30" s="64">
        <f t="shared" si="0"/>
        <v>0.3</v>
      </c>
      <c r="H30" s="21" t="s">
        <v>136</v>
      </c>
      <c r="I30" s="5">
        <v>50</v>
      </c>
      <c r="J30" s="6" t="s">
        <v>139</v>
      </c>
      <c r="K30" s="185" t="s">
        <v>8</v>
      </c>
      <c r="L30" s="2"/>
      <c r="T30" s="1"/>
    </row>
    <row r="31" spans="2:20" x14ac:dyDescent="0.2">
      <c r="B31" s="116">
        <v>26</v>
      </c>
      <c r="C31" s="4">
        <v>100</v>
      </c>
      <c r="D31" s="4">
        <v>150</v>
      </c>
      <c r="E31" s="4">
        <v>20</v>
      </c>
      <c r="F31" s="33">
        <v>0.6</v>
      </c>
      <c r="G31" s="64">
        <f t="shared" si="0"/>
        <v>0.3</v>
      </c>
      <c r="H31" s="21" t="s">
        <v>136</v>
      </c>
      <c r="I31" s="5">
        <v>50</v>
      </c>
      <c r="J31" s="6" t="s">
        <v>139</v>
      </c>
      <c r="K31" s="185" t="s">
        <v>8</v>
      </c>
      <c r="L31" s="2"/>
      <c r="T31" s="1"/>
    </row>
    <row r="32" spans="2:20" x14ac:dyDescent="0.2">
      <c r="B32" s="115">
        <v>27</v>
      </c>
      <c r="C32" s="4">
        <v>100</v>
      </c>
      <c r="D32" s="4">
        <v>150</v>
      </c>
      <c r="E32" s="4">
        <v>25</v>
      </c>
      <c r="F32" s="33">
        <v>3.4</v>
      </c>
      <c r="G32" s="64">
        <f t="shared" si="0"/>
        <v>0.3</v>
      </c>
      <c r="H32" s="21" t="s">
        <v>136</v>
      </c>
      <c r="I32" s="5">
        <v>50</v>
      </c>
      <c r="J32" s="6" t="s">
        <v>139</v>
      </c>
      <c r="K32" s="185" t="s">
        <v>8</v>
      </c>
      <c r="L32" s="2"/>
      <c r="T32" s="1"/>
    </row>
    <row r="33" spans="2:20" x14ac:dyDescent="0.2">
      <c r="B33" s="116">
        <v>28</v>
      </c>
      <c r="C33" s="4">
        <v>100</v>
      </c>
      <c r="D33" s="4">
        <v>150</v>
      </c>
      <c r="E33" s="4">
        <v>25</v>
      </c>
      <c r="F33" s="33">
        <v>1</v>
      </c>
      <c r="G33" s="64">
        <f t="shared" si="0"/>
        <v>0.3</v>
      </c>
      <c r="H33" s="21" t="s">
        <v>136</v>
      </c>
      <c r="I33" s="5">
        <v>50</v>
      </c>
      <c r="J33" s="6" t="s">
        <v>139</v>
      </c>
      <c r="K33" s="185" t="s">
        <v>8</v>
      </c>
      <c r="L33" s="2"/>
      <c r="T33" s="1"/>
    </row>
    <row r="34" spans="2:20" x14ac:dyDescent="0.2">
      <c r="B34" s="115">
        <v>29</v>
      </c>
      <c r="C34" s="4">
        <v>100</v>
      </c>
      <c r="D34" s="4">
        <v>150</v>
      </c>
      <c r="E34" s="4">
        <v>20</v>
      </c>
      <c r="F34" s="33">
        <v>0.9</v>
      </c>
      <c r="G34" s="64">
        <f t="shared" si="0"/>
        <v>0.3</v>
      </c>
      <c r="H34" s="21" t="s">
        <v>136</v>
      </c>
      <c r="I34" s="5">
        <v>50</v>
      </c>
      <c r="J34" s="6" t="s">
        <v>139</v>
      </c>
      <c r="K34" s="185" t="s">
        <v>8</v>
      </c>
      <c r="L34" s="2"/>
      <c r="T34" s="1"/>
    </row>
    <row r="35" spans="2:20" x14ac:dyDescent="0.2">
      <c r="B35" s="116">
        <v>30</v>
      </c>
      <c r="C35" s="4">
        <v>100</v>
      </c>
      <c r="D35" s="4">
        <v>150</v>
      </c>
      <c r="E35" s="4">
        <v>30</v>
      </c>
      <c r="F35" s="33">
        <v>0.6</v>
      </c>
      <c r="G35" s="64">
        <f t="shared" si="0"/>
        <v>0.3</v>
      </c>
      <c r="H35" s="21" t="s">
        <v>136</v>
      </c>
      <c r="I35" s="5">
        <v>50</v>
      </c>
      <c r="J35" s="6" t="s">
        <v>139</v>
      </c>
      <c r="K35" s="185" t="s">
        <v>8</v>
      </c>
      <c r="L35" s="2"/>
      <c r="T35" s="1"/>
    </row>
    <row r="36" spans="2:20" x14ac:dyDescent="0.2">
      <c r="B36" s="115">
        <v>31</v>
      </c>
      <c r="C36" s="4">
        <v>100</v>
      </c>
      <c r="D36" s="4">
        <v>150</v>
      </c>
      <c r="E36" s="4">
        <v>30</v>
      </c>
      <c r="F36" s="33">
        <v>0.6</v>
      </c>
      <c r="G36" s="64">
        <f t="shared" ref="G36:G67" si="1">IF(B36="","",VLOOKUP(MAX(C36:D36),$M$12:$N$18,2,TRUE)/2)</f>
        <v>0.3</v>
      </c>
      <c r="H36" s="21" t="s">
        <v>136</v>
      </c>
      <c r="I36" s="5">
        <v>50</v>
      </c>
      <c r="J36" s="6" t="s">
        <v>139</v>
      </c>
      <c r="K36" s="185" t="s">
        <v>8</v>
      </c>
      <c r="L36" s="2"/>
      <c r="T36" s="1"/>
    </row>
    <row r="37" spans="2:20" x14ac:dyDescent="0.2">
      <c r="B37" s="116">
        <v>32</v>
      </c>
      <c r="C37" s="4">
        <v>100</v>
      </c>
      <c r="D37" s="4">
        <v>150</v>
      </c>
      <c r="E37" s="4">
        <v>20</v>
      </c>
      <c r="F37" s="33">
        <v>0.7</v>
      </c>
      <c r="G37" s="64">
        <f t="shared" si="1"/>
        <v>0.3</v>
      </c>
      <c r="H37" s="21" t="s">
        <v>136</v>
      </c>
      <c r="I37" s="5">
        <v>50</v>
      </c>
      <c r="J37" s="6" t="s">
        <v>139</v>
      </c>
      <c r="K37" s="185" t="s">
        <v>8</v>
      </c>
      <c r="L37" s="2"/>
      <c r="T37" s="1"/>
    </row>
    <row r="38" spans="2:20" x14ac:dyDescent="0.2">
      <c r="B38" s="115">
        <v>33</v>
      </c>
      <c r="C38" s="4">
        <v>100</v>
      </c>
      <c r="D38" s="4">
        <v>150</v>
      </c>
      <c r="E38" s="4">
        <v>20</v>
      </c>
      <c r="F38" s="33">
        <v>3.4</v>
      </c>
      <c r="G38" s="64">
        <f t="shared" si="1"/>
        <v>0.3</v>
      </c>
      <c r="H38" s="21" t="s">
        <v>136</v>
      </c>
      <c r="I38" s="5">
        <v>50</v>
      </c>
      <c r="J38" s="6" t="s">
        <v>139</v>
      </c>
      <c r="K38" s="185" t="s">
        <v>8</v>
      </c>
      <c r="L38" s="2"/>
      <c r="T38" s="1"/>
    </row>
    <row r="39" spans="2:20" x14ac:dyDescent="0.2">
      <c r="B39" s="116">
        <v>34</v>
      </c>
      <c r="C39" s="4">
        <v>100</v>
      </c>
      <c r="D39" s="4">
        <v>150</v>
      </c>
      <c r="E39" s="4">
        <v>20</v>
      </c>
      <c r="F39" s="33">
        <v>3.5</v>
      </c>
      <c r="G39" s="64">
        <f t="shared" si="1"/>
        <v>0.3</v>
      </c>
      <c r="H39" s="21" t="s">
        <v>136</v>
      </c>
      <c r="I39" s="5">
        <v>50</v>
      </c>
      <c r="J39" s="6" t="s">
        <v>139</v>
      </c>
      <c r="K39" s="185" t="s">
        <v>8</v>
      </c>
      <c r="L39" s="2"/>
      <c r="T39" s="1"/>
    </row>
    <row r="40" spans="2:20" x14ac:dyDescent="0.2">
      <c r="B40" s="115">
        <v>35</v>
      </c>
      <c r="C40" s="4">
        <v>100</v>
      </c>
      <c r="D40" s="4">
        <v>150</v>
      </c>
      <c r="E40" s="4">
        <v>40</v>
      </c>
      <c r="F40" s="33">
        <v>0.8</v>
      </c>
      <c r="G40" s="64">
        <f t="shared" si="1"/>
        <v>0.3</v>
      </c>
      <c r="H40" s="21" t="s">
        <v>136</v>
      </c>
      <c r="I40" s="5">
        <v>50</v>
      </c>
      <c r="J40" s="6" t="s">
        <v>139</v>
      </c>
      <c r="K40" s="185" t="s">
        <v>8</v>
      </c>
      <c r="L40" s="2"/>
      <c r="T40" s="1"/>
    </row>
    <row r="41" spans="2:20" x14ac:dyDescent="0.2">
      <c r="B41" s="116">
        <v>36</v>
      </c>
      <c r="C41" s="4">
        <v>100</v>
      </c>
      <c r="D41" s="4">
        <v>150</v>
      </c>
      <c r="E41" s="4">
        <v>20</v>
      </c>
      <c r="F41" s="33">
        <v>3.5</v>
      </c>
      <c r="G41" s="64">
        <f t="shared" si="1"/>
        <v>0.3</v>
      </c>
      <c r="H41" s="21" t="s">
        <v>136</v>
      </c>
      <c r="I41" s="5">
        <v>50</v>
      </c>
      <c r="J41" s="6" t="s">
        <v>139</v>
      </c>
      <c r="K41" s="185" t="s">
        <v>8</v>
      </c>
      <c r="L41" s="2"/>
      <c r="T41" s="1"/>
    </row>
    <row r="42" spans="2:20" x14ac:dyDescent="0.2">
      <c r="B42" s="115">
        <v>37</v>
      </c>
      <c r="C42" s="4">
        <v>100</v>
      </c>
      <c r="D42" s="4">
        <v>150</v>
      </c>
      <c r="E42" s="4">
        <v>20</v>
      </c>
      <c r="F42" s="33">
        <v>3.3</v>
      </c>
      <c r="G42" s="64">
        <f t="shared" si="1"/>
        <v>0.3</v>
      </c>
      <c r="H42" s="21" t="s">
        <v>136</v>
      </c>
      <c r="I42" s="5">
        <v>50</v>
      </c>
      <c r="J42" s="6" t="s">
        <v>139</v>
      </c>
      <c r="K42" s="185" t="s">
        <v>8</v>
      </c>
      <c r="L42" s="2"/>
      <c r="T42" s="1"/>
    </row>
    <row r="43" spans="2:20" x14ac:dyDescent="0.2">
      <c r="B43" s="116">
        <v>38</v>
      </c>
      <c r="C43" s="4">
        <v>100</v>
      </c>
      <c r="D43" s="4">
        <v>150</v>
      </c>
      <c r="E43" s="4">
        <v>25</v>
      </c>
      <c r="F43" s="33">
        <v>3.2</v>
      </c>
      <c r="G43" s="64">
        <f t="shared" si="1"/>
        <v>0.3</v>
      </c>
      <c r="H43" s="21" t="s">
        <v>136</v>
      </c>
      <c r="I43" s="5">
        <v>50</v>
      </c>
      <c r="J43" s="6" t="s">
        <v>139</v>
      </c>
      <c r="K43" s="185" t="s">
        <v>8</v>
      </c>
      <c r="L43" s="2"/>
      <c r="T43" s="1"/>
    </row>
    <row r="44" spans="2:20" x14ac:dyDescent="0.2">
      <c r="B44" s="115">
        <v>39</v>
      </c>
      <c r="C44" s="4">
        <v>100</v>
      </c>
      <c r="D44" s="4">
        <v>150</v>
      </c>
      <c r="E44" s="4">
        <v>25</v>
      </c>
      <c r="F44" s="33">
        <v>3.3</v>
      </c>
      <c r="G44" s="64">
        <f t="shared" si="1"/>
        <v>0.3</v>
      </c>
      <c r="H44" s="21" t="s">
        <v>136</v>
      </c>
      <c r="I44" s="5">
        <v>50</v>
      </c>
      <c r="J44" s="6" t="s">
        <v>139</v>
      </c>
      <c r="K44" s="185" t="s">
        <v>8</v>
      </c>
      <c r="L44" s="2"/>
      <c r="T44" s="1"/>
    </row>
    <row r="45" spans="2:20" x14ac:dyDescent="0.2">
      <c r="B45" s="116">
        <v>40</v>
      </c>
      <c r="C45" s="4">
        <v>100</v>
      </c>
      <c r="D45" s="4">
        <v>150</v>
      </c>
      <c r="E45" s="4">
        <v>20</v>
      </c>
      <c r="F45" s="33">
        <v>1.2</v>
      </c>
      <c r="G45" s="64">
        <f t="shared" si="1"/>
        <v>0.3</v>
      </c>
      <c r="H45" s="21" t="s">
        <v>136</v>
      </c>
      <c r="I45" s="5">
        <v>50</v>
      </c>
      <c r="J45" s="6" t="s">
        <v>139</v>
      </c>
      <c r="K45" s="185" t="s">
        <v>8</v>
      </c>
      <c r="L45" s="2"/>
      <c r="T45" s="1"/>
    </row>
    <row r="46" spans="2:20" x14ac:dyDescent="0.2">
      <c r="B46" s="115">
        <v>41</v>
      </c>
      <c r="C46" s="4">
        <v>100</v>
      </c>
      <c r="D46" s="4">
        <v>150</v>
      </c>
      <c r="E46" s="4">
        <v>25</v>
      </c>
      <c r="F46" s="33">
        <v>3.3</v>
      </c>
      <c r="G46" s="64">
        <f t="shared" si="1"/>
        <v>0.3</v>
      </c>
      <c r="H46" s="21" t="s">
        <v>136</v>
      </c>
      <c r="I46" s="5">
        <v>50</v>
      </c>
      <c r="J46" s="6" t="s">
        <v>139</v>
      </c>
      <c r="K46" s="185" t="s">
        <v>8</v>
      </c>
      <c r="L46" s="2"/>
      <c r="T46" s="1"/>
    </row>
    <row r="47" spans="2:20" x14ac:dyDescent="0.2">
      <c r="B47" s="116">
        <v>42</v>
      </c>
      <c r="C47" s="4">
        <v>100</v>
      </c>
      <c r="D47" s="4">
        <v>150</v>
      </c>
      <c r="E47" s="4">
        <v>20</v>
      </c>
      <c r="F47" s="33">
        <v>3.4</v>
      </c>
      <c r="G47" s="64">
        <f t="shared" si="1"/>
        <v>0.3</v>
      </c>
      <c r="H47" s="21" t="s">
        <v>136</v>
      </c>
      <c r="I47" s="5">
        <v>50</v>
      </c>
      <c r="J47" s="6" t="s">
        <v>139</v>
      </c>
      <c r="K47" s="185" t="s">
        <v>8</v>
      </c>
      <c r="L47" s="2"/>
      <c r="T47" s="1"/>
    </row>
    <row r="48" spans="2:20" x14ac:dyDescent="0.2">
      <c r="B48" s="115">
        <v>43</v>
      </c>
      <c r="C48" s="4">
        <v>100</v>
      </c>
      <c r="D48" s="4">
        <v>150</v>
      </c>
      <c r="E48" s="4">
        <v>20</v>
      </c>
      <c r="F48" s="33">
        <v>3.4</v>
      </c>
      <c r="G48" s="64">
        <f t="shared" si="1"/>
        <v>0.3</v>
      </c>
      <c r="H48" s="21" t="s">
        <v>136</v>
      </c>
      <c r="I48" s="5">
        <v>50</v>
      </c>
      <c r="J48" s="6" t="s">
        <v>139</v>
      </c>
      <c r="K48" s="185" t="s">
        <v>8</v>
      </c>
      <c r="L48" s="2"/>
      <c r="T48" s="1"/>
    </row>
    <row r="49" spans="2:20" x14ac:dyDescent="0.2">
      <c r="B49" s="116">
        <v>44</v>
      </c>
      <c r="C49" s="4">
        <v>100</v>
      </c>
      <c r="D49" s="4">
        <v>150</v>
      </c>
      <c r="E49" s="4">
        <v>20</v>
      </c>
      <c r="F49" s="33">
        <v>3</v>
      </c>
      <c r="G49" s="64">
        <f t="shared" si="1"/>
        <v>0.3</v>
      </c>
      <c r="H49" s="21" t="s">
        <v>136</v>
      </c>
      <c r="I49" s="5">
        <v>50</v>
      </c>
      <c r="J49" s="6" t="s">
        <v>139</v>
      </c>
      <c r="K49" s="185" t="s">
        <v>8</v>
      </c>
      <c r="L49" s="2"/>
      <c r="T49" s="1"/>
    </row>
    <row r="50" spans="2:20" x14ac:dyDescent="0.2">
      <c r="B50" s="115">
        <v>45</v>
      </c>
      <c r="C50" s="4">
        <v>150</v>
      </c>
      <c r="D50" s="4">
        <v>200</v>
      </c>
      <c r="E50" s="4">
        <v>20</v>
      </c>
      <c r="F50" s="33">
        <v>0.4</v>
      </c>
      <c r="G50" s="64">
        <f t="shared" si="1"/>
        <v>0.3</v>
      </c>
      <c r="H50" s="21" t="s">
        <v>136</v>
      </c>
      <c r="I50" s="5"/>
      <c r="J50" s="6"/>
      <c r="K50" s="185"/>
      <c r="L50" s="2"/>
      <c r="T50" s="1"/>
    </row>
    <row r="51" spans="2:20" x14ac:dyDescent="0.2">
      <c r="B51" s="116">
        <v>46</v>
      </c>
      <c r="C51" s="4">
        <v>150</v>
      </c>
      <c r="D51" s="4">
        <v>200</v>
      </c>
      <c r="E51" s="4">
        <v>25</v>
      </c>
      <c r="F51" s="33">
        <v>5.5</v>
      </c>
      <c r="G51" s="64">
        <f t="shared" si="1"/>
        <v>0.3</v>
      </c>
      <c r="H51" s="21" t="s">
        <v>136</v>
      </c>
      <c r="I51" s="5"/>
      <c r="J51" s="6"/>
      <c r="K51" s="185"/>
      <c r="L51" s="2"/>
      <c r="T51" s="1"/>
    </row>
    <row r="52" spans="2:20" x14ac:dyDescent="0.2">
      <c r="B52" s="115">
        <v>47</v>
      </c>
      <c r="C52" s="4">
        <v>150</v>
      </c>
      <c r="D52" s="4">
        <v>200</v>
      </c>
      <c r="E52" s="4">
        <v>25</v>
      </c>
      <c r="F52" s="33">
        <v>2.4</v>
      </c>
      <c r="G52" s="64">
        <f t="shared" si="1"/>
        <v>0.3</v>
      </c>
      <c r="H52" s="21" t="s">
        <v>136</v>
      </c>
      <c r="I52" s="5"/>
      <c r="J52" s="6"/>
      <c r="K52" s="185"/>
      <c r="L52" s="2"/>
      <c r="T52" s="1"/>
    </row>
    <row r="53" spans="2:20" x14ac:dyDescent="0.2">
      <c r="B53" s="116">
        <v>48</v>
      </c>
      <c r="C53" s="4">
        <v>150</v>
      </c>
      <c r="D53" s="4">
        <v>200</v>
      </c>
      <c r="E53" s="4">
        <v>25</v>
      </c>
      <c r="F53" s="33">
        <v>2.4</v>
      </c>
      <c r="G53" s="64">
        <f t="shared" si="1"/>
        <v>0.3</v>
      </c>
      <c r="H53" s="21" t="s">
        <v>136</v>
      </c>
      <c r="I53" s="5"/>
      <c r="J53" s="6"/>
      <c r="K53" s="185"/>
      <c r="L53" s="2"/>
      <c r="T53" s="1"/>
    </row>
    <row r="54" spans="2:20" x14ac:dyDescent="0.2">
      <c r="B54" s="115">
        <v>49</v>
      </c>
      <c r="C54" s="4">
        <v>150</v>
      </c>
      <c r="D54" s="4">
        <v>200</v>
      </c>
      <c r="E54" s="4">
        <v>25</v>
      </c>
      <c r="F54" s="33">
        <v>2.4</v>
      </c>
      <c r="G54" s="64">
        <f t="shared" si="1"/>
        <v>0.3</v>
      </c>
      <c r="H54" s="21" t="s">
        <v>136</v>
      </c>
      <c r="I54" s="5"/>
      <c r="J54" s="6"/>
      <c r="K54" s="185"/>
      <c r="L54" s="2"/>
      <c r="T54" s="1"/>
    </row>
    <row r="55" spans="2:20" x14ac:dyDescent="0.2">
      <c r="B55" s="116">
        <v>50</v>
      </c>
      <c r="C55" s="4">
        <v>150</v>
      </c>
      <c r="D55" s="4">
        <v>200</v>
      </c>
      <c r="E55" s="4">
        <v>40</v>
      </c>
      <c r="F55" s="33">
        <v>1.8</v>
      </c>
      <c r="G55" s="64">
        <f t="shared" si="1"/>
        <v>0.3</v>
      </c>
      <c r="H55" s="21" t="s">
        <v>136</v>
      </c>
      <c r="I55" s="5"/>
      <c r="J55" s="6"/>
      <c r="K55" s="185"/>
      <c r="L55" s="2"/>
      <c r="T55" s="1"/>
    </row>
    <row r="56" spans="2:20" x14ac:dyDescent="0.2">
      <c r="B56" s="115">
        <v>51</v>
      </c>
      <c r="C56" s="4">
        <v>150</v>
      </c>
      <c r="D56" s="4">
        <v>200</v>
      </c>
      <c r="E56" s="4">
        <v>40</v>
      </c>
      <c r="F56" s="33">
        <v>1.8</v>
      </c>
      <c r="G56" s="64">
        <f t="shared" si="1"/>
        <v>0.3</v>
      </c>
      <c r="H56" s="21" t="s">
        <v>136</v>
      </c>
      <c r="I56" s="5"/>
      <c r="J56" s="6"/>
      <c r="K56" s="185"/>
      <c r="L56" s="2"/>
      <c r="T56" s="1"/>
    </row>
    <row r="57" spans="2:20" x14ac:dyDescent="0.2">
      <c r="B57" s="116">
        <v>52</v>
      </c>
      <c r="C57" s="4">
        <v>150</v>
      </c>
      <c r="D57" s="4">
        <v>200</v>
      </c>
      <c r="E57" s="4">
        <v>40</v>
      </c>
      <c r="F57" s="33">
        <v>1.8</v>
      </c>
      <c r="G57" s="64">
        <f t="shared" si="1"/>
        <v>0.3</v>
      </c>
      <c r="H57" s="21" t="s">
        <v>136</v>
      </c>
      <c r="I57" s="5"/>
      <c r="J57" s="6"/>
      <c r="K57" s="185"/>
      <c r="L57" s="2"/>
      <c r="T57" s="1"/>
    </row>
    <row r="58" spans="2:20" x14ac:dyDescent="0.2">
      <c r="B58" s="115">
        <v>53</v>
      </c>
      <c r="C58" s="4">
        <v>150</v>
      </c>
      <c r="D58" s="4">
        <v>200</v>
      </c>
      <c r="E58" s="4">
        <v>20</v>
      </c>
      <c r="F58" s="33">
        <v>1.6</v>
      </c>
      <c r="G58" s="64">
        <f t="shared" si="1"/>
        <v>0.3</v>
      </c>
      <c r="H58" s="21" t="s">
        <v>136</v>
      </c>
      <c r="I58" s="5"/>
      <c r="J58" s="6"/>
      <c r="K58" s="185"/>
      <c r="L58" s="2"/>
      <c r="T58" s="1"/>
    </row>
    <row r="59" spans="2:20" x14ac:dyDescent="0.2">
      <c r="B59" s="116">
        <v>54</v>
      </c>
      <c r="C59" s="4">
        <v>150</v>
      </c>
      <c r="D59" s="4">
        <v>200</v>
      </c>
      <c r="E59" s="4">
        <v>25</v>
      </c>
      <c r="F59" s="33">
        <v>1.6</v>
      </c>
      <c r="G59" s="64">
        <f t="shared" si="1"/>
        <v>0.3</v>
      </c>
      <c r="H59" s="21" t="s">
        <v>136</v>
      </c>
      <c r="I59" s="5"/>
      <c r="J59" s="6"/>
      <c r="K59" s="185"/>
      <c r="L59" s="2"/>
      <c r="T59" s="1"/>
    </row>
    <row r="60" spans="2:20" x14ac:dyDescent="0.2">
      <c r="B60" s="115">
        <v>55</v>
      </c>
      <c r="C60" s="4">
        <v>150</v>
      </c>
      <c r="D60" s="4">
        <v>200</v>
      </c>
      <c r="E60" s="4">
        <v>25</v>
      </c>
      <c r="F60" s="33">
        <v>2.2000000000000002</v>
      </c>
      <c r="G60" s="64">
        <f t="shared" si="1"/>
        <v>0.3</v>
      </c>
      <c r="H60" s="21" t="s">
        <v>136</v>
      </c>
      <c r="I60" s="5"/>
      <c r="J60" s="6"/>
      <c r="K60" s="185"/>
      <c r="L60" s="2"/>
      <c r="T60" s="1"/>
    </row>
    <row r="61" spans="2:20" x14ac:dyDescent="0.2">
      <c r="B61" s="116">
        <v>56</v>
      </c>
      <c r="C61" s="4">
        <v>150</v>
      </c>
      <c r="D61" s="4">
        <v>200</v>
      </c>
      <c r="E61" s="4">
        <v>20</v>
      </c>
      <c r="F61" s="33">
        <v>2.4</v>
      </c>
      <c r="G61" s="64">
        <f t="shared" si="1"/>
        <v>0.3</v>
      </c>
      <c r="H61" s="21" t="s">
        <v>136</v>
      </c>
      <c r="I61" s="5"/>
      <c r="J61" s="6"/>
      <c r="K61" s="185"/>
      <c r="L61" s="2"/>
      <c r="T61" s="1"/>
    </row>
    <row r="62" spans="2:20" x14ac:dyDescent="0.2">
      <c r="B62" s="115">
        <v>57</v>
      </c>
      <c r="C62" s="4">
        <v>150</v>
      </c>
      <c r="D62" s="4">
        <v>200</v>
      </c>
      <c r="E62" s="4">
        <v>20</v>
      </c>
      <c r="F62" s="33">
        <v>2.4</v>
      </c>
      <c r="G62" s="122">
        <f t="shared" si="1"/>
        <v>0.3</v>
      </c>
      <c r="H62" s="21" t="s">
        <v>136</v>
      </c>
      <c r="I62" s="5"/>
      <c r="J62" s="6"/>
      <c r="K62" s="185"/>
      <c r="L62" s="2"/>
      <c r="T62" s="1"/>
    </row>
    <row r="63" spans="2:20" x14ac:dyDescent="0.2">
      <c r="B63" s="116">
        <v>58</v>
      </c>
      <c r="C63" s="4">
        <v>150</v>
      </c>
      <c r="D63" s="4">
        <v>200</v>
      </c>
      <c r="E63" s="4">
        <v>30</v>
      </c>
      <c r="F63" s="33">
        <v>3.4</v>
      </c>
      <c r="G63" s="123">
        <f t="shared" si="1"/>
        <v>0.3</v>
      </c>
      <c r="H63" s="21" t="s">
        <v>136</v>
      </c>
      <c r="I63" s="5"/>
      <c r="J63" s="6"/>
      <c r="K63" s="185"/>
      <c r="L63" s="2"/>
      <c r="T63" s="1"/>
    </row>
    <row r="64" spans="2:20" x14ac:dyDescent="0.2">
      <c r="B64" s="115">
        <v>59</v>
      </c>
      <c r="C64" s="4">
        <v>150</v>
      </c>
      <c r="D64" s="4">
        <v>200</v>
      </c>
      <c r="E64" s="4">
        <v>20</v>
      </c>
      <c r="F64" s="33">
        <v>2.4</v>
      </c>
      <c r="G64" s="64">
        <f t="shared" si="1"/>
        <v>0.3</v>
      </c>
      <c r="H64" s="21" t="s">
        <v>136</v>
      </c>
      <c r="I64" s="5"/>
      <c r="J64" s="6"/>
      <c r="K64" s="185"/>
      <c r="L64" s="2"/>
      <c r="T64" s="1"/>
    </row>
    <row r="65" spans="2:20" x14ac:dyDescent="0.2">
      <c r="B65" s="116">
        <v>60</v>
      </c>
      <c r="C65" s="4">
        <v>150</v>
      </c>
      <c r="D65" s="4">
        <v>200</v>
      </c>
      <c r="E65" s="4">
        <v>20</v>
      </c>
      <c r="F65" s="33">
        <v>2.4</v>
      </c>
      <c r="G65" s="64">
        <f t="shared" si="1"/>
        <v>0.3</v>
      </c>
      <c r="H65" s="21" t="s">
        <v>136</v>
      </c>
      <c r="I65" s="5"/>
      <c r="J65" s="6"/>
      <c r="K65" s="185"/>
      <c r="L65" s="2"/>
      <c r="T65" s="1"/>
    </row>
    <row r="66" spans="2:20" x14ac:dyDescent="0.2">
      <c r="B66" s="115">
        <v>61</v>
      </c>
      <c r="C66" s="4">
        <v>150</v>
      </c>
      <c r="D66" s="4">
        <v>200</v>
      </c>
      <c r="E66" s="4">
        <v>20</v>
      </c>
      <c r="F66" s="33">
        <v>2.2999999999999998</v>
      </c>
      <c r="G66" s="64">
        <f t="shared" si="1"/>
        <v>0.3</v>
      </c>
      <c r="H66" s="21" t="s">
        <v>136</v>
      </c>
      <c r="I66" s="5"/>
      <c r="J66" s="6"/>
      <c r="K66" s="185"/>
      <c r="L66" s="2"/>
      <c r="T66" s="1"/>
    </row>
    <row r="67" spans="2:20" x14ac:dyDescent="0.2">
      <c r="B67" s="116">
        <v>62</v>
      </c>
      <c r="C67" s="4">
        <v>150</v>
      </c>
      <c r="D67" s="4">
        <v>200</v>
      </c>
      <c r="E67" s="4">
        <v>25</v>
      </c>
      <c r="F67" s="33">
        <v>2.2000000000000002</v>
      </c>
      <c r="G67" s="64">
        <f t="shared" si="1"/>
        <v>0.3</v>
      </c>
      <c r="H67" s="21" t="s">
        <v>136</v>
      </c>
      <c r="I67" s="5"/>
      <c r="J67" s="6"/>
      <c r="K67" s="185"/>
      <c r="L67" s="2"/>
      <c r="T67" s="1"/>
    </row>
    <row r="68" spans="2:20" x14ac:dyDescent="0.2">
      <c r="B68" s="115">
        <v>63</v>
      </c>
      <c r="C68" s="4">
        <v>150</v>
      </c>
      <c r="D68" s="4">
        <v>200</v>
      </c>
      <c r="E68" s="4">
        <v>25</v>
      </c>
      <c r="F68" s="33">
        <v>2</v>
      </c>
      <c r="G68" s="64">
        <f t="shared" ref="G68:G99" si="2">IF(B68="","",VLOOKUP(MAX(C68:D68),$M$12:$N$18,2,TRUE)/2)</f>
        <v>0.3</v>
      </c>
      <c r="H68" s="21" t="s">
        <v>136</v>
      </c>
      <c r="I68" s="5"/>
      <c r="J68" s="6"/>
      <c r="K68" s="185"/>
      <c r="L68" s="2"/>
      <c r="T68" s="1"/>
    </row>
    <row r="69" spans="2:20" x14ac:dyDescent="0.2">
      <c r="B69" s="116">
        <v>64</v>
      </c>
      <c r="C69" s="4">
        <v>150</v>
      </c>
      <c r="D69" s="4">
        <v>200</v>
      </c>
      <c r="E69" s="4">
        <v>30</v>
      </c>
      <c r="F69" s="33">
        <v>2</v>
      </c>
      <c r="G69" s="64">
        <f t="shared" si="2"/>
        <v>0.3</v>
      </c>
      <c r="H69" s="21" t="s">
        <v>136</v>
      </c>
      <c r="I69" s="5"/>
      <c r="J69" s="6"/>
      <c r="K69" s="185"/>
      <c r="L69" s="2"/>
      <c r="T69" s="1"/>
    </row>
    <row r="70" spans="2:20" x14ac:dyDescent="0.2">
      <c r="B70" s="115">
        <v>65</v>
      </c>
      <c r="C70" s="4">
        <v>150</v>
      </c>
      <c r="D70" s="4">
        <v>200</v>
      </c>
      <c r="E70" s="4">
        <v>25</v>
      </c>
      <c r="F70" s="33">
        <v>2</v>
      </c>
      <c r="G70" s="64">
        <f t="shared" si="2"/>
        <v>0.3</v>
      </c>
      <c r="H70" s="21" t="s">
        <v>136</v>
      </c>
      <c r="I70" s="5"/>
      <c r="J70" s="6"/>
      <c r="K70" s="185"/>
      <c r="L70" s="2"/>
      <c r="T70" s="1"/>
    </row>
    <row r="71" spans="2:20" x14ac:dyDescent="0.2">
      <c r="B71" s="116">
        <v>66</v>
      </c>
      <c r="C71" s="4">
        <v>150</v>
      </c>
      <c r="D71" s="4">
        <v>200</v>
      </c>
      <c r="E71" s="4">
        <v>20</v>
      </c>
      <c r="F71" s="33">
        <v>1.8</v>
      </c>
      <c r="G71" s="64">
        <f t="shared" si="2"/>
        <v>0.3</v>
      </c>
      <c r="H71" s="21" t="s">
        <v>136</v>
      </c>
      <c r="I71" s="5"/>
      <c r="J71" s="6"/>
      <c r="K71" s="185"/>
      <c r="L71" s="2"/>
      <c r="T71" s="1"/>
    </row>
    <row r="72" spans="2:20" x14ac:dyDescent="0.2">
      <c r="B72" s="115">
        <v>67</v>
      </c>
      <c r="C72" s="4">
        <v>150</v>
      </c>
      <c r="D72" s="4">
        <v>200</v>
      </c>
      <c r="E72" s="4">
        <v>20</v>
      </c>
      <c r="F72" s="33">
        <v>1.8</v>
      </c>
      <c r="G72" s="64">
        <f t="shared" si="2"/>
        <v>0.3</v>
      </c>
      <c r="H72" s="21" t="s">
        <v>136</v>
      </c>
      <c r="I72" s="5"/>
      <c r="J72" s="6"/>
      <c r="K72" s="185"/>
      <c r="L72" s="2"/>
      <c r="T72" s="1"/>
    </row>
    <row r="73" spans="2:20" x14ac:dyDescent="0.2">
      <c r="B73" s="116">
        <v>68</v>
      </c>
      <c r="C73" s="4">
        <v>150</v>
      </c>
      <c r="D73" s="4">
        <v>200</v>
      </c>
      <c r="E73" s="4">
        <v>20</v>
      </c>
      <c r="F73" s="33">
        <v>1.6</v>
      </c>
      <c r="G73" s="64">
        <f>IF(B73="","",VLOOKUP(MAX(C73:D73),$M$12:$N$18,2,TRUE)/2)</f>
        <v>0.3</v>
      </c>
      <c r="H73" s="21" t="s">
        <v>136</v>
      </c>
      <c r="I73" s="5"/>
      <c r="J73" s="6"/>
      <c r="K73" s="185"/>
      <c r="L73" s="2"/>
      <c r="T73" s="1"/>
    </row>
    <row r="74" spans="2:20" x14ac:dyDescent="0.2">
      <c r="B74" s="115">
        <v>69</v>
      </c>
      <c r="C74" s="4">
        <v>150</v>
      </c>
      <c r="D74" s="4">
        <v>200</v>
      </c>
      <c r="E74" s="4">
        <v>30</v>
      </c>
      <c r="F74" s="33">
        <v>1.6</v>
      </c>
      <c r="G74" s="64">
        <f t="shared" si="2"/>
        <v>0.3</v>
      </c>
      <c r="H74" s="21" t="s">
        <v>136</v>
      </c>
      <c r="I74" s="5"/>
      <c r="J74" s="6"/>
      <c r="K74" s="185"/>
      <c r="L74" s="2"/>
      <c r="T74" s="1"/>
    </row>
    <row r="75" spans="2:20" x14ac:dyDescent="0.2">
      <c r="B75" s="116">
        <v>70</v>
      </c>
      <c r="C75" s="4">
        <v>150</v>
      </c>
      <c r="D75" s="4">
        <v>200</v>
      </c>
      <c r="E75" s="4">
        <v>40</v>
      </c>
      <c r="F75" s="33">
        <v>4.4000000000000004</v>
      </c>
      <c r="G75" s="64">
        <f t="shared" si="2"/>
        <v>0.3</v>
      </c>
      <c r="H75" s="21" t="s">
        <v>136</v>
      </c>
      <c r="I75" s="5"/>
      <c r="J75" s="6"/>
      <c r="K75" s="185"/>
      <c r="L75" s="2"/>
      <c r="T75" s="1"/>
    </row>
    <row r="76" spans="2:20" x14ac:dyDescent="0.2">
      <c r="B76" s="115">
        <v>71</v>
      </c>
      <c r="C76" s="4">
        <v>150</v>
      </c>
      <c r="D76" s="4">
        <v>200</v>
      </c>
      <c r="E76" s="4">
        <v>20</v>
      </c>
      <c r="F76" s="33">
        <v>3.8</v>
      </c>
      <c r="G76" s="64">
        <f t="shared" si="2"/>
        <v>0.3</v>
      </c>
      <c r="H76" s="21" t="s">
        <v>136</v>
      </c>
      <c r="I76" s="5"/>
      <c r="J76" s="6"/>
      <c r="K76" s="185"/>
      <c r="L76" s="2"/>
      <c r="T76" s="1"/>
    </row>
    <row r="77" spans="2:20" x14ac:dyDescent="0.2">
      <c r="B77" s="116">
        <v>72</v>
      </c>
      <c r="C77" s="4">
        <v>150</v>
      </c>
      <c r="D77" s="4">
        <v>200</v>
      </c>
      <c r="E77" s="4">
        <v>25</v>
      </c>
      <c r="F77" s="33">
        <v>2.4</v>
      </c>
      <c r="G77" s="64">
        <f t="shared" si="2"/>
        <v>0.3</v>
      </c>
      <c r="H77" s="21" t="s">
        <v>136</v>
      </c>
      <c r="I77" s="5"/>
      <c r="J77" s="6"/>
      <c r="K77" s="185"/>
      <c r="L77" s="2"/>
      <c r="T77" s="1"/>
    </row>
    <row r="78" spans="2:20" x14ac:dyDescent="0.2">
      <c r="B78" s="115">
        <v>73</v>
      </c>
      <c r="C78" s="4">
        <v>150</v>
      </c>
      <c r="D78" s="4">
        <v>200</v>
      </c>
      <c r="E78" s="4">
        <v>25</v>
      </c>
      <c r="F78" s="33">
        <v>3.5</v>
      </c>
      <c r="G78" s="64">
        <f t="shared" si="2"/>
        <v>0.3</v>
      </c>
      <c r="H78" s="21" t="s">
        <v>136</v>
      </c>
      <c r="I78" s="5"/>
      <c r="J78" s="6"/>
      <c r="K78" s="185"/>
      <c r="L78" s="2"/>
      <c r="T78" s="1"/>
    </row>
    <row r="79" spans="2:20" x14ac:dyDescent="0.2">
      <c r="B79" s="116">
        <v>74</v>
      </c>
      <c r="C79" s="4">
        <v>150</v>
      </c>
      <c r="D79" s="4">
        <v>200</v>
      </c>
      <c r="E79" s="4">
        <v>20</v>
      </c>
      <c r="F79" s="33">
        <v>3.3</v>
      </c>
      <c r="G79" s="64">
        <f t="shared" si="2"/>
        <v>0.3</v>
      </c>
      <c r="H79" s="21" t="s">
        <v>136</v>
      </c>
      <c r="I79" s="5"/>
      <c r="J79" s="6"/>
      <c r="K79" s="185"/>
      <c r="L79" s="2"/>
      <c r="T79" s="1"/>
    </row>
    <row r="80" spans="2:20" x14ac:dyDescent="0.2">
      <c r="B80" s="115">
        <v>75</v>
      </c>
      <c r="C80" s="4">
        <v>150</v>
      </c>
      <c r="D80" s="4">
        <v>200</v>
      </c>
      <c r="E80" s="4">
        <v>20</v>
      </c>
      <c r="F80" s="33">
        <v>2.2999999999999998</v>
      </c>
      <c r="G80" s="64">
        <f t="shared" si="2"/>
        <v>0.3</v>
      </c>
      <c r="H80" s="21" t="s">
        <v>136</v>
      </c>
      <c r="I80" s="5"/>
      <c r="J80" s="6"/>
      <c r="K80" s="185"/>
      <c r="L80" s="2"/>
      <c r="T80" s="1"/>
    </row>
    <row r="81" spans="2:20" x14ac:dyDescent="0.2">
      <c r="B81" s="116">
        <v>76</v>
      </c>
      <c r="C81" s="4">
        <v>150</v>
      </c>
      <c r="D81" s="4">
        <v>200</v>
      </c>
      <c r="E81" s="7">
        <v>50</v>
      </c>
      <c r="F81" s="35">
        <v>2.6</v>
      </c>
      <c r="G81" s="64">
        <f t="shared" si="2"/>
        <v>0.3</v>
      </c>
      <c r="H81" s="21" t="s">
        <v>136</v>
      </c>
      <c r="I81" s="8"/>
      <c r="J81" s="9"/>
      <c r="K81" s="186"/>
      <c r="L81" s="2"/>
      <c r="T81" s="1"/>
    </row>
    <row r="82" spans="2:20" x14ac:dyDescent="0.2">
      <c r="B82" s="115">
        <v>77</v>
      </c>
      <c r="C82" s="4">
        <v>150</v>
      </c>
      <c r="D82" s="4">
        <v>200</v>
      </c>
      <c r="E82" s="4">
        <v>20</v>
      </c>
      <c r="F82" s="33">
        <v>3.6</v>
      </c>
      <c r="G82" s="64">
        <f t="shared" si="2"/>
        <v>0.3</v>
      </c>
      <c r="H82" s="21" t="s">
        <v>136</v>
      </c>
      <c r="I82" s="5"/>
      <c r="J82" s="6"/>
      <c r="K82" s="185"/>
      <c r="L82" s="2"/>
      <c r="T82" s="1"/>
    </row>
    <row r="83" spans="2:20" x14ac:dyDescent="0.2">
      <c r="B83" s="116">
        <v>78</v>
      </c>
      <c r="C83" s="4">
        <v>150</v>
      </c>
      <c r="D83" s="4">
        <v>200</v>
      </c>
      <c r="E83" s="3">
        <v>40</v>
      </c>
      <c r="F83" s="33">
        <v>2.4</v>
      </c>
      <c r="G83" s="64">
        <f t="shared" si="2"/>
        <v>0.3</v>
      </c>
      <c r="H83" s="21" t="s">
        <v>136</v>
      </c>
      <c r="I83" s="10"/>
      <c r="J83" s="24"/>
      <c r="K83" s="186"/>
      <c r="L83" s="2"/>
      <c r="T83" s="1"/>
    </row>
    <row r="84" spans="2:20" x14ac:dyDescent="0.2">
      <c r="B84" s="115">
        <v>79</v>
      </c>
      <c r="C84" s="4">
        <v>150</v>
      </c>
      <c r="D84" s="4">
        <v>200</v>
      </c>
      <c r="E84" s="3">
        <v>20</v>
      </c>
      <c r="F84" s="33">
        <v>2.4</v>
      </c>
      <c r="G84" s="64">
        <f t="shared" si="2"/>
        <v>0.3</v>
      </c>
      <c r="H84" s="21" t="s">
        <v>136</v>
      </c>
      <c r="I84" s="10"/>
      <c r="J84" s="25"/>
      <c r="K84" s="185"/>
      <c r="L84" s="2"/>
      <c r="T84" s="1"/>
    </row>
    <row r="85" spans="2:20" x14ac:dyDescent="0.2">
      <c r="B85" s="116">
        <v>80</v>
      </c>
      <c r="C85" s="4">
        <v>150</v>
      </c>
      <c r="D85" s="4">
        <v>200</v>
      </c>
      <c r="E85" s="4">
        <v>20</v>
      </c>
      <c r="F85" s="33">
        <v>1.5</v>
      </c>
      <c r="G85" s="64">
        <f t="shared" si="2"/>
        <v>0.3</v>
      </c>
      <c r="H85" s="21" t="s">
        <v>136</v>
      </c>
      <c r="I85" s="5"/>
      <c r="J85" s="6"/>
      <c r="K85" s="186"/>
      <c r="L85" s="2"/>
      <c r="T85" s="1"/>
    </row>
    <row r="86" spans="2:20" x14ac:dyDescent="0.2">
      <c r="B86" s="115">
        <v>81</v>
      </c>
      <c r="C86" s="4">
        <v>150</v>
      </c>
      <c r="D86" s="4">
        <v>200</v>
      </c>
      <c r="E86" s="4">
        <v>20</v>
      </c>
      <c r="F86" s="33">
        <v>1</v>
      </c>
      <c r="G86" s="64">
        <f t="shared" si="2"/>
        <v>0.3</v>
      </c>
      <c r="H86" s="21" t="s">
        <v>136</v>
      </c>
      <c r="I86" s="5"/>
      <c r="J86" s="6"/>
      <c r="K86" s="185"/>
      <c r="L86" s="2"/>
      <c r="T86" s="1"/>
    </row>
    <row r="87" spans="2:20" x14ac:dyDescent="0.2">
      <c r="B87" s="116">
        <v>82</v>
      </c>
      <c r="C87" s="4">
        <v>150</v>
      </c>
      <c r="D87" s="4">
        <v>150</v>
      </c>
      <c r="E87" s="4">
        <v>20</v>
      </c>
      <c r="F87" s="33">
        <v>1</v>
      </c>
      <c r="G87" s="64">
        <f t="shared" si="2"/>
        <v>0.3</v>
      </c>
      <c r="H87" s="21" t="s">
        <v>136</v>
      </c>
      <c r="I87" s="5"/>
      <c r="J87" s="6"/>
      <c r="K87" s="186"/>
      <c r="L87" s="2"/>
      <c r="T87" s="1"/>
    </row>
    <row r="88" spans="2:20" x14ac:dyDescent="0.2">
      <c r="B88" s="115">
        <v>83</v>
      </c>
      <c r="C88" s="4">
        <v>150</v>
      </c>
      <c r="D88" s="4">
        <v>150</v>
      </c>
      <c r="E88" s="4">
        <v>20</v>
      </c>
      <c r="F88" s="33">
        <v>3.1</v>
      </c>
      <c r="G88" s="64">
        <f t="shared" si="2"/>
        <v>0.3</v>
      </c>
      <c r="H88" s="21" t="s">
        <v>136</v>
      </c>
      <c r="I88" s="5"/>
      <c r="J88" s="6"/>
      <c r="K88" s="185"/>
      <c r="L88" s="2"/>
      <c r="T88" s="1"/>
    </row>
    <row r="89" spans="2:20" x14ac:dyDescent="0.2">
      <c r="B89" s="116">
        <v>84</v>
      </c>
      <c r="C89" s="4">
        <v>150</v>
      </c>
      <c r="D89" s="4">
        <v>150</v>
      </c>
      <c r="E89" s="4">
        <v>40</v>
      </c>
      <c r="F89" s="33">
        <v>2.2999999999999998</v>
      </c>
      <c r="G89" s="64">
        <f t="shared" si="2"/>
        <v>0.3</v>
      </c>
      <c r="H89" s="21" t="s">
        <v>136</v>
      </c>
      <c r="I89" s="5"/>
      <c r="J89" s="6"/>
      <c r="K89" s="186"/>
      <c r="L89" s="2"/>
      <c r="T89" s="1"/>
    </row>
    <row r="90" spans="2:20" x14ac:dyDescent="0.2">
      <c r="B90" s="116"/>
      <c r="C90" s="4"/>
      <c r="D90" s="4"/>
      <c r="E90" s="4"/>
      <c r="F90" s="33"/>
      <c r="G90" s="64" t="str">
        <f t="shared" si="2"/>
        <v/>
      </c>
      <c r="H90" s="21"/>
      <c r="I90" s="5"/>
      <c r="J90" s="6"/>
      <c r="K90" s="94"/>
      <c r="L90" s="2"/>
      <c r="T90" s="1"/>
    </row>
    <row r="91" spans="2:20" x14ac:dyDescent="0.2">
      <c r="B91" s="116"/>
      <c r="C91" s="4"/>
      <c r="D91" s="4"/>
      <c r="E91" s="4"/>
      <c r="F91" s="33"/>
      <c r="G91" s="64" t="str">
        <f t="shared" si="2"/>
        <v/>
      </c>
      <c r="H91" s="21"/>
      <c r="I91" s="5"/>
      <c r="J91" s="6"/>
      <c r="K91" s="96"/>
      <c r="L91" s="2"/>
      <c r="T91" s="1"/>
    </row>
    <row r="92" spans="2:20" x14ac:dyDescent="0.2">
      <c r="B92" s="116"/>
      <c r="C92" s="4"/>
      <c r="D92" s="4"/>
      <c r="E92" s="4"/>
      <c r="F92" s="33"/>
      <c r="G92" s="64" t="str">
        <f t="shared" si="2"/>
        <v/>
      </c>
      <c r="H92" s="21"/>
      <c r="I92" s="5"/>
      <c r="J92" s="6"/>
      <c r="K92" s="94"/>
      <c r="L92" s="2"/>
      <c r="T92" s="1"/>
    </row>
    <row r="93" spans="2:20" x14ac:dyDescent="0.2">
      <c r="B93" s="116"/>
      <c r="C93" s="4"/>
      <c r="D93" s="4"/>
      <c r="E93" s="4"/>
      <c r="F93" s="33"/>
      <c r="G93" s="64" t="str">
        <f t="shared" si="2"/>
        <v/>
      </c>
      <c r="H93" s="21"/>
      <c r="I93" s="5"/>
      <c r="J93" s="6"/>
      <c r="K93" s="96"/>
      <c r="L93" s="2"/>
      <c r="T93" s="1"/>
    </row>
    <row r="94" spans="2:20" x14ac:dyDescent="0.2">
      <c r="B94" s="116"/>
      <c r="C94" s="4"/>
      <c r="D94" s="4"/>
      <c r="E94" s="4"/>
      <c r="F94" s="33"/>
      <c r="G94" s="64" t="str">
        <f t="shared" si="2"/>
        <v/>
      </c>
      <c r="H94" s="21"/>
      <c r="I94" s="5"/>
      <c r="J94" s="6"/>
      <c r="K94" s="94"/>
      <c r="L94" s="2"/>
      <c r="T94" s="1"/>
    </row>
    <row r="95" spans="2:20" x14ac:dyDescent="0.2">
      <c r="B95" s="116"/>
      <c r="C95" s="4"/>
      <c r="D95" s="4"/>
      <c r="E95" s="4"/>
      <c r="F95" s="33"/>
      <c r="G95" s="64" t="str">
        <f t="shared" si="2"/>
        <v/>
      </c>
      <c r="H95" s="21"/>
      <c r="I95" s="5"/>
      <c r="J95" s="6"/>
      <c r="K95" s="96"/>
      <c r="L95" s="2"/>
      <c r="T95" s="1"/>
    </row>
    <row r="96" spans="2:20" x14ac:dyDescent="0.2">
      <c r="B96" s="93"/>
      <c r="C96" s="4"/>
      <c r="D96" s="4"/>
      <c r="E96" s="4"/>
      <c r="F96" s="33"/>
      <c r="G96" s="64" t="str">
        <f t="shared" si="2"/>
        <v/>
      </c>
      <c r="H96" s="21"/>
      <c r="I96" s="5"/>
      <c r="J96" s="6"/>
      <c r="K96" s="94"/>
      <c r="L96" s="2"/>
      <c r="T96" s="1"/>
    </row>
    <row r="97" spans="2:20" x14ac:dyDescent="0.2">
      <c r="B97" s="93"/>
      <c r="C97" s="4"/>
      <c r="D97" s="4"/>
      <c r="E97" s="4"/>
      <c r="F97" s="33"/>
      <c r="G97" s="64" t="str">
        <f t="shared" si="2"/>
        <v/>
      </c>
      <c r="H97" s="21"/>
      <c r="I97" s="5"/>
      <c r="J97" s="6"/>
      <c r="K97" s="96"/>
      <c r="L97" s="2"/>
      <c r="T97" s="1"/>
    </row>
    <row r="98" spans="2:20" x14ac:dyDescent="0.2">
      <c r="B98" s="93"/>
      <c r="C98" s="4"/>
      <c r="D98" s="4"/>
      <c r="E98" s="4"/>
      <c r="F98" s="33"/>
      <c r="G98" s="64" t="str">
        <f t="shared" si="2"/>
        <v/>
      </c>
      <c r="H98" s="21"/>
      <c r="I98" s="5"/>
      <c r="J98" s="6"/>
      <c r="K98" s="94"/>
      <c r="L98" s="2"/>
      <c r="T98" s="1"/>
    </row>
    <row r="99" spans="2:20" x14ac:dyDescent="0.2">
      <c r="B99" s="93"/>
      <c r="C99" s="4"/>
      <c r="D99" s="4"/>
      <c r="E99" s="4"/>
      <c r="F99" s="33"/>
      <c r="G99" s="64" t="str">
        <f t="shared" si="2"/>
        <v/>
      </c>
      <c r="H99" s="21"/>
      <c r="I99" s="5"/>
      <c r="J99" s="6"/>
      <c r="K99" s="96"/>
      <c r="L99" s="2"/>
      <c r="T99" s="1"/>
    </row>
    <row r="100" spans="2:20" x14ac:dyDescent="0.2">
      <c r="B100" s="93"/>
      <c r="C100" s="4"/>
      <c r="D100" s="4"/>
      <c r="E100" s="4"/>
      <c r="F100" s="33"/>
      <c r="G100" s="64" t="str">
        <f t="shared" ref="G100:G127" si="3">IF(B100="","",VLOOKUP(MAX(C100:D100),$M$12:$N$18,2,TRUE)/2)</f>
        <v/>
      </c>
      <c r="H100" s="21"/>
      <c r="I100" s="5"/>
      <c r="J100" s="6"/>
      <c r="K100" s="94"/>
      <c r="L100" s="2"/>
      <c r="T100" s="1"/>
    </row>
    <row r="101" spans="2:20" x14ac:dyDescent="0.2">
      <c r="B101" s="93"/>
      <c r="C101" s="4"/>
      <c r="D101" s="4"/>
      <c r="E101" s="4"/>
      <c r="F101" s="33"/>
      <c r="G101" s="64" t="str">
        <f t="shared" si="3"/>
        <v/>
      </c>
      <c r="H101" s="21"/>
      <c r="I101" s="5"/>
      <c r="J101" s="6"/>
      <c r="K101" s="96"/>
      <c r="L101" s="2"/>
      <c r="T101" s="1"/>
    </row>
    <row r="102" spans="2:20" x14ac:dyDescent="0.2">
      <c r="B102" s="93"/>
      <c r="C102" s="4"/>
      <c r="D102" s="4"/>
      <c r="E102" s="4"/>
      <c r="F102" s="33"/>
      <c r="G102" s="64" t="str">
        <f t="shared" si="3"/>
        <v/>
      </c>
      <c r="H102" s="21"/>
      <c r="I102" s="5"/>
      <c r="J102" s="6"/>
      <c r="K102" s="94"/>
      <c r="L102" s="2"/>
      <c r="T102" s="1"/>
    </row>
    <row r="103" spans="2:20" x14ac:dyDescent="0.2">
      <c r="B103" s="93"/>
      <c r="C103" s="4"/>
      <c r="D103" s="4"/>
      <c r="E103" s="4"/>
      <c r="F103" s="33"/>
      <c r="G103" s="64" t="str">
        <f t="shared" si="3"/>
        <v/>
      </c>
      <c r="H103" s="21"/>
      <c r="I103" s="5"/>
      <c r="J103" s="6"/>
      <c r="K103" s="96"/>
      <c r="L103" s="2"/>
      <c r="T103" s="1"/>
    </row>
    <row r="104" spans="2:20" x14ac:dyDescent="0.2">
      <c r="B104" s="93"/>
      <c r="C104" s="4"/>
      <c r="D104" s="4"/>
      <c r="E104" s="4"/>
      <c r="F104" s="33"/>
      <c r="G104" s="64" t="str">
        <f t="shared" si="3"/>
        <v/>
      </c>
      <c r="H104" s="21"/>
      <c r="I104" s="5"/>
      <c r="J104" s="6"/>
      <c r="K104" s="94"/>
      <c r="L104" s="2"/>
      <c r="T104" s="1"/>
    </row>
    <row r="105" spans="2:20" x14ac:dyDescent="0.2">
      <c r="B105" s="93"/>
      <c r="C105" s="4"/>
      <c r="D105" s="4"/>
      <c r="E105" s="4"/>
      <c r="F105" s="33"/>
      <c r="G105" s="64" t="str">
        <f t="shared" si="3"/>
        <v/>
      </c>
      <c r="H105" s="21"/>
      <c r="I105" s="5"/>
      <c r="J105" s="6"/>
      <c r="K105" s="96"/>
      <c r="L105" s="2"/>
      <c r="T105" s="1"/>
    </row>
    <row r="106" spans="2:20" x14ac:dyDescent="0.2">
      <c r="B106" s="93"/>
      <c r="C106" s="4"/>
      <c r="D106" s="4"/>
      <c r="E106" s="4"/>
      <c r="F106" s="33"/>
      <c r="G106" s="64" t="str">
        <f t="shared" si="3"/>
        <v/>
      </c>
      <c r="H106" s="21"/>
      <c r="I106" s="5"/>
      <c r="J106" s="6"/>
      <c r="K106" s="94"/>
      <c r="L106" s="2"/>
      <c r="T106" s="1"/>
    </row>
    <row r="107" spans="2:20" x14ac:dyDescent="0.2">
      <c r="B107" s="93"/>
      <c r="C107" s="4"/>
      <c r="D107" s="4"/>
      <c r="E107" s="4"/>
      <c r="F107" s="33"/>
      <c r="G107" s="64" t="str">
        <f t="shared" si="3"/>
        <v/>
      </c>
      <c r="H107" s="21"/>
      <c r="I107" s="5"/>
      <c r="J107" s="6"/>
      <c r="K107" s="96"/>
      <c r="L107" s="2"/>
      <c r="T107" s="1"/>
    </row>
    <row r="108" spans="2:20" x14ac:dyDescent="0.2">
      <c r="B108" s="93"/>
      <c r="C108" s="4"/>
      <c r="D108" s="4"/>
      <c r="E108" s="4"/>
      <c r="F108" s="33"/>
      <c r="G108" s="64" t="str">
        <f t="shared" si="3"/>
        <v/>
      </c>
      <c r="H108" s="21"/>
      <c r="I108" s="5"/>
      <c r="J108" s="6"/>
      <c r="K108" s="94"/>
      <c r="L108" s="2"/>
      <c r="T108" s="1"/>
    </row>
    <row r="109" spans="2:20" x14ac:dyDescent="0.2">
      <c r="B109" s="93"/>
      <c r="C109" s="4"/>
      <c r="D109" s="4"/>
      <c r="E109" s="4"/>
      <c r="F109" s="33"/>
      <c r="G109" s="64" t="str">
        <f t="shared" si="3"/>
        <v/>
      </c>
      <c r="H109" s="21"/>
      <c r="I109" s="5"/>
      <c r="J109" s="6"/>
      <c r="K109" s="96"/>
      <c r="L109" s="2"/>
      <c r="T109" s="1"/>
    </row>
    <row r="110" spans="2:20" x14ac:dyDescent="0.2">
      <c r="B110" s="93"/>
      <c r="C110" s="4"/>
      <c r="D110" s="4"/>
      <c r="E110" s="4"/>
      <c r="F110" s="33"/>
      <c r="G110" s="64" t="str">
        <f t="shared" si="3"/>
        <v/>
      </c>
      <c r="H110" s="21"/>
      <c r="I110" s="5"/>
      <c r="J110" s="6"/>
      <c r="K110" s="94"/>
      <c r="L110" s="2"/>
      <c r="T110" s="1"/>
    </row>
    <row r="111" spans="2:20" x14ac:dyDescent="0.2">
      <c r="B111" s="93"/>
      <c r="C111" s="4"/>
      <c r="D111" s="4"/>
      <c r="E111" s="4"/>
      <c r="F111" s="33"/>
      <c r="G111" s="64" t="str">
        <f t="shared" si="3"/>
        <v/>
      </c>
      <c r="H111" s="21"/>
      <c r="I111" s="5"/>
      <c r="J111" s="6"/>
      <c r="K111" s="96"/>
      <c r="L111" s="2"/>
      <c r="T111" s="1"/>
    </row>
    <row r="112" spans="2:20" x14ac:dyDescent="0.2">
      <c r="B112" s="93"/>
      <c r="C112" s="4"/>
      <c r="D112" s="4"/>
      <c r="E112" s="4"/>
      <c r="F112" s="33"/>
      <c r="G112" s="64" t="str">
        <f t="shared" si="3"/>
        <v/>
      </c>
      <c r="H112" s="21"/>
      <c r="I112" s="5"/>
      <c r="J112" s="6"/>
      <c r="K112" s="94"/>
      <c r="L112" s="2"/>
      <c r="T112" s="1"/>
    </row>
    <row r="113" spans="2:20" x14ac:dyDescent="0.2">
      <c r="B113" s="93"/>
      <c r="C113" s="4"/>
      <c r="D113" s="4"/>
      <c r="E113" s="4"/>
      <c r="F113" s="33"/>
      <c r="G113" s="64" t="str">
        <f t="shared" si="3"/>
        <v/>
      </c>
      <c r="H113" s="21"/>
      <c r="I113" s="5"/>
      <c r="J113" s="6"/>
      <c r="K113" s="96"/>
      <c r="L113" s="2"/>
      <c r="T113" s="1"/>
    </row>
    <row r="114" spans="2:20" x14ac:dyDescent="0.2">
      <c r="B114" s="93"/>
      <c r="C114" s="4"/>
      <c r="D114" s="4"/>
      <c r="E114" s="4"/>
      <c r="F114" s="33"/>
      <c r="G114" s="64" t="str">
        <f t="shared" si="3"/>
        <v/>
      </c>
      <c r="H114" s="21"/>
      <c r="I114" s="5"/>
      <c r="J114" s="6"/>
      <c r="K114" s="94"/>
      <c r="L114" s="2"/>
      <c r="T114" s="1"/>
    </row>
    <row r="115" spans="2:20" x14ac:dyDescent="0.2">
      <c r="B115" s="93"/>
      <c r="C115" s="4"/>
      <c r="D115" s="4"/>
      <c r="E115" s="4"/>
      <c r="F115" s="33"/>
      <c r="G115" s="64" t="str">
        <f t="shared" si="3"/>
        <v/>
      </c>
      <c r="H115" s="21"/>
      <c r="I115" s="5"/>
      <c r="J115" s="6"/>
      <c r="K115" s="96"/>
      <c r="L115" s="2"/>
      <c r="T115" s="1"/>
    </row>
    <row r="116" spans="2:20" x14ac:dyDescent="0.2">
      <c r="B116" s="93"/>
      <c r="C116" s="4"/>
      <c r="D116" s="4"/>
      <c r="E116" s="4"/>
      <c r="F116" s="33"/>
      <c r="G116" s="64" t="str">
        <f t="shared" si="3"/>
        <v/>
      </c>
      <c r="H116" s="21"/>
      <c r="I116" s="5"/>
      <c r="J116" s="6"/>
      <c r="K116" s="94"/>
      <c r="L116" s="2"/>
      <c r="T116" s="1"/>
    </row>
    <row r="117" spans="2:20" x14ac:dyDescent="0.2">
      <c r="B117" s="93"/>
      <c r="C117" s="4"/>
      <c r="D117" s="4"/>
      <c r="E117" s="4"/>
      <c r="F117" s="33"/>
      <c r="G117" s="64" t="str">
        <f t="shared" si="3"/>
        <v/>
      </c>
      <c r="H117" s="21"/>
      <c r="I117" s="5"/>
      <c r="J117" s="6"/>
      <c r="K117" s="96"/>
      <c r="L117" s="2"/>
      <c r="T117" s="1"/>
    </row>
    <row r="118" spans="2:20" x14ac:dyDescent="0.2">
      <c r="B118" s="93"/>
      <c r="C118" s="4"/>
      <c r="D118" s="4"/>
      <c r="E118" s="4"/>
      <c r="F118" s="33"/>
      <c r="G118" s="64" t="str">
        <f t="shared" si="3"/>
        <v/>
      </c>
      <c r="H118" s="21"/>
      <c r="I118" s="5"/>
      <c r="J118" s="6"/>
      <c r="K118" s="94"/>
      <c r="L118" s="2"/>
      <c r="T118" s="1"/>
    </row>
    <row r="119" spans="2:20" x14ac:dyDescent="0.2">
      <c r="B119" s="95"/>
      <c r="C119" s="7"/>
      <c r="D119" s="7"/>
      <c r="E119" s="7"/>
      <c r="F119" s="35"/>
      <c r="G119" s="64" t="str">
        <f t="shared" si="3"/>
        <v/>
      </c>
      <c r="H119" s="22"/>
      <c r="I119" s="8"/>
      <c r="J119" s="9"/>
      <c r="K119" s="96"/>
      <c r="L119" s="2"/>
      <c r="T119" s="1"/>
    </row>
    <row r="120" spans="2:20" x14ac:dyDescent="0.2">
      <c r="B120" s="93"/>
      <c r="C120" s="4"/>
      <c r="D120" s="4"/>
      <c r="E120" s="4"/>
      <c r="F120" s="34"/>
      <c r="G120" s="64" t="str">
        <f t="shared" si="3"/>
        <v/>
      </c>
      <c r="H120" s="21"/>
      <c r="I120" s="5"/>
      <c r="J120" s="6"/>
      <c r="K120" s="94"/>
      <c r="L120" s="2"/>
      <c r="N120" s="11"/>
      <c r="T120" s="1"/>
    </row>
    <row r="121" spans="2:20" x14ac:dyDescent="0.2">
      <c r="B121" s="93"/>
      <c r="C121" s="4"/>
      <c r="D121" s="4"/>
      <c r="E121" s="4"/>
      <c r="F121" s="34"/>
      <c r="G121" s="64" t="str">
        <f t="shared" si="3"/>
        <v/>
      </c>
      <c r="H121" s="21"/>
      <c r="I121" s="5"/>
      <c r="J121" s="6"/>
      <c r="K121" s="96"/>
      <c r="L121" s="2"/>
      <c r="N121" s="11"/>
      <c r="T121" s="1"/>
    </row>
    <row r="122" spans="2:20" x14ac:dyDescent="0.2">
      <c r="B122" s="93"/>
      <c r="C122" s="4"/>
      <c r="D122" s="4"/>
      <c r="E122" s="4"/>
      <c r="F122" s="34"/>
      <c r="G122" s="64" t="str">
        <f t="shared" si="3"/>
        <v/>
      </c>
      <c r="H122" s="21"/>
      <c r="I122" s="5"/>
      <c r="J122" s="6"/>
      <c r="K122" s="94"/>
      <c r="L122" s="2"/>
      <c r="N122" s="11"/>
      <c r="T122" s="1"/>
    </row>
    <row r="123" spans="2:20" x14ac:dyDescent="0.2">
      <c r="B123" s="93"/>
      <c r="C123" s="4"/>
      <c r="D123" s="4"/>
      <c r="E123" s="4"/>
      <c r="F123" s="34"/>
      <c r="G123" s="64" t="str">
        <f t="shared" si="3"/>
        <v/>
      </c>
      <c r="H123" s="21"/>
      <c r="I123" s="5"/>
      <c r="J123" s="6"/>
      <c r="K123" s="96"/>
      <c r="L123" s="2"/>
      <c r="N123" s="11"/>
      <c r="T123" s="1"/>
    </row>
    <row r="124" spans="2:20" x14ac:dyDescent="0.2">
      <c r="B124" s="93"/>
      <c r="C124" s="4"/>
      <c r="D124" s="4"/>
      <c r="E124" s="4"/>
      <c r="F124" s="34"/>
      <c r="G124" s="64" t="str">
        <f t="shared" si="3"/>
        <v/>
      </c>
      <c r="H124" s="21"/>
      <c r="I124" s="5"/>
      <c r="J124" s="6"/>
      <c r="K124" s="94"/>
      <c r="L124" s="2"/>
      <c r="N124" s="11"/>
      <c r="T124" s="1"/>
    </row>
    <row r="125" spans="2:20" x14ac:dyDescent="0.2">
      <c r="B125" s="93"/>
      <c r="C125" s="4"/>
      <c r="D125" s="4"/>
      <c r="E125" s="4"/>
      <c r="F125" s="34"/>
      <c r="G125" s="64" t="str">
        <f t="shared" si="3"/>
        <v/>
      </c>
      <c r="H125" s="21"/>
      <c r="I125" s="5"/>
      <c r="J125" s="6"/>
      <c r="K125" s="96"/>
      <c r="L125" s="2"/>
      <c r="N125" s="11"/>
      <c r="T125" s="1"/>
    </row>
    <row r="126" spans="2:20" x14ac:dyDescent="0.2">
      <c r="B126" s="93"/>
      <c r="C126" s="4"/>
      <c r="D126" s="4"/>
      <c r="E126" s="4"/>
      <c r="F126" s="33"/>
      <c r="G126" s="64" t="str">
        <f t="shared" si="3"/>
        <v/>
      </c>
      <c r="H126" s="21"/>
      <c r="I126" s="5"/>
      <c r="J126" s="6"/>
      <c r="K126" s="94"/>
      <c r="L126" s="2"/>
      <c r="N126" s="11"/>
      <c r="T126" s="1"/>
    </row>
    <row r="127" spans="2:20" ht="13.5" thickBot="1" x14ac:dyDescent="0.25">
      <c r="B127" s="97"/>
      <c r="C127" s="98"/>
      <c r="D127" s="98"/>
      <c r="E127" s="98"/>
      <c r="F127" s="99"/>
      <c r="G127" s="100" t="str">
        <f t="shared" si="3"/>
        <v/>
      </c>
      <c r="H127" s="101"/>
      <c r="I127" s="102"/>
      <c r="J127" s="103"/>
      <c r="K127" s="104"/>
      <c r="L127" s="2"/>
      <c r="N127" s="11"/>
      <c r="T127" s="1"/>
    </row>
    <row r="128" spans="2:20" x14ac:dyDescent="0.2">
      <c r="B128" s="12"/>
      <c r="C128" s="12"/>
      <c r="D128" s="12"/>
      <c r="E128" s="12"/>
      <c r="F128" s="27"/>
      <c r="G128" s="12"/>
      <c r="H128" s="12"/>
      <c r="I128" s="2"/>
      <c r="J128" s="2"/>
      <c r="K128" s="2"/>
      <c r="L128" s="2"/>
      <c r="N128" s="11"/>
      <c r="T128" s="1"/>
    </row>
    <row r="129" spans="2:20" x14ac:dyDescent="0.2">
      <c r="B129" s="12"/>
      <c r="C129" s="162" t="s">
        <v>9</v>
      </c>
      <c r="D129" s="162"/>
      <c r="E129" s="12"/>
      <c r="F129" s="12"/>
      <c r="G129" s="12"/>
      <c r="H129" s="162" t="s">
        <v>10</v>
      </c>
      <c r="I129" s="162"/>
      <c r="J129" s="162"/>
      <c r="K129" s="47"/>
      <c r="L129" s="2"/>
      <c r="N129" s="11"/>
      <c r="T129" s="1"/>
    </row>
    <row r="130" spans="2:20" x14ac:dyDescent="0.2">
      <c r="B130" s="12"/>
      <c r="C130" s="12"/>
      <c r="D130" s="12"/>
      <c r="E130" s="12"/>
      <c r="F130" s="27"/>
      <c r="G130" s="12"/>
      <c r="H130" s="51"/>
      <c r="I130" s="13"/>
      <c r="J130" s="13"/>
      <c r="K130" s="2"/>
      <c r="L130" s="2"/>
      <c r="N130" s="11"/>
      <c r="T130" s="1"/>
    </row>
    <row r="131" spans="2:20" x14ac:dyDescent="0.2">
      <c r="B131" s="2"/>
      <c r="C131" s="20" t="s">
        <v>136</v>
      </c>
      <c r="D131" s="36" t="s">
        <v>46</v>
      </c>
      <c r="E131" s="36"/>
      <c r="F131" s="28">
        <f>SUMIF($H$4:$H$127,C131,$F$4:$F$127)</f>
        <v>224.60000000000014</v>
      </c>
      <c r="G131" s="12"/>
      <c r="H131" s="160" t="s">
        <v>11</v>
      </c>
      <c r="I131" s="161"/>
      <c r="J131" s="39" t="s">
        <v>45</v>
      </c>
      <c r="K131" s="2"/>
      <c r="L131" s="2"/>
      <c r="M131" s="11"/>
      <c r="S131" s="1"/>
      <c r="T131" s="1"/>
    </row>
    <row r="132" spans="2:20" x14ac:dyDescent="0.2">
      <c r="B132" s="2"/>
      <c r="C132" s="20" t="s">
        <v>140</v>
      </c>
      <c r="D132" s="36" t="s">
        <v>46</v>
      </c>
      <c r="E132" s="36"/>
      <c r="F132" s="28">
        <f>IF(C132="","",SUMIF($H$4:$H$127,C132,$F$4:$F$127))</f>
        <v>3.4</v>
      </c>
      <c r="G132" s="52"/>
      <c r="H132" s="163" t="s">
        <v>12</v>
      </c>
      <c r="I132" s="164"/>
      <c r="J132" s="165"/>
      <c r="K132" s="2"/>
      <c r="L132" s="2"/>
      <c r="M132" s="11"/>
      <c r="S132" s="1"/>
      <c r="T132" s="1"/>
    </row>
    <row r="133" spans="2:20" x14ac:dyDescent="0.2">
      <c r="B133" s="2"/>
      <c r="C133" s="20" t="s">
        <v>141</v>
      </c>
      <c r="D133" s="36" t="s">
        <v>46</v>
      </c>
      <c r="E133" s="36"/>
      <c r="F133" s="28">
        <f>IF(C133="","",SUMIF($H$4:$H$127,C133,$F$4:$F$127))</f>
        <v>3</v>
      </c>
      <c r="G133" s="38"/>
      <c r="H133" s="137" t="s">
        <v>13</v>
      </c>
      <c r="I133" s="138"/>
      <c r="J133" s="48">
        <f>IF(COUNTIFS($E$4:$E$127,20,$K$4:$K$127,"case1",$I$4:$I$127,50,$J$4:$J$127,"○")=0,"",COUNTIFS($E$4:$E$127,20,$K$4:$K$127,"case1",$I$4:$I$127,50,$J$4:$J$127,"○"))</f>
        <v>11</v>
      </c>
      <c r="K133" s="2"/>
      <c r="L133" s="2"/>
      <c r="M133" s="11"/>
      <c r="S133" s="1"/>
      <c r="T133" s="1"/>
    </row>
    <row r="134" spans="2:20" x14ac:dyDescent="0.2">
      <c r="B134" s="2"/>
      <c r="C134" s="20"/>
      <c r="D134" s="36" t="s">
        <v>46</v>
      </c>
      <c r="E134" s="36"/>
      <c r="F134" s="28" t="str">
        <f t="shared" ref="F134" si="4">IF(C134="","",SUMIF($H$4:$H$127,C134,$F$4:$F$127))</f>
        <v/>
      </c>
      <c r="G134" s="12"/>
      <c r="H134" s="135" t="s">
        <v>14</v>
      </c>
      <c r="I134" s="136"/>
      <c r="J134" s="14">
        <f>IF(COUNTIFS($E$4:$E$127,25,$K$4:$K$127,"case1",$I$4:$I$127,50,$J$4:$J$127,"○")=0,"",COUNTIFS($E$4:$E$127,25,$K$4:$K$127,"case1",$I$4:$I$127,50,$J$4:$J$127,"○"))</f>
        <v>5</v>
      </c>
      <c r="K134" s="2"/>
      <c r="L134" s="2"/>
      <c r="M134" s="11"/>
      <c r="S134" s="1"/>
      <c r="T134" s="1"/>
    </row>
    <row r="135" spans="2:20" x14ac:dyDescent="0.2">
      <c r="B135" s="2"/>
      <c r="C135" s="23"/>
      <c r="D135" s="36"/>
      <c r="E135" s="36"/>
      <c r="F135" s="28"/>
      <c r="G135" s="12"/>
      <c r="H135" s="135" t="s">
        <v>15</v>
      </c>
      <c r="I135" s="136"/>
      <c r="J135" s="14">
        <f>IF(COUNTIFS($E$4:$E$127,30,$K$4:$K$127,"case1",$I$4:$I$127,50,$J$4:$J$127,"○")=0,"",COUNTIFS($E$4:$E$127,30,$K$4:$K$127,"case1",$I$4:$I$127,50,$J$4:$J$127,"○"))</f>
        <v>3</v>
      </c>
      <c r="K135" s="2"/>
      <c r="L135" s="2"/>
      <c r="M135" s="11"/>
      <c r="S135" s="1"/>
      <c r="T135" s="1"/>
    </row>
    <row r="136" spans="2:20" x14ac:dyDescent="0.2">
      <c r="B136" s="2"/>
      <c r="C136" s="20" t="s">
        <v>136</v>
      </c>
      <c r="D136" s="139" t="s">
        <v>38</v>
      </c>
      <c r="E136" s="139"/>
      <c r="F136" s="28">
        <f>IF(C136="","",SUMIF($H$4:$H$127,C136,$G$4:$G$127))</f>
        <v>25.200000000000038</v>
      </c>
      <c r="G136" s="12"/>
      <c r="H136" s="135" t="s">
        <v>16</v>
      </c>
      <c r="I136" s="136"/>
      <c r="J136" s="14">
        <f>IF(COUNTIFS($E$4:$E$127,40,$K$4:$K$127,"case1",$I$4:$I$127,50,$J$4:$J$127,"○")=0,"",COUNTIFS($E$4:$E$127,40,$K$4:$K$127,"case1",$I$4:$I$127,50,$J$4:$J$127,"○"))</f>
        <v>2</v>
      </c>
      <c r="K136" s="2"/>
      <c r="L136" s="2"/>
      <c r="S136" s="1"/>
      <c r="T136" s="1"/>
    </row>
    <row r="137" spans="2:20" x14ac:dyDescent="0.2">
      <c r="B137" s="2"/>
      <c r="C137" s="20" t="s">
        <v>136</v>
      </c>
      <c r="D137" s="139" t="s">
        <v>39</v>
      </c>
      <c r="E137" s="139"/>
      <c r="F137" s="28">
        <f>F136*0.6</f>
        <v>15.120000000000022</v>
      </c>
      <c r="G137" s="12"/>
      <c r="H137" s="135" t="s">
        <v>17</v>
      </c>
      <c r="I137" s="136"/>
      <c r="J137" s="14" t="str">
        <f>IF(COUNTIFS($E$4:$E$127,"&gt;=50",$K$4:$K$127,"case1",$I$4:$I$127,50,$J$4:$J$127,"○")=0,"",COUNTIFS($E$4:$E$127,"&gt;=50",$K$4:$K$127,"case1",$I$4:$I$127,50,$J$4:$J$127,"○"))</f>
        <v/>
      </c>
      <c r="K137" s="2"/>
      <c r="L137" s="2"/>
      <c r="S137" s="1"/>
      <c r="T137" s="1"/>
    </row>
    <row r="138" spans="2:20" x14ac:dyDescent="0.2">
      <c r="B138" s="2"/>
      <c r="C138" s="20" t="s">
        <v>140</v>
      </c>
      <c r="D138" s="139" t="s">
        <v>38</v>
      </c>
      <c r="E138" s="139"/>
      <c r="F138" s="28">
        <f>IF(C138="","",SUMIF($H$4:$H$127,C138,$G$4:$G$127))</f>
        <v>0</v>
      </c>
      <c r="G138" s="12"/>
      <c r="H138" s="128" t="s">
        <v>18</v>
      </c>
      <c r="I138" s="129"/>
      <c r="J138" s="49" t="str">
        <f>IF(COUNTIFS($E$4:$E$127,20,$K$4:$K$127,"case1",$I$4:$I$127,75,$J$4:$J$127,"○")=0,"",COUNTIFS($E$4:$E$127,20,$K$4:$K$127,"case1",$I$4:$I$127,75,$J$4:$J$127,"○"))</f>
        <v/>
      </c>
      <c r="K138" s="2"/>
      <c r="L138" s="2"/>
      <c r="S138" s="1"/>
      <c r="T138" s="1"/>
    </row>
    <row r="139" spans="2:20" x14ac:dyDescent="0.2">
      <c r="B139" s="2"/>
      <c r="C139" s="20" t="s">
        <v>140</v>
      </c>
      <c r="D139" s="139" t="s">
        <v>39</v>
      </c>
      <c r="E139" s="139"/>
      <c r="F139" s="28">
        <f>F138*0.6</f>
        <v>0</v>
      </c>
      <c r="G139" s="12"/>
      <c r="H139" s="128" t="s">
        <v>19</v>
      </c>
      <c r="I139" s="129"/>
      <c r="J139" s="14" t="str">
        <f>IF(COUNTIFS($E$4:$E$127,25,$K$4:$K$127,"case1",$I$4:$I$127,75,$J$4:$J$127,"○")=0,"",COUNTIFS($E$4:$E$127,25,$K$4:$K$127,"case1",$I$4:$I$127,75,$J$4:$J$127,"○"))</f>
        <v/>
      </c>
      <c r="K139" s="2"/>
      <c r="L139" s="2"/>
      <c r="S139" s="1"/>
      <c r="T139" s="1"/>
    </row>
    <row r="140" spans="2:20" x14ac:dyDescent="0.2">
      <c r="B140" s="2"/>
      <c r="C140" s="20" t="s">
        <v>141</v>
      </c>
      <c r="D140" s="139" t="s">
        <v>38</v>
      </c>
      <c r="E140" s="139"/>
      <c r="F140" s="28">
        <f>IF(C140="","",SUMIF($H$4:$H$127,C140,$G$4:$G$127))</f>
        <v>0</v>
      </c>
      <c r="G140" s="12"/>
      <c r="H140" s="128" t="s">
        <v>20</v>
      </c>
      <c r="I140" s="129"/>
      <c r="J140" s="14" t="str">
        <f>IF(COUNTIFS($E$4:$E$127,30,$K$4:$K$127,"case1",$I$4:$I$127,75,$J$4:$J$127,"○")=0,"",COUNTIFS($E$4:$E$127,30,$K$4:$K$127,"case1",$I$4:$I$127,75,$J$4:$J$127,"○"))</f>
        <v/>
      </c>
      <c r="K140" s="2"/>
      <c r="L140" s="2"/>
      <c r="S140" s="1"/>
      <c r="T140" s="1"/>
    </row>
    <row r="141" spans="2:20" x14ac:dyDescent="0.2">
      <c r="B141" s="2"/>
      <c r="C141" s="20" t="s">
        <v>141</v>
      </c>
      <c r="D141" s="139" t="s">
        <v>39</v>
      </c>
      <c r="E141" s="139"/>
      <c r="F141" s="28">
        <f>F140*0.6</f>
        <v>0</v>
      </c>
      <c r="G141" s="12"/>
      <c r="H141" s="128" t="s">
        <v>21</v>
      </c>
      <c r="I141" s="129"/>
      <c r="J141" s="14" t="str">
        <f>IF(COUNTIFS($E$4:$E$127,40,$K$4:$K$127,"case1",$I$4:$I$127,75,$J$4:$J$127,"○")=0,"",COUNTIFS($E$4:$E$127,40,$K$4:$K$127,"case1",$I$4:$I$127,75,$J$4:$J$127,"○"))</f>
        <v/>
      </c>
      <c r="K141" s="2"/>
      <c r="L141" s="2"/>
      <c r="S141" s="1"/>
      <c r="T141" s="1"/>
    </row>
    <row r="142" spans="2:20" x14ac:dyDescent="0.2">
      <c r="B142" s="2"/>
      <c r="C142" s="20"/>
      <c r="D142" s="139" t="s">
        <v>38</v>
      </c>
      <c r="E142" s="139"/>
      <c r="F142" s="28" t="str">
        <f>IF(C142="","",SUMIF($H$4:$H$127,C142,$G$4:$G$127))</f>
        <v/>
      </c>
      <c r="G142" s="12"/>
      <c r="H142" s="128" t="s">
        <v>22</v>
      </c>
      <c r="I142" s="129"/>
      <c r="J142" s="14" t="str">
        <f>IF(COUNTIFS($E$4:$E$127,50,$K$4:$K$127,"case1",$I$4:$I$127,75,$J$4:$J$127,"○")=0,"",COUNTIFS($E$4:$E$127,50,$K$4:$K$127,"case1",$I$4:$I$127,75,$J$4:$J$127,"○"))</f>
        <v/>
      </c>
      <c r="K142" s="2"/>
      <c r="L142" s="2"/>
      <c r="S142" s="1"/>
      <c r="T142" s="1"/>
    </row>
    <row r="143" spans="2:20" x14ac:dyDescent="0.2">
      <c r="B143" s="2"/>
      <c r="C143" s="20"/>
      <c r="D143" s="139" t="s">
        <v>39</v>
      </c>
      <c r="E143" s="139"/>
      <c r="F143" s="28"/>
      <c r="G143" s="12"/>
      <c r="H143" s="128" t="s">
        <v>23</v>
      </c>
      <c r="I143" s="129"/>
      <c r="J143" s="49" t="str">
        <f>IF(COUNTIFS($E$4:$E$127,20,$K$4:$K$127,"case1",$I$4:$I$127,100,$J$4:$J$127,"○")=0,"",COUNTIFS($E$4:$E$127,20,$K$4:$K$127,"case1",$I$4:$I$127,100,$J$4:$J$127,"○"))</f>
        <v/>
      </c>
      <c r="K143" s="2"/>
      <c r="L143" s="2"/>
      <c r="S143" s="1"/>
      <c r="T143" s="1"/>
    </row>
    <row r="144" spans="2:20" x14ac:dyDescent="0.2">
      <c r="B144" s="2"/>
      <c r="C144" s="15"/>
      <c r="D144" s="37"/>
      <c r="E144" s="36"/>
      <c r="F144" s="28"/>
      <c r="G144" s="12"/>
      <c r="H144" s="128" t="s">
        <v>24</v>
      </c>
      <c r="I144" s="129"/>
      <c r="J144" s="14" t="str">
        <f>IF(COUNTIFS($E$4:$E$127,25,$K$4:$K$127,"case1",$I$4:$I$127,100,$J$4:$J$127,"○")=0,"",COUNTIFS($E$4:$E$127,25,$K$4:$K$127,"case1",$I$4:$I$127,100,$J$4:$J$127,"○"))</f>
        <v/>
      </c>
      <c r="K144" s="2"/>
      <c r="L144" s="2"/>
      <c r="S144" s="1"/>
      <c r="T144" s="1"/>
    </row>
    <row r="145" spans="2:20" x14ac:dyDescent="0.2">
      <c r="B145" s="2"/>
      <c r="C145" s="50" t="str">
        <f>C136</f>
        <v>3</v>
      </c>
      <c r="D145" s="127" t="s">
        <v>40</v>
      </c>
      <c r="E145" s="127"/>
      <c r="F145" s="28">
        <f>F131-F136</f>
        <v>199.40000000000009</v>
      </c>
      <c r="G145" s="12"/>
      <c r="H145" s="128" t="s">
        <v>25</v>
      </c>
      <c r="I145" s="129"/>
      <c r="J145" s="14" t="str">
        <f>IF(COUNTIFS($E$4:$E$127,30,$K$4:$K$127,"case1",$I$4:$I$127,100,$J$4:$J$127,"○")=0,"",COUNTIFS($E$4:$E$127,30,$K$4:$K$127,"case1",$I$4:$I$127,100,$J$4:$J$127,"○"))</f>
        <v/>
      </c>
      <c r="K145" s="2"/>
      <c r="L145" s="2"/>
      <c r="S145" s="1"/>
      <c r="T145" s="1"/>
    </row>
    <row r="146" spans="2:20" x14ac:dyDescent="0.2">
      <c r="B146" s="2"/>
      <c r="C146" s="50" t="str">
        <f>C137</f>
        <v>3</v>
      </c>
      <c r="D146" s="127" t="s">
        <v>41</v>
      </c>
      <c r="E146" s="127"/>
      <c r="F146" s="28">
        <f>F145*0.6</f>
        <v>119.64000000000004</v>
      </c>
      <c r="G146" s="12"/>
      <c r="H146" s="128" t="s">
        <v>26</v>
      </c>
      <c r="I146" s="129"/>
      <c r="J146" s="14" t="str">
        <f>IF(COUNTIFS($E$4:$E$127,40,$K$4:$K$127,"case1",$I$4:$I$127,100,$J$4:$J$127,"○")=0,"",COUNTIFS($E$4:$E$127,40,$K$4:$K$127,"case1",$I$4:$I$127,100,$J$4:$J$127,"○"))</f>
        <v/>
      </c>
      <c r="K146" s="2"/>
      <c r="L146" s="2"/>
      <c r="S146" s="1"/>
      <c r="T146" s="1"/>
    </row>
    <row r="147" spans="2:20" x14ac:dyDescent="0.2">
      <c r="B147" s="2"/>
      <c r="C147" s="50" t="str">
        <f>C138</f>
        <v>10→10-1</v>
      </c>
      <c r="D147" s="127" t="s">
        <v>40</v>
      </c>
      <c r="E147" s="127"/>
      <c r="F147" s="28">
        <f>F132-F138</f>
        <v>3.4</v>
      </c>
      <c r="G147" s="12"/>
      <c r="H147" s="140" t="s">
        <v>27</v>
      </c>
      <c r="I147" s="141"/>
      <c r="J147" s="58" t="str">
        <f>IF(COUNTIFS($E$4:$E$127,50,$K$4:$K$127,"case1",$I$4:$I$127,100,$J$4:$J$127,"○")=0,"",COUNTIFS($E$4:$E$127,50,$K$4:$K$127,"case1",$I$4:$I$127,100,$J$4:$J$127,"○"))</f>
        <v/>
      </c>
      <c r="K147" s="2"/>
      <c r="L147" s="2"/>
      <c r="S147" s="1"/>
      <c r="T147" s="1"/>
    </row>
    <row r="148" spans="2:20" x14ac:dyDescent="0.2">
      <c r="B148" s="2"/>
      <c r="C148" s="50" t="str">
        <f>C139</f>
        <v>10→10-1</v>
      </c>
      <c r="D148" s="127" t="s">
        <v>41</v>
      </c>
      <c r="E148" s="127"/>
      <c r="F148" s="28">
        <f>F147*0.6</f>
        <v>2.04</v>
      </c>
      <c r="G148" s="12"/>
      <c r="H148" s="128"/>
      <c r="I148" s="129"/>
      <c r="J148" s="14"/>
      <c r="K148" s="2"/>
      <c r="L148" s="2"/>
      <c r="S148" s="1"/>
      <c r="T148" s="1"/>
    </row>
    <row r="149" spans="2:20" x14ac:dyDescent="0.2">
      <c r="B149" s="2"/>
      <c r="C149" s="50" t="str">
        <f t="shared" ref="C149:C152" si="5">C140</f>
        <v>10乗→10-1乗</v>
      </c>
      <c r="D149" s="127" t="s">
        <v>40</v>
      </c>
      <c r="E149" s="127"/>
      <c r="F149" s="28">
        <f>F133-F140</f>
        <v>3</v>
      </c>
      <c r="G149" s="12"/>
      <c r="H149" s="128"/>
      <c r="I149" s="129"/>
      <c r="J149" s="14"/>
      <c r="K149" s="2"/>
      <c r="L149" s="2"/>
      <c r="S149" s="1"/>
      <c r="T149" s="1"/>
    </row>
    <row r="150" spans="2:20" x14ac:dyDescent="0.2">
      <c r="B150" s="2"/>
      <c r="C150" s="50" t="str">
        <f t="shared" si="5"/>
        <v>10乗→10-1乗</v>
      </c>
      <c r="D150" s="127" t="s">
        <v>41</v>
      </c>
      <c r="E150" s="127"/>
      <c r="F150" s="28">
        <f>F149*0.6</f>
        <v>1.7999999999999998</v>
      </c>
      <c r="G150" s="2"/>
      <c r="H150" s="128"/>
      <c r="I150" s="129"/>
      <c r="J150" s="14"/>
      <c r="K150" s="2"/>
      <c r="L150" s="2"/>
      <c r="S150" s="1"/>
      <c r="T150" s="1"/>
    </row>
    <row r="151" spans="2:20" x14ac:dyDescent="0.2">
      <c r="B151" s="2"/>
      <c r="C151" s="50"/>
      <c r="D151" s="127" t="s">
        <v>40</v>
      </c>
      <c r="E151" s="127"/>
      <c r="F151" s="28"/>
      <c r="G151" s="2"/>
      <c r="H151" s="144"/>
      <c r="I151" s="145"/>
      <c r="J151" s="17"/>
      <c r="K151" s="2"/>
      <c r="L151" s="2"/>
      <c r="S151" s="1"/>
      <c r="T151" s="1"/>
    </row>
    <row r="152" spans="2:20" x14ac:dyDescent="0.2">
      <c r="B152" s="2"/>
      <c r="C152" s="50"/>
      <c r="D152" s="127" t="s">
        <v>41</v>
      </c>
      <c r="E152" s="127"/>
      <c r="F152" s="28"/>
      <c r="G152" s="2"/>
      <c r="H152" s="57" t="s">
        <v>28</v>
      </c>
      <c r="I152" s="42"/>
      <c r="J152" s="43"/>
      <c r="K152" s="2"/>
      <c r="L152" s="2"/>
      <c r="S152" s="1"/>
      <c r="T152" s="1"/>
    </row>
    <row r="153" spans="2:20" x14ac:dyDescent="0.2">
      <c r="B153" s="2"/>
      <c r="C153" s="50"/>
      <c r="D153" s="46"/>
      <c r="E153" s="46"/>
      <c r="F153" s="28"/>
      <c r="G153" s="2"/>
      <c r="H153" s="137" t="s">
        <v>13</v>
      </c>
      <c r="I153" s="138"/>
      <c r="J153" s="48" t="str">
        <f>IF(COUNTIFS($E$4:$E$127,20,$K$4:$K$127,"case2",$I$4:$I$127,50,$J$4:$J$127,"○")=0,"",COUNTIFS($E$4:$E$127,20,$K$4:$K$127,"case2",$I$4:$I$127,50,$J$4:$J$127,"○"))</f>
        <v/>
      </c>
      <c r="K153" s="2"/>
      <c r="L153" s="2"/>
      <c r="S153" s="1"/>
      <c r="T153" s="1"/>
    </row>
    <row r="154" spans="2:20" x14ac:dyDescent="0.2">
      <c r="B154" s="2"/>
      <c r="C154" s="2"/>
      <c r="D154" s="12"/>
      <c r="E154" s="12"/>
      <c r="F154" s="12"/>
      <c r="G154" s="2"/>
      <c r="H154" s="135" t="s">
        <v>14</v>
      </c>
      <c r="I154" s="136"/>
      <c r="J154" s="14" t="str">
        <f>IF(COUNTIFS($E$4:$E$127,25,$K$4:$K$127,"case2",$I$4:$I$127,50,$J$4:$J$127,"○")=0,"",COUNTIFS($E$4:$E$127,25,$K$4:$K$127,"case2",$I$4:$I$127,50,$J$4:$J$127,"○"))</f>
        <v/>
      </c>
      <c r="K154" s="2"/>
      <c r="L154" s="2"/>
      <c r="S154" s="1"/>
      <c r="T154" s="1"/>
    </row>
    <row r="155" spans="2:20" x14ac:dyDescent="0.2">
      <c r="B155" s="2"/>
      <c r="C155" s="158" t="s">
        <v>43</v>
      </c>
      <c r="D155" s="158"/>
      <c r="E155" s="158"/>
      <c r="F155" s="158"/>
      <c r="G155" s="2"/>
      <c r="H155" s="135" t="s">
        <v>15</v>
      </c>
      <c r="I155" s="136"/>
      <c r="J155" s="14" t="str">
        <f>IF(COUNTIFS($E$4:$E$127,30,$K$4:$K$127,"case2",$I$4:$I$127,50,$J$4:$J$127,"○")=0,"",COUNTIFS($E$4:$E$127,30,$K$4:$K$127,"case2",$I$4:$I$127,50,$J$4:$J$127,"○"))</f>
        <v/>
      </c>
      <c r="K155" s="2"/>
      <c r="L155" s="2"/>
      <c r="S155" s="1"/>
      <c r="T155" s="1"/>
    </row>
    <row r="156" spans="2:20" x14ac:dyDescent="0.2">
      <c r="B156" s="2"/>
      <c r="C156" s="2"/>
      <c r="D156" s="2"/>
      <c r="E156" s="2"/>
      <c r="F156" s="2"/>
      <c r="G156" s="2"/>
      <c r="H156" s="135" t="s">
        <v>16</v>
      </c>
      <c r="I156" s="136"/>
      <c r="J156" s="14" t="str">
        <f>IF(COUNTIFS($E$4:$E$127,40,$K$4:$K$127,"case2",$I$4:$I$127,50,$J$4:$J$127,"○")=0,"",COUNTIFS($E$4:$E$127,40,$K$4:$K$127,"case2",$I$4:$I$127,50,$J$4:$J$127,"○"))</f>
        <v/>
      </c>
      <c r="K156" s="2"/>
      <c r="L156" s="2"/>
      <c r="S156" s="1"/>
      <c r="T156" s="1"/>
    </row>
    <row r="157" spans="2:20" x14ac:dyDescent="0.2">
      <c r="B157" s="2"/>
      <c r="C157" s="155" t="s">
        <v>11</v>
      </c>
      <c r="D157" s="156"/>
      <c r="E157" s="157"/>
      <c r="F157" s="53" t="s">
        <v>45</v>
      </c>
      <c r="G157" s="2"/>
      <c r="H157" s="135" t="s">
        <v>17</v>
      </c>
      <c r="I157" s="136"/>
      <c r="J157" s="14" t="str">
        <f>IF(COUNTIFS($E$4:$E$127,"&gt;=50",$K$4:$K$127,"case2",$I$4:$I$127,50,$J$4:$J$127,"○")=0,"",COUNTIFS($E$4:$E$127,"&gt;=50",$K$4:$K$127,"case2",$I$4:$I$127,50,$J$4:$J$127,"○"))</f>
        <v/>
      </c>
      <c r="K157" s="2"/>
      <c r="L157" s="2"/>
      <c r="S157" s="1"/>
      <c r="T157" s="1"/>
    </row>
    <row r="158" spans="2:20" x14ac:dyDescent="0.2">
      <c r="B158" s="2"/>
      <c r="C158" s="146" t="s">
        <v>8</v>
      </c>
      <c r="D158" s="147"/>
      <c r="E158" s="147"/>
      <c r="F158" s="148"/>
      <c r="G158" s="2"/>
      <c r="H158" s="128" t="s">
        <v>18</v>
      </c>
      <c r="I158" s="129"/>
      <c r="J158" s="49" t="str">
        <f>IF(COUNTIFS($E$4:$E$127,20,$K$4:$K$127,"case2",$I$4:$I$127,75,$J$4:$J$127,"○")=0,"",COUNTIFS($E$4:$E$127,20,$K$4:$K$127,"case2",$I$4:$I$127,75,$J$4:$J$127,"○"))</f>
        <v/>
      </c>
      <c r="K158" s="2"/>
      <c r="L158" s="2"/>
      <c r="S158" s="1"/>
      <c r="T158" s="1"/>
    </row>
    <row r="159" spans="2:20" x14ac:dyDescent="0.2">
      <c r="B159" s="2"/>
      <c r="C159" s="149">
        <v>20</v>
      </c>
      <c r="D159" s="150"/>
      <c r="E159" s="151"/>
      <c r="F159" s="54">
        <f>IF(COUNTIFS($E$4:$E$127,20,$K$4:$K$127,"case1",$F$4:$F$127,"&gt;0")=0,"",COUNTIFS($E$4:$E$127,20,$K$4:$K$127,"case1",$F$4:$F$127,"&gt;0"))</f>
        <v>11</v>
      </c>
      <c r="G159" s="2"/>
      <c r="H159" s="128" t="s">
        <v>19</v>
      </c>
      <c r="I159" s="129"/>
      <c r="J159" s="14" t="str">
        <f>IF(COUNTIFS($E$4:$E$127,25,$K$4:$K$127,"case2",$I$4:$I$127,75,$J$4:$J$127,"○")=0,"",COUNTIFS($E$4:$E$127,25,$K$4:$K$127,"case2",$I$4:$I$127,75,$J$4:$J$127,"○"))</f>
        <v/>
      </c>
      <c r="K159" s="2"/>
      <c r="L159" s="2"/>
      <c r="S159" s="1"/>
      <c r="T159" s="1"/>
    </row>
    <row r="160" spans="2:20" x14ac:dyDescent="0.2">
      <c r="B160" s="2"/>
      <c r="C160" s="152">
        <v>25</v>
      </c>
      <c r="D160" s="153"/>
      <c r="E160" s="154"/>
      <c r="F160" s="55">
        <f>IF(COUNTIFS($E$4:$E$127,25,$K$4:$K$127,"case1",$F$4:$F$127,"&gt;0")=0,"",COUNTIFS($E$4:$E$127,25,$K$4:$K$127,"case1",$F$4:$F$127,"&gt;0"))</f>
        <v>5</v>
      </c>
      <c r="G160" s="2"/>
      <c r="H160" s="128" t="s">
        <v>20</v>
      </c>
      <c r="I160" s="129"/>
      <c r="J160" s="14" t="str">
        <f>IF(COUNTIFS($E$4:$E$127,30,$K$4:$K$127,"case2",$I$4:$I$127,75,$J$4:$J$127,"○")=0,"",COUNTIFS($E$4:$E$127,30,$K$4:$K$127,"case2",$I$4:$I$127,75,$J$4:$J$127,"○"))</f>
        <v/>
      </c>
      <c r="K160" s="2"/>
      <c r="L160" s="2"/>
      <c r="S160" s="1"/>
      <c r="T160" s="1"/>
    </row>
    <row r="161" spans="2:20" x14ac:dyDescent="0.2">
      <c r="B161" s="2"/>
      <c r="C161" s="152">
        <v>30</v>
      </c>
      <c r="D161" s="153"/>
      <c r="E161" s="154"/>
      <c r="F161" s="55">
        <f>IF(COUNTIFS($E$4:$E$127,30,$K$4:$K$127,"case1",$F$4:$F$127,"&gt;0")=0,"",COUNTIFS($E$4:$E$127,30,$K$4:$K$127,"case1",$F$4:$F$127,"&gt;0"))</f>
        <v>3</v>
      </c>
      <c r="G161" s="2"/>
      <c r="H161" s="128" t="s">
        <v>21</v>
      </c>
      <c r="I161" s="129"/>
      <c r="J161" s="14" t="str">
        <f>IF(COUNTIFS($E$4:$E$127,40,$K$4:$K$127,"case2",$I$4:$I$127,75,$J$4:$J$127,"○")=0,"",COUNTIFS($E$4:$E$127,40,$K$4:$K$127,"case2",$I$4:$I$127,75,$J$4:$J$127,"○"))</f>
        <v/>
      </c>
      <c r="K161" s="2"/>
      <c r="L161" s="2"/>
      <c r="S161" s="1"/>
      <c r="T161" s="1"/>
    </row>
    <row r="162" spans="2:20" x14ac:dyDescent="0.2">
      <c r="B162" s="2"/>
      <c r="C162" s="152">
        <v>40</v>
      </c>
      <c r="D162" s="153"/>
      <c r="E162" s="154"/>
      <c r="F162" s="55">
        <f>IF(COUNTIFS($E$4:$E$127,40,$K$4:$K$127,"case1",$F$4:$F$127,"&gt;0")=0,"",COUNTIFS($E$4:$E$127,40,$K$4:$K$127,"case1",$F$4:$F$127,"&gt;0"))</f>
        <v>2</v>
      </c>
      <c r="G162" s="2"/>
      <c r="H162" s="128" t="s">
        <v>22</v>
      </c>
      <c r="I162" s="129"/>
      <c r="J162" s="14" t="str">
        <f>IF(COUNTIFS($E$4:$E$127,50,$K$4:$K$127,"case2",$I$4:$I$127,75,$J$4:$J$127,"○")=0,"",COUNTIFS($E$4:$E$127,50,$K$4:$K$127,"case2",$I$4:$I$127,75,$J$4:$J$127,"○"))</f>
        <v/>
      </c>
      <c r="K162" s="2"/>
      <c r="L162" s="2"/>
      <c r="S162" s="1"/>
      <c r="T162" s="1"/>
    </row>
    <row r="163" spans="2:20" x14ac:dyDescent="0.2">
      <c r="B163" s="2"/>
      <c r="C163" s="166">
        <v>50</v>
      </c>
      <c r="D163" s="167"/>
      <c r="E163" s="168"/>
      <c r="F163" s="56" t="str">
        <f>IF(COUNTIFS($E$4:$E$127,50,$K$4:$K$127,"case1",$F$4:$F$127,"&gt;0")=0,"",COUNTIFS($E$4:$E$127,50,$K$4:$K$127,"case1",$F$4:$F$127,"&gt;0"))</f>
        <v/>
      </c>
      <c r="G163" s="2"/>
      <c r="H163" s="128" t="s">
        <v>23</v>
      </c>
      <c r="I163" s="129"/>
      <c r="J163" s="49" t="str">
        <f>IF(COUNTIFS($E$4:$E$127,20,$K$4:$K$127,"case2",$I$4:$I$127,100,$J$4:$J$127,"○")=0,"",COUNTIFS($E$4:$E$127,20,$K$4:$K$127,"case2",$I$4:$I$127,100,$J$4:$J$127,"○"))</f>
        <v/>
      </c>
      <c r="K163" s="2"/>
      <c r="L163" s="2"/>
      <c r="S163" s="1"/>
      <c r="T163" s="1"/>
    </row>
    <row r="164" spans="2:20" x14ac:dyDescent="0.2">
      <c r="B164" s="2"/>
      <c r="C164" s="146" t="s">
        <v>28</v>
      </c>
      <c r="D164" s="147"/>
      <c r="E164" s="147"/>
      <c r="F164" s="148"/>
      <c r="G164" s="2"/>
      <c r="H164" s="128" t="s">
        <v>24</v>
      </c>
      <c r="I164" s="129"/>
      <c r="J164" s="14" t="str">
        <f>IF(COUNTIFS($E$4:$E$127,25,$K$4:$K$127,"case2",$I$4:$I$127,100,$J$4:$J$127,"○")=0,"",COUNTIFS($E$4:$E$127,25,$K$4:$K$127,"case2",$I$4:$I$127,100,$J$4:$J$127,"○"))</f>
        <v/>
      </c>
      <c r="K164" s="2"/>
      <c r="L164" s="2"/>
      <c r="S164" s="1"/>
      <c r="T164" s="1"/>
    </row>
    <row r="165" spans="2:20" x14ac:dyDescent="0.2">
      <c r="B165" s="2"/>
      <c r="C165" s="149">
        <v>20</v>
      </c>
      <c r="D165" s="150"/>
      <c r="E165" s="151"/>
      <c r="F165" s="54" t="str">
        <f>IF(COUNTIFS($E$4:$E$127,20,$K$4:$K$127,"case2",$F$4:$F$127,"&gt;0")=0,"",COUNTIFS($E$4:$E$127,20,$K$4:$K$127,"case2",$F$4:$F$127,"&gt;0"))</f>
        <v/>
      </c>
      <c r="G165" s="2"/>
      <c r="H165" s="128" t="s">
        <v>25</v>
      </c>
      <c r="I165" s="129"/>
      <c r="J165" s="14" t="str">
        <f>IF(COUNTIFS($E$4:$E$127,30,$K$4:$K$127,"case2",$I$4:$I$127,100,$J$4:$J$127,"○")=0,"",COUNTIFS($E$4:$E$127,30,$K$4:$K$127,"case2",$I$4:$I$127,100,$J$4:$J$127,"○"))</f>
        <v/>
      </c>
      <c r="K165" s="2"/>
      <c r="L165" s="2"/>
      <c r="S165" s="1"/>
      <c r="T165" s="1"/>
    </row>
    <row r="166" spans="2:20" x14ac:dyDescent="0.2">
      <c r="B166" s="2"/>
      <c r="C166" s="152">
        <v>25</v>
      </c>
      <c r="D166" s="153"/>
      <c r="E166" s="154"/>
      <c r="F166" s="55" t="str">
        <f>IF(COUNTIFS($E$4:$E$127,25,$K$4:$K$127,"case2",$F$4:$F$127,"&gt;0")=0,"",COUNTIFS($E$4:$E$127,25,$K$4:$K$127,"case2",$F$4:$F$127,"&gt;0"))</f>
        <v/>
      </c>
      <c r="G166" s="2"/>
      <c r="H166" s="128" t="s">
        <v>26</v>
      </c>
      <c r="I166" s="129"/>
      <c r="J166" s="14" t="str">
        <f>IF(COUNTIFS($E$4:$E$127,40,$K$4:$K$127,"case2",$I$4:$I$127,100,$J$4:$J$127,"○")=0,"",COUNTIFS($E$4:$E$127,40,$K$4:$K$127,"case2",$I$4:$I$127,100,$J$4:$J$127,"○"))</f>
        <v/>
      </c>
      <c r="K166" s="2"/>
      <c r="L166" s="2"/>
      <c r="S166" s="1"/>
      <c r="T166" s="1"/>
    </row>
    <row r="167" spans="2:20" x14ac:dyDescent="0.2">
      <c r="B167" s="2"/>
      <c r="C167" s="152">
        <v>30</v>
      </c>
      <c r="D167" s="153"/>
      <c r="E167" s="154"/>
      <c r="F167" s="55" t="str">
        <f>IF(COUNTIFS($E$4:$E$127,30,$K$4:$K$127,"case2",$F$4:$F$127,"&gt;0")=0,"",COUNTIFS($E$4:$E$127,30,$K$4:$K$127,"case2",$F$4:$F$127,"&gt;0"))</f>
        <v/>
      </c>
      <c r="G167" s="2"/>
      <c r="H167" s="140" t="s">
        <v>27</v>
      </c>
      <c r="I167" s="141"/>
      <c r="J167" s="58" t="str">
        <f>IF(COUNTIFS($E$4:$E$127,50,$K$4:$K$127,"case2",$I$4:$I$127,100,$J$4:$J$127,"○")=0,"",COUNTIFS($E$4:$E$127,50,$K$4:$K$127,"case2",$I$4:$I$127,100,$J$4:$J$127,"○"))</f>
        <v/>
      </c>
      <c r="K167" s="2"/>
      <c r="L167" s="2"/>
      <c r="S167" s="1"/>
      <c r="T167" s="1"/>
    </row>
    <row r="168" spans="2:20" x14ac:dyDescent="0.2">
      <c r="B168" s="2"/>
      <c r="C168" s="152">
        <v>40</v>
      </c>
      <c r="D168" s="153"/>
      <c r="E168" s="154"/>
      <c r="F168" s="55" t="str">
        <f>IF(COUNTIFS($E$4:$E$127,40,$K$4:$K$127,"case2",$F$4:$F$127,"&gt;0")=0,"",COUNTIFS($E$4:$E$127,40,$K$4:$K$127,"case2",$F$4:$F$127,"&gt;0"))</f>
        <v/>
      </c>
      <c r="G168" s="2"/>
      <c r="H168" s="128"/>
      <c r="I168" s="129"/>
      <c r="J168" s="14"/>
      <c r="K168" s="2"/>
      <c r="L168" s="2"/>
      <c r="S168" s="1"/>
      <c r="T168" s="1"/>
    </row>
    <row r="169" spans="2:20" x14ac:dyDescent="0.2">
      <c r="B169" s="2"/>
      <c r="C169" s="166">
        <v>50</v>
      </c>
      <c r="D169" s="167"/>
      <c r="E169" s="168"/>
      <c r="F169" s="56" t="str">
        <f>IF(COUNTIFS($E$4:$E$127,50,$K$4:$K$127,"case2",$F$4:$F$127,"&gt;0")=0,"",COUNTIFS($E$4:$E$127,50,$K$4:$K$127,"case2",$F$4:$F$127,"&gt;0"))</f>
        <v/>
      </c>
      <c r="G169" s="2"/>
      <c r="H169" s="128"/>
      <c r="I169" s="129"/>
      <c r="J169" s="14"/>
      <c r="K169" s="2"/>
      <c r="L169" s="2"/>
      <c r="S169" s="1"/>
      <c r="T169" s="1"/>
    </row>
    <row r="170" spans="2:20" x14ac:dyDescent="0.2">
      <c r="B170" s="2"/>
      <c r="C170" s="146" t="s">
        <v>29</v>
      </c>
      <c r="D170" s="147"/>
      <c r="E170" s="147"/>
      <c r="F170" s="148"/>
      <c r="G170" s="2"/>
      <c r="H170" s="128"/>
      <c r="I170" s="129"/>
      <c r="J170" s="14"/>
      <c r="K170" s="2"/>
      <c r="L170" s="2"/>
      <c r="S170" s="1"/>
      <c r="T170" s="1"/>
    </row>
    <row r="171" spans="2:20" x14ac:dyDescent="0.2">
      <c r="B171" s="2"/>
      <c r="C171" s="149">
        <v>20</v>
      </c>
      <c r="D171" s="150"/>
      <c r="E171" s="151"/>
      <c r="F171" s="54" t="str">
        <f>IF(COUNTIFS($E$4:$E$127,20,$K$4:$K$127,"case3",$F$4:$F$127,"&gt;0")=0,"",COUNTIFS($E$4:$E$127,20,$K$4:$K$127,"case3",$F$4:$F$127,"&gt;0"))</f>
        <v/>
      </c>
      <c r="G171" s="2"/>
      <c r="H171" s="144"/>
      <c r="I171" s="145"/>
      <c r="J171" s="17"/>
      <c r="K171" s="2"/>
      <c r="L171" s="2"/>
      <c r="S171" s="1"/>
      <c r="T171" s="1"/>
    </row>
    <row r="172" spans="2:20" x14ac:dyDescent="0.2">
      <c r="B172" s="2"/>
      <c r="C172" s="152">
        <v>25</v>
      </c>
      <c r="D172" s="153"/>
      <c r="E172" s="154"/>
      <c r="F172" s="55" t="str">
        <f>IF(COUNTIFS($E$4:$E$127,25,$K$4:$K$127,"case3",$F$4:$F$127,"&gt;0")=0,"",COUNTIFS($E$4:$E$127,25,$K$4:$K$127,"case3",$F$4:$F$127,"&gt;0"))</f>
        <v/>
      </c>
      <c r="G172" s="2"/>
      <c r="H172" s="57" t="s">
        <v>29</v>
      </c>
      <c r="I172" s="42"/>
      <c r="J172" s="43"/>
      <c r="K172" s="2"/>
      <c r="L172" s="2"/>
      <c r="S172" s="1"/>
      <c r="T172" s="1"/>
    </row>
    <row r="173" spans="2:20" x14ac:dyDescent="0.2">
      <c r="B173" s="2"/>
      <c r="C173" s="152">
        <v>30</v>
      </c>
      <c r="D173" s="153"/>
      <c r="E173" s="154"/>
      <c r="F173" s="55" t="str">
        <f>IF(COUNTIFS($E$4:$E$127,30,$K$4:$K$127,"case3",$F$4:$F$127,"&gt;0")=0,"",COUNTIFS($E$4:$E$127,30,$K$4:$K$127,"case3",$F$4:$F$127,"&gt;0"))</f>
        <v/>
      </c>
      <c r="G173" s="2"/>
      <c r="H173" s="137" t="s">
        <v>13</v>
      </c>
      <c r="I173" s="138"/>
      <c r="J173" s="48" t="str">
        <f>IF(COUNTIFS($E$4:$E$127,20,$K$4:$K$127,"case3",$I$4:$I$127,50,$J$4:$J$127,"○")=0,"",COUNTIFS($E$4:$E$127,20,$K$4:$K$127,"case3",$I$4:$I$127,50,$J$4:$J$127,"○"))</f>
        <v/>
      </c>
      <c r="K173" s="2"/>
      <c r="L173" s="2"/>
      <c r="S173" s="1"/>
      <c r="T173" s="1"/>
    </row>
    <row r="174" spans="2:20" x14ac:dyDescent="0.2">
      <c r="B174" s="2"/>
      <c r="C174" s="152">
        <v>40</v>
      </c>
      <c r="D174" s="153"/>
      <c r="E174" s="154"/>
      <c r="F174" s="55" t="str">
        <f>IF(COUNTIFS($E$4:$E$127,40,$K$4:$K$127,"case3",$F$4:$F$127,"&gt;0")=0,"",COUNTIFS($E$4:$E$127,40,$K$4:$K$127,"case3",$F$4:$F$127,"&gt;0"))</f>
        <v/>
      </c>
      <c r="G174" s="2"/>
      <c r="H174" s="135" t="s">
        <v>14</v>
      </c>
      <c r="I174" s="136"/>
      <c r="J174" s="14" t="str">
        <f>IF(COUNTIFS($E$4:$E$127,25,$K$4:$K$127,"case3",$I$4:$I$127,50,$J$4:$J$127,"○")=0,"",COUNTIFS($E$4:$E$127,25,$K$4:$K$127,"case3",$I$4:$I$127,50,$J$4:$J$127,"○"))</f>
        <v/>
      </c>
      <c r="K174" s="2"/>
      <c r="L174" s="2"/>
      <c r="S174" s="1"/>
      <c r="T174" s="1"/>
    </row>
    <row r="175" spans="2:20" x14ac:dyDescent="0.2">
      <c r="B175" s="2"/>
      <c r="C175" s="166">
        <v>50</v>
      </c>
      <c r="D175" s="167"/>
      <c r="E175" s="168"/>
      <c r="F175" s="56" t="str">
        <f>IF(COUNTIFS($E$4:$E$127,50,$K$4:$K$127,"case3",$F$4:$F$127,"&gt;0")=0,"",COUNTIFS($E$4:$E$127,50,$K$4:$K$127,"case3",$F$4:$F$127,"&gt;0"))</f>
        <v/>
      </c>
      <c r="G175" s="2"/>
      <c r="H175" s="135" t="s">
        <v>15</v>
      </c>
      <c r="I175" s="136"/>
      <c r="J175" s="14" t="str">
        <f>IF(COUNTIFS($E$4:$E$127,30,$K$4:$K$127,"case3",$I$4:$I$127,50,$J$4:$J$127,"○")=0,"",COUNTIFS($E$4:$E$127,30,$K$4:$K$127,"case3",$I$4:$I$127,50,$J$4:$J$127,"○"))</f>
        <v/>
      </c>
      <c r="K175" s="2"/>
      <c r="L175" s="2"/>
      <c r="S175" s="1"/>
      <c r="T175" s="1"/>
    </row>
    <row r="176" spans="2:20" x14ac:dyDescent="0.2">
      <c r="B176" s="2"/>
      <c r="C176" s="45"/>
      <c r="D176" s="45"/>
      <c r="E176" s="18"/>
      <c r="F176" s="29"/>
      <c r="G176" s="2"/>
      <c r="H176" s="135" t="s">
        <v>16</v>
      </c>
      <c r="I176" s="136"/>
      <c r="J176" s="14" t="str">
        <f>IF(COUNTIFS($E$4:$E$127,40,$K$4:$K$127,"case3",$I$4:$I$127,50,$J$4:$J$127,"○")=0,"",COUNTIFS($E$4:$E$127,40,$K$4:$K$127,"case3",$I$4:$I$127,50,$J$4:$J$127,"○"))</f>
        <v/>
      </c>
      <c r="K176" s="2"/>
      <c r="L176" s="2"/>
      <c r="S176" s="1"/>
      <c r="T176" s="1"/>
    </row>
    <row r="177" spans="2:20" x14ac:dyDescent="0.2">
      <c r="B177" s="2"/>
      <c r="C177" s="2"/>
      <c r="D177" s="2"/>
      <c r="E177" s="18"/>
      <c r="F177" s="29"/>
      <c r="G177" s="2"/>
      <c r="H177" s="135" t="s">
        <v>17</v>
      </c>
      <c r="I177" s="136"/>
      <c r="J177" s="14" t="str">
        <f>IF(COUNTIFS($E$4:$E$127,"&gt;=50",$K$4:$K$127,"case3",$I$4:$I$127,50,$J$4:$J$127,"○")=0,"",COUNTIFS($E$4:$E$127,"&gt;=50",$K$4:$K$127,"case3",$I$4:$I$127,"&gt;=50",$J$4:$J$127,"○"))</f>
        <v/>
      </c>
      <c r="K177" s="2"/>
      <c r="L177" s="2"/>
      <c r="S177" s="1"/>
      <c r="T177" s="1"/>
    </row>
    <row r="178" spans="2:20" x14ac:dyDescent="0.2">
      <c r="B178" s="2"/>
      <c r="C178" s="158" t="s">
        <v>44</v>
      </c>
      <c r="D178" s="158"/>
      <c r="E178" s="158"/>
      <c r="F178" s="158"/>
      <c r="G178" s="2"/>
      <c r="H178" s="128" t="s">
        <v>18</v>
      </c>
      <c r="I178" s="129"/>
      <c r="J178" s="49" t="str">
        <f>IF(COUNTIFS($E$4:$E$127,20,$K$4:$K$127,"case3",$I$4:$I$127,75,$J$4:$J$127,"○")=0,"",COUNTIFS($E$4:$E$127,20,$K$4:$K$127,"case3",$I$4:$I$127,75,$J$4:$J$127,"○"))</f>
        <v/>
      </c>
      <c r="K178" s="2"/>
      <c r="L178" s="2"/>
      <c r="S178" s="1"/>
      <c r="T178" s="1"/>
    </row>
    <row r="179" spans="2:20" x14ac:dyDescent="0.2">
      <c r="B179" s="2"/>
      <c r="C179" s="2"/>
      <c r="D179" s="2"/>
      <c r="E179" s="2"/>
      <c r="F179" s="29"/>
      <c r="G179" s="2"/>
      <c r="H179" s="128" t="s">
        <v>19</v>
      </c>
      <c r="I179" s="129"/>
      <c r="J179" s="14" t="str">
        <f>IF(COUNTIFS($E$4:$E$127,25,$K$4:$K$127,"case3",$I$4:$I$127,75,$J$4:$J$127,"○")=0,"",COUNTIFS($E$4:$E$127,25,$K$4:$K$127,"case3",$I$4:$I$127,75,$J$4:$J$127,"○"))</f>
        <v/>
      </c>
      <c r="K179" s="2"/>
      <c r="L179" s="2"/>
      <c r="S179" s="1"/>
      <c r="T179" s="1"/>
    </row>
    <row r="180" spans="2:20" x14ac:dyDescent="0.2">
      <c r="B180" s="2"/>
      <c r="C180" s="160" t="s">
        <v>11</v>
      </c>
      <c r="D180" s="169"/>
      <c r="E180" s="92" t="s">
        <v>45</v>
      </c>
      <c r="F180" s="30" t="s">
        <v>30</v>
      </c>
      <c r="G180" s="29"/>
      <c r="H180" s="128" t="s">
        <v>20</v>
      </c>
      <c r="I180" s="129"/>
      <c r="J180" s="14" t="str">
        <f>IF(COUNTIFS($E$4:$E$127,30,$K$4:$K$127,"case3",$I$4:$I$127,75,$J$4:$J$127,"○")=0,"",COUNTIFS($E$4:$E$127,30,$K$4:$K$127,"case3",$I$4:$I$127,75,$J$4:$J$127,"○"))</f>
        <v/>
      </c>
    </row>
    <row r="181" spans="2:20" x14ac:dyDescent="0.2">
      <c r="B181" s="2"/>
      <c r="C181" s="170" t="s">
        <v>13</v>
      </c>
      <c r="D181" s="171"/>
      <c r="E181" s="19" t="str">
        <f>IF(COUNTIFS($C$4:$C$127,50,$E$4:$E$127,20)=0,"",COUNTIFS($C$4:$C$127,50,$E$4:$E$127,20))</f>
        <v/>
      </c>
      <c r="F181" s="31" t="s">
        <v>31</v>
      </c>
      <c r="G181" s="29"/>
      <c r="H181" s="128" t="s">
        <v>21</v>
      </c>
      <c r="I181" s="129"/>
      <c r="J181" s="14" t="str">
        <f>IF(COUNTIFS($E$4:$E$127,40,$K$4:$K$127,"case3",$I$4:$I$127,75,$J$4:$J$127,"○")=0,"",COUNTIFS($E$4:$E$127,40,$K$4:$K$127,"case3",$I$4:$I$127,75,$J$4:$J$127,"○"))</f>
        <v/>
      </c>
    </row>
    <row r="182" spans="2:20" x14ac:dyDescent="0.2">
      <c r="B182" s="2"/>
      <c r="C182" s="172" t="s">
        <v>14</v>
      </c>
      <c r="D182" s="173"/>
      <c r="E182" s="16" t="str">
        <f>IF(COUNTIFS($C$4:$C$127,50,$E$4:$E$127,25)=0,"",COUNTIFS($C$4:$C$127,50,$E$4:$E$127,25))</f>
        <v/>
      </c>
      <c r="F182" s="32" t="s">
        <v>31</v>
      </c>
      <c r="G182" s="29"/>
      <c r="H182" s="128" t="s">
        <v>22</v>
      </c>
      <c r="I182" s="129"/>
      <c r="J182" s="14" t="str">
        <f>IF(COUNTIFS($E$4:$E$127,50,$K$4:$K$127,"case3",$I$4:$I$127,75,$J$4:$J$127,"○")=0,"",COUNTIFS($E$4:$E$127,50,$K$4:$K$127,"case3",$I$4:$I$127,75,$J$4:$J$127,"○"))</f>
        <v/>
      </c>
    </row>
    <row r="183" spans="2:20" x14ac:dyDescent="0.2">
      <c r="B183" s="2"/>
      <c r="C183" s="142" t="s">
        <v>32</v>
      </c>
      <c r="D183" s="143"/>
      <c r="E183" s="16" t="str">
        <f>IF(COUNTIFS($C$4:$C$127,75,$E$4:$E$127,20)=0,"",COUNTIFS($C$4:$C$127,75,$E$4:$E$127,20))</f>
        <v/>
      </c>
      <c r="F183" s="32"/>
      <c r="G183" s="29"/>
      <c r="H183" s="128" t="s">
        <v>23</v>
      </c>
      <c r="I183" s="129"/>
      <c r="J183" s="49" t="str">
        <f>IF(COUNTIFS($E$4:$E$127,20,$K$4:$K$127,"case3",$I$4:$I$127,100,$J$4:$J$127,"○")=0,"",COUNTIFS($E$4:$E$127,20,$K$4:$K$127,"case3",$I$4:$I$127,100,$J$4:$J$127,"○"))</f>
        <v/>
      </c>
    </row>
    <row r="184" spans="2:20" x14ac:dyDescent="0.2">
      <c r="B184" s="2"/>
      <c r="C184" s="142" t="s">
        <v>33</v>
      </c>
      <c r="D184" s="143"/>
      <c r="E184" s="16" t="str">
        <f>IF(COUNTIFS($C$4:$C$127,75,$E$4:$E$127,25)=0,"",COUNTIFS($C$4:$C$127,75,$E$4:$E$127,25))</f>
        <v/>
      </c>
      <c r="F184" s="32"/>
      <c r="G184" s="29"/>
      <c r="H184" s="128" t="s">
        <v>24</v>
      </c>
      <c r="I184" s="129"/>
      <c r="J184" s="14" t="str">
        <f>IF(COUNTIFS($E$4:$E$127,25,$K$4:$K$127,"case3",$I$4:$I$127,100,$J$4:$J$127,"○")=0,"",COUNTIFS($E$4:$E$127,25,$K$4:$K$127,"case3",$I$4:$I$127,100,$J$4:$J$127,"○"))</f>
        <v/>
      </c>
    </row>
    <row r="185" spans="2:20" x14ac:dyDescent="0.2">
      <c r="B185" s="2"/>
      <c r="C185" s="142" t="s">
        <v>132</v>
      </c>
      <c r="D185" s="143"/>
      <c r="E185" s="117" t="str">
        <f>IF(COUNTIFS($C$4:$C$127,75,$E$4:$E$127,30)+COUNTIFS($C$4:$C$127,75,$E$4:$E$127,40)=0,"",COUNTIFS($C$4:$C$127,75,$E$4:$E$127,30)+COUNTIFS($C$4:$C$127,75,$E$4:$E$127,40))</f>
        <v/>
      </c>
      <c r="F185" s="32"/>
      <c r="G185" s="29"/>
      <c r="H185" s="128" t="s">
        <v>25</v>
      </c>
      <c r="I185" s="129"/>
      <c r="J185" s="14" t="str">
        <f>IF(COUNTIFS($E$4:$E$127,30,$K$4:$K$127,"case3",$I$4:$I$127,100,$J$4:$J$127,"○")=0,"",COUNTIFS($E$4:$E$127,30,$K$4:$K$127,"case3",$I$4:$I$127,100,$J$4:$J$127,"○"))</f>
        <v/>
      </c>
    </row>
    <row r="186" spans="2:20" x14ac:dyDescent="0.2">
      <c r="B186" s="2"/>
      <c r="C186" s="142" t="s">
        <v>23</v>
      </c>
      <c r="D186" s="143"/>
      <c r="E186" s="120">
        <f>IF(COUNTIFS($C$4:$C$127,100,$E$4:$E$127,20)=0,"",COUNTIFS($C$4:$C$127,100,$E$4:$E$127,20))</f>
        <v>11</v>
      </c>
      <c r="F186" s="32"/>
      <c r="G186" s="29"/>
      <c r="H186" s="128" t="s">
        <v>26</v>
      </c>
      <c r="I186" s="129"/>
      <c r="J186" s="14" t="str">
        <f>IF(COUNTIFS($E$4:$E$127,40,$K$4:$K$127,"case3",$I$4:$I$127,100,$J$4:$J$127,"○")=0,"",COUNTIFS($E$4:$E$127,40,$K$4:$K$127,"case3",$I$4:$I$127,100,$J$4:$J$127,"○"))</f>
        <v/>
      </c>
    </row>
    <row r="187" spans="2:20" x14ac:dyDescent="0.2">
      <c r="B187" s="2"/>
      <c r="C187" s="142" t="s">
        <v>24</v>
      </c>
      <c r="D187" s="143"/>
      <c r="E187" s="120">
        <f>IF(COUNTIFS($C$4:$C$127,100,$E$4:$E$127,25)=0,"",COUNTIFS($C$4:$C$127,100,$E$4:$E$127,25))</f>
        <v>5</v>
      </c>
      <c r="F187" s="32"/>
      <c r="G187" s="29"/>
      <c r="H187" s="140" t="s">
        <v>27</v>
      </c>
      <c r="I187" s="141"/>
      <c r="J187" s="58" t="str">
        <f>IF(COUNTIFS($E$4:$E$127,50,$K$4:$K$127,"case3",$I$4:$I$127,100,$J$4:$J$127,"○")=0,"",COUNTIFS($E$4:$E$127,50,$K$4:$K$127,"case3",$I$4:$I$127,100,$J$4:$J$127,"○"))</f>
        <v/>
      </c>
    </row>
    <row r="188" spans="2:20" x14ac:dyDescent="0.2">
      <c r="B188" s="2"/>
      <c r="C188" s="142" t="s">
        <v>131</v>
      </c>
      <c r="D188" s="143"/>
      <c r="E188" s="121">
        <f>IF(COUNTIFS($C$4:$C$127,100,$E$4:$E$127,30)+COUNTIFS($C$4:$C$127,100,$E$4:$E$127,40)=0,"",COUNTIFS($C$4:$C$127,100,$E$4:$E$127,30)+COUNTIFS($C$4:$C$127,100,$E$4:$E$127,40))</f>
        <v>5</v>
      </c>
      <c r="F188" s="32"/>
      <c r="G188" s="29"/>
      <c r="H188" s="128"/>
      <c r="I188" s="129"/>
      <c r="J188" s="14"/>
    </row>
    <row r="189" spans="2:20" x14ac:dyDescent="0.2">
      <c r="B189" s="2"/>
      <c r="C189" s="142" t="s">
        <v>34</v>
      </c>
      <c r="D189" s="143"/>
      <c r="E189" s="120">
        <f>IF(COUNTIFS($C$4:$C$127,150,$E$4:$E$127,20)=0,"",COUNTIFS($C$4:$C$127,150,$E$4:$E$127,20))</f>
        <v>19</v>
      </c>
      <c r="F189" s="32"/>
      <c r="G189" s="29"/>
      <c r="H189" s="128"/>
      <c r="I189" s="129"/>
      <c r="J189" s="14"/>
    </row>
    <row r="190" spans="2:20" x14ac:dyDescent="0.2">
      <c r="B190" s="2"/>
      <c r="C190" s="142" t="s">
        <v>35</v>
      </c>
      <c r="D190" s="143"/>
      <c r="E190" s="120">
        <f>IF(COUNTIFS($C$4:$C$127,150,$E$4:$E$127,25)=0,"",COUNTIFS($C$4:$C$127,150,$E$4:$E$127,25))</f>
        <v>11</v>
      </c>
      <c r="F190" s="32"/>
      <c r="G190" s="29"/>
      <c r="H190" s="144"/>
      <c r="I190" s="145"/>
      <c r="J190" s="17"/>
    </row>
    <row r="191" spans="2:20" x14ac:dyDescent="0.2">
      <c r="B191" s="2"/>
      <c r="C191" s="142" t="s">
        <v>130</v>
      </c>
      <c r="D191" s="143"/>
      <c r="E191" s="121">
        <f>IF(COUNTIFS($C$4:$C$127,150,$E$4:$E$127,30)+COUNTIFS($C$4:$C$127,150,$E$4:$E$127,40)=0,"",COUNTIFS($C$4:$C$127,150,$E$4:$E$127,30)+COUNTIFS($C$4:$C$127,150,$E$4:$E$127,40))</f>
        <v>9</v>
      </c>
      <c r="F191" s="32"/>
      <c r="G191" s="29"/>
      <c r="H191" s="114"/>
      <c r="I191" s="114"/>
      <c r="J191" s="2"/>
    </row>
    <row r="192" spans="2:20" x14ac:dyDescent="0.2">
      <c r="B192" s="2"/>
      <c r="C192" s="142" t="s">
        <v>36</v>
      </c>
      <c r="D192" s="143"/>
      <c r="E192" s="120" t="str">
        <f>IF(COUNTIFS($C$4:$C$127,200,$E$4:$E$127,20)=0,"",COUNTIFS($C$4:$C$127,200,$E$4:$E$127,20))</f>
        <v/>
      </c>
      <c r="F192" s="32"/>
      <c r="G192" s="29"/>
      <c r="H192" s="114"/>
      <c r="I192" s="114"/>
      <c r="J192" s="2"/>
    </row>
    <row r="193" spans="2:19" x14ac:dyDescent="0.2">
      <c r="B193" s="2"/>
      <c r="C193" s="142" t="s">
        <v>37</v>
      </c>
      <c r="D193" s="143"/>
      <c r="E193" s="16" t="str">
        <f>IF(COUNTIFS($C$4:$C$127,200,$E$4:$E$127,25)=0,"",COUNTIFS($C$4:$C$127,200,$E$4:$E$127,25))</f>
        <v/>
      </c>
      <c r="F193" s="32"/>
      <c r="G193" s="29"/>
      <c r="H193" s="114"/>
      <c r="I193" s="114"/>
      <c r="J193" s="2"/>
    </row>
    <row r="194" spans="2:19" x14ac:dyDescent="0.2">
      <c r="B194" s="2"/>
      <c r="C194" s="142" t="s">
        <v>129</v>
      </c>
      <c r="D194" s="143"/>
      <c r="E194" s="117" t="str">
        <f>IF(COUNTIFS($C$4:$C$127,200,$E$4:$E$127,30)+COUNTIFS($C$4:$C$127,200,$E$4:$E$127,40)=0,"",COUNTIFS($C$4:$C$127,200,$E$4:$E$127,30)+COUNTIFS($C$4:$C$127,200,$E$4:$E$127,40))</f>
        <v/>
      </c>
      <c r="F194" s="32"/>
      <c r="G194" s="29"/>
      <c r="H194" s="114"/>
      <c r="I194" s="114"/>
      <c r="J194" s="2"/>
    </row>
    <row r="195" spans="2:19" x14ac:dyDescent="0.2">
      <c r="B195" s="2"/>
      <c r="C195" s="142" t="s">
        <v>133</v>
      </c>
      <c r="D195" s="143"/>
      <c r="E195" s="16">
        <f>IF(COUNTIFS($C$4:$C$127,300,$E$4:$E$127,20)=0,"",COUNTIFS($C$4:$C$127,300,$E$4:$E$127,20))</f>
        <v>15</v>
      </c>
      <c r="F195" s="32"/>
      <c r="G195" s="29"/>
      <c r="H195" s="114"/>
      <c r="I195" s="114"/>
      <c r="J195" s="2"/>
    </row>
    <row r="196" spans="2:19" x14ac:dyDescent="0.2">
      <c r="B196" s="2"/>
      <c r="C196" s="142" t="s">
        <v>134</v>
      </c>
      <c r="D196" s="143"/>
      <c r="E196" s="16">
        <f>IF(COUNTIFS($C$4:$C$127,300,$E$4:$E$127,25)=0,"",COUNTIFS($C$4:$C$127,300,$E$4:$E$127,25))</f>
        <v>6</v>
      </c>
      <c r="F196" s="32"/>
      <c r="G196" s="29"/>
      <c r="H196" s="114"/>
      <c r="I196" s="114"/>
      <c r="J196" s="2"/>
    </row>
    <row r="197" spans="2:19" x14ac:dyDescent="0.2">
      <c r="B197" s="2"/>
      <c r="C197" s="178" t="s">
        <v>135</v>
      </c>
      <c r="D197" s="179"/>
      <c r="E197" s="118">
        <f>IF(COUNTIFS($C$4:$C$127,300,$E$4:$E$127,30)+COUNTIFS($C$4:$C$127,300,$E$4:$E$127,40)=0,"",COUNTIFS($C$4:$C$127,300,$E$4:$E$127,30)+COUNTIFS($C$4:$C$127,300,$E$4:$E$127,40))</f>
        <v>1</v>
      </c>
      <c r="F197" s="119"/>
      <c r="G197" s="29"/>
      <c r="H197" s="114"/>
      <c r="I197" s="114"/>
      <c r="J197" s="2"/>
    </row>
    <row r="198" spans="2:19" x14ac:dyDescent="0.2">
      <c r="B198" s="2"/>
      <c r="G198" s="29"/>
      <c r="H198" s="114"/>
      <c r="I198" s="114"/>
      <c r="J198" s="2"/>
    </row>
    <row r="200" spans="2:19" x14ac:dyDescent="0.2">
      <c r="C200" s="70" t="s">
        <v>72</v>
      </c>
      <c r="D200" s="2"/>
      <c r="E200" s="2"/>
      <c r="F200" s="29"/>
    </row>
    <row r="201" spans="2:19" x14ac:dyDescent="0.2">
      <c r="C201" s="155" t="s">
        <v>11</v>
      </c>
      <c r="D201" s="157"/>
      <c r="E201" s="130" t="s">
        <v>45</v>
      </c>
      <c r="F201" s="132" t="s">
        <v>30</v>
      </c>
      <c r="G201" s="134" t="s">
        <v>73</v>
      </c>
      <c r="H201" s="134"/>
    </row>
    <row r="202" spans="2:19" x14ac:dyDescent="0.2">
      <c r="C202" s="180"/>
      <c r="D202" s="181"/>
      <c r="E202" s="131"/>
      <c r="F202" s="133"/>
      <c r="G202" s="74" t="s">
        <v>100</v>
      </c>
      <c r="H202" s="75" t="s">
        <v>101</v>
      </c>
      <c r="P202" s="1"/>
      <c r="Q202" s="1"/>
      <c r="R202" s="1"/>
      <c r="S202" s="1"/>
    </row>
    <row r="203" spans="2:19" x14ac:dyDescent="0.2">
      <c r="C203" s="182" t="s">
        <v>16</v>
      </c>
      <c r="D203" s="183"/>
      <c r="E203" s="19" t="str">
        <f>IF(COUNTIFS($C$4:$C$127,50,$E$4:$E$127,30)+COUNTIFS($C$4:$C$127,50,$E$4:$E$127,40)=0,"",COUNTIFS($C$4:$C$127,50,$E$4:$E$127,30)+COUNTIFS($C$4:$C$127,50,$E$4:$E$127,40))</f>
        <v/>
      </c>
      <c r="F203" s="72"/>
      <c r="G203" s="76" t="s">
        <v>74</v>
      </c>
      <c r="H203" s="77" t="s">
        <v>102</v>
      </c>
      <c r="O203" s="2" t="str">
        <f>IF(COUNTIFS($C$4:$C$127,50,$E$4:$E$127,40)=0,"",COUNTIFS($C$4:$C$127,50,$E$4:$E$127,40))</f>
        <v/>
      </c>
      <c r="P203" s="1"/>
      <c r="Q203" s="1"/>
      <c r="R203" s="1"/>
      <c r="S203" s="1"/>
    </row>
    <row r="204" spans="2:19" x14ac:dyDescent="0.2">
      <c r="C204" s="174" t="s">
        <v>17</v>
      </c>
      <c r="D204" s="175"/>
      <c r="E204" s="80" t="str">
        <f>IF(COUNTIFS($C$4:$C$127,50,$E$4:$E$127,50)=0,"",COUNTIFS($C$4:$C$127,50,$E$4:$E$127,50))</f>
        <v/>
      </c>
      <c r="F204" s="81"/>
      <c r="G204" s="82" t="s">
        <v>75</v>
      </c>
      <c r="H204" s="83" t="s">
        <v>103</v>
      </c>
      <c r="O204" s="2" t="str">
        <f>IF(COUNTIFS($C$4:$C$127,50,$E$4:$E$127,50)=0,"",COUNTIFS($C$4:$C$127,50,$E$4:$E$127,50))</f>
        <v/>
      </c>
      <c r="P204" s="1"/>
      <c r="Q204" s="1"/>
      <c r="R204" s="1"/>
      <c r="S204" s="1"/>
    </row>
    <row r="205" spans="2:19" x14ac:dyDescent="0.2">
      <c r="C205" s="142" t="s">
        <v>21</v>
      </c>
      <c r="D205" s="143"/>
      <c r="E205" s="16"/>
      <c r="F205" s="73"/>
      <c r="G205" s="78" t="s">
        <v>76</v>
      </c>
      <c r="H205" s="79" t="s">
        <v>104</v>
      </c>
      <c r="O205" s="2" t="str">
        <f>IF(COUNTIFS($C$4:$C$127,75,$E$4:$E$127,40)=0,"",COUNTIFS($C$4:$C$127,75,$E$4:$E$127,40))</f>
        <v/>
      </c>
      <c r="P205" s="1"/>
      <c r="Q205" s="1"/>
      <c r="R205" s="1"/>
      <c r="S205" s="1"/>
    </row>
    <row r="206" spans="2:19" x14ac:dyDescent="0.2">
      <c r="C206" s="174" t="s">
        <v>22</v>
      </c>
      <c r="D206" s="175"/>
      <c r="E206" s="80" t="str">
        <f>IF(COUNTIFS($C$4:$C$127,75,$E$4:$E$127,50)=0,"",COUNTIFS($C$4:$C$127,75,$E$4:$E$127,50))</f>
        <v/>
      </c>
      <c r="F206" s="81"/>
      <c r="G206" s="82" t="s">
        <v>77</v>
      </c>
      <c r="H206" s="83" t="s">
        <v>105</v>
      </c>
      <c r="O206" s="2" t="str">
        <f>IF(COUNTIFS($C$4:$C$127,75,$E$4:$E$127,50)=0,"",COUNTIFS($C$4:$C$127,75,$E$4:$E$127,50))</f>
        <v/>
      </c>
      <c r="P206" s="1"/>
      <c r="Q206" s="1"/>
      <c r="R206" s="1"/>
      <c r="S206" s="1"/>
    </row>
    <row r="207" spans="2:19" x14ac:dyDescent="0.2">
      <c r="C207" s="142" t="s">
        <v>55</v>
      </c>
      <c r="D207" s="143"/>
      <c r="E207" s="16" t="str">
        <f>IF(COUNTIFS($C$4:$C$127,75,$E$4:$E$127,75)=0,"",COUNTIFS($C$4:$C$127,75,$E$4:$E$127,75))</f>
        <v/>
      </c>
      <c r="F207" s="73"/>
      <c r="G207" s="78" t="s">
        <v>78</v>
      </c>
      <c r="H207" s="79" t="s">
        <v>106</v>
      </c>
      <c r="O207" s="2" t="str">
        <f>IF(COUNTIFS($C$4:$C$127,75,$E$4:$E$127,75)=0,"",COUNTIFS($C$4:$C$127,75,$E$4:$E$127,75))</f>
        <v/>
      </c>
      <c r="P207" s="1"/>
      <c r="Q207" s="1"/>
      <c r="R207" s="1"/>
      <c r="S207" s="1"/>
    </row>
    <row r="208" spans="2:19" x14ac:dyDescent="0.2">
      <c r="C208" s="174" t="s">
        <v>26</v>
      </c>
      <c r="D208" s="175"/>
      <c r="E208" s="80"/>
      <c r="F208" s="81"/>
      <c r="G208" s="82" t="s">
        <v>79</v>
      </c>
      <c r="H208" s="83" t="s">
        <v>107</v>
      </c>
      <c r="O208" s="2">
        <f>IF(COUNTIFS($C$4:$C$127,100,$E$4:$E$127,40)=0,"",COUNTIFS($C$4:$C$127,100,$E$4:$E$127,40))</f>
        <v>2</v>
      </c>
      <c r="P208" s="1"/>
      <c r="Q208" s="1"/>
      <c r="R208" s="1"/>
      <c r="S208" s="1"/>
    </row>
    <row r="209" spans="3:19" x14ac:dyDescent="0.2">
      <c r="C209" s="142" t="s">
        <v>27</v>
      </c>
      <c r="D209" s="143"/>
      <c r="E209" s="16" t="str">
        <f>IF(COUNTIFS($C$4:$C$127,100,$E$4:$E$127,50)=0,"",COUNTIFS($C$4:$C$127,100,$E$4:$E$127,50))</f>
        <v/>
      </c>
      <c r="F209" s="73"/>
      <c r="G209" s="78" t="s">
        <v>80</v>
      </c>
      <c r="H209" s="79" t="s">
        <v>108</v>
      </c>
      <c r="O209" s="2" t="str">
        <f>IF(COUNTIFS($C$4:$C$127,100,$E$4:$E$127,50)=0,"",COUNTIFS($C$4:$C$127,100,$E$4:$E$127,50))</f>
        <v/>
      </c>
      <c r="P209" s="1"/>
      <c r="Q209" s="1"/>
      <c r="R209" s="1"/>
      <c r="S209" s="1"/>
    </row>
    <row r="210" spans="3:19" x14ac:dyDescent="0.2">
      <c r="C210" s="174" t="s">
        <v>56</v>
      </c>
      <c r="D210" s="175"/>
      <c r="E210" s="80" t="str">
        <f>IF(COUNTIFS($C$4:$C$127,100,$E$4:$E$127,75)=0,"",COUNTIFS($C$4:$C$127,100,$E$4:$E$127,75))</f>
        <v/>
      </c>
      <c r="F210" s="81"/>
      <c r="G210" s="82" t="s">
        <v>81</v>
      </c>
      <c r="H210" s="83" t="s">
        <v>109</v>
      </c>
      <c r="O210" s="2" t="str">
        <f>IF(COUNTIFS($C$4:$C$127,100,$E$4:$E$127,75)=0,"",COUNTIFS($C$4:$C$127,100,$E$4:$E$127,75))</f>
        <v/>
      </c>
      <c r="P210" s="1"/>
      <c r="Q210" s="1"/>
      <c r="R210" s="1"/>
      <c r="S210" s="1"/>
    </row>
    <row r="211" spans="3:19" x14ac:dyDescent="0.2">
      <c r="C211" s="142" t="s">
        <v>57</v>
      </c>
      <c r="D211" s="143"/>
      <c r="E211" s="16" t="str">
        <f>IF(COUNTIFS($C$4:$C$127,100,$E$4:$E$127,100)=0,"",COUNTIFS($C$4:$C$127,100,$E$4:$E$127,100))</f>
        <v/>
      </c>
      <c r="F211" s="73"/>
      <c r="G211" s="78" t="s">
        <v>82</v>
      </c>
      <c r="H211" s="79" t="s">
        <v>110</v>
      </c>
      <c r="O211" s="2" t="str">
        <f>IF(COUNTIFS($C$4:$C$127,100,$E$4:$E$127,100)=0,"",COUNTIFS($C$4:$C$127,100,$E$4:$E$127,100))</f>
        <v/>
      </c>
      <c r="P211" s="1"/>
      <c r="Q211" s="1"/>
      <c r="R211" s="1"/>
      <c r="S211" s="1"/>
    </row>
    <row r="212" spans="3:19" x14ac:dyDescent="0.2">
      <c r="C212" s="174" t="s">
        <v>52</v>
      </c>
      <c r="D212" s="175"/>
      <c r="E212" s="80"/>
      <c r="F212" s="81"/>
      <c r="G212" s="82" t="s">
        <v>83</v>
      </c>
      <c r="H212" s="83" t="s">
        <v>111</v>
      </c>
      <c r="O212" s="2">
        <f>IF(COUNTIFS($C$4:$C$127,150,$E$4:$E$127,40)=0,"",COUNTIFS($C$4:$C$127,150,$E$4:$E$127,40))</f>
        <v>6</v>
      </c>
      <c r="P212" s="1"/>
      <c r="Q212" s="1"/>
      <c r="R212" s="1"/>
      <c r="S212" s="1"/>
    </row>
    <row r="213" spans="3:19" x14ac:dyDescent="0.2">
      <c r="C213" s="142" t="s">
        <v>53</v>
      </c>
      <c r="D213" s="143"/>
      <c r="E213" s="16">
        <f>IF(COUNTIFS($C$4:$C$127,150,$E$4:$E$127,50)=0,"",COUNTIFS($C$4:$C$127,150,$E$4:$E$127,50))</f>
        <v>1</v>
      </c>
      <c r="F213" s="73"/>
      <c r="G213" s="78" t="s">
        <v>84</v>
      </c>
      <c r="H213" s="79" t="s">
        <v>112</v>
      </c>
      <c r="O213" s="2">
        <f>IF(COUNTIFS($C$4:$C$127,150,$E$4:$E$127,50)=0,"",COUNTIFS($C$4:$C$127,150,$E$4:$E$127,50))</f>
        <v>1</v>
      </c>
      <c r="P213" s="1"/>
      <c r="Q213" s="1"/>
      <c r="R213" s="1"/>
      <c r="S213" s="1"/>
    </row>
    <row r="214" spans="3:19" x14ac:dyDescent="0.2">
      <c r="C214" s="174" t="s">
        <v>58</v>
      </c>
      <c r="D214" s="175"/>
      <c r="E214" s="80" t="str">
        <f>IF(COUNTIFS($C$4:$C$127,150,$E$4:$E$127,75)=0,"",COUNTIFS($C$4:$C$127,150,$E$4:$E$127,75))</f>
        <v/>
      </c>
      <c r="F214" s="81"/>
      <c r="G214" s="82" t="s">
        <v>85</v>
      </c>
      <c r="H214" s="83" t="s">
        <v>113</v>
      </c>
      <c r="O214" s="2" t="str">
        <f>IF(COUNTIFS($C$4:$C$127,150,$E$4:$E$127,75)=0,"",COUNTIFS($C$4:$C$127,150,$E$4:$E$127,75))</f>
        <v/>
      </c>
      <c r="P214" s="1"/>
      <c r="Q214" s="1"/>
      <c r="R214" s="1"/>
      <c r="S214" s="1"/>
    </row>
    <row r="215" spans="3:19" x14ac:dyDescent="0.2">
      <c r="C215" s="142" t="s">
        <v>59</v>
      </c>
      <c r="D215" s="143"/>
      <c r="E215" s="16" t="str">
        <f>IF(COUNTIFS($C$4:$C$127,150,$E$4:$E$127,100)=0,"",COUNTIFS($C$4:$C$127,150,$E$4:$E$127,100))</f>
        <v/>
      </c>
      <c r="F215" s="73"/>
      <c r="G215" s="78" t="s">
        <v>86</v>
      </c>
      <c r="H215" s="79" t="s">
        <v>114</v>
      </c>
      <c r="O215" s="2" t="str">
        <f>IF(COUNTIFS($C$4:$C$127,150,$E$4:$E$127,100)=0,"",COUNTIFS($C$4:$C$127,150,$E$4:$E$127,100))</f>
        <v/>
      </c>
      <c r="P215" s="1"/>
      <c r="Q215" s="1"/>
      <c r="R215" s="1"/>
      <c r="S215" s="1"/>
    </row>
    <row r="216" spans="3:19" x14ac:dyDescent="0.2">
      <c r="C216" s="174" t="s">
        <v>60</v>
      </c>
      <c r="D216" s="175"/>
      <c r="E216" s="80" t="str">
        <f>IF(COUNTIFS($C$4:$C$127,150,$E$4:$E$127,150)=0,"",COUNTIFS($C$4:$C$127,150,$E$4:$E$127,150))</f>
        <v/>
      </c>
      <c r="F216" s="81"/>
      <c r="G216" s="89" t="s">
        <v>87</v>
      </c>
      <c r="H216" s="88" t="s">
        <v>123</v>
      </c>
      <c r="O216" s="2" t="str">
        <f>IF(COUNTIFS($C$4:$C$127,150,$E$4:$E$127,150)=0,"",COUNTIFS($C$4:$C$127,150,$E$4:$E$127,150))</f>
        <v/>
      </c>
      <c r="P216" s="1"/>
      <c r="Q216" s="1"/>
      <c r="R216" s="1"/>
      <c r="S216" s="1"/>
    </row>
    <row r="217" spans="3:19" x14ac:dyDescent="0.2">
      <c r="C217" s="142" t="s">
        <v>54</v>
      </c>
      <c r="D217" s="143"/>
      <c r="E217" s="16"/>
      <c r="F217" s="73"/>
      <c r="G217" s="78" t="s">
        <v>88</v>
      </c>
      <c r="H217" s="79" t="s">
        <v>115</v>
      </c>
      <c r="O217" s="2" t="str">
        <f>IF(COUNTIFS($C$4:$C$127,200,$E$4:$E$127,40)=0,"",COUNTIFS($C$4:$C$127,200,$E$4:$E$127,40))</f>
        <v/>
      </c>
      <c r="P217" s="1"/>
      <c r="Q217" s="1"/>
      <c r="R217" s="1"/>
      <c r="S217" s="1"/>
    </row>
    <row r="218" spans="3:19" x14ac:dyDescent="0.2">
      <c r="C218" s="174" t="s">
        <v>61</v>
      </c>
      <c r="D218" s="175"/>
      <c r="E218" s="80" t="str">
        <f>IF(COUNTIFS($C$4:$C$127,200,$E$4:$E$127,50)=0,"",COUNTIFS($C$4:$C$127,200,$E$4:$E$127,50))</f>
        <v/>
      </c>
      <c r="F218" s="81"/>
      <c r="G218" s="82" t="s">
        <v>89</v>
      </c>
      <c r="H218" s="83" t="s">
        <v>116</v>
      </c>
      <c r="O218" s="2" t="str">
        <f>IF(COUNTIFS($C$4:$C$127,200,$E$4:$E$127,50)=0,"",COUNTIFS($C$4:$C$127,200,$E$4:$E$127,50))</f>
        <v/>
      </c>
      <c r="P218" s="1"/>
      <c r="Q218" s="1"/>
      <c r="R218" s="1"/>
      <c r="S218" s="1"/>
    </row>
    <row r="219" spans="3:19" x14ac:dyDescent="0.2">
      <c r="C219" s="142" t="s">
        <v>62</v>
      </c>
      <c r="D219" s="143"/>
      <c r="E219" s="16" t="str">
        <f>IF(COUNTIFS($C$4:$C$127,200,$E$4:$E$127,75)=0,"",COUNTIFS($C$4:$C$127,200,$E$4:$E$127,75))</f>
        <v/>
      </c>
      <c r="F219" s="73"/>
      <c r="G219" s="78" t="s">
        <v>90</v>
      </c>
      <c r="H219" s="79" t="s">
        <v>117</v>
      </c>
      <c r="O219" s="2" t="str">
        <f>IF(COUNTIFS($C$4:$C$127,200,$E$4:$E$127,75)=0,"",COUNTIFS($C$4:$C$127,200,$E$4:$E$127,75))</f>
        <v/>
      </c>
      <c r="P219" s="1"/>
      <c r="Q219" s="1"/>
      <c r="R219" s="1"/>
      <c r="S219" s="1"/>
    </row>
    <row r="220" spans="3:19" x14ac:dyDescent="0.2">
      <c r="C220" s="174" t="s">
        <v>63</v>
      </c>
      <c r="D220" s="175"/>
      <c r="E220" s="80" t="str">
        <f>IF(COUNTIFS($C$4:$C$127,200,$E$4:$E$127,100)=0,"",COUNTIFS($C$4:$C$127,200,$E$4:$E$127,100))</f>
        <v/>
      </c>
      <c r="F220" s="81"/>
      <c r="G220" s="82" t="s">
        <v>91</v>
      </c>
      <c r="H220" s="83" t="s">
        <v>118</v>
      </c>
      <c r="O220" s="2" t="str">
        <f>IF(COUNTIFS($C$4:$C$127,200,$E$4:$E$127,100)=0,"",COUNTIFS($C$4:$C$127,200,$E$4:$E$127,100))</f>
        <v/>
      </c>
      <c r="P220" s="1"/>
      <c r="Q220" s="1"/>
      <c r="R220" s="1"/>
      <c r="S220" s="1"/>
    </row>
    <row r="221" spans="3:19" x14ac:dyDescent="0.2">
      <c r="C221" s="142" t="s">
        <v>64</v>
      </c>
      <c r="D221" s="143"/>
      <c r="E221" s="16" t="str">
        <f>IF(COUNTIFS($C$4:$C$127,200,$E$4:$E$127,150)=0,"",COUNTIFS($C$4:$C$127,200,$E$4:$E$127,150))</f>
        <v/>
      </c>
      <c r="F221" s="73"/>
      <c r="G221" s="90" t="s">
        <v>92</v>
      </c>
      <c r="H221" s="86" t="s">
        <v>124</v>
      </c>
      <c r="O221" s="2" t="str">
        <f>IF(COUNTIFS($C$4:$C$127,200,$E$4:$E$127,150)=0,"",COUNTIFS($C$4:$C$127,200,$E$4:$E$127,150))</f>
        <v/>
      </c>
      <c r="P221" s="1"/>
      <c r="Q221" s="1"/>
      <c r="R221" s="1"/>
      <c r="S221" s="1"/>
    </row>
    <row r="222" spans="3:19" x14ac:dyDescent="0.2">
      <c r="C222" s="174" t="s">
        <v>65</v>
      </c>
      <c r="D222" s="175"/>
      <c r="E222" s="80" t="str">
        <f>IF(COUNTIFS($C$4:$C$127,200,$E$4:$E$127,200)=0,"",COUNTIFS($C$4:$C$127,200,$E$4:$E$127,200))</f>
        <v/>
      </c>
      <c r="F222" s="81"/>
      <c r="G222" s="89" t="s">
        <v>93</v>
      </c>
      <c r="H222" s="88" t="s">
        <v>125</v>
      </c>
      <c r="O222" s="2" t="str">
        <f>IF(COUNTIFS($C$4:$C$127,200,$E$4:$E$127,200)=0,"",COUNTIFS($C$4:$C$127,200,$E$4:$E$127,200))</f>
        <v/>
      </c>
      <c r="P222" s="1"/>
      <c r="Q222" s="1"/>
      <c r="R222" s="1"/>
      <c r="S222" s="1"/>
    </row>
    <row r="223" spans="3:19" x14ac:dyDescent="0.2">
      <c r="C223" s="142" t="s">
        <v>66</v>
      </c>
      <c r="D223" s="143"/>
      <c r="E223" s="16"/>
      <c r="F223" s="73"/>
      <c r="G223" s="78" t="s">
        <v>94</v>
      </c>
      <c r="H223" s="79" t="s">
        <v>119</v>
      </c>
      <c r="O223" s="2" t="str">
        <f>IF(COUNTIFS($C$4:$C$127,200,$E$4:$E$127,40)=0,"",COUNTIFS($C$4:$C$127,200,$E$4:$E$127,40))</f>
        <v/>
      </c>
      <c r="P223" s="1"/>
      <c r="Q223" s="1"/>
      <c r="R223" s="1"/>
      <c r="S223" s="1"/>
    </row>
    <row r="224" spans="3:19" x14ac:dyDescent="0.2">
      <c r="C224" s="174" t="s">
        <v>67</v>
      </c>
      <c r="D224" s="175"/>
      <c r="E224" s="80">
        <f>IF(COUNTIFS($C$4:$C$127,300,$E$4:$E$127,50)=0,"",COUNTIFS($C$4:$C$127,300,$E$4:$E$127,50))</f>
        <v>1</v>
      </c>
      <c r="F224" s="81"/>
      <c r="G224" s="82" t="s">
        <v>95</v>
      </c>
      <c r="H224" s="83" t="s">
        <v>120</v>
      </c>
      <c r="O224" s="2" t="str">
        <f>IF(COUNTIFS($C$4:$C$127,200,$E$4:$E$127,50)=0,"",COUNTIFS($C$4:$C$127,200,$E$4:$E$127,50))</f>
        <v/>
      </c>
      <c r="P224" s="1"/>
      <c r="Q224" s="1"/>
      <c r="R224" s="1"/>
      <c r="S224" s="1"/>
    </row>
    <row r="225" spans="3:19" x14ac:dyDescent="0.2">
      <c r="C225" s="142" t="s">
        <v>68</v>
      </c>
      <c r="D225" s="143"/>
      <c r="E225" s="16" t="str">
        <f>IF(COUNTIFS($C$4:$C$127,300,$E$4:$E$127,75)=0,"",COUNTIFS($C$4:$C$127,300,$E$4:$E$127,75))</f>
        <v/>
      </c>
      <c r="F225" s="73"/>
      <c r="G225" s="78" t="s">
        <v>96</v>
      </c>
      <c r="H225" s="79" t="s">
        <v>121</v>
      </c>
      <c r="O225" s="2" t="str">
        <f>IF(COUNTIFS($C$4:$C$127,200,$E$4:$E$127,75)=0,"",COUNTIFS($C$4:$C$127,200,$E$4:$E$127,75))</f>
        <v/>
      </c>
      <c r="P225" s="1"/>
      <c r="Q225" s="1"/>
      <c r="R225" s="1"/>
      <c r="S225" s="1"/>
    </row>
    <row r="226" spans="3:19" x14ac:dyDescent="0.2">
      <c r="C226" s="174" t="s">
        <v>69</v>
      </c>
      <c r="D226" s="175"/>
      <c r="E226" s="80" t="str">
        <f>IF(COUNTIFS($C$4:$C$127,300,$E$4:$E$127,100)=0,"",COUNTIFS($C$4:$C$127,300,$E$4:$E$127,100))</f>
        <v/>
      </c>
      <c r="F226" s="81"/>
      <c r="G226" s="82" t="s">
        <v>97</v>
      </c>
      <c r="H226" s="83" t="s">
        <v>122</v>
      </c>
      <c r="O226" s="2" t="str">
        <f>IF(COUNTIFS($C$4:$C$127,200,$E$4:$E$127,100)=0,"",COUNTIFS($C$4:$C$127,200,$E$4:$E$127,100))</f>
        <v/>
      </c>
      <c r="P226" s="1"/>
      <c r="Q226" s="1"/>
      <c r="R226" s="1"/>
      <c r="S226" s="1"/>
    </row>
    <row r="227" spans="3:19" x14ac:dyDescent="0.2">
      <c r="C227" s="142" t="s">
        <v>70</v>
      </c>
      <c r="D227" s="143"/>
      <c r="E227" s="16" t="str">
        <f>IF(COUNTIFS($C$4:$C$127,300,$E$4:$E$127,150)=0,"",COUNTIFS($C$4:$C$127,300,$E$4:$E$127,150))</f>
        <v/>
      </c>
      <c r="F227" s="73"/>
      <c r="G227" s="90" t="s">
        <v>98</v>
      </c>
      <c r="H227" s="86" t="s">
        <v>126</v>
      </c>
      <c r="O227" s="2" t="str">
        <f>IF(COUNTIFS($C$4:$C$127,200,$E$4:$E$127,150)=0,"",COUNTIFS($C$4:$C$127,200,$E$4:$E$127,150))</f>
        <v/>
      </c>
      <c r="P227" s="1"/>
      <c r="Q227" s="1"/>
      <c r="R227" s="1"/>
      <c r="S227" s="1"/>
    </row>
    <row r="228" spans="3:19" x14ac:dyDescent="0.2">
      <c r="C228" s="176" t="s">
        <v>71</v>
      </c>
      <c r="D228" s="177"/>
      <c r="E228" s="84" t="str">
        <f>IF(COUNTIFS($C$4:$C$127,300,$E$4:$E$127,200)=0,"",COUNTIFS($C$4:$C$127,300,$E$4:$E$127,200))</f>
        <v/>
      </c>
      <c r="F228" s="85"/>
      <c r="G228" s="91" t="s">
        <v>99</v>
      </c>
      <c r="H228" s="87" t="s">
        <v>127</v>
      </c>
      <c r="O228" s="2" t="str">
        <f>IF(COUNTIFS($C$4:$C$127,200,$E$4:$E$127,150)=0,"",COUNTIFS($C$4:$C$127,200,$E$4:$E$127,150))</f>
        <v/>
      </c>
      <c r="P228" s="1"/>
      <c r="Q228" s="1"/>
      <c r="R228" s="1"/>
      <c r="S228" s="1"/>
    </row>
  </sheetData>
  <mergeCells count="146">
    <mergeCell ref="C192:D192"/>
    <mergeCell ref="C193:D193"/>
    <mergeCell ref="C194:D194"/>
    <mergeCell ref="C195:D195"/>
    <mergeCell ref="C196:D196"/>
    <mergeCell ref="C197:D197"/>
    <mergeCell ref="C212:D212"/>
    <mergeCell ref="C225:D225"/>
    <mergeCell ref="C207:D207"/>
    <mergeCell ref="C210:D210"/>
    <mergeCell ref="C211:D211"/>
    <mergeCell ref="C201:D202"/>
    <mergeCell ref="C203:D203"/>
    <mergeCell ref="C204:D204"/>
    <mergeCell ref="C205:D205"/>
    <mergeCell ref="C206:D206"/>
    <mergeCell ref="C208:D208"/>
    <mergeCell ref="C209:D209"/>
    <mergeCell ref="C226:D226"/>
    <mergeCell ref="C228:D228"/>
    <mergeCell ref="C227:D227"/>
    <mergeCell ref="C213:D213"/>
    <mergeCell ref="C217:D217"/>
    <mergeCell ref="C222:D222"/>
    <mergeCell ref="C214:D214"/>
    <mergeCell ref="C215:D215"/>
    <mergeCell ref="C216:D216"/>
    <mergeCell ref="C221:D221"/>
    <mergeCell ref="C220:D220"/>
    <mergeCell ref="C218:D218"/>
    <mergeCell ref="C219:D219"/>
    <mergeCell ref="C223:D223"/>
    <mergeCell ref="C224:D224"/>
    <mergeCell ref="H187:I187"/>
    <mergeCell ref="C175:E175"/>
    <mergeCell ref="H183:I183"/>
    <mergeCell ref="H184:I184"/>
    <mergeCell ref="H185:I185"/>
    <mergeCell ref="C183:D183"/>
    <mergeCell ref="C184:D184"/>
    <mergeCell ref="C185:D185"/>
    <mergeCell ref="C186:D186"/>
    <mergeCell ref="C187:D187"/>
    <mergeCell ref="H180:I180"/>
    <mergeCell ref="H181:I181"/>
    <mergeCell ref="C191:D191"/>
    <mergeCell ref="H167:I167"/>
    <mergeCell ref="C170:F170"/>
    <mergeCell ref="C167:E167"/>
    <mergeCell ref="C168:E168"/>
    <mergeCell ref="C172:E172"/>
    <mergeCell ref="H164:I164"/>
    <mergeCell ref="C174:E174"/>
    <mergeCell ref="H182:I182"/>
    <mergeCell ref="H176:I176"/>
    <mergeCell ref="C169:E169"/>
    <mergeCell ref="H177:I177"/>
    <mergeCell ref="H178:I178"/>
    <mergeCell ref="C171:E171"/>
    <mergeCell ref="H179:I179"/>
    <mergeCell ref="C178:F178"/>
    <mergeCell ref="C180:D180"/>
    <mergeCell ref="C181:D181"/>
    <mergeCell ref="C182:D182"/>
    <mergeCell ref="H174:I174"/>
    <mergeCell ref="H175:I175"/>
    <mergeCell ref="H173:I173"/>
    <mergeCell ref="C173:E173"/>
    <mergeCell ref="H186:I186"/>
    <mergeCell ref="H160:I160"/>
    <mergeCell ref="H161:I161"/>
    <mergeCell ref="H162:I162"/>
    <mergeCell ref="C164:F164"/>
    <mergeCell ref="C165:E165"/>
    <mergeCell ref="C166:E166"/>
    <mergeCell ref="C162:E162"/>
    <mergeCell ref="H166:I166"/>
    <mergeCell ref="C163:E163"/>
    <mergeCell ref="D136:E136"/>
    <mergeCell ref="D137:E137"/>
    <mergeCell ref="D138:E138"/>
    <mergeCell ref="D139:E139"/>
    <mergeCell ref="D140:E140"/>
    <mergeCell ref="D141:E141"/>
    <mergeCell ref="B1:D2"/>
    <mergeCell ref="H133:I133"/>
    <mergeCell ref="H134:I134"/>
    <mergeCell ref="H135:I135"/>
    <mergeCell ref="H131:I131"/>
    <mergeCell ref="H140:I140"/>
    <mergeCell ref="H141:I141"/>
    <mergeCell ref="H136:I136"/>
    <mergeCell ref="H137:I137"/>
    <mergeCell ref="H138:I138"/>
    <mergeCell ref="H139:I139"/>
    <mergeCell ref="H129:J129"/>
    <mergeCell ref="H132:J132"/>
    <mergeCell ref="C129:D129"/>
    <mergeCell ref="D142:E142"/>
    <mergeCell ref="D143:E143"/>
    <mergeCell ref="H142:I142"/>
    <mergeCell ref="H147:I147"/>
    <mergeCell ref="C188:D188"/>
    <mergeCell ref="C189:D189"/>
    <mergeCell ref="C190:D190"/>
    <mergeCell ref="H171:I171"/>
    <mergeCell ref="H188:I188"/>
    <mergeCell ref="H189:I189"/>
    <mergeCell ref="H190:I190"/>
    <mergeCell ref="C158:F158"/>
    <mergeCell ref="C159:E159"/>
    <mergeCell ref="C160:E160"/>
    <mergeCell ref="C157:E157"/>
    <mergeCell ref="C161:E161"/>
    <mergeCell ref="C155:F155"/>
    <mergeCell ref="H148:I148"/>
    <mergeCell ref="H149:I149"/>
    <mergeCell ref="H150:I150"/>
    <mergeCell ref="H151:I151"/>
    <mergeCell ref="H168:I168"/>
    <mergeCell ref="H169:I169"/>
    <mergeCell ref="H170:I170"/>
    <mergeCell ref="D145:E145"/>
    <mergeCell ref="D146:E146"/>
    <mergeCell ref="D147:E147"/>
    <mergeCell ref="D148:E148"/>
    <mergeCell ref="H143:I143"/>
    <mergeCell ref="H144:I144"/>
    <mergeCell ref="H145:I145"/>
    <mergeCell ref="H146:I146"/>
    <mergeCell ref="E201:E202"/>
    <mergeCell ref="F201:F202"/>
    <mergeCell ref="G201:H201"/>
    <mergeCell ref="H158:I158"/>
    <mergeCell ref="H159:I159"/>
    <mergeCell ref="H154:I154"/>
    <mergeCell ref="H155:I155"/>
    <mergeCell ref="H156:I156"/>
    <mergeCell ref="H163:I163"/>
    <mergeCell ref="H157:I157"/>
    <mergeCell ref="H153:I153"/>
    <mergeCell ref="D149:E149"/>
    <mergeCell ref="D150:E150"/>
    <mergeCell ref="D151:E151"/>
    <mergeCell ref="D152:E152"/>
    <mergeCell ref="H165:I165"/>
  </mergeCells>
  <phoneticPr fontId="2"/>
  <conditionalFormatting sqref="F4">
    <cfRule type="cellIs" priority="1" operator="lessThanOrEqual">
      <formula>1.5</formula>
    </cfRule>
  </conditionalFormatting>
  <dataValidations count="2">
    <dataValidation type="list" allowBlank="1" showInputMessage="1" showErrorMessage="1" sqref="J1:J2">
      <formula1>"当初,変更"</formula1>
    </dataValidation>
    <dataValidation type="decimal" operator="lessThanOrEqual" allowBlank="1" showInputMessage="1" showErrorMessage="1" sqref="F4:F127">
      <formula1>$K$2</formula1>
    </dataValidation>
  </dataValidations>
  <pageMargins left="0.78740157480314965" right="0.39370078740157483" top="0.59055118110236227" bottom="0.39370078740157483" header="0.51181102362204722" footer="0.51181102362204722"/>
  <pageSetup paperSize="9" scale="87" orientation="portrait" r:id="rId1"/>
  <headerFooter alignWithMargins="0"/>
  <rowBreaks count="3" manualBreakCount="3">
    <brk id="62" min="1" max="10" man="1"/>
    <brk id="127" min="1" max="10" man="1"/>
    <brk id="198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給水掘削延長(面積）</vt:lpstr>
      <vt:lpstr>'給水掘削延長(面積）'!Print_Area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ユーザー</cp:lastModifiedBy>
  <cp:lastPrinted>2025-06-05T08:59:52Z</cp:lastPrinted>
  <dcterms:created xsi:type="dcterms:W3CDTF">2015-04-16T09:29:01Z</dcterms:created>
  <dcterms:modified xsi:type="dcterms:W3CDTF">2025-06-05T09:01:28Z</dcterms:modified>
</cp:coreProperties>
</file>
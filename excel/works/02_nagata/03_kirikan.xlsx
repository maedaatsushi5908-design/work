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ka07\OneDrive\デスクトップ\二人のフォルダ\神戸市\管路設計係\花山町2丁目他\"/>
    </mc:Choice>
  </mc:AlternateContent>
  <xr:revisionPtr revIDLastSave="0" documentId="13_ncr:1_{829A36BB-1E65-4202-BC07-FBFD69CDB379}" xr6:coauthVersionLast="47" xr6:coauthVersionMax="47" xr10:uidLastSave="{00000000-0000-0000-0000-000000000000}"/>
  <bookViews>
    <workbookView xWindow="-98" yWindow="-98" windowWidth="21795" windowHeight="13875" activeTab="3" xr2:uid="{00000000-000D-0000-FFFF-FFFF00000000}"/>
  </bookViews>
  <sheets>
    <sheet name="白紙(4m)" sheetId="32" r:id="rId1"/>
    <sheet name="白紙(5m)" sheetId="29" r:id="rId2"/>
    <sheet name="白紙(6m)" sheetId="33" r:id="rId3"/>
    <sheet name="GX 75" sheetId="51" r:id="rId4"/>
    <sheet name="GX 100" sheetId="53" r:id="rId5"/>
    <sheet name="GX　150" sheetId="30" r:id="rId6"/>
    <sheet name="GX　150 (2)" sheetId="57" r:id="rId7"/>
    <sheet name="GX　300" sheetId="26" r:id="rId8"/>
    <sheet name="GX　300 (2)" sheetId="58" r:id="rId9"/>
    <sheet name="Ｔ150" sheetId="60" r:id="rId10"/>
    <sheet name="Ｔ200" sheetId="44" r:id="rId11"/>
    <sheet name="→不要" sheetId="54" r:id="rId12"/>
    <sheet name="ＰＥ管（スピゴット）" sheetId="52" r:id="rId13"/>
    <sheet name="GX　200" sheetId="49" r:id="rId14"/>
    <sheet name="K300" sheetId="50" r:id="rId15"/>
    <sheet name="NSφ700" sheetId="11" state="hidden" r:id="rId16"/>
    <sheet name="KF-Sφ700" sheetId="12" state="hidden" r:id="rId17"/>
  </sheets>
  <definedNames>
    <definedName name="_xlnm.Print_Area" localSheetId="4">'GX 100'!$A$1:$AA$122</definedName>
    <definedName name="_xlnm.Print_Area" localSheetId="5">'GX　150'!$A$1:$AA$114</definedName>
    <definedName name="_xlnm.Print_Area" localSheetId="6">'GX　150 (2)'!$A$1:$AA$108</definedName>
    <definedName name="_xlnm.Print_Area" localSheetId="13">'GX　200'!$A$1:$AA$114</definedName>
    <definedName name="_xlnm.Print_Area" localSheetId="7">'GX　300'!$A$1:$AA$114</definedName>
    <definedName name="_xlnm.Print_Area" localSheetId="8">'GX　300 (2)'!$A$1:$AA$108</definedName>
    <definedName name="_xlnm.Print_Area" localSheetId="3">'GX 75'!$A$1:$AA$114</definedName>
    <definedName name="_xlnm.Print_Area" localSheetId="14">'K300'!$A$1:$AA$114</definedName>
    <definedName name="_xlnm.Print_Area" localSheetId="16">'KF-Sφ700'!$A$1:$AA$114</definedName>
    <definedName name="_xlnm.Print_Area" localSheetId="15">NSφ700!$A$1:$AA$114</definedName>
    <definedName name="_xlnm.Print_Area" localSheetId="12">'ＰＥ管（スピゴット）'!$A$1:$AA$114</definedName>
    <definedName name="_xlnm.Print_Area" localSheetId="9">'Ｔ150'!$A$1:$AA$114</definedName>
    <definedName name="_xlnm.Print_Area" localSheetId="10">'Ｔ200'!$A$1:$AA$114</definedName>
    <definedName name="_xlnm.Print_Area" localSheetId="0">'白紙(4m)'!$A$1:$AA$114</definedName>
    <definedName name="_xlnm.Print_Area" localSheetId="1">'白紙(5m)'!$A$1:$AA$114</definedName>
    <definedName name="_xlnm.Print_Area" localSheetId="2">'白紙(6m)'!$A$1:$AA$114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22" i="53" l="1"/>
  <c r="Z122" i="53"/>
  <c r="Y122" i="53"/>
  <c r="X122" i="53"/>
  <c r="W122" i="53"/>
  <c r="V122" i="53"/>
  <c r="Q119" i="53"/>
  <c r="N119" i="53"/>
  <c r="K119" i="53"/>
  <c r="H119" i="53"/>
  <c r="N114" i="53"/>
  <c r="K114" i="53"/>
  <c r="H114" i="53"/>
  <c r="E114" i="53"/>
  <c r="H108" i="57"/>
  <c r="G108" i="57"/>
  <c r="AA114" i="60"/>
  <c r="Z114" i="60"/>
  <c r="Y114" i="60"/>
  <c r="X114" i="60"/>
  <c r="W114" i="60"/>
  <c r="V114" i="60"/>
  <c r="H114" i="60"/>
  <c r="G114" i="60"/>
  <c r="Q111" i="60"/>
  <c r="N111" i="60"/>
  <c r="H111" i="60"/>
  <c r="U106" i="60"/>
  <c r="AC111" i="60" s="1"/>
  <c r="S106" i="60"/>
  <c r="T106" i="60" s="1"/>
  <c r="N106" i="60"/>
  <c r="K106" i="60"/>
  <c r="E106" i="60"/>
  <c r="Q103" i="60"/>
  <c r="N103" i="60"/>
  <c r="H103" i="60"/>
  <c r="S98" i="60"/>
  <c r="B98" i="60" s="1"/>
  <c r="U98" i="60" s="1"/>
  <c r="AC103" i="60" s="1"/>
  <c r="N98" i="60"/>
  <c r="K98" i="60"/>
  <c r="E98" i="60"/>
  <c r="Q95" i="60"/>
  <c r="N95" i="60"/>
  <c r="H95" i="60"/>
  <c r="S90" i="60"/>
  <c r="T90" i="60" s="1"/>
  <c r="N90" i="60"/>
  <c r="K90" i="60"/>
  <c r="E90" i="60"/>
  <c r="Q87" i="60"/>
  <c r="N87" i="60"/>
  <c r="H87" i="60"/>
  <c r="S82" i="60"/>
  <c r="B82" i="60" s="1"/>
  <c r="U82" i="60" s="1"/>
  <c r="AC87" i="60" s="1"/>
  <c r="N82" i="60"/>
  <c r="K82" i="60"/>
  <c r="E82" i="60"/>
  <c r="Q79" i="60"/>
  <c r="N79" i="60"/>
  <c r="H79" i="60"/>
  <c r="S74" i="60"/>
  <c r="B74" i="60" s="1"/>
  <c r="U74" i="60" s="1"/>
  <c r="AC79" i="60" s="1"/>
  <c r="N74" i="60"/>
  <c r="K74" i="60"/>
  <c r="E74" i="60"/>
  <c r="Q71" i="60"/>
  <c r="N71" i="60"/>
  <c r="H71" i="60"/>
  <c r="S66" i="60"/>
  <c r="R66" i="60" s="1"/>
  <c r="R69" i="60" s="1"/>
  <c r="N66" i="60"/>
  <c r="K66" i="60"/>
  <c r="E66" i="60"/>
  <c r="Q63" i="60"/>
  <c r="N63" i="60"/>
  <c r="H63" i="60"/>
  <c r="S58" i="60"/>
  <c r="B58" i="60" s="1"/>
  <c r="U58" i="60" s="1"/>
  <c r="AC63" i="60" s="1"/>
  <c r="N58" i="60"/>
  <c r="K58" i="60"/>
  <c r="H58" i="60"/>
  <c r="E58" i="60"/>
  <c r="Q55" i="60"/>
  <c r="N55" i="60"/>
  <c r="K55" i="60"/>
  <c r="H55" i="60"/>
  <c r="S50" i="60"/>
  <c r="T50" i="60" s="1"/>
  <c r="N50" i="60"/>
  <c r="K50" i="60"/>
  <c r="H50" i="60"/>
  <c r="E50" i="60"/>
  <c r="Q47" i="60"/>
  <c r="N47" i="60"/>
  <c r="K47" i="60"/>
  <c r="H47" i="60"/>
  <c r="S42" i="60"/>
  <c r="B42" i="60" s="1"/>
  <c r="U42" i="60" s="1"/>
  <c r="AC47" i="60" s="1"/>
  <c r="N42" i="60"/>
  <c r="K42" i="60"/>
  <c r="H42" i="60"/>
  <c r="E42" i="60"/>
  <c r="Q39" i="60"/>
  <c r="N39" i="60"/>
  <c r="K39" i="60"/>
  <c r="H39" i="60"/>
  <c r="S34" i="60"/>
  <c r="B34" i="60" s="1"/>
  <c r="U34" i="60" s="1"/>
  <c r="AC39" i="60" s="1"/>
  <c r="N34" i="60"/>
  <c r="K34" i="60"/>
  <c r="H34" i="60"/>
  <c r="E34" i="60"/>
  <c r="Q31" i="60"/>
  <c r="N31" i="60"/>
  <c r="K31" i="60"/>
  <c r="H31" i="60"/>
  <c r="S26" i="60"/>
  <c r="B26" i="60" s="1"/>
  <c r="U26" i="60" s="1"/>
  <c r="AC31" i="60" s="1"/>
  <c r="R26" i="60"/>
  <c r="R29" i="60" s="1"/>
  <c r="N26" i="60"/>
  <c r="K26" i="60"/>
  <c r="H26" i="60"/>
  <c r="E26" i="60"/>
  <c r="AC23" i="60"/>
  <c r="Q23" i="60"/>
  <c r="N23" i="60"/>
  <c r="K23" i="60"/>
  <c r="H23" i="60"/>
  <c r="S18" i="60"/>
  <c r="T18" i="60" s="1"/>
  <c r="N18" i="60"/>
  <c r="K18" i="60"/>
  <c r="H18" i="60"/>
  <c r="E18" i="60"/>
  <c r="Q15" i="60"/>
  <c r="N15" i="60"/>
  <c r="K15" i="60"/>
  <c r="H15" i="60"/>
  <c r="N10" i="60"/>
  <c r="K10" i="60"/>
  <c r="H10" i="60"/>
  <c r="E10" i="60"/>
  <c r="AC3" i="60"/>
  <c r="AC1" i="60"/>
  <c r="AC2" i="60" s="1"/>
  <c r="C1" i="60"/>
  <c r="AA106" i="58"/>
  <c r="Z106" i="58"/>
  <c r="Y106" i="58"/>
  <c r="X106" i="58"/>
  <c r="W106" i="58"/>
  <c r="V106" i="58"/>
  <c r="H106" i="58"/>
  <c r="H108" i="58" s="1"/>
  <c r="G106" i="58"/>
  <c r="G108" i="58" s="1"/>
  <c r="Q103" i="58"/>
  <c r="N103" i="58"/>
  <c r="K103" i="58"/>
  <c r="H103" i="58"/>
  <c r="N98" i="58"/>
  <c r="K98" i="58"/>
  <c r="H98" i="58"/>
  <c r="E98" i="58"/>
  <c r="Q95" i="58"/>
  <c r="N95" i="58"/>
  <c r="K95" i="58"/>
  <c r="H95" i="58"/>
  <c r="N90" i="58"/>
  <c r="K90" i="58"/>
  <c r="H90" i="58"/>
  <c r="E90" i="58"/>
  <c r="Q87" i="58"/>
  <c r="N87" i="58"/>
  <c r="K87" i="58"/>
  <c r="H87" i="58"/>
  <c r="N82" i="58"/>
  <c r="K82" i="58"/>
  <c r="H82" i="58"/>
  <c r="E82" i="58"/>
  <c r="Q79" i="58"/>
  <c r="N79" i="58"/>
  <c r="K79" i="58"/>
  <c r="H79" i="58"/>
  <c r="N74" i="58"/>
  <c r="K74" i="58"/>
  <c r="H74" i="58"/>
  <c r="E74" i="58"/>
  <c r="Q71" i="58"/>
  <c r="N71" i="58"/>
  <c r="K71" i="58"/>
  <c r="H71" i="58"/>
  <c r="N66" i="58"/>
  <c r="K66" i="58"/>
  <c r="H66" i="58"/>
  <c r="E66" i="58"/>
  <c r="Q63" i="58"/>
  <c r="N63" i="58"/>
  <c r="K63" i="58"/>
  <c r="H63" i="58"/>
  <c r="N58" i="58"/>
  <c r="K58" i="58"/>
  <c r="H58" i="58"/>
  <c r="E58" i="58"/>
  <c r="Q55" i="58"/>
  <c r="N55" i="58"/>
  <c r="K55" i="58"/>
  <c r="H55" i="58"/>
  <c r="N50" i="58"/>
  <c r="K50" i="58"/>
  <c r="H50" i="58"/>
  <c r="E50" i="58"/>
  <c r="Q47" i="58"/>
  <c r="N47" i="58"/>
  <c r="K47" i="58"/>
  <c r="H47" i="58"/>
  <c r="N42" i="58"/>
  <c r="K42" i="58"/>
  <c r="H42" i="58"/>
  <c r="E42" i="58"/>
  <c r="Q39" i="58"/>
  <c r="N39" i="58"/>
  <c r="K39" i="58"/>
  <c r="H39" i="58"/>
  <c r="N34" i="58"/>
  <c r="K34" i="58"/>
  <c r="H34" i="58"/>
  <c r="E34" i="58"/>
  <c r="Q31" i="58"/>
  <c r="N31" i="58"/>
  <c r="K31" i="58"/>
  <c r="H31" i="58"/>
  <c r="N26" i="58"/>
  <c r="K26" i="58"/>
  <c r="H26" i="58"/>
  <c r="E26" i="58"/>
  <c r="Q23" i="58"/>
  <c r="N23" i="58"/>
  <c r="K23" i="58"/>
  <c r="H23" i="58"/>
  <c r="N18" i="58"/>
  <c r="K18" i="58"/>
  <c r="H18" i="58"/>
  <c r="E18" i="58"/>
  <c r="Q15" i="58"/>
  <c r="N15" i="58"/>
  <c r="K15" i="58"/>
  <c r="H15" i="58"/>
  <c r="N10" i="58"/>
  <c r="K10" i="58"/>
  <c r="H10" i="58"/>
  <c r="E10" i="58"/>
  <c r="AC3" i="58"/>
  <c r="AC1" i="58"/>
  <c r="C1" i="58"/>
  <c r="AA106" i="57"/>
  <c r="Z106" i="57"/>
  <c r="Y106" i="57"/>
  <c r="X106" i="57"/>
  <c r="W106" i="57"/>
  <c r="V106" i="57"/>
  <c r="H106" i="57"/>
  <c r="G106" i="57"/>
  <c r="Q103" i="57"/>
  <c r="N103" i="57"/>
  <c r="K103" i="57"/>
  <c r="H103" i="57"/>
  <c r="S98" i="57"/>
  <c r="R98" i="57" s="1"/>
  <c r="R101" i="57" s="1"/>
  <c r="N98" i="57"/>
  <c r="K98" i="57"/>
  <c r="H98" i="57"/>
  <c r="E98" i="57"/>
  <c r="Q95" i="57"/>
  <c r="N95" i="57"/>
  <c r="K95" i="57"/>
  <c r="H95" i="57"/>
  <c r="N90" i="57"/>
  <c r="K90" i="57"/>
  <c r="H90" i="57"/>
  <c r="E90" i="57"/>
  <c r="Q87" i="57"/>
  <c r="N87" i="57"/>
  <c r="K87" i="57"/>
  <c r="H87" i="57"/>
  <c r="N82" i="57"/>
  <c r="K82" i="57"/>
  <c r="H82" i="57"/>
  <c r="E82" i="57"/>
  <c r="Q79" i="57"/>
  <c r="N79" i="57"/>
  <c r="K79" i="57"/>
  <c r="H79" i="57"/>
  <c r="N74" i="57"/>
  <c r="K74" i="57"/>
  <c r="H74" i="57"/>
  <c r="E74" i="57"/>
  <c r="Q71" i="57"/>
  <c r="N71" i="57"/>
  <c r="K71" i="57"/>
  <c r="H71" i="57"/>
  <c r="N66" i="57"/>
  <c r="K66" i="57"/>
  <c r="H66" i="57"/>
  <c r="E66" i="57"/>
  <c r="Q63" i="57"/>
  <c r="N63" i="57"/>
  <c r="K63" i="57"/>
  <c r="H63" i="57"/>
  <c r="N58" i="57"/>
  <c r="K58" i="57"/>
  <c r="H58" i="57"/>
  <c r="E58" i="57"/>
  <c r="Q55" i="57"/>
  <c r="N55" i="57"/>
  <c r="K55" i="57"/>
  <c r="H55" i="57"/>
  <c r="N50" i="57"/>
  <c r="K50" i="57"/>
  <c r="H50" i="57"/>
  <c r="E50" i="57"/>
  <c r="Q47" i="57"/>
  <c r="N47" i="57"/>
  <c r="K47" i="57"/>
  <c r="H47" i="57"/>
  <c r="N42" i="57"/>
  <c r="K42" i="57"/>
  <c r="H42" i="57"/>
  <c r="E42" i="57"/>
  <c r="Q39" i="57"/>
  <c r="N39" i="57"/>
  <c r="K39" i="57"/>
  <c r="H39" i="57"/>
  <c r="N34" i="57"/>
  <c r="K34" i="57"/>
  <c r="H34" i="57"/>
  <c r="E34" i="57"/>
  <c r="Q31" i="57"/>
  <c r="N31" i="57"/>
  <c r="K31" i="57"/>
  <c r="H31" i="57"/>
  <c r="N26" i="57"/>
  <c r="K26" i="57"/>
  <c r="H26" i="57"/>
  <c r="E26" i="57"/>
  <c r="Q23" i="57"/>
  <c r="N23" i="57"/>
  <c r="K23" i="57"/>
  <c r="H23" i="57"/>
  <c r="N18" i="57"/>
  <c r="K18" i="57"/>
  <c r="H18" i="57"/>
  <c r="E18" i="57"/>
  <c r="Q15" i="57"/>
  <c r="N15" i="57"/>
  <c r="K15" i="57"/>
  <c r="H15" i="57"/>
  <c r="N10" i="57"/>
  <c r="K10" i="57"/>
  <c r="H10" i="57"/>
  <c r="E10" i="57"/>
  <c r="AC3" i="57"/>
  <c r="AC1" i="57"/>
  <c r="C1" i="57"/>
  <c r="S106" i="50"/>
  <c r="T106" i="50" s="1"/>
  <c r="S106" i="44"/>
  <c r="T106" i="44" s="1"/>
  <c r="U106" i="44"/>
  <c r="AC111" i="44" s="1"/>
  <c r="AC80" i="51"/>
  <c r="U106" i="51"/>
  <c r="AC111" i="51" s="1"/>
  <c r="U106" i="52"/>
  <c r="AC111" i="52" s="1"/>
  <c r="U106" i="29"/>
  <c r="AC111" i="29" s="1"/>
  <c r="U106" i="32"/>
  <c r="AC111" i="32" s="1"/>
  <c r="T26" i="60" l="1"/>
  <c r="AC2" i="57"/>
  <c r="S10" i="57" s="1"/>
  <c r="S66" i="57"/>
  <c r="R66" i="57" s="1"/>
  <c r="R69" i="57" s="1"/>
  <c r="S90" i="58"/>
  <c r="T90" i="58" s="1"/>
  <c r="S50" i="58"/>
  <c r="T50" i="58" s="1"/>
  <c r="S10" i="58"/>
  <c r="S82" i="58"/>
  <c r="T82" i="58" s="1"/>
  <c r="S42" i="58"/>
  <c r="AC2" i="58"/>
  <c r="S34" i="58" s="1"/>
  <c r="S66" i="58"/>
  <c r="R66" i="58" s="1"/>
  <c r="R69" i="58" s="1"/>
  <c r="S26" i="58"/>
  <c r="T26" i="58" s="1"/>
  <c r="S98" i="58"/>
  <c r="R98" i="58" s="1"/>
  <c r="R101" i="58" s="1"/>
  <c r="S58" i="58"/>
  <c r="T58" i="58" s="1"/>
  <c r="S18" i="58"/>
  <c r="R18" i="58" s="1"/>
  <c r="R21" i="58" s="1"/>
  <c r="R50" i="58"/>
  <c r="R53" i="58" s="1"/>
  <c r="T42" i="60"/>
  <c r="R18" i="60"/>
  <c r="R21" i="60" s="1"/>
  <c r="R74" i="60"/>
  <c r="R77" i="60" s="1"/>
  <c r="B90" i="60"/>
  <c r="U90" i="60" s="1"/>
  <c r="AC95" i="60" s="1"/>
  <c r="T74" i="60"/>
  <c r="B50" i="60"/>
  <c r="U50" i="60" s="1"/>
  <c r="AC55" i="60" s="1"/>
  <c r="R90" i="60"/>
  <c r="R93" i="60" s="1"/>
  <c r="R58" i="60"/>
  <c r="R61" i="60" s="1"/>
  <c r="R42" i="60"/>
  <c r="R45" i="60" s="1"/>
  <c r="R50" i="60"/>
  <c r="R53" i="60" s="1"/>
  <c r="T58" i="60"/>
  <c r="R34" i="60"/>
  <c r="R37" i="60" s="1"/>
  <c r="T66" i="60"/>
  <c r="R82" i="60"/>
  <c r="R85" i="60" s="1"/>
  <c r="T34" i="60"/>
  <c r="T82" i="60"/>
  <c r="R98" i="60"/>
  <c r="R101" i="60" s="1"/>
  <c r="R106" i="60"/>
  <c r="R109" i="60" s="1"/>
  <c r="T98" i="60"/>
  <c r="S10" i="60"/>
  <c r="B66" i="60"/>
  <c r="U66" i="60" s="1"/>
  <c r="AC71" i="60" s="1"/>
  <c r="R26" i="58"/>
  <c r="R29" i="58" s="1"/>
  <c r="T98" i="57"/>
  <c r="R106" i="44"/>
  <c r="R109" i="44" s="1"/>
  <c r="R106" i="50"/>
  <c r="R109" i="50" s="1"/>
  <c r="AA114" i="50"/>
  <c r="Z114" i="50"/>
  <c r="Y114" i="50"/>
  <c r="X114" i="50"/>
  <c r="W114" i="50"/>
  <c r="V114" i="50"/>
  <c r="AA114" i="44"/>
  <c r="Z114" i="44"/>
  <c r="Y114" i="44"/>
  <c r="X114" i="44"/>
  <c r="W114" i="44"/>
  <c r="V114" i="44"/>
  <c r="AA114" i="26"/>
  <c r="AA108" i="58" s="1"/>
  <c r="Z114" i="26"/>
  <c r="Z108" i="58" s="1"/>
  <c r="Y114" i="26"/>
  <c r="Y108" i="58" s="1"/>
  <c r="X114" i="26"/>
  <c r="X108" i="58" s="1"/>
  <c r="W114" i="26"/>
  <c r="W108" i="58" s="1"/>
  <c r="V114" i="26"/>
  <c r="V108" i="58" s="1"/>
  <c r="AA114" i="49"/>
  <c r="Z114" i="49"/>
  <c r="Y114" i="49"/>
  <c r="X114" i="49"/>
  <c r="W114" i="49"/>
  <c r="V114" i="49"/>
  <c r="AA114" i="30"/>
  <c r="AA108" i="57" s="1"/>
  <c r="Z114" i="30"/>
  <c r="Z108" i="57" s="1"/>
  <c r="Y114" i="30"/>
  <c r="Y108" i="57" s="1"/>
  <c r="X114" i="30"/>
  <c r="X108" i="57" s="1"/>
  <c r="W114" i="30"/>
  <c r="W108" i="57" s="1"/>
  <c r="V114" i="30"/>
  <c r="V108" i="57" s="1"/>
  <c r="AA114" i="51"/>
  <c r="Z114" i="51"/>
  <c r="Y114" i="51"/>
  <c r="X114" i="51"/>
  <c r="W114" i="51"/>
  <c r="V114" i="51"/>
  <c r="AA114" i="33"/>
  <c r="Z114" i="33"/>
  <c r="Y114" i="33"/>
  <c r="X114" i="33"/>
  <c r="W114" i="33"/>
  <c r="V114" i="33"/>
  <c r="AA114" i="29"/>
  <c r="Z114" i="29"/>
  <c r="Y114" i="29"/>
  <c r="X114" i="29"/>
  <c r="W114" i="29"/>
  <c r="V114" i="29"/>
  <c r="AA114" i="32"/>
  <c r="Z114" i="32"/>
  <c r="Y114" i="32"/>
  <c r="X114" i="32"/>
  <c r="W114" i="32"/>
  <c r="V114" i="32"/>
  <c r="S74" i="58" l="1"/>
  <c r="T10" i="57"/>
  <c r="B10" i="57"/>
  <c r="U10" i="57" s="1"/>
  <c r="AC15" i="57" s="1"/>
  <c r="R10" i="57"/>
  <c r="R13" i="57" s="1"/>
  <c r="T66" i="57"/>
  <c r="S34" i="57"/>
  <c r="S58" i="57"/>
  <c r="R58" i="57" s="1"/>
  <c r="R61" i="57" s="1"/>
  <c r="S26" i="57"/>
  <c r="S50" i="57"/>
  <c r="R50" i="57" s="1"/>
  <c r="R53" i="57" s="1"/>
  <c r="S18" i="57"/>
  <c r="R18" i="57" s="1"/>
  <c r="R21" i="57" s="1"/>
  <c r="S90" i="57"/>
  <c r="S82" i="57"/>
  <c r="R82" i="57" s="1"/>
  <c r="R85" i="57" s="1"/>
  <c r="S74" i="57"/>
  <c r="T74" i="57" s="1"/>
  <c r="S42" i="57"/>
  <c r="T42" i="57" s="1"/>
  <c r="T66" i="58"/>
  <c r="R106" i="58"/>
  <c r="R34" i="58"/>
  <c r="R37" i="58" s="1"/>
  <c r="T34" i="58"/>
  <c r="T18" i="58"/>
  <c r="R90" i="58"/>
  <c r="R93" i="58" s="1"/>
  <c r="R82" i="58"/>
  <c r="R85" i="58" s="1"/>
  <c r="T98" i="58"/>
  <c r="T74" i="58"/>
  <c r="R74" i="58"/>
  <c r="R77" i="58" s="1"/>
  <c r="T42" i="58"/>
  <c r="R42" i="58"/>
  <c r="R45" i="58" s="1"/>
  <c r="R58" i="58"/>
  <c r="R61" i="58" s="1"/>
  <c r="T10" i="58"/>
  <c r="B10" i="58"/>
  <c r="U10" i="58" s="1"/>
  <c r="AC15" i="58" s="1"/>
  <c r="R10" i="58"/>
  <c r="R13" i="58" s="1"/>
  <c r="T10" i="60"/>
  <c r="R10" i="60"/>
  <c r="R13" i="60" s="1"/>
  <c r="R114" i="60"/>
  <c r="B10" i="60"/>
  <c r="T82" i="57"/>
  <c r="T18" i="57"/>
  <c r="T50" i="57"/>
  <c r="H31" i="52"/>
  <c r="T58" i="57" l="1"/>
  <c r="R74" i="57"/>
  <c r="R77" i="57" s="1"/>
  <c r="R42" i="57"/>
  <c r="R45" i="57" s="1"/>
  <c r="R34" i="57"/>
  <c r="R37" i="57" s="1"/>
  <c r="T34" i="57"/>
  <c r="R106" i="57"/>
  <c r="B18" i="57"/>
  <c r="U18" i="57" s="1"/>
  <c r="T90" i="57"/>
  <c r="R90" i="57"/>
  <c r="R93" i="57" s="1"/>
  <c r="T26" i="57"/>
  <c r="R26" i="57"/>
  <c r="R29" i="57" s="1"/>
  <c r="B18" i="58"/>
  <c r="U10" i="60"/>
  <c r="K114" i="60"/>
  <c r="H122" i="53"/>
  <c r="G122" i="53"/>
  <c r="Q111" i="53"/>
  <c r="N111" i="53"/>
  <c r="K111" i="53"/>
  <c r="H111" i="53"/>
  <c r="N106" i="53"/>
  <c r="K106" i="53"/>
  <c r="H106" i="53"/>
  <c r="E106" i="53"/>
  <c r="Q103" i="53"/>
  <c r="N103" i="53"/>
  <c r="K103" i="53"/>
  <c r="H103" i="53"/>
  <c r="N98" i="53"/>
  <c r="K98" i="53"/>
  <c r="H98" i="53"/>
  <c r="E98" i="53"/>
  <c r="Q95" i="53"/>
  <c r="N95" i="53"/>
  <c r="K95" i="53"/>
  <c r="H95" i="53"/>
  <c r="N90" i="53"/>
  <c r="K90" i="53"/>
  <c r="H90" i="53"/>
  <c r="E90" i="53"/>
  <c r="Q87" i="53"/>
  <c r="N87" i="53"/>
  <c r="K87" i="53"/>
  <c r="H87" i="53"/>
  <c r="N82" i="53"/>
  <c r="K82" i="53"/>
  <c r="H82" i="53"/>
  <c r="E82" i="53"/>
  <c r="Q79" i="53"/>
  <c r="N79" i="53"/>
  <c r="K79" i="53"/>
  <c r="H79" i="53"/>
  <c r="N74" i="53"/>
  <c r="K74" i="53"/>
  <c r="H74" i="53"/>
  <c r="E74" i="53"/>
  <c r="Q71" i="53"/>
  <c r="N71" i="53"/>
  <c r="K71" i="53"/>
  <c r="H71" i="53"/>
  <c r="N66" i="53"/>
  <c r="K66" i="53"/>
  <c r="H66" i="53"/>
  <c r="E66" i="53"/>
  <c r="Q63" i="53"/>
  <c r="N63" i="53"/>
  <c r="K63" i="53"/>
  <c r="H63" i="53"/>
  <c r="N58" i="53"/>
  <c r="K58" i="53"/>
  <c r="H58" i="53"/>
  <c r="E58" i="53"/>
  <c r="Q55" i="53"/>
  <c r="N55" i="53"/>
  <c r="K55" i="53"/>
  <c r="H55" i="53"/>
  <c r="N50" i="53"/>
  <c r="K50" i="53"/>
  <c r="H50" i="53"/>
  <c r="E50" i="53"/>
  <c r="Q47" i="53"/>
  <c r="N47" i="53"/>
  <c r="K47" i="53"/>
  <c r="H47" i="53"/>
  <c r="N42" i="53"/>
  <c r="K42" i="53"/>
  <c r="H42" i="53"/>
  <c r="E42" i="53"/>
  <c r="Q39" i="53"/>
  <c r="N39" i="53"/>
  <c r="K39" i="53"/>
  <c r="H39" i="53"/>
  <c r="N34" i="53"/>
  <c r="K34" i="53"/>
  <c r="H34" i="53"/>
  <c r="E34" i="53"/>
  <c r="Q31" i="53"/>
  <c r="N31" i="53"/>
  <c r="K31" i="53"/>
  <c r="H31" i="53"/>
  <c r="N26" i="53"/>
  <c r="K26" i="53"/>
  <c r="H26" i="53"/>
  <c r="E26" i="53"/>
  <c r="Q23" i="53"/>
  <c r="N23" i="53"/>
  <c r="K23" i="53"/>
  <c r="H23" i="53"/>
  <c r="N18" i="53"/>
  <c r="K18" i="53"/>
  <c r="H18" i="53"/>
  <c r="E18" i="53"/>
  <c r="Q15" i="53"/>
  <c r="N15" i="53"/>
  <c r="K15" i="53"/>
  <c r="H15" i="53"/>
  <c r="N10" i="53"/>
  <c r="K10" i="53"/>
  <c r="H10" i="53"/>
  <c r="E10" i="53"/>
  <c r="AC3" i="53"/>
  <c r="AC1" i="53"/>
  <c r="C1" i="53"/>
  <c r="AA114" i="52"/>
  <c r="Z114" i="52"/>
  <c r="Y114" i="52"/>
  <c r="X114" i="52"/>
  <c r="W114" i="52"/>
  <c r="V114" i="52"/>
  <c r="H114" i="52"/>
  <c r="G114" i="52"/>
  <c r="Q111" i="52"/>
  <c r="N111" i="52"/>
  <c r="H111" i="52"/>
  <c r="S106" i="52"/>
  <c r="R106" i="52" s="1"/>
  <c r="R109" i="52" s="1"/>
  <c r="N106" i="52"/>
  <c r="K106" i="52"/>
  <c r="E106" i="52"/>
  <c r="Q103" i="52"/>
  <c r="N103" i="52"/>
  <c r="H103" i="52"/>
  <c r="S98" i="52"/>
  <c r="R98" i="52" s="1"/>
  <c r="R101" i="52" s="1"/>
  <c r="N98" i="52"/>
  <c r="K98" i="52"/>
  <c r="E98" i="52"/>
  <c r="Q95" i="52"/>
  <c r="N95" i="52"/>
  <c r="H95" i="52"/>
  <c r="S90" i="52"/>
  <c r="R90" i="52" s="1"/>
  <c r="R93" i="52" s="1"/>
  <c r="N90" i="52"/>
  <c r="K90" i="52"/>
  <c r="E90" i="52"/>
  <c r="Q87" i="52"/>
  <c r="N87" i="52"/>
  <c r="H87" i="52"/>
  <c r="S82" i="52"/>
  <c r="T82" i="52" s="1"/>
  <c r="N82" i="52"/>
  <c r="K82" i="52"/>
  <c r="E82" i="52"/>
  <c r="Q79" i="52"/>
  <c r="N79" i="52"/>
  <c r="H79" i="52"/>
  <c r="S74" i="52"/>
  <c r="T74" i="52" s="1"/>
  <c r="N74" i="52"/>
  <c r="K74" i="52"/>
  <c r="E74" i="52"/>
  <c r="Q71" i="52"/>
  <c r="N71" i="52"/>
  <c r="H71" i="52"/>
  <c r="S66" i="52"/>
  <c r="R66" i="52" s="1"/>
  <c r="R69" i="52" s="1"/>
  <c r="N66" i="52"/>
  <c r="K66" i="52"/>
  <c r="E66" i="52"/>
  <c r="Q63" i="52"/>
  <c r="N63" i="52"/>
  <c r="H63" i="52"/>
  <c r="S58" i="52"/>
  <c r="R58" i="52" s="1"/>
  <c r="R61" i="52" s="1"/>
  <c r="N58" i="52"/>
  <c r="K58" i="52"/>
  <c r="E58" i="52"/>
  <c r="Q55" i="52"/>
  <c r="N55" i="52"/>
  <c r="H55" i="52"/>
  <c r="S50" i="52"/>
  <c r="T50" i="52" s="1"/>
  <c r="N50" i="52"/>
  <c r="K50" i="52"/>
  <c r="E50" i="52"/>
  <c r="Q47" i="52"/>
  <c r="N47" i="52"/>
  <c r="H47" i="52"/>
  <c r="S42" i="52"/>
  <c r="T42" i="52" s="1"/>
  <c r="N42" i="52"/>
  <c r="K42" i="52"/>
  <c r="E42" i="52"/>
  <c r="Q39" i="52"/>
  <c r="N39" i="52"/>
  <c r="H39" i="52"/>
  <c r="S34" i="52"/>
  <c r="R34" i="52" s="1"/>
  <c r="R37" i="52" s="1"/>
  <c r="N34" i="52"/>
  <c r="K34" i="52"/>
  <c r="E34" i="52"/>
  <c r="Q31" i="52"/>
  <c r="N31" i="52"/>
  <c r="S26" i="52"/>
  <c r="T26" i="52" s="1"/>
  <c r="N26" i="52"/>
  <c r="K26" i="52"/>
  <c r="E26" i="52"/>
  <c r="Q23" i="52"/>
  <c r="N23" i="52"/>
  <c r="K23" i="52"/>
  <c r="H23" i="52"/>
  <c r="N18" i="52"/>
  <c r="K18" i="52"/>
  <c r="H18" i="52"/>
  <c r="E18" i="52"/>
  <c r="Q15" i="52"/>
  <c r="N15" i="52"/>
  <c r="K15" i="52"/>
  <c r="H15" i="52"/>
  <c r="N10" i="52"/>
  <c r="K10" i="52"/>
  <c r="H10" i="52"/>
  <c r="E10" i="52"/>
  <c r="AC3" i="52"/>
  <c r="AC2" i="52"/>
  <c r="S10" i="52" s="1"/>
  <c r="R10" i="52" s="1"/>
  <c r="R13" i="52" s="1"/>
  <c r="AC2" i="53" l="1"/>
  <c r="S98" i="53" s="1"/>
  <c r="S90" i="53"/>
  <c r="S106" i="53"/>
  <c r="S82" i="53"/>
  <c r="T82" i="53" s="1"/>
  <c r="B26" i="57"/>
  <c r="B34" i="57" s="1"/>
  <c r="U18" i="58"/>
  <c r="AC23" i="58" s="1"/>
  <c r="B26" i="58"/>
  <c r="U114" i="60"/>
  <c r="AC15" i="60"/>
  <c r="AC114" i="60" s="1"/>
  <c r="AC23" i="57"/>
  <c r="S18" i="52"/>
  <c r="T18" i="52" s="1"/>
  <c r="B74" i="52"/>
  <c r="U74" i="52" s="1"/>
  <c r="AC79" i="52" s="1"/>
  <c r="R74" i="52"/>
  <c r="R77" i="52" s="1"/>
  <c r="B50" i="52"/>
  <c r="U50" i="52" s="1"/>
  <c r="AC55" i="52" s="1"/>
  <c r="R50" i="52"/>
  <c r="R53" i="52" s="1"/>
  <c r="R26" i="52"/>
  <c r="R29" i="52" s="1"/>
  <c r="T58" i="52"/>
  <c r="B82" i="52"/>
  <c r="U82" i="52" s="1"/>
  <c r="AC87" i="52" s="1"/>
  <c r="R82" i="52"/>
  <c r="R85" i="52" s="1"/>
  <c r="B10" i="52"/>
  <c r="U10" i="52" s="1"/>
  <c r="AC15" i="52" s="1"/>
  <c r="T90" i="52"/>
  <c r="B58" i="52"/>
  <c r="U58" i="52" s="1"/>
  <c r="AC63" i="52" s="1"/>
  <c r="B42" i="52"/>
  <c r="U42" i="52" s="1"/>
  <c r="AC47" i="52" s="1"/>
  <c r="R42" i="52"/>
  <c r="R45" i="52" s="1"/>
  <c r="B90" i="52"/>
  <c r="U90" i="52" s="1"/>
  <c r="AC95" i="52" s="1"/>
  <c r="T34" i="52"/>
  <c r="T66" i="52"/>
  <c r="T98" i="52"/>
  <c r="T106" i="52"/>
  <c r="T10" i="52"/>
  <c r="B34" i="52"/>
  <c r="U34" i="52" s="1"/>
  <c r="AC39" i="52" s="1"/>
  <c r="B66" i="52"/>
  <c r="U66" i="52" s="1"/>
  <c r="AC71" i="52" s="1"/>
  <c r="B98" i="52"/>
  <c r="U98" i="52" s="1"/>
  <c r="AC103" i="52" s="1"/>
  <c r="H114" i="51"/>
  <c r="G114" i="51"/>
  <c r="Q111" i="51"/>
  <c r="N111" i="51"/>
  <c r="K111" i="51"/>
  <c r="H111" i="51"/>
  <c r="N106" i="51"/>
  <c r="K106" i="51"/>
  <c r="H106" i="51"/>
  <c r="E106" i="51"/>
  <c r="Q103" i="51"/>
  <c r="N103" i="51"/>
  <c r="K103" i="51"/>
  <c r="H103" i="51"/>
  <c r="S98" i="51"/>
  <c r="R98" i="51" s="1"/>
  <c r="R101" i="51" s="1"/>
  <c r="N98" i="51"/>
  <c r="K98" i="51"/>
  <c r="H98" i="51"/>
  <c r="E98" i="51"/>
  <c r="Q95" i="51"/>
  <c r="N95" i="51"/>
  <c r="K95" i="51"/>
  <c r="H95" i="51"/>
  <c r="T90" i="51"/>
  <c r="R90" i="51"/>
  <c r="R93" i="51" s="1"/>
  <c r="N90" i="51"/>
  <c r="K90" i="51"/>
  <c r="H90" i="51"/>
  <c r="E90" i="51"/>
  <c r="B90" i="51"/>
  <c r="U90" i="51" s="1"/>
  <c r="AC95" i="51" s="1"/>
  <c r="Q87" i="51"/>
  <c r="N87" i="51"/>
  <c r="K87" i="51"/>
  <c r="H87" i="51"/>
  <c r="S82" i="51"/>
  <c r="R82" i="51" s="1"/>
  <c r="R85" i="51" s="1"/>
  <c r="N82" i="51"/>
  <c r="K82" i="51"/>
  <c r="H82" i="51"/>
  <c r="E82" i="51"/>
  <c r="Q79" i="51"/>
  <c r="N79" i="51"/>
  <c r="K79" i="51"/>
  <c r="H79" i="51"/>
  <c r="S74" i="51"/>
  <c r="R74" i="51" s="1"/>
  <c r="R77" i="51" s="1"/>
  <c r="N74" i="51"/>
  <c r="K74" i="51"/>
  <c r="H74" i="51"/>
  <c r="E74" i="51"/>
  <c r="Q71" i="51"/>
  <c r="N71" i="51"/>
  <c r="K71" i="51"/>
  <c r="H71" i="51"/>
  <c r="S66" i="51"/>
  <c r="B66" i="51" s="1"/>
  <c r="U66" i="51" s="1"/>
  <c r="AC71" i="51" s="1"/>
  <c r="N66" i="51"/>
  <c r="K66" i="51"/>
  <c r="H66" i="51"/>
  <c r="E66" i="51"/>
  <c r="Q63" i="51"/>
  <c r="N63" i="51"/>
  <c r="K63" i="51"/>
  <c r="H63" i="51"/>
  <c r="S58" i="51"/>
  <c r="B58" i="51" s="1"/>
  <c r="U58" i="51" s="1"/>
  <c r="AC63" i="51" s="1"/>
  <c r="N58" i="51"/>
  <c r="K58" i="51"/>
  <c r="H58" i="51"/>
  <c r="E58" i="51"/>
  <c r="Q55" i="51"/>
  <c r="N55" i="51"/>
  <c r="K55" i="51"/>
  <c r="H55" i="51"/>
  <c r="S50" i="51"/>
  <c r="R50" i="51" s="1"/>
  <c r="R53" i="51" s="1"/>
  <c r="N50" i="51"/>
  <c r="K50" i="51"/>
  <c r="H50" i="51"/>
  <c r="E50" i="51"/>
  <c r="Q47" i="51"/>
  <c r="N47" i="51"/>
  <c r="K47" i="51"/>
  <c r="H47" i="51"/>
  <c r="S42" i="51"/>
  <c r="R42" i="51" s="1"/>
  <c r="R45" i="51" s="1"/>
  <c r="N42" i="51"/>
  <c r="K42" i="51"/>
  <c r="H42" i="51"/>
  <c r="E42" i="51"/>
  <c r="Q39" i="51"/>
  <c r="N39" i="51"/>
  <c r="K39" i="51"/>
  <c r="H39" i="51"/>
  <c r="N34" i="51"/>
  <c r="K34" i="51"/>
  <c r="H34" i="51"/>
  <c r="E34" i="51"/>
  <c r="Q31" i="51"/>
  <c r="N31" i="51"/>
  <c r="K31" i="51"/>
  <c r="H31" i="51"/>
  <c r="S26" i="51"/>
  <c r="T26" i="51" s="1"/>
  <c r="N26" i="51"/>
  <c r="K26" i="51"/>
  <c r="H26" i="51"/>
  <c r="E26" i="51"/>
  <c r="Q23" i="51"/>
  <c r="N23" i="51"/>
  <c r="K23" i="51"/>
  <c r="H23" i="51"/>
  <c r="S18" i="51"/>
  <c r="R18" i="51" s="1"/>
  <c r="R21" i="51" s="1"/>
  <c r="N18" i="51"/>
  <c r="K18" i="51"/>
  <c r="H18" i="51"/>
  <c r="E18" i="51"/>
  <c r="Q15" i="51"/>
  <c r="N15" i="51"/>
  <c r="K15" i="51"/>
  <c r="H15" i="51"/>
  <c r="S10" i="51"/>
  <c r="R10" i="51" s="1"/>
  <c r="R13" i="51" s="1"/>
  <c r="N10" i="51"/>
  <c r="K10" i="51"/>
  <c r="H10" i="51"/>
  <c r="E10" i="51"/>
  <c r="AC3" i="51"/>
  <c r="AC1" i="51"/>
  <c r="AC2" i="51" s="1"/>
  <c r="C1" i="51"/>
  <c r="S34" i="51" l="1"/>
  <c r="T34" i="51" s="1"/>
  <c r="U26" i="57"/>
  <c r="AC31" i="57" s="1"/>
  <c r="S114" i="53"/>
  <c r="T106" i="53"/>
  <c r="R106" i="53"/>
  <c r="R109" i="53" s="1"/>
  <c r="S10" i="53"/>
  <c r="S74" i="53"/>
  <c r="S50" i="53"/>
  <c r="S18" i="53"/>
  <c r="S58" i="53"/>
  <c r="S26" i="53"/>
  <c r="S42" i="53"/>
  <c r="S66" i="53"/>
  <c r="S34" i="53"/>
  <c r="T98" i="53"/>
  <c r="R98" i="53"/>
  <c r="R101" i="53" s="1"/>
  <c r="R90" i="53"/>
  <c r="R93" i="53" s="1"/>
  <c r="T90" i="53"/>
  <c r="R82" i="53"/>
  <c r="R85" i="53" s="1"/>
  <c r="U26" i="58"/>
  <c r="AC31" i="58" s="1"/>
  <c r="B34" i="58"/>
  <c r="R34" i="51"/>
  <c r="R37" i="51" s="1"/>
  <c r="U34" i="57"/>
  <c r="B42" i="57"/>
  <c r="R26" i="51"/>
  <c r="R29" i="51" s="1"/>
  <c r="T82" i="51"/>
  <c r="B50" i="51"/>
  <c r="U50" i="51" s="1"/>
  <c r="AC55" i="51" s="1"/>
  <c r="B98" i="51"/>
  <c r="U98" i="51" s="1"/>
  <c r="AC103" i="51" s="1"/>
  <c r="R58" i="51"/>
  <c r="R61" i="51" s="1"/>
  <c r="B82" i="51"/>
  <c r="U82" i="51" s="1"/>
  <c r="AC87" i="51" s="1"/>
  <c r="T50" i="51"/>
  <c r="T58" i="51"/>
  <c r="T98" i="51"/>
  <c r="R66" i="51"/>
  <c r="R69" i="51" s="1"/>
  <c r="R18" i="52"/>
  <c r="R21" i="52" s="1"/>
  <c r="B18" i="52"/>
  <c r="U18" i="52" s="1"/>
  <c r="AC23" i="52" s="1"/>
  <c r="R114" i="52"/>
  <c r="T18" i="51"/>
  <c r="B26" i="52"/>
  <c r="U26" i="52" s="1"/>
  <c r="AC31" i="52" s="1"/>
  <c r="T10" i="51"/>
  <c r="T42" i="51"/>
  <c r="B10" i="51"/>
  <c r="U10" i="51" s="1"/>
  <c r="AC15" i="51" s="1"/>
  <c r="AC47" i="51"/>
  <c r="T66" i="51"/>
  <c r="B74" i="51"/>
  <c r="U74" i="51" s="1"/>
  <c r="AC79" i="51" s="1"/>
  <c r="T74" i="51"/>
  <c r="C1" i="44"/>
  <c r="H114" i="50"/>
  <c r="G114" i="50"/>
  <c r="Q111" i="50"/>
  <c r="N111" i="50"/>
  <c r="K111" i="50"/>
  <c r="H111" i="50"/>
  <c r="N106" i="50"/>
  <c r="K106" i="50"/>
  <c r="H106" i="50"/>
  <c r="E106" i="50"/>
  <c r="B106" i="50"/>
  <c r="U106" i="50" s="1"/>
  <c r="Q103" i="50"/>
  <c r="N103" i="50"/>
  <c r="K103" i="50"/>
  <c r="H103" i="50"/>
  <c r="S98" i="50"/>
  <c r="T98" i="50" s="1"/>
  <c r="N98" i="50"/>
  <c r="K98" i="50"/>
  <c r="H98" i="50"/>
  <c r="E98" i="50"/>
  <c r="B98" i="50"/>
  <c r="U98" i="50" s="1"/>
  <c r="AC103" i="50" s="1"/>
  <c r="Q95" i="50"/>
  <c r="N95" i="50"/>
  <c r="K95" i="50"/>
  <c r="H95" i="50"/>
  <c r="S90" i="50"/>
  <c r="B90" i="50" s="1"/>
  <c r="U90" i="50" s="1"/>
  <c r="AC95" i="50" s="1"/>
  <c r="N90" i="50"/>
  <c r="K90" i="50"/>
  <c r="H90" i="50"/>
  <c r="E90" i="50"/>
  <c r="Q87" i="50"/>
  <c r="N87" i="50"/>
  <c r="K87" i="50"/>
  <c r="H87" i="50"/>
  <c r="S82" i="50"/>
  <c r="B82" i="50" s="1"/>
  <c r="U82" i="50" s="1"/>
  <c r="AC87" i="50" s="1"/>
  <c r="N82" i="50"/>
  <c r="K82" i="50"/>
  <c r="H82" i="50"/>
  <c r="E82" i="50"/>
  <c r="Q79" i="50"/>
  <c r="N79" i="50"/>
  <c r="K79" i="50"/>
  <c r="H79" i="50"/>
  <c r="S74" i="50"/>
  <c r="T74" i="50" s="1"/>
  <c r="N74" i="50"/>
  <c r="K74" i="50"/>
  <c r="H74" i="50"/>
  <c r="E74" i="50"/>
  <c r="Q71" i="50"/>
  <c r="N71" i="50"/>
  <c r="K71" i="50"/>
  <c r="H71" i="50"/>
  <c r="S66" i="50"/>
  <c r="R66" i="50" s="1"/>
  <c r="R69" i="50" s="1"/>
  <c r="N66" i="50"/>
  <c r="K66" i="50"/>
  <c r="H66" i="50"/>
  <c r="E66" i="50"/>
  <c r="Q63" i="50"/>
  <c r="N63" i="50"/>
  <c r="K63" i="50"/>
  <c r="H63" i="50"/>
  <c r="S58" i="50"/>
  <c r="B58" i="50" s="1"/>
  <c r="U58" i="50" s="1"/>
  <c r="AC63" i="50" s="1"/>
  <c r="N58" i="50"/>
  <c r="K58" i="50"/>
  <c r="H58" i="50"/>
  <c r="E58" i="50"/>
  <c r="Q55" i="50"/>
  <c r="N55" i="50"/>
  <c r="K55" i="50"/>
  <c r="H55" i="50"/>
  <c r="S50" i="50"/>
  <c r="B50" i="50" s="1"/>
  <c r="U50" i="50" s="1"/>
  <c r="AC55" i="50" s="1"/>
  <c r="N50" i="50"/>
  <c r="K50" i="50"/>
  <c r="H50" i="50"/>
  <c r="E50" i="50"/>
  <c r="Q47" i="50"/>
  <c r="N47" i="50"/>
  <c r="K47" i="50"/>
  <c r="H47" i="50"/>
  <c r="N42" i="50"/>
  <c r="K42" i="50"/>
  <c r="H42" i="50"/>
  <c r="E42" i="50"/>
  <c r="Q39" i="50"/>
  <c r="N39" i="50"/>
  <c r="K39" i="50"/>
  <c r="H39" i="50"/>
  <c r="N34" i="50"/>
  <c r="K34" i="50"/>
  <c r="H34" i="50"/>
  <c r="E34" i="50"/>
  <c r="Q31" i="50"/>
  <c r="N31" i="50"/>
  <c r="K31" i="50"/>
  <c r="H31" i="50"/>
  <c r="N26" i="50"/>
  <c r="K26" i="50"/>
  <c r="H26" i="50"/>
  <c r="E26" i="50"/>
  <c r="Q23" i="50"/>
  <c r="N23" i="50"/>
  <c r="K23" i="50"/>
  <c r="H23" i="50"/>
  <c r="N18" i="50"/>
  <c r="K18" i="50"/>
  <c r="H18" i="50"/>
  <c r="E18" i="50"/>
  <c r="Q15" i="50"/>
  <c r="N15" i="50"/>
  <c r="K15" i="50"/>
  <c r="H15" i="50"/>
  <c r="N10" i="50"/>
  <c r="K10" i="50"/>
  <c r="H10" i="50"/>
  <c r="E10" i="50"/>
  <c r="AC3" i="50"/>
  <c r="AC1" i="50"/>
  <c r="C1" i="50"/>
  <c r="R114" i="51" l="1"/>
  <c r="R122" i="53"/>
  <c r="T114" i="53"/>
  <c r="R114" i="53"/>
  <c r="R117" i="53" s="1"/>
  <c r="R50" i="53"/>
  <c r="R53" i="53" s="1"/>
  <c r="T50" i="53"/>
  <c r="T34" i="53"/>
  <c r="R34" i="53"/>
  <c r="R37" i="53" s="1"/>
  <c r="T66" i="53"/>
  <c r="R66" i="53"/>
  <c r="R69" i="53" s="1"/>
  <c r="T26" i="53"/>
  <c r="R26" i="53"/>
  <c r="R29" i="53" s="1"/>
  <c r="R42" i="53"/>
  <c r="R45" i="53" s="1"/>
  <c r="T42" i="53"/>
  <c r="T58" i="53"/>
  <c r="R58" i="53"/>
  <c r="R61" i="53" s="1"/>
  <c r="T18" i="53"/>
  <c r="R18" i="53"/>
  <c r="R21" i="53" s="1"/>
  <c r="R74" i="53"/>
  <c r="R77" i="53" s="1"/>
  <c r="T74" i="53"/>
  <c r="R10" i="53"/>
  <c r="R13" i="53" s="1"/>
  <c r="T10" i="53"/>
  <c r="B10" i="53"/>
  <c r="U34" i="58"/>
  <c r="AC39" i="58" s="1"/>
  <c r="B42" i="58"/>
  <c r="U42" i="57"/>
  <c r="AC47" i="57" s="1"/>
  <c r="B50" i="57"/>
  <c r="AC39" i="57"/>
  <c r="R98" i="50"/>
  <c r="R101" i="50" s="1"/>
  <c r="R82" i="50"/>
  <c r="R85" i="50" s="1"/>
  <c r="B66" i="50"/>
  <c r="U66" i="50" s="1"/>
  <c r="AC71" i="50" s="1"/>
  <c r="B74" i="50"/>
  <c r="U74" i="50" s="1"/>
  <c r="AC79" i="50" s="1"/>
  <c r="T66" i="50"/>
  <c r="R50" i="50"/>
  <c r="R53" i="50" s="1"/>
  <c r="R74" i="50"/>
  <c r="R77" i="50" s="1"/>
  <c r="AC111" i="50"/>
  <c r="B18" i="51"/>
  <c r="K114" i="52"/>
  <c r="AC114" i="52"/>
  <c r="U114" i="52"/>
  <c r="AC2" i="50"/>
  <c r="S26" i="50" s="1"/>
  <c r="S42" i="50"/>
  <c r="T50" i="50"/>
  <c r="T82" i="50"/>
  <c r="S34" i="50"/>
  <c r="R58" i="50"/>
  <c r="R61" i="50" s="1"/>
  <c r="R90" i="50"/>
  <c r="R93" i="50" s="1"/>
  <c r="T58" i="50"/>
  <c r="T90" i="50"/>
  <c r="H114" i="49"/>
  <c r="G114" i="49"/>
  <c r="Q111" i="49"/>
  <c r="N111" i="49"/>
  <c r="K111" i="49"/>
  <c r="H111" i="49"/>
  <c r="S106" i="49"/>
  <c r="R106" i="49" s="1"/>
  <c r="R109" i="49" s="1"/>
  <c r="N106" i="49"/>
  <c r="K106" i="49"/>
  <c r="H106" i="49"/>
  <c r="E106" i="49"/>
  <c r="B106" i="49"/>
  <c r="U106" i="49" s="1"/>
  <c r="AC111" i="49" s="1"/>
  <c r="Q103" i="49"/>
  <c r="N103" i="49"/>
  <c r="K103" i="49"/>
  <c r="H103" i="49"/>
  <c r="S98" i="49"/>
  <c r="B98" i="49" s="1"/>
  <c r="U98" i="49" s="1"/>
  <c r="AC103" i="49" s="1"/>
  <c r="N98" i="49"/>
  <c r="K98" i="49"/>
  <c r="H98" i="49"/>
  <c r="E98" i="49"/>
  <c r="Q95" i="49"/>
  <c r="N95" i="49"/>
  <c r="K95" i="49"/>
  <c r="H95" i="49"/>
  <c r="S90" i="49"/>
  <c r="T90" i="49" s="1"/>
  <c r="N90" i="49"/>
  <c r="K90" i="49"/>
  <c r="H90" i="49"/>
  <c r="E90" i="49"/>
  <c r="Q87" i="49"/>
  <c r="N87" i="49"/>
  <c r="K87" i="49"/>
  <c r="H87" i="49"/>
  <c r="S82" i="49"/>
  <c r="B82" i="49" s="1"/>
  <c r="U82" i="49" s="1"/>
  <c r="AC87" i="49" s="1"/>
  <c r="R82" i="49"/>
  <c r="R85" i="49" s="1"/>
  <c r="N82" i="49"/>
  <c r="K82" i="49"/>
  <c r="H82" i="49"/>
  <c r="E82" i="49"/>
  <c r="Q79" i="49"/>
  <c r="N79" i="49"/>
  <c r="K79" i="49"/>
  <c r="H79" i="49"/>
  <c r="S74" i="49"/>
  <c r="R74" i="49" s="1"/>
  <c r="R77" i="49" s="1"/>
  <c r="N74" i="49"/>
  <c r="K74" i="49"/>
  <c r="H74" i="49"/>
  <c r="E74" i="49"/>
  <c r="Q71" i="49"/>
  <c r="N71" i="49"/>
  <c r="K71" i="49"/>
  <c r="H71" i="49"/>
  <c r="S66" i="49"/>
  <c r="B66" i="49" s="1"/>
  <c r="U66" i="49" s="1"/>
  <c r="AC71" i="49" s="1"/>
  <c r="N66" i="49"/>
  <c r="K66" i="49"/>
  <c r="H66" i="49"/>
  <c r="E66" i="49"/>
  <c r="Q63" i="49"/>
  <c r="N63" i="49"/>
  <c r="K63" i="49"/>
  <c r="H63" i="49"/>
  <c r="S58" i="49"/>
  <c r="T58" i="49" s="1"/>
  <c r="N58" i="49"/>
  <c r="K58" i="49"/>
  <c r="H58" i="49"/>
  <c r="E58" i="49"/>
  <c r="Q55" i="49"/>
  <c r="N55" i="49"/>
  <c r="K55" i="49"/>
  <c r="H55" i="49"/>
  <c r="S50" i="49"/>
  <c r="T50" i="49" s="1"/>
  <c r="N50" i="49"/>
  <c r="K50" i="49"/>
  <c r="H50" i="49"/>
  <c r="E50" i="49"/>
  <c r="Q47" i="49"/>
  <c r="N47" i="49"/>
  <c r="K47" i="49"/>
  <c r="H47" i="49"/>
  <c r="S42" i="49"/>
  <c r="R42" i="49" s="1"/>
  <c r="R45" i="49" s="1"/>
  <c r="N42" i="49"/>
  <c r="K42" i="49"/>
  <c r="H42" i="49"/>
  <c r="E42" i="49"/>
  <c r="Q39" i="49"/>
  <c r="N39" i="49"/>
  <c r="K39" i="49"/>
  <c r="H39" i="49"/>
  <c r="S34" i="49"/>
  <c r="B34" i="49" s="1"/>
  <c r="U34" i="49" s="1"/>
  <c r="AC39" i="49" s="1"/>
  <c r="N34" i="49"/>
  <c r="K34" i="49"/>
  <c r="H34" i="49"/>
  <c r="E34" i="49"/>
  <c r="Q31" i="49"/>
  <c r="N31" i="49"/>
  <c r="K31" i="49"/>
  <c r="H31" i="49"/>
  <c r="N26" i="49"/>
  <c r="K26" i="49"/>
  <c r="H26" i="49"/>
  <c r="E26" i="49"/>
  <c r="Q23" i="49"/>
  <c r="N23" i="49"/>
  <c r="K23" i="49"/>
  <c r="H23" i="49"/>
  <c r="N18" i="49"/>
  <c r="K18" i="49"/>
  <c r="H18" i="49"/>
  <c r="E18" i="49"/>
  <c r="Q15" i="49"/>
  <c r="N15" i="49"/>
  <c r="K15" i="49"/>
  <c r="H15" i="49"/>
  <c r="N10" i="49"/>
  <c r="K10" i="49"/>
  <c r="H10" i="49"/>
  <c r="E10" i="49"/>
  <c r="AC3" i="49"/>
  <c r="AC1" i="49"/>
  <c r="C1" i="49"/>
  <c r="R50" i="49" l="1"/>
  <c r="R53" i="49" s="1"/>
  <c r="U10" i="53"/>
  <c r="AC15" i="53" s="1"/>
  <c r="B18" i="53"/>
  <c r="U42" i="58"/>
  <c r="AC47" i="58" s="1"/>
  <c r="B50" i="58"/>
  <c r="AC103" i="58"/>
  <c r="U50" i="57"/>
  <c r="B58" i="57"/>
  <c r="U18" i="51"/>
  <c r="AC23" i="51" s="1"/>
  <c r="B26" i="51"/>
  <c r="R34" i="49"/>
  <c r="R37" i="49" s="1"/>
  <c r="B58" i="49"/>
  <c r="U58" i="49" s="1"/>
  <c r="AC63" i="49" s="1"/>
  <c r="B50" i="49"/>
  <c r="U50" i="49" s="1"/>
  <c r="AC55" i="49" s="1"/>
  <c r="R34" i="50"/>
  <c r="R37" i="50" s="1"/>
  <c r="T34" i="50"/>
  <c r="R42" i="50"/>
  <c r="R45" i="50" s="1"/>
  <c r="T42" i="50"/>
  <c r="R26" i="50"/>
  <c r="R29" i="50" s="1"/>
  <c r="T26" i="50"/>
  <c r="S18" i="50"/>
  <c r="S10" i="50"/>
  <c r="R98" i="49"/>
  <c r="R101" i="49" s="1"/>
  <c r="T82" i="49"/>
  <c r="AC2" i="49"/>
  <c r="S26" i="49" s="1"/>
  <c r="T26" i="49" s="1"/>
  <c r="T34" i="49"/>
  <c r="R66" i="49"/>
  <c r="R69" i="49" s="1"/>
  <c r="B90" i="49"/>
  <c r="U90" i="49" s="1"/>
  <c r="AC95" i="49" s="1"/>
  <c r="T98" i="49"/>
  <c r="T66" i="49"/>
  <c r="T42" i="49"/>
  <c r="R58" i="49"/>
  <c r="R61" i="49" s="1"/>
  <c r="T74" i="49"/>
  <c r="R90" i="49"/>
  <c r="R93" i="49" s="1"/>
  <c r="T106" i="49"/>
  <c r="B42" i="49"/>
  <c r="U42" i="49" s="1"/>
  <c r="AC47" i="49" s="1"/>
  <c r="B74" i="49"/>
  <c r="U74" i="49" s="1"/>
  <c r="AC79" i="49" s="1"/>
  <c r="AC3" i="29"/>
  <c r="K55" i="44"/>
  <c r="K47" i="44"/>
  <c r="K39" i="44"/>
  <c r="K31" i="44"/>
  <c r="K23" i="44"/>
  <c r="K15" i="44"/>
  <c r="H58" i="44"/>
  <c r="H50" i="44"/>
  <c r="H42" i="44"/>
  <c r="H34" i="44"/>
  <c r="H26" i="44"/>
  <c r="H114" i="44"/>
  <c r="G114" i="44"/>
  <c r="Q111" i="44"/>
  <c r="N111" i="44"/>
  <c r="H111" i="44"/>
  <c r="N106" i="44"/>
  <c r="K106" i="44"/>
  <c r="E106" i="44"/>
  <c r="Q103" i="44"/>
  <c r="N103" i="44"/>
  <c r="H103" i="44"/>
  <c r="S98" i="44"/>
  <c r="T98" i="44" s="1"/>
  <c r="N98" i="44"/>
  <c r="K98" i="44"/>
  <c r="E98" i="44"/>
  <c r="Q95" i="44"/>
  <c r="N95" i="44"/>
  <c r="H95" i="44"/>
  <c r="S90" i="44"/>
  <c r="R90" i="44" s="1"/>
  <c r="R93" i="44" s="1"/>
  <c r="N90" i="44"/>
  <c r="K90" i="44"/>
  <c r="E90" i="44"/>
  <c r="Q87" i="44"/>
  <c r="N87" i="44"/>
  <c r="H87" i="44"/>
  <c r="S82" i="44"/>
  <c r="R82" i="44" s="1"/>
  <c r="R85" i="44" s="1"/>
  <c r="N82" i="44"/>
  <c r="K82" i="44"/>
  <c r="E82" i="44"/>
  <c r="Q79" i="44"/>
  <c r="N79" i="44"/>
  <c r="H79" i="44"/>
  <c r="S74" i="44"/>
  <c r="T74" i="44" s="1"/>
  <c r="N74" i="44"/>
  <c r="K74" i="44"/>
  <c r="E74" i="44"/>
  <c r="Q71" i="44"/>
  <c r="N71" i="44"/>
  <c r="H71" i="44"/>
  <c r="S66" i="44"/>
  <c r="T66" i="44" s="1"/>
  <c r="N66" i="44"/>
  <c r="K66" i="44"/>
  <c r="E66" i="44"/>
  <c r="Q63" i="44"/>
  <c r="N63" i="44"/>
  <c r="H63" i="44"/>
  <c r="S58" i="44"/>
  <c r="R58" i="44" s="1"/>
  <c r="R61" i="44" s="1"/>
  <c r="N58" i="44"/>
  <c r="K58" i="44"/>
  <c r="E58" i="44"/>
  <c r="Q55" i="44"/>
  <c r="N55" i="44"/>
  <c r="H55" i="44"/>
  <c r="S50" i="44"/>
  <c r="R50" i="44" s="1"/>
  <c r="R53" i="44" s="1"/>
  <c r="N50" i="44"/>
  <c r="K50" i="44"/>
  <c r="E50" i="44"/>
  <c r="Q47" i="44"/>
  <c r="N47" i="44"/>
  <c r="H47" i="44"/>
  <c r="S42" i="44"/>
  <c r="T42" i="44" s="1"/>
  <c r="N42" i="44"/>
  <c r="K42" i="44"/>
  <c r="E42" i="44"/>
  <c r="Q39" i="44"/>
  <c r="N39" i="44"/>
  <c r="H39" i="44"/>
  <c r="S34" i="44"/>
  <c r="T34" i="44" s="1"/>
  <c r="N34" i="44"/>
  <c r="K34" i="44"/>
  <c r="E34" i="44"/>
  <c r="Q31" i="44"/>
  <c r="N31" i="44"/>
  <c r="H31" i="44"/>
  <c r="N26" i="44"/>
  <c r="K26" i="44"/>
  <c r="E26" i="44"/>
  <c r="Q23" i="44"/>
  <c r="N23" i="44"/>
  <c r="H23" i="44"/>
  <c r="N18" i="44"/>
  <c r="K18" i="44"/>
  <c r="H18" i="44"/>
  <c r="E18" i="44"/>
  <c r="Q15" i="44"/>
  <c r="N15" i="44"/>
  <c r="H15" i="44"/>
  <c r="N10" i="44"/>
  <c r="K10" i="44"/>
  <c r="H10" i="44"/>
  <c r="E10" i="44"/>
  <c r="AC3" i="44"/>
  <c r="AC1" i="44"/>
  <c r="H114" i="33"/>
  <c r="G114" i="33"/>
  <c r="Q111" i="33"/>
  <c r="N111" i="33"/>
  <c r="K111" i="33"/>
  <c r="H111" i="33"/>
  <c r="S106" i="33"/>
  <c r="R106" i="33" s="1"/>
  <c r="R109" i="33" s="1"/>
  <c r="N106" i="33"/>
  <c r="K106" i="33"/>
  <c r="H106" i="33"/>
  <c r="E106" i="33"/>
  <c r="Q103" i="33"/>
  <c r="N103" i="33"/>
  <c r="K103" i="33"/>
  <c r="H103" i="33"/>
  <c r="S98" i="33"/>
  <c r="B98" i="33" s="1"/>
  <c r="U98" i="33" s="1"/>
  <c r="AC103" i="33" s="1"/>
  <c r="R98" i="33"/>
  <c r="R101" i="33" s="1"/>
  <c r="N98" i="33"/>
  <c r="K98" i="33"/>
  <c r="H98" i="33"/>
  <c r="E98" i="33"/>
  <c r="Q95" i="33"/>
  <c r="N95" i="33"/>
  <c r="K95" i="33"/>
  <c r="H95" i="33"/>
  <c r="S90" i="33"/>
  <c r="T90" i="33" s="1"/>
  <c r="N90" i="33"/>
  <c r="K90" i="33"/>
  <c r="H90" i="33"/>
  <c r="E90" i="33"/>
  <c r="Q87" i="33"/>
  <c r="N87" i="33"/>
  <c r="K87" i="33"/>
  <c r="H87" i="33"/>
  <c r="S82" i="33"/>
  <c r="B82" i="33" s="1"/>
  <c r="U82" i="33" s="1"/>
  <c r="AC87" i="33" s="1"/>
  <c r="N82" i="33"/>
  <c r="K82" i="33"/>
  <c r="H82" i="33"/>
  <c r="E82" i="33"/>
  <c r="Q79" i="33"/>
  <c r="N79" i="33"/>
  <c r="K79" i="33"/>
  <c r="H79" i="33"/>
  <c r="S74" i="33"/>
  <c r="T74" i="33" s="1"/>
  <c r="N74" i="33"/>
  <c r="K74" i="33"/>
  <c r="H74" i="33"/>
  <c r="E74" i="33"/>
  <c r="Q71" i="33"/>
  <c r="N71" i="33"/>
  <c r="K71" i="33"/>
  <c r="H71" i="33"/>
  <c r="S66" i="33"/>
  <c r="R66" i="33" s="1"/>
  <c r="R69" i="33" s="1"/>
  <c r="N66" i="33"/>
  <c r="K66" i="33"/>
  <c r="H66" i="33"/>
  <c r="E66" i="33"/>
  <c r="Q63" i="33"/>
  <c r="N63" i="33"/>
  <c r="K63" i="33"/>
  <c r="H63" i="33"/>
  <c r="S58" i="33"/>
  <c r="T58" i="33" s="1"/>
  <c r="R58" i="33"/>
  <c r="R61" i="33" s="1"/>
  <c r="N58" i="33"/>
  <c r="K58" i="33"/>
  <c r="H58" i="33"/>
  <c r="E58" i="33"/>
  <c r="Q55" i="33"/>
  <c r="N55" i="33"/>
  <c r="K55" i="33"/>
  <c r="H55" i="33"/>
  <c r="S50" i="33"/>
  <c r="T50" i="33" s="1"/>
  <c r="N50" i="33"/>
  <c r="K50" i="33"/>
  <c r="H50" i="33"/>
  <c r="E50" i="33"/>
  <c r="Q47" i="33"/>
  <c r="N47" i="33"/>
  <c r="K47" i="33"/>
  <c r="H47" i="33"/>
  <c r="S42" i="33"/>
  <c r="T42" i="33" s="1"/>
  <c r="N42" i="33"/>
  <c r="K42" i="33"/>
  <c r="H42" i="33"/>
  <c r="E42" i="33"/>
  <c r="Q39" i="33"/>
  <c r="N39" i="33"/>
  <c r="K39" i="33"/>
  <c r="H39" i="33"/>
  <c r="S34" i="33"/>
  <c r="R34" i="33" s="1"/>
  <c r="R37" i="33" s="1"/>
  <c r="N34" i="33"/>
  <c r="K34" i="33"/>
  <c r="H34" i="33"/>
  <c r="E34" i="33"/>
  <c r="Q31" i="33"/>
  <c r="N31" i="33"/>
  <c r="K31" i="33"/>
  <c r="H31" i="33"/>
  <c r="S26" i="33"/>
  <c r="T26" i="33" s="1"/>
  <c r="R26" i="33"/>
  <c r="R29" i="33" s="1"/>
  <c r="N26" i="33"/>
  <c r="K26" i="33"/>
  <c r="H26" i="33"/>
  <c r="E26" i="33"/>
  <c r="Q23" i="33"/>
  <c r="N23" i="33"/>
  <c r="K23" i="33"/>
  <c r="H23" i="33"/>
  <c r="S18" i="33"/>
  <c r="B18" i="33" s="1"/>
  <c r="U18" i="33" s="1"/>
  <c r="AC23" i="33" s="1"/>
  <c r="T18" i="33"/>
  <c r="N18" i="33"/>
  <c r="K18" i="33"/>
  <c r="H18" i="33"/>
  <c r="E18" i="33"/>
  <c r="Q15" i="33"/>
  <c r="N15" i="33"/>
  <c r="K15" i="33"/>
  <c r="H15" i="33"/>
  <c r="N10" i="33"/>
  <c r="K10" i="33"/>
  <c r="H10" i="33"/>
  <c r="E10" i="33"/>
  <c r="AC3" i="33"/>
  <c r="AC1" i="33"/>
  <c r="AC2" i="33"/>
  <c r="C1" i="33"/>
  <c r="H114" i="32"/>
  <c r="G114" i="32"/>
  <c r="Q111" i="32"/>
  <c r="N111" i="32"/>
  <c r="K111" i="32"/>
  <c r="H111" i="32"/>
  <c r="S106" i="32"/>
  <c r="R106" i="32" s="1"/>
  <c r="R109" i="32" s="1"/>
  <c r="N106" i="32"/>
  <c r="K106" i="32"/>
  <c r="H106" i="32"/>
  <c r="E106" i="32"/>
  <c r="Q103" i="32"/>
  <c r="N103" i="32"/>
  <c r="K103" i="32"/>
  <c r="H103" i="32"/>
  <c r="S98" i="32"/>
  <c r="R98" i="32" s="1"/>
  <c r="R101" i="32" s="1"/>
  <c r="N98" i="32"/>
  <c r="K98" i="32"/>
  <c r="H98" i="32"/>
  <c r="E98" i="32"/>
  <c r="Q95" i="32"/>
  <c r="N95" i="32"/>
  <c r="K95" i="32"/>
  <c r="H95" i="32"/>
  <c r="T90" i="32"/>
  <c r="R90" i="32"/>
  <c r="R93" i="32" s="1"/>
  <c r="N90" i="32"/>
  <c r="K90" i="32"/>
  <c r="H90" i="32"/>
  <c r="E90" i="32"/>
  <c r="B90" i="32"/>
  <c r="U90" i="32" s="1"/>
  <c r="AC95" i="32" s="1"/>
  <c r="Q87" i="32"/>
  <c r="N87" i="32"/>
  <c r="K87" i="32"/>
  <c r="H87" i="32"/>
  <c r="S82" i="32"/>
  <c r="R82" i="32" s="1"/>
  <c r="R85" i="32" s="1"/>
  <c r="N82" i="32"/>
  <c r="K82" i="32"/>
  <c r="H82" i="32"/>
  <c r="E82" i="32"/>
  <c r="Q79" i="32"/>
  <c r="N79" i="32"/>
  <c r="K79" i="32"/>
  <c r="H79" i="32"/>
  <c r="S74" i="32"/>
  <c r="T74" i="32" s="1"/>
  <c r="N74" i="32"/>
  <c r="K74" i="32"/>
  <c r="H74" i="32"/>
  <c r="E74" i="32"/>
  <c r="Q71" i="32"/>
  <c r="N71" i="32"/>
  <c r="K71" i="32"/>
  <c r="H71" i="32"/>
  <c r="S66" i="32"/>
  <c r="R66" i="32" s="1"/>
  <c r="R69" i="32" s="1"/>
  <c r="B66" i="32"/>
  <c r="U66" i="32" s="1"/>
  <c r="AC71" i="32" s="1"/>
  <c r="N66" i="32"/>
  <c r="K66" i="32"/>
  <c r="H66" i="32"/>
  <c r="E66" i="32"/>
  <c r="Q63" i="32"/>
  <c r="N63" i="32"/>
  <c r="K63" i="32"/>
  <c r="H63" i="32"/>
  <c r="S58" i="32"/>
  <c r="R58" i="32" s="1"/>
  <c r="R61" i="32" s="1"/>
  <c r="N58" i="32"/>
  <c r="K58" i="32"/>
  <c r="H58" i="32"/>
  <c r="E58" i="32"/>
  <c r="Q55" i="32"/>
  <c r="N55" i="32"/>
  <c r="K55" i="32"/>
  <c r="H55" i="32"/>
  <c r="S50" i="32"/>
  <c r="B50" i="32" s="1"/>
  <c r="U50" i="32" s="1"/>
  <c r="AC55" i="32" s="1"/>
  <c r="N50" i="32"/>
  <c r="K50" i="32"/>
  <c r="H50" i="32"/>
  <c r="E50" i="32"/>
  <c r="Q47" i="32"/>
  <c r="N47" i="32"/>
  <c r="K47" i="32"/>
  <c r="H47" i="32"/>
  <c r="S42" i="32"/>
  <c r="T42" i="32" s="1"/>
  <c r="N42" i="32"/>
  <c r="K42" i="32"/>
  <c r="H42" i="32"/>
  <c r="E42" i="32"/>
  <c r="Q39" i="32"/>
  <c r="N39" i="32"/>
  <c r="K39" i="32"/>
  <c r="H39" i="32"/>
  <c r="S34" i="32"/>
  <c r="R34" i="32" s="1"/>
  <c r="R37" i="32" s="1"/>
  <c r="N34" i="32"/>
  <c r="K34" i="32"/>
  <c r="H34" i="32"/>
  <c r="E34" i="32"/>
  <c r="Q31" i="32"/>
  <c r="N31" i="32"/>
  <c r="K31" i="32"/>
  <c r="H31" i="32"/>
  <c r="S26" i="32"/>
  <c r="R26" i="32" s="1"/>
  <c r="R29" i="32" s="1"/>
  <c r="N26" i="32"/>
  <c r="K26" i="32"/>
  <c r="H26" i="32"/>
  <c r="E26" i="32"/>
  <c r="Q23" i="32"/>
  <c r="N23" i="32"/>
  <c r="K23" i="32"/>
  <c r="H23" i="32"/>
  <c r="S18" i="32"/>
  <c r="R18" i="32" s="1"/>
  <c r="R21" i="32" s="1"/>
  <c r="N18" i="32"/>
  <c r="K18" i="32"/>
  <c r="H18" i="32"/>
  <c r="E18" i="32"/>
  <c r="Q15" i="32"/>
  <c r="N15" i="32"/>
  <c r="K15" i="32"/>
  <c r="H15" i="32"/>
  <c r="N10" i="32"/>
  <c r="K10" i="32"/>
  <c r="H10" i="32"/>
  <c r="E10" i="32"/>
  <c r="AC3" i="32"/>
  <c r="AC1" i="32"/>
  <c r="C1" i="32"/>
  <c r="H114" i="30"/>
  <c r="G114" i="30"/>
  <c r="Q111" i="30"/>
  <c r="N111" i="30"/>
  <c r="K111" i="30"/>
  <c r="H111" i="30"/>
  <c r="N106" i="30"/>
  <c r="K106" i="30"/>
  <c r="H106" i="30"/>
  <c r="E106" i="30"/>
  <c r="Q103" i="30"/>
  <c r="N103" i="30"/>
  <c r="K103" i="30"/>
  <c r="H103" i="30"/>
  <c r="N98" i="30"/>
  <c r="K98" i="30"/>
  <c r="H98" i="30"/>
  <c r="E98" i="30"/>
  <c r="Q95" i="30"/>
  <c r="N95" i="30"/>
  <c r="K95" i="30"/>
  <c r="H95" i="30"/>
  <c r="N90" i="30"/>
  <c r="K90" i="30"/>
  <c r="H90" i="30"/>
  <c r="E90" i="30"/>
  <c r="Q87" i="30"/>
  <c r="N87" i="30"/>
  <c r="K87" i="30"/>
  <c r="H87" i="30"/>
  <c r="N82" i="30"/>
  <c r="K82" i="30"/>
  <c r="H82" i="30"/>
  <c r="E82" i="30"/>
  <c r="Q79" i="30"/>
  <c r="N79" i="30"/>
  <c r="K79" i="30"/>
  <c r="H79" i="30"/>
  <c r="S74" i="30"/>
  <c r="T74" i="30" s="1"/>
  <c r="N74" i="30"/>
  <c r="K74" i="30"/>
  <c r="H74" i="30"/>
  <c r="E74" i="30"/>
  <c r="Q71" i="30"/>
  <c r="N71" i="30"/>
  <c r="K71" i="30"/>
  <c r="H71" i="30"/>
  <c r="S66" i="30"/>
  <c r="R66" i="30" s="1"/>
  <c r="R69" i="30" s="1"/>
  <c r="N66" i="30"/>
  <c r="K66" i="30"/>
  <c r="H66" i="30"/>
  <c r="E66" i="30"/>
  <c r="Q63" i="30"/>
  <c r="N63" i="30"/>
  <c r="K63" i="30"/>
  <c r="H63" i="30"/>
  <c r="S58" i="30"/>
  <c r="N58" i="30"/>
  <c r="K58" i="30"/>
  <c r="H58" i="30"/>
  <c r="E58" i="30"/>
  <c r="Q55" i="30"/>
  <c r="N55" i="30"/>
  <c r="K55" i="30"/>
  <c r="H55" i="30"/>
  <c r="N50" i="30"/>
  <c r="K50" i="30"/>
  <c r="H50" i="30"/>
  <c r="E50" i="30"/>
  <c r="Q47" i="30"/>
  <c r="N47" i="30"/>
  <c r="K47" i="30"/>
  <c r="H47" i="30"/>
  <c r="N42" i="30"/>
  <c r="K42" i="30"/>
  <c r="H42" i="30"/>
  <c r="E42" i="30"/>
  <c r="Q39" i="30"/>
  <c r="N39" i="30"/>
  <c r="K39" i="30"/>
  <c r="H39" i="30"/>
  <c r="N34" i="30"/>
  <c r="K34" i="30"/>
  <c r="H34" i="30"/>
  <c r="E34" i="30"/>
  <c r="Q31" i="30"/>
  <c r="N31" i="30"/>
  <c r="K31" i="30"/>
  <c r="H31" i="30"/>
  <c r="N26" i="30"/>
  <c r="K26" i="30"/>
  <c r="H26" i="30"/>
  <c r="E26" i="30"/>
  <c r="Q23" i="30"/>
  <c r="N23" i="30"/>
  <c r="K23" i="30"/>
  <c r="H23" i="30"/>
  <c r="S18" i="30"/>
  <c r="T18" i="30" s="1"/>
  <c r="N18" i="30"/>
  <c r="K18" i="30"/>
  <c r="H18" i="30"/>
  <c r="E18" i="30"/>
  <c r="Q15" i="30"/>
  <c r="N15" i="30"/>
  <c r="K15" i="30"/>
  <c r="H15" i="30"/>
  <c r="S10" i="30"/>
  <c r="B10" i="30" s="1"/>
  <c r="U10" i="30" s="1"/>
  <c r="AC15" i="30" s="1"/>
  <c r="N10" i="30"/>
  <c r="K10" i="30"/>
  <c r="H10" i="30"/>
  <c r="E10" i="30"/>
  <c r="AC3" i="30"/>
  <c r="AC1" i="30"/>
  <c r="S50" i="30" s="1"/>
  <c r="T50" i="30" s="1"/>
  <c r="AC2" i="30"/>
  <c r="S82" i="30" s="1"/>
  <c r="R82" i="30" s="1"/>
  <c r="R85" i="30" s="1"/>
  <c r="C1" i="30"/>
  <c r="C1" i="26"/>
  <c r="H114" i="29"/>
  <c r="G114" i="29"/>
  <c r="Q111" i="29"/>
  <c r="N111" i="29"/>
  <c r="H111" i="29"/>
  <c r="S106" i="29"/>
  <c r="R106" i="29" s="1"/>
  <c r="R109" i="29" s="1"/>
  <c r="N106" i="29"/>
  <c r="K106" i="29"/>
  <c r="E106" i="29"/>
  <c r="Q103" i="29"/>
  <c r="N103" i="29"/>
  <c r="H103" i="29"/>
  <c r="S98" i="29"/>
  <c r="R98" i="29" s="1"/>
  <c r="R101" i="29" s="1"/>
  <c r="N98" i="29"/>
  <c r="K98" i="29"/>
  <c r="E98" i="29"/>
  <c r="Q95" i="29"/>
  <c r="N95" i="29"/>
  <c r="H95" i="29"/>
  <c r="S90" i="29"/>
  <c r="T90" i="29"/>
  <c r="N90" i="29"/>
  <c r="K90" i="29"/>
  <c r="E90" i="29"/>
  <c r="Q87" i="29"/>
  <c r="N87" i="29"/>
  <c r="H87" i="29"/>
  <c r="S82" i="29"/>
  <c r="T82" i="29" s="1"/>
  <c r="R82" i="29"/>
  <c r="R85" i="29" s="1"/>
  <c r="N82" i="29"/>
  <c r="K82" i="29"/>
  <c r="E82" i="29"/>
  <c r="Q79" i="29"/>
  <c r="N79" i="29"/>
  <c r="H79" i="29"/>
  <c r="S74" i="29"/>
  <c r="T74" i="29" s="1"/>
  <c r="N74" i="29"/>
  <c r="K74" i="29"/>
  <c r="E74" i="29"/>
  <c r="Q71" i="29"/>
  <c r="N71" i="29"/>
  <c r="H71" i="29"/>
  <c r="S66" i="29"/>
  <c r="R66" i="29" s="1"/>
  <c r="R69" i="29" s="1"/>
  <c r="N66" i="29"/>
  <c r="K66" i="29"/>
  <c r="E66" i="29"/>
  <c r="Q63" i="29"/>
  <c r="N63" i="29"/>
  <c r="H63" i="29"/>
  <c r="S58" i="29"/>
  <c r="B58" i="29" s="1"/>
  <c r="R58" i="29"/>
  <c r="R61" i="29" s="1"/>
  <c r="N58" i="29"/>
  <c r="K58" i="29"/>
  <c r="E58" i="29"/>
  <c r="Q55" i="29"/>
  <c r="N55" i="29"/>
  <c r="H55" i="29"/>
  <c r="S50" i="29"/>
  <c r="R50" i="29" s="1"/>
  <c r="R53" i="29" s="1"/>
  <c r="B50" i="29"/>
  <c r="N50" i="29"/>
  <c r="K50" i="29"/>
  <c r="E50" i="29"/>
  <c r="Q47" i="29"/>
  <c r="N47" i="29"/>
  <c r="H47" i="29"/>
  <c r="S42" i="29"/>
  <c r="R42" i="29" s="1"/>
  <c r="R45" i="29" s="1"/>
  <c r="T42" i="29"/>
  <c r="N42" i="29"/>
  <c r="K42" i="29"/>
  <c r="E42" i="29"/>
  <c r="B42" i="29"/>
  <c r="Q39" i="29"/>
  <c r="N39" i="29"/>
  <c r="H39" i="29"/>
  <c r="S34" i="29"/>
  <c r="R34" i="29" s="1"/>
  <c r="R37" i="29" s="1"/>
  <c r="N34" i="29"/>
  <c r="K34" i="29"/>
  <c r="E34" i="29"/>
  <c r="Q31" i="29"/>
  <c r="N31" i="29"/>
  <c r="H31" i="29"/>
  <c r="S26" i="29"/>
  <c r="R26" i="29" s="1"/>
  <c r="R29" i="29" s="1"/>
  <c r="N26" i="29"/>
  <c r="K26" i="29"/>
  <c r="E26" i="29"/>
  <c r="Q23" i="29"/>
  <c r="N23" i="29"/>
  <c r="K23" i="29"/>
  <c r="H23" i="29"/>
  <c r="S18" i="29"/>
  <c r="R18" i="29" s="1"/>
  <c r="R21" i="29" s="1"/>
  <c r="B18" i="29"/>
  <c r="N18" i="29"/>
  <c r="K18" i="29"/>
  <c r="H18" i="29"/>
  <c r="E18" i="29"/>
  <c r="Q15" i="29"/>
  <c r="N15" i="29"/>
  <c r="K15" i="29"/>
  <c r="H15" i="29"/>
  <c r="S10" i="29"/>
  <c r="T10" i="29" s="1"/>
  <c r="N10" i="29"/>
  <c r="K10" i="29"/>
  <c r="H10" i="29"/>
  <c r="E10" i="29"/>
  <c r="AC1" i="29"/>
  <c r="AC2" i="29" s="1"/>
  <c r="H114" i="26"/>
  <c r="G114" i="26"/>
  <c r="Q111" i="26"/>
  <c r="N111" i="26"/>
  <c r="K111" i="26"/>
  <c r="H111" i="26"/>
  <c r="S106" i="26"/>
  <c r="R106" i="26" s="1"/>
  <c r="R109" i="26" s="1"/>
  <c r="N106" i="26"/>
  <c r="K106" i="26"/>
  <c r="H106" i="26"/>
  <c r="E106" i="26"/>
  <c r="Q103" i="26"/>
  <c r="N103" i="26"/>
  <c r="K103" i="26"/>
  <c r="H103" i="26"/>
  <c r="N98" i="26"/>
  <c r="K98" i="26"/>
  <c r="H98" i="26"/>
  <c r="E98" i="26"/>
  <c r="Q95" i="26"/>
  <c r="N95" i="26"/>
  <c r="K95" i="26"/>
  <c r="H95" i="26"/>
  <c r="N90" i="26"/>
  <c r="K90" i="26"/>
  <c r="H90" i="26"/>
  <c r="E90" i="26"/>
  <c r="Q87" i="26"/>
  <c r="N87" i="26"/>
  <c r="K87" i="26"/>
  <c r="H87" i="26"/>
  <c r="N82" i="26"/>
  <c r="K82" i="26"/>
  <c r="H82" i="26"/>
  <c r="E82" i="26"/>
  <c r="Q79" i="26"/>
  <c r="N79" i="26"/>
  <c r="K79" i="26"/>
  <c r="H79" i="26"/>
  <c r="N74" i="26"/>
  <c r="K74" i="26"/>
  <c r="H74" i="26"/>
  <c r="E74" i="26"/>
  <c r="Q71" i="26"/>
  <c r="N71" i="26"/>
  <c r="H71" i="26"/>
  <c r="N66" i="26"/>
  <c r="K66" i="26"/>
  <c r="H66" i="26"/>
  <c r="E66" i="26"/>
  <c r="Q63" i="26"/>
  <c r="N63" i="26"/>
  <c r="K63" i="26"/>
  <c r="H63" i="26"/>
  <c r="N58" i="26"/>
  <c r="K58" i="26"/>
  <c r="H58" i="26"/>
  <c r="E58" i="26"/>
  <c r="Q55" i="26"/>
  <c r="N55" i="26"/>
  <c r="H55" i="26"/>
  <c r="K50" i="26"/>
  <c r="H50" i="26"/>
  <c r="E50" i="26"/>
  <c r="Q47" i="26"/>
  <c r="N47" i="26"/>
  <c r="K47" i="26"/>
  <c r="H47" i="26"/>
  <c r="N42" i="26"/>
  <c r="K42" i="26"/>
  <c r="H42" i="26"/>
  <c r="E42" i="26"/>
  <c r="Q39" i="26"/>
  <c r="N39" i="26"/>
  <c r="K39" i="26"/>
  <c r="H39" i="26"/>
  <c r="N34" i="26"/>
  <c r="K34" i="26"/>
  <c r="H34" i="26"/>
  <c r="E34" i="26"/>
  <c r="Q31" i="26"/>
  <c r="N31" i="26"/>
  <c r="K31" i="26"/>
  <c r="H31" i="26"/>
  <c r="N26" i="26"/>
  <c r="K26" i="26"/>
  <c r="H26" i="26"/>
  <c r="E26" i="26"/>
  <c r="Q23" i="26"/>
  <c r="N23" i="26"/>
  <c r="K23" i="26"/>
  <c r="H23" i="26"/>
  <c r="N18" i="26"/>
  <c r="K18" i="26"/>
  <c r="H18" i="26"/>
  <c r="E18" i="26"/>
  <c r="Q15" i="26"/>
  <c r="N15" i="26"/>
  <c r="K15" i="26"/>
  <c r="H15" i="26"/>
  <c r="N10" i="26"/>
  <c r="K10" i="26"/>
  <c r="H10" i="26"/>
  <c r="E10" i="26"/>
  <c r="AC3" i="26"/>
  <c r="AC1" i="26"/>
  <c r="S74" i="26" s="1"/>
  <c r="R74" i="26" s="1"/>
  <c r="R77" i="26" s="1"/>
  <c r="Q79" i="12"/>
  <c r="N79" i="12"/>
  <c r="K79" i="12"/>
  <c r="H79" i="12"/>
  <c r="N74" i="12"/>
  <c r="K74" i="12"/>
  <c r="H74" i="12"/>
  <c r="E74" i="12"/>
  <c r="Q71" i="12"/>
  <c r="N71" i="12"/>
  <c r="K71" i="12"/>
  <c r="H71" i="12"/>
  <c r="N66" i="12"/>
  <c r="K66" i="12"/>
  <c r="H66" i="12"/>
  <c r="E66" i="12"/>
  <c r="Q63" i="12"/>
  <c r="N63" i="12"/>
  <c r="K63" i="12"/>
  <c r="H63" i="12"/>
  <c r="N58" i="12"/>
  <c r="K58" i="12"/>
  <c r="H58" i="12"/>
  <c r="E58" i="12"/>
  <c r="Q55" i="12"/>
  <c r="N55" i="12"/>
  <c r="K55" i="12"/>
  <c r="H55" i="12"/>
  <c r="N50" i="12"/>
  <c r="K50" i="12"/>
  <c r="H50" i="12"/>
  <c r="E50" i="12"/>
  <c r="Q47" i="12"/>
  <c r="N47" i="12"/>
  <c r="K47" i="12"/>
  <c r="H47" i="12"/>
  <c r="N42" i="12"/>
  <c r="K42" i="12"/>
  <c r="H42" i="12"/>
  <c r="E42" i="12"/>
  <c r="Q39" i="12"/>
  <c r="N39" i="12"/>
  <c r="K39" i="12"/>
  <c r="H39" i="12"/>
  <c r="N34" i="12"/>
  <c r="K34" i="12"/>
  <c r="H34" i="12"/>
  <c r="E34" i="12"/>
  <c r="Q31" i="12"/>
  <c r="N31" i="12"/>
  <c r="K31" i="12"/>
  <c r="H31" i="12"/>
  <c r="N26" i="12"/>
  <c r="K26" i="12"/>
  <c r="H26" i="12"/>
  <c r="E26" i="12"/>
  <c r="Q23" i="12"/>
  <c r="N23" i="12"/>
  <c r="K23" i="12"/>
  <c r="H23" i="12"/>
  <c r="N18" i="12"/>
  <c r="K18" i="12"/>
  <c r="H18" i="12"/>
  <c r="E18" i="12"/>
  <c r="Q15" i="12"/>
  <c r="N15" i="12"/>
  <c r="K15" i="12"/>
  <c r="H15" i="12"/>
  <c r="N10" i="12"/>
  <c r="K10" i="12"/>
  <c r="H10" i="12"/>
  <c r="E10" i="12"/>
  <c r="AC1" i="12"/>
  <c r="AC2" i="12"/>
  <c r="AC3" i="12"/>
  <c r="S50" i="12"/>
  <c r="R50" i="12" s="1"/>
  <c r="R53" i="12" s="1"/>
  <c r="S58" i="12"/>
  <c r="B58" i="12" s="1"/>
  <c r="U58" i="12" s="1"/>
  <c r="AC63" i="12" s="1"/>
  <c r="S66" i="12"/>
  <c r="B66" i="12" s="1"/>
  <c r="U66" i="12" s="1"/>
  <c r="AC71" i="12" s="1"/>
  <c r="S74" i="12"/>
  <c r="R74" i="12" s="1"/>
  <c r="R77" i="12" s="1"/>
  <c r="S82" i="12"/>
  <c r="T82" i="12" s="1"/>
  <c r="E82" i="12"/>
  <c r="H82" i="12"/>
  <c r="K82" i="12"/>
  <c r="N82" i="12"/>
  <c r="H87" i="12"/>
  <c r="K87" i="12"/>
  <c r="N87" i="12"/>
  <c r="Q87" i="12"/>
  <c r="S90" i="12"/>
  <c r="B90" i="12" s="1"/>
  <c r="U90" i="12" s="1"/>
  <c r="AC95" i="12" s="1"/>
  <c r="E90" i="12"/>
  <c r="H90" i="12"/>
  <c r="K90" i="12"/>
  <c r="N90" i="12"/>
  <c r="H95" i="12"/>
  <c r="K95" i="12"/>
  <c r="N95" i="12"/>
  <c r="Q95" i="12"/>
  <c r="S98" i="12"/>
  <c r="T98" i="12" s="1"/>
  <c r="E98" i="12"/>
  <c r="H98" i="12"/>
  <c r="K98" i="12"/>
  <c r="N98" i="12"/>
  <c r="H103" i="12"/>
  <c r="K103" i="12"/>
  <c r="N103" i="12"/>
  <c r="Q103" i="12"/>
  <c r="E106" i="12"/>
  <c r="H106" i="12"/>
  <c r="K106" i="12"/>
  <c r="N106" i="12"/>
  <c r="S106" i="12"/>
  <c r="U106" i="12"/>
  <c r="AC111" i="12"/>
  <c r="H111" i="12"/>
  <c r="K111" i="12"/>
  <c r="N111" i="12"/>
  <c r="Q111" i="12"/>
  <c r="G114" i="12"/>
  <c r="H114" i="12"/>
  <c r="V114" i="12"/>
  <c r="W114" i="12"/>
  <c r="X114" i="12"/>
  <c r="Y114" i="12"/>
  <c r="Z114" i="12"/>
  <c r="AA114" i="12"/>
  <c r="AC1" i="11"/>
  <c r="AC3" i="11"/>
  <c r="S50" i="11"/>
  <c r="R50" i="11" s="1"/>
  <c r="R53" i="11" s="1"/>
  <c r="S58" i="11"/>
  <c r="R58" i="11" s="1"/>
  <c r="R61" i="11" s="1"/>
  <c r="B58" i="11"/>
  <c r="U58" i="11" s="1"/>
  <c r="AC63" i="11" s="1"/>
  <c r="S66" i="11"/>
  <c r="B66" i="11" s="1"/>
  <c r="U66" i="11" s="1"/>
  <c r="AC71" i="11" s="1"/>
  <c r="S74" i="11"/>
  <c r="B74" i="11" s="1"/>
  <c r="U74" i="11" s="1"/>
  <c r="AC79" i="11" s="1"/>
  <c r="S82" i="11"/>
  <c r="B82" i="11" s="1"/>
  <c r="U82" i="11" s="1"/>
  <c r="AC87" i="11" s="1"/>
  <c r="S90" i="11"/>
  <c r="R90" i="11" s="1"/>
  <c r="R93" i="11" s="1"/>
  <c r="S98" i="11"/>
  <c r="R98" i="11" s="1"/>
  <c r="R101" i="11" s="1"/>
  <c r="S106" i="11"/>
  <c r="T106" i="11" s="1"/>
  <c r="H79" i="11"/>
  <c r="H74" i="11"/>
  <c r="E74" i="11"/>
  <c r="N55" i="11"/>
  <c r="K55" i="11"/>
  <c r="H55" i="11"/>
  <c r="N50" i="11"/>
  <c r="K50" i="11"/>
  <c r="H50" i="11"/>
  <c r="E50" i="11"/>
  <c r="N47" i="11"/>
  <c r="K47" i="11"/>
  <c r="H47" i="11"/>
  <c r="N42" i="11"/>
  <c r="K42" i="11"/>
  <c r="H42" i="11"/>
  <c r="E42" i="11"/>
  <c r="B98" i="11"/>
  <c r="U98" i="11" s="1"/>
  <c r="AC103" i="11" s="1"/>
  <c r="U106" i="11"/>
  <c r="AC111" i="11"/>
  <c r="Q15" i="11"/>
  <c r="N15" i="11"/>
  <c r="K15" i="11"/>
  <c r="N10" i="11"/>
  <c r="K10" i="11"/>
  <c r="H15" i="11"/>
  <c r="H10" i="11"/>
  <c r="E10" i="11"/>
  <c r="Q23" i="11"/>
  <c r="N23" i="11"/>
  <c r="K23" i="11"/>
  <c r="H23" i="11"/>
  <c r="N18" i="11"/>
  <c r="K18" i="11"/>
  <c r="H18" i="11"/>
  <c r="E18" i="11"/>
  <c r="Q111" i="11"/>
  <c r="N111" i="11"/>
  <c r="K111" i="11"/>
  <c r="H111" i="11"/>
  <c r="N106" i="11"/>
  <c r="K106" i="11"/>
  <c r="H106" i="11"/>
  <c r="E106" i="11"/>
  <c r="Q103" i="11"/>
  <c r="N103" i="11"/>
  <c r="K103" i="11"/>
  <c r="H103" i="11"/>
  <c r="N98" i="11"/>
  <c r="K98" i="11"/>
  <c r="H98" i="11"/>
  <c r="E98" i="11"/>
  <c r="Q95" i="11"/>
  <c r="N95" i="11"/>
  <c r="K95" i="11"/>
  <c r="H95" i="11"/>
  <c r="N90" i="11"/>
  <c r="K90" i="11"/>
  <c r="H90" i="11"/>
  <c r="E90" i="11"/>
  <c r="Q87" i="11"/>
  <c r="N87" i="11"/>
  <c r="K87" i="11"/>
  <c r="H87" i="11"/>
  <c r="N82" i="11"/>
  <c r="K82" i="11"/>
  <c r="H82" i="11"/>
  <c r="E82" i="11"/>
  <c r="Q79" i="11"/>
  <c r="N79" i="11"/>
  <c r="K79" i="11"/>
  <c r="N74" i="11"/>
  <c r="K74" i="11"/>
  <c r="Q71" i="11"/>
  <c r="N71" i="11"/>
  <c r="K71" i="11"/>
  <c r="H71" i="11"/>
  <c r="N66" i="11"/>
  <c r="K66" i="11"/>
  <c r="H66" i="11"/>
  <c r="E66" i="11"/>
  <c r="Q63" i="11"/>
  <c r="N63" i="11"/>
  <c r="K63" i="11"/>
  <c r="H63" i="11"/>
  <c r="N58" i="11"/>
  <c r="K58" i="11"/>
  <c r="H58" i="11"/>
  <c r="E58" i="11"/>
  <c r="Q55" i="11"/>
  <c r="Q47" i="11"/>
  <c r="Q39" i="11"/>
  <c r="N39" i="11"/>
  <c r="K39" i="11"/>
  <c r="H39" i="11"/>
  <c r="N34" i="11"/>
  <c r="K34" i="11"/>
  <c r="H34" i="11"/>
  <c r="E34" i="11"/>
  <c r="Q31" i="11"/>
  <c r="N31" i="11"/>
  <c r="K31" i="11"/>
  <c r="H31" i="11"/>
  <c r="N26" i="11"/>
  <c r="K26" i="11"/>
  <c r="H26" i="11"/>
  <c r="E26" i="11"/>
  <c r="G114" i="11"/>
  <c r="T50" i="11"/>
  <c r="V114" i="11"/>
  <c r="AA114" i="11"/>
  <c r="Z114" i="11"/>
  <c r="Y114" i="11"/>
  <c r="X114" i="11"/>
  <c r="W114" i="11"/>
  <c r="T82" i="11"/>
  <c r="H114" i="11"/>
  <c r="T58" i="11"/>
  <c r="R106" i="12"/>
  <c r="R109" i="12" s="1"/>
  <c r="T106" i="12"/>
  <c r="T50" i="12"/>
  <c r="AC2" i="11"/>
  <c r="S26" i="11" s="1"/>
  <c r="T26" i="11" s="1"/>
  <c r="T74" i="12"/>
  <c r="B74" i="12"/>
  <c r="U74" i="12" s="1"/>
  <c r="AC79" i="12" s="1"/>
  <c r="AC2" i="26"/>
  <c r="S42" i="26" s="1"/>
  <c r="R42" i="26" s="1"/>
  <c r="R45" i="26" s="1"/>
  <c r="T18" i="29"/>
  <c r="B34" i="29"/>
  <c r="R18" i="33"/>
  <c r="R21" i="33"/>
  <c r="T34" i="33"/>
  <c r="B42" i="33"/>
  <c r="U42" i="33" s="1"/>
  <c r="AC47" i="33" s="1"/>
  <c r="B74" i="33"/>
  <c r="U74" i="33" s="1"/>
  <c r="AC79" i="33" s="1"/>
  <c r="R82" i="33"/>
  <c r="R85" i="33" s="1"/>
  <c r="T98" i="33"/>
  <c r="B34" i="33"/>
  <c r="U34" i="33" s="1"/>
  <c r="AC39" i="33" s="1"/>
  <c r="T34" i="32"/>
  <c r="B42" i="32"/>
  <c r="U42" i="32" s="1"/>
  <c r="AC47" i="32" s="1"/>
  <c r="T66" i="32"/>
  <c r="R42" i="32"/>
  <c r="R45" i="32" s="1"/>
  <c r="R90" i="29"/>
  <c r="R93" i="29" s="1"/>
  <c r="B90" i="29"/>
  <c r="B82" i="29"/>
  <c r="T26" i="29"/>
  <c r="B26" i="29"/>
  <c r="T50" i="29"/>
  <c r="T58" i="29"/>
  <c r="T98" i="29"/>
  <c r="B98" i="29"/>
  <c r="T66" i="33" l="1"/>
  <c r="S10" i="26"/>
  <c r="R66" i="11"/>
  <c r="R69" i="11" s="1"/>
  <c r="S18" i="26"/>
  <c r="R18" i="26" s="1"/>
  <c r="R21" i="26" s="1"/>
  <c r="S50" i="26"/>
  <c r="T50" i="26" s="1"/>
  <c r="S58" i="26"/>
  <c r="R58" i="26" s="1"/>
  <c r="R61" i="26" s="1"/>
  <c r="S26" i="30"/>
  <c r="T26" i="30" s="1"/>
  <c r="S90" i="30"/>
  <c r="R90" i="30" s="1"/>
  <c r="R93" i="30" s="1"/>
  <c r="S10" i="33"/>
  <c r="B10" i="33" s="1"/>
  <c r="U10" i="33" s="1"/>
  <c r="AC15" i="33" s="1"/>
  <c r="R74" i="33"/>
  <c r="R77" i="33" s="1"/>
  <c r="B50" i="12"/>
  <c r="U50" i="12" s="1"/>
  <c r="AC55" i="12" s="1"/>
  <c r="R50" i="33"/>
  <c r="R53" i="33" s="1"/>
  <c r="T90" i="11"/>
  <c r="B90" i="11"/>
  <c r="U90" i="11" s="1"/>
  <c r="AC95" i="11" s="1"/>
  <c r="S66" i="26"/>
  <c r="T66" i="26" s="1"/>
  <c r="S34" i="30"/>
  <c r="R34" i="30" s="1"/>
  <c r="R37" i="30" s="1"/>
  <c r="S98" i="30"/>
  <c r="R98" i="30" s="1"/>
  <c r="R101" i="30" s="1"/>
  <c r="R106" i="11"/>
  <c r="R109" i="11" s="1"/>
  <c r="S42" i="11"/>
  <c r="R98" i="12"/>
  <c r="R101" i="12" s="1"/>
  <c r="S34" i="26"/>
  <c r="S82" i="26"/>
  <c r="R82" i="26" s="1"/>
  <c r="R85" i="26" s="1"/>
  <c r="S42" i="30"/>
  <c r="R42" i="30" s="1"/>
  <c r="R45" i="30" s="1"/>
  <c r="S106" i="30"/>
  <c r="T106" i="30" s="1"/>
  <c r="T82" i="33"/>
  <c r="U26" i="51"/>
  <c r="AC31" i="51" s="1"/>
  <c r="B34" i="51"/>
  <c r="U34" i="51" s="1"/>
  <c r="AC39" i="51" s="1"/>
  <c r="T66" i="11"/>
  <c r="B66" i="33"/>
  <c r="U66" i="33" s="1"/>
  <c r="AC71" i="33" s="1"/>
  <c r="T66" i="12"/>
  <c r="S98" i="26"/>
  <c r="R98" i="26" s="1"/>
  <c r="R101" i="26" s="1"/>
  <c r="S90" i="26"/>
  <c r="T90" i="26" s="1"/>
  <c r="R66" i="44"/>
  <c r="R69" i="44" s="1"/>
  <c r="U18" i="53"/>
  <c r="AC23" i="53" s="1"/>
  <c r="B26" i="53"/>
  <c r="B58" i="58"/>
  <c r="U50" i="58"/>
  <c r="AC55" i="58" s="1"/>
  <c r="R34" i="44"/>
  <c r="R37" i="44" s="1"/>
  <c r="B66" i="44"/>
  <c r="U66" i="44" s="1"/>
  <c r="AC71" i="44" s="1"/>
  <c r="AC55" i="57"/>
  <c r="U58" i="57"/>
  <c r="AC63" i="57" s="1"/>
  <c r="B66" i="57"/>
  <c r="T98" i="30"/>
  <c r="T82" i="30"/>
  <c r="R74" i="30"/>
  <c r="R77" i="30" s="1"/>
  <c r="T66" i="30"/>
  <c r="R58" i="30"/>
  <c r="R61" i="30" s="1"/>
  <c r="T58" i="30"/>
  <c r="R50" i="30"/>
  <c r="R53" i="30" s="1"/>
  <c r="R10" i="30"/>
  <c r="R13" i="30" s="1"/>
  <c r="U114" i="51"/>
  <c r="K114" i="51"/>
  <c r="R42" i="11"/>
  <c r="R45" i="11" s="1"/>
  <c r="T42" i="11"/>
  <c r="T18" i="32"/>
  <c r="S10" i="11"/>
  <c r="R10" i="11" s="1"/>
  <c r="R13" i="11" s="1"/>
  <c r="R82" i="11"/>
  <c r="R85" i="11" s="1"/>
  <c r="B98" i="12"/>
  <c r="U98" i="12" s="1"/>
  <c r="AC103" i="12" s="1"/>
  <c r="R66" i="12"/>
  <c r="R69" i="12" s="1"/>
  <c r="B50" i="33"/>
  <c r="U50" i="33" s="1"/>
  <c r="AC55" i="33" s="1"/>
  <c r="B82" i="44"/>
  <c r="U82" i="44" s="1"/>
  <c r="AC87" i="44" s="1"/>
  <c r="T82" i="32"/>
  <c r="S34" i="11"/>
  <c r="T74" i="11"/>
  <c r="T98" i="11"/>
  <c r="B26" i="33"/>
  <c r="U26" i="33" s="1"/>
  <c r="AC31" i="33" s="1"/>
  <c r="B74" i="44"/>
  <c r="U74" i="44" s="1"/>
  <c r="AC79" i="44" s="1"/>
  <c r="R26" i="11"/>
  <c r="R29" i="11" s="1"/>
  <c r="S18" i="11"/>
  <c r="T90" i="12"/>
  <c r="T82" i="44"/>
  <c r="B50" i="11"/>
  <c r="U50" i="11" s="1"/>
  <c r="AC55" i="11" s="1"/>
  <c r="B18" i="32"/>
  <c r="U18" i="32" s="1"/>
  <c r="AC23" i="32" s="1"/>
  <c r="R50" i="32"/>
  <c r="R53" i="32" s="1"/>
  <c r="B82" i="32"/>
  <c r="U82" i="32" s="1"/>
  <c r="AC87" i="32" s="1"/>
  <c r="B34" i="32"/>
  <c r="U34" i="32" s="1"/>
  <c r="AC39" i="32" s="1"/>
  <c r="T50" i="32"/>
  <c r="T106" i="32"/>
  <c r="R74" i="32"/>
  <c r="R77" i="32" s="1"/>
  <c r="B74" i="32"/>
  <c r="U74" i="32" s="1"/>
  <c r="AC79" i="32" s="1"/>
  <c r="R90" i="12"/>
  <c r="R93" i="12" s="1"/>
  <c r="S42" i="12"/>
  <c r="R42" i="12" s="1"/>
  <c r="R45" i="12" s="1"/>
  <c r="R42" i="33"/>
  <c r="R45" i="33" s="1"/>
  <c r="R90" i="33"/>
  <c r="R93" i="33" s="1"/>
  <c r="U58" i="29"/>
  <c r="AC63" i="29" s="1"/>
  <c r="U82" i="29"/>
  <c r="AC87" i="29" s="1"/>
  <c r="U34" i="29"/>
  <c r="AC39" i="29" s="1"/>
  <c r="B10" i="11"/>
  <c r="R114" i="11"/>
  <c r="R82" i="12"/>
  <c r="R85" i="12" s="1"/>
  <c r="S26" i="12"/>
  <c r="S10" i="12"/>
  <c r="B82" i="12"/>
  <c r="U82" i="12" s="1"/>
  <c r="AC87" i="12" s="1"/>
  <c r="R74" i="11"/>
  <c r="R77" i="11" s="1"/>
  <c r="AC2" i="32"/>
  <c r="S10" i="32" s="1"/>
  <c r="B26" i="32"/>
  <c r="U26" i="32" s="1"/>
  <c r="AC31" i="32" s="1"/>
  <c r="T26" i="32"/>
  <c r="B58" i="32"/>
  <c r="U58" i="32" s="1"/>
  <c r="AC63" i="32" s="1"/>
  <c r="T58" i="32"/>
  <c r="B98" i="32"/>
  <c r="U98" i="32" s="1"/>
  <c r="AC103" i="32" s="1"/>
  <c r="T98" i="32"/>
  <c r="T106" i="33"/>
  <c r="R58" i="12"/>
  <c r="R61" i="12" s="1"/>
  <c r="U18" i="29"/>
  <c r="AC23" i="29" s="1"/>
  <c r="U42" i="29"/>
  <c r="AC47" i="29" s="1"/>
  <c r="U50" i="29"/>
  <c r="AC55" i="29" s="1"/>
  <c r="R74" i="29"/>
  <c r="R77" i="29" s="1"/>
  <c r="B74" i="29"/>
  <c r="U90" i="29"/>
  <c r="AC95" i="29" s="1"/>
  <c r="T106" i="29"/>
  <c r="S34" i="12"/>
  <c r="T58" i="12"/>
  <c r="B90" i="33"/>
  <c r="U90" i="33" s="1"/>
  <c r="AC95" i="33" s="1"/>
  <c r="T58" i="44"/>
  <c r="U26" i="29"/>
  <c r="AC31" i="29" s="1"/>
  <c r="T34" i="29"/>
  <c r="U98" i="29"/>
  <c r="AC103" i="29" s="1"/>
  <c r="B106" i="33"/>
  <c r="U106" i="33" s="1"/>
  <c r="AC111" i="33" s="1"/>
  <c r="B66" i="29"/>
  <c r="T66" i="29"/>
  <c r="S18" i="12"/>
  <c r="B58" i="33"/>
  <c r="U58" i="33" s="1"/>
  <c r="AC63" i="33" s="1"/>
  <c r="R114" i="29"/>
  <c r="R10" i="29"/>
  <c r="R13" i="29" s="1"/>
  <c r="B10" i="29"/>
  <c r="U10" i="29" s="1"/>
  <c r="AC114" i="51"/>
  <c r="T10" i="33"/>
  <c r="R10" i="33"/>
  <c r="R13" i="33" s="1"/>
  <c r="R114" i="33"/>
  <c r="K114" i="33"/>
  <c r="T34" i="26"/>
  <c r="R34" i="26"/>
  <c r="R37" i="26" s="1"/>
  <c r="T74" i="26"/>
  <c r="S26" i="26"/>
  <c r="R26" i="26" s="1"/>
  <c r="R29" i="26" s="1"/>
  <c r="R18" i="30"/>
  <c r="R21" i="30" s="1"/>
  <c r="R114" i="30"/>
  <c r="R108" i="57" s="1"/>
  <c r="R114" i="50"/>
  <c r="R10" i="50"/>
  <c r="R13" i="50" s="1"/>
  <c r="T10" i="50"/>
  <c r="B10" i="50"/>
  <c r="U10" i="50" s="1"/>
  <c r="AC15" i="50" s="1"/>
  <c r="T18" i="50"/>
  <c r="R18" i="50"/>
  <c r="R21" i="50" s="1"/>
  <c r="B18" i="50"/>
  <c r="U18" i="50" s="1"/>
  <c r="AC23" i="50" s="1"/>
  <c r="S18" i="44"/>
  <c r="B90" i="44"/>
  <c r="U90" i="44" s="1"/>
  <c r="AC95" i="44" s="1"/>
  <c r="AC2" i="44"/>
  <c r="S10" i="44" s="1"/>
  <c r="T10" i="44" s="1"/>
  <c r="S26" i="44"/>
  <c r="R26" i="44" s="1"/>
  <c r="R29" i="44" s="1"/>
  <c r="R42" i="44"/>
  <c r="R45" i="44" s="1"/>
  <c r="R74" i="44"/>
  <c r="R77" i="44" s="1"/>
  <c r="B98" i="44"/>
  <c r="U98" i="44" s="1"/>
  <c r="AC103" i="44" s="1"/>
  <c r="R98" i="44"/>
  <c r="R101" i="44" s="1"/>
  <c r="T90" i="44"/>
  <c r="T50" i="44"/>
  <c r="B18" i="30"/>
  <c r="U18" i="30" s="1"/>
  <c r="AC23" i="30" s="1"/>
  <c r="T10" i="30"/>
  <c r="R26" i="49"/>
  <c r="R29" i="49" s="1"/>
  <c r="S10" i="49"/>
  <c r="B10" i="49" s="1"/>
  <c r="U10" i="49" s="1"/>
  <c r="AC15" i="49" s="1"/>
  <c r="S18" i="49"/>
  <c r="T42" i="26"/>
  <c r="T18" i="26"/>
  <c r="T106" i="26"/>
  <c r="B10" i="26"/>
  <c r="U10" i="26" s="1"/>
  <c r="AC15" i="26" s="1"/>
  <c r="T10" i="26"/>
  <c r="R10" i="26"/>
  <c r="R13" i="26" s="1"/>
  <c r="T58" i="26" l="1"/>
  <c r="R50" i="26"/>
  <c r="R53" i="26" s="1"/>
  <c r="R90" i="26"/>
  <c r="R93" i="26" s="1"/>
  <c r="R26" i="30"/>
  <c r="R29" i="30" s="1"/>
  <c r="T42" i="30"/>
  <c r="R106" i="30"/>
  <c r="R109" i="30" s="1"/>
  <c r="T34" i="30"/>
  <c r="T90" i="30"/>
  <c r="T82" i="26"/>
  <c r="T98" i="26"/>
  <c r="R66" i="26"/>
  <c r="R69" i="26" s="1"/>
  <c r="U26" i="53"/>
  <c r="AC31" i="53" s="1"/>
  <c r="B34" i="53"/>
  <c r="U58" i="58"/>
  <c r="AC63" i="58" s="1"/>
  <c r="B66" i="58"/>
  <c r="T26" i="26"/>
  <c r="R114" i="44"/>
  <c r="U66" i="57"/>
  <c r="AC71" i="57" s="1"/>
  <c r="B74" i="57"/>
  <c r="T34" i="11"/>
  <c r="R34" i="11"/>
  <c r="R37" i="11" s="1"/>
  <c r="T42" i="12"/>
  <c r="T10" i="11"/>
  <c r="T18" i="11"/>
  <c r="R18" i="11"/>
  <c r="R21" i="11" s="1"/>
  <c r="R114" i="32"/>
  <c r="R10" i="32"/>
  <c r="R13" i="32" s="1"/>
  <c r="B10" i="32"/>
  <c r="T10" i="32"/>
  <c r="R10" i="12"/>
  <c r="R13" i="12" s="1"/>
  <c r="T10" i="12"/>
  <c r="B10" i="12"/>
  <c r="B18" i="12" s="1"/>
  <c r="U18" i="12" s="1"/>
  <c r="AC23" i="12" s="1"/>
  <c r="R114" i="12"/>
  <c r="U10" i="11"/>
  <c r="B18" i="11"/>
  <c r="R18" i="12"/>
  <c r="R21" i="12" s="1"/>
  <c r="T18" i="12"/>
  <c r="U66" i="29"/>
  <c r="AC71" i="29" s="1"/>
  <c r="T34" i="12"/>
  <c r="R34" i="12"/>
  <c r="R37" i="12" s="1"/>
  <c r="U74" i="29"/>
  <c r="AC79" i="29" s="1"/>
  <c r="R26" i="12"/>
  <c r="R29" i="12" s="1"/>
  <c r="T26" i="12"/>
  <c r="U10" i="32"/>
  <c r="K114" i="32"/>
  <c r="K114" i="29"/>
  <c r="U114" i="33"/>
  <c r="AC114" i="33"/>
  <c r="B10" i="44"/>
  <c r="U10" i="44" s="1"/>
  <c r="AC15" i="44" s="1"/>
  <c r="R10" i="44"/>
  <c r="R13" i="44" s="1"/>
  <c r="R114" i="26"/>
  <c r="R108" i="58" s="1"/>
  <c r="B26" i="50"/>
  <c r="U26" i="50" s="1"/>
  <c r="AC31" i="50" s="1"/>
  <c r="T26" i="44"/>
  <c r="R18" i="44"/>
  <c r="R21" i="44" s="1"/>
  <c r="T18" i="44"/>
  <c r="B26" i="30"/>
  <c r="R10" i="49"/>
  <c r="R13" i="49" s="1"/>
  <c r="R18" i="49"/>
  <c r="R21" i="49" s="1"/>
  <c r="T18" i="49"/>
  <c r="R114" i="49"/>
  <c r="T10" i="49"/>
  <c r="B18" i="26"/>
  <c r="U18" i="26" s="1"/>
  <c r="AC23" i="26" s="1"/>
  <c r="B18" i="49"/>
  <c r="U18" i="49" s="1"/>
  <c r="AC23" i="49" s="1"/>
  <c r="U34" i="53" l="1"/>
  <c r="AC39" i="53" s="1"/>
  <c r="B42" i="53"/>
  <c r="B74" i="58"/>
  <c r="U66" i="58"/>
  <c r="AC71" i="58" s="1"/>
  <c r="U74" i="57"/>
  <c r="AC79" i="57" s="1"/>
  <c r="B82" i="57"/>
  <c r="U26" i="30"/>
  <c r="AC31" i="30" s="1"/>
  <c r="B34" i="30"/>
  <c r="B26" i="12"/>
  <c r="U18" i="11"/>
  <c r="AC23" i="11" s="1"/>
  <c r="B26" i="11"/>
  <c r="U10" i="12"/>
  <c r="AC15" i="11"/>
  <c r="AC15" i="32"/>
  <c r="AC114" i="32" s="1"/>
  <c r="U114" i="32"/>
  <c r="AC15" i="29"/>
  <c r="AC114" i="29" s="1"/>
  <c r="U114" i="29"/>
  <c r="U114" i="49"/>
  <c r="AC23" i="44"/>
  <c r="B34" i="50"/>
  <c r="U34" i="50" s="1"/>
  <c r="AC39" i="50" s="1"/>
  <c r="B26" i="26"/>
  <c r="U26" i="26" s="1"/>
  <c r="AC31" i="26" s="1"/>
  <c r="B26" i="49"/>
  <c r="U26" i="49" s="1"/>
  <c r="AC31" i="49" s="1"/>
  <c r="U42" i="53" l="1"/>
  <c r="AC47" i="53" s="1"/>
  <c r="B50" i="53"/>
  <c r="U74" i="58"/>
  <c r="AC79" i="58" s="1"/>
  <c r="B82" i="58"/>
  <c r="U82" i="57"/>
  <c r="AC87" i="57" s="1"/>
  <c r="B90" i="57"/>
  <c r="U34" i="30"/>
  <c r="AC39" i="30" s="1"/>
  <c r="B42" i="30"/>
  <c r="AC15" i="12"/>
  <c r="U26" i="11"/>
  <c r="B34" i="11"/>
  <c r="U26" i="12"/>
  <c r="AC31" i="12" s="1"/>
  <c r="B34" i="12"/>
  <c r="B26" i="44"/>
  <c r="U26" i="44" s="1"/>
  <c r="AC31" i="44" s="1"/>
  <c r="B42" i="50"/>
  <c r="U42" i="50" s="1"/>
  <c r="AC47" i="50" s="1"/>
  <c r="B34" i="44"/>
  <c r="U34" i="44" s="1"/>
  <c r="AC39" i="44" s="1"/>
  <c r="B34" i="26"/>
  <c r="U34" i="26" s="1"/>
  <c r="AC39" i="26" s="1"/>
  <c r="AC114" i="49"/>
  <c r="K114" i="49"/>
  <c r="U50" i="53" l="1"/>
  <c r="AC55" i="53" s="1"/>
  <c r="B58" i="53"/>
  <c r="U82" i="58"/>
  <c r="AC87" i="58" s="1"/>
  <c r="B90" i="58"/>
  <c r="U90" i="57"/>
  <c r="AC95" i="57" s="1"/>
  <c r="B50" i="30"/>
  <c r="U42" i="30"/>
  <c r="AC47" i="30" s="1"/>
  <c r="U34" i="12"/>
  <c r="AC39" i="12" s="1"/>
  <c r="B42" i="12"/>
  <c r="U42" i="12" s="1"/>
  <c r="AC47" i="12" s="1"/>
  <c r="K114" i="12"/>
  <c r="AC31" i="11"/>
  <c r="U34" i="11"/>
  <c r="AC39" i="11" s="1"/>
  <c r="B42" i="11"/>
  <c r="AC114" i="50"/>
  <c r="U114" i="50"/>
  <c r="K114" i="50"/>
  <c r="B42" i="44"/>
  <c r="U42" i="44" s="1"/>
  <c r="AC47" i="44" s="1"/>
  <c r="B42" i="26"/>
  <c r="U42" i="26" s="1"/>
  <c r="AC47" i="26" s="1"/>
  <c r="AC114" i="12" l="1"/>
  <c r="U114" i="12"/>
  <c r="B66" i="53"/>
  <c r="U58" i="53"/>
  <c r="AC63" i="53" s="1"/>
  <c r="U90" i="58"/>
  <c r="AC95" i="58" s="1"/>
  <c r="AC106" i="58" s="1"/>
  <c r="AC108" i="58" s="1"/>
  <c r="K106" i="58"/>
  <c r="AC103" i="57"/>
  <c r="K106" i="57"/>
  <c r="B58" i="30"/>
  <c r="U50" i="30"/>
  <c r="AC55" i="30" s="1"/>
  <c r="U42" i="11"/>
  <c r="AC47" i="11" s="1"/>
  <c r="AC114" i="11" s="1"/>
  <c r="K114" i="11"/>
  <c r="B50" i="44"/>
  <c r="U50" i="44" s="1"/>
  <c r="AC55" i="44" s="1"/>
  <c r="B50" i="26"/>
  <c r="U50" i="26" s="1"/>
  <c r="AC55" i="26" s="1"/>
  <c r="U66" i="53" l="1"/>
  <c r="AC71" i="53" s="1"/>
  <c r="B74" i="53"/>
  <c r="U106" i="58"/>
  <c r="B66" i="30"/>
  <c r="U58" i="30"/>
  <c r="AC63" i="30" s="1"/>
  <c r="U114" i="11"/>
  <c r="B58" i="44"/>
  <c r="B58" i="26"/>
  <c r="U58" i="26" s="1"/>
  <c r="AC63" i="26" s="1"/>
  <c r="U74" i="53" l="1"/>
  <c r="AC79" i="53" s="1"/>
  <c r="B82" i="53"/>
  <c r="AC106" i="57"/>
  <c r="AC108" i="57" s="1"/>
  <c r="U106" i="57"/>
  <c r="B74" i="30"/>
  <c r="U66" i="30"/>
  <c r="AC71" i="30" s="1"/>
  <c r="U58" i="44"/>
  <c r="AC63" i="44" s="1"/>
  <c r="K114" i="44"/>
  <c r="B66" i="26"/>
  <c r="U82" i="53" l="1"/>
  <c r="AC87" i="53" s="1"/>
  <c r="B90" i="53"/>
  <c r="U74" i="30"/>
  <c r="AC79" i="30" s="1"/>
  <c r="B82" i="30"/>
  <c r="U66" i="26"/>
  <c r="AC71" i="26" s="1"/>
  <c r="U114" i="44"/>
  <c r="AC114" i="44"/>
  <c r="B74" i="26"/>
  <c r="U74" i="26" s="1"/>
  <c r="AC79" i="26" s="1"/>
  <c r="U90" i="53" l="1"/>
  <c r="AC95" i="53" s="1"/>
  <c r="B98" i="53"/>
  <c r="U82" i="30"/>
  <c r="AC87" i="30" s="1"/>
  <c r="B90" i="30"/>
  <c r="B82" i="26"/>
  <c r="U82" i="26" s="1"/>
  <c r="AC87" i="26" s="1"/>
  <c r="U98" i="53" l="1"/>
  <c r="AC103" i="53" s="1"/>
  <c r="B106" i="53"/>
  <c r="U90" i="30"/>
  <c r="AC95" i="30" s="1"/>
  <c r="B98" i="30"/>
  <c r="B90" i="26"/>
  <c r="U90" i="26" s="1"/>
  <c r="AC95" i="26" s="1"/>
  <c r="B114" i="53" l="1"/>
  <c r="U114" i="53" s="1"/>
  <c r="AC119" i="53" s="1"/>
  <c r="U106" i="53"/>
  <c r="B106" i="30"/>
  <c r="U98" i="30"/>
  <c r="B98" i="26"/>
  <c r="U98" i="26" s="1"/>
  <c r="AC103" i="26" s="1"/>
  <c r="K122" i="53" l="1"/>
  <c r="AC111" i="53"/>
  <c r="AC122" i="53" s="1"/>
  <c r="U122" i="53"/>
  <c r="AC103" i="30"/>
  <c r="U106" i="30"/>
  <c r="AC111" i="30" s="1"/>
  <c r="K114" i="30"/>
  <c r="K108" i="57" s="1"/>
  <c r="B106" i="26"/>
  <c r="AC114" i="30" l="1"/>
  <c r="U114" i="30"/>
  <c r="U108" i="57" s="1"/>
  <c r="U106" i="26"/>
  <c r="AC111" i="26" s="1"/>
  <c r="K114" i="26"/>
  <c r="K108" i="58" s="1"/>
  <c r="U114" i="26" l="1"/>
  <c r="U108" i="58" s="1"/>
  <c r="AC114" i="26"/>
</calcChain>
</file>

<file path=xl/sharedStrings.xml><?xml version="1.0" encoding="utf-8"?>
<sst xmlns="http://schemas.openxmlformats.org/spreadsheetml/2006/main" count="433" uniqueCount="47">
  <si>
    <t>管番号</t>
    <rPh sb="0" eb="1">
      <t>カン</t>
    </rPh>
    <rPh sb="1" eb="3">
      <t>バンゴウ</t>
    </rPh>
    <phoneticPr fontId="2"/>
  </si>
  <si>
    <t>残延長</t>
    <rPh sb="0" eb="1">
      <t>ザン</t>
    </rPh>
    <rPh sb="1" eb="3">
      <t>エンチョウ</t>
    </rPh>
    <phoneticPr fontId="2"/>
  </si>
  <si>
    <t>切断</t>
    <rPh sb="0" eb="2">
      <t>セツダン</t>
    </rPh>
    <phoneticPr fontId="2"/>
  </si>
  <si>
    <t>形　　　　　　　状</t>
    <rPh sb="0" eb="1">
      <t>カタチ</t>
    </rPh>
    <rPh sb="8" eb="9">
      <t>ジョウ</t>
    </rPh>
    <phoneticPr fontId="2"/>
  </si>
  <si>
    <t>挿 し 口 加 工</t>
    <rPh sb="0" eb="1">
      <t>サ</t>
    </rPh>
    <rPh sb="4" eb="5">
      <t>グチ</t>
    </rPh>
    <rPh sb="6" eb="7">
      <t>クワ</t>
    </rPh>
    <rPh sb="8" eb="9">
      <t>タクミ</t>
    </rPh>
    <phoneticPr fontId="2"/>
  </si>
  <si>
    <t>ＳⅡ形</t>
    <rPh sb="2" eb="3">
      <t>カタチ</t>
    </rPh>
    <phoneticPr fontId="2"/>
  </si>
  <si>
    <t>ＮＳ形</t>
    <rPh sb="2" eb="3">
      <t>カタチ</t>
    </rPh>
    <phoneticPr fontId="2"/>
  </si>
  <si>
    <t>Ｓ形</t>
    <rPh sb="1" eb="2">
      <t>カタチ</t>
    </rPh>
    <phoneticPr fontId="2"/>
  </si>
  <si>
    <t>ＫＦ形</t>
    <rPh sb="2" eb="3">
      <t>カタチ</t>
    </rPh>
    <phoneticPr fontId="2"/>
  </si>
  <si>
    <t>ＮＳ(溝)</t>
    <rPh sb="3" eb="4">
      <t>ミゾ</t>
    </rPh>
    <phoneticPr fontId="2"/>
  </si>
  <si>
    <t>ＳⅡ(溝)</t>
    <rPh sb="3" eb="4">
      <t>ミゾ</t>
    </rPh>
    <phoneticPr fontId="2"/>
  </si>
  <si>
    <t>管</t>
    <rPh sb="0" eb="1">
      <t>カン</t>
    </rPh>
    <phoneticPr fontId="2"/>
  </si>
  <si>
    <t>種</t>
    <rPh sb="0" eb="1">
      <t>シュ</t>
    </rPh>
    <phoneticPr fontId="2"/>
  </si>
  <si>
    <t>口</t>
    <rPh sb="0" eb="1">
      <t>クチ</t>
    </rPh>
    <phoneticPr fontId="2"/>
  </si>
  <si>
    <t>径</t>
    <rPh sb="0" eb="1">
      <t>ケイ</t>
    </rPh>
    <phoneticPr fontId="2"/>
  </si>
  <si>
    <t>形</t>
    <rPh sb="0" eb="1">
      <t>カタチ</t>
    </rPh>
    <phoneticPr fontId="2"/>
  </si>
  <si>
    <t>　　管切断工・挿し口加工数量計算書</t>
    <rPh sb="2" eb="3">
      <t>カン</t>
    </rPh>
    <rPh sb="3" eb="5">
      <t>セツダン</t>
    </rPh>
    <rPh sb="5" eb="6">
      <t>コウ</t>
    </rPh>
    <rPh sb="7" eb="8">
      <t>サ</t>
    </rPh>
    <rPh sb="9" eb="10">
      <t>グチ</t>
    </rPh>
    <rPh sb="10" eb="12">
      <t>カコウ</t>
    </rPh>
    <rPh sb="12" eb="14">
      <t>スウリョウ</t>
    </rPh>
    <rPh sb="14" eb="17">
      <t>ケイサンショ</t>
    </rPh>
    <phoneticPr fontId="2"/>
  </si>
  <si>
    <t>合　　計</t>
    <rPh sb="0" eb="1">
      <t>ゴウ</t>
    </rPh>
    <rPh sb="3" eb="4">
      <t>ケイ</t>
    </rPh>
    <phoneticPr fontId="2"/>
  </si>
  <si>
    <t>本</t>
    <rPh sb="0" eb="1">
      <t>ホン</t>
    </rPh>
    <phoneticPr fontId="2"/>
  </si>
  <si>
    <t>工事名：</t>
    <rPh sb="0" eb="3">
      <t>コウジメイ</t>
    </rPh>
    <phoneticPr fontId="2"/>
  </si>
  <si>
    <t>㎜</t>
    <phoneticPr fontId="2"/>
  </si>
  <si>
    <t>φ</t>
    <phoneticPr fontId="2"/>
  </si>
  <si>
    <t>m</t>
    <phoneticPr fontId="2"/>
  </si>
  <si>
    <t>NS</t>
    <phoneticPr fontId="2"/>
  </si>
  <si>
    <t>KF-S</t>
    <phoneticPr fontId="2"/>
  </si>
  <si>
    <t>KF</t>
    <phoneticPr fontId="2"/>
  </si>
  <si>
    <r>
      <t xml:space="preserve">西部（若松町他）配水管取替工事 </t>
    </r>
    <r>
      <rPr>
        <sz val="10"/>
        <rFont val="ＭＳ 明朝"/>
        <family val="1"/>
        <charset val="128"/>
      </rPr>
      <t>No.2</t>
    </r>
    <rPh sb="0" eb="2">
      <t>セイブ</t>
    </rPh>
    <rPh sb="3" eb="6">
      <t>ワカマツチョウ</t>
    </rPh>
    <rPh sb="6" eb="7">
      <t>ホカ</t>
    </rPh>
    <rPh sb="8" eb="11">
      <t>ハイスイカン</t>
    </rPh>
    <rPh sb="11" eb="13">
      <t>トリカエ</t>
    </rPh>
    <rPh sb="13" eb="15">
      <t>コウジ</t>
    </rPh>
    <phoneticPr fontId="2"/>
  </si>
  <si>
    <t>西部（若松町他）配水管取替工事 No.2</t>
    <rPh sb="0" eb="2">
      <t>セイブ</t>
    </rPh>
    <rPh sb="3" eb="6">
      <t>ワカマツチョウ</t>
    </rPh>
    <rPh sb="6" eb="7">
      <t>ホカ</t>
    </rPh>
    <rPh sb="8" eb="11">
      <t>ハイスイカン</t>
    </rPh>
    <rPh sb="11" eb="13">
      <t>トリカエ</t>
    </rPh>
    <rPh sb="13" eb="15">
      <t>コウジ</t>
    </rPh>
    <phoneticPr fontId="2"/>
  </si>
  <si>
    <t>NS</t>
    <phoneticPr fontId="2"/>
  </si>
  <si>
    <t>NS</t>
    <phoneticPr fontId="2"/>
  </si>
  <si>
    <t>T</t>
    <phoneticPr fontId="2"/>
  </si>
  <si>
    <t>K</t>
    <phoneticPr fontId="2"/>
  </si>
  <si>
    <t>PE</t>
    <phoneticPr fontId="2"/>
  </si>
  <si>
    <t>(受口なし）</t>
    <rPh sb="1" eb="3">
      <t>ウケグチ</t>
    </rPh>
    <phoneticPr fontId="2"/>
  </si>
  <si>
    <t>.</t>
    <phoneticPr fontId="2"/>
  </si>
  <si>
    <t>ＫＴ形</t>
    <rPh sb="2" eb="3">
      <t>カタチ</t>
    </rPh>
    <phoneticPr fontId="2"/>
  </si>
  <si>
    <t>GX</t>
    <phoneticPr fontId="2"/>
  </si>
  <si>
    <t>※切管延長に挿し口リング延長を含む</t>
  </si>
  <si>
    <t>小　　計</t>
    <rPh sb="0" eb="1">
      <t>ショウ</t>
    </rPh>
    <rPh sb="3" eb="4">
      <t>ケイ</t>
    </rPh>
    <phoneticPr fontId="2"/>
  </si>
  <si>
    <t>GX形</t>
    <rPh sb="2" eb="3">
      <t>カタチ</t>
    </rPh>
    <phoneticPr fontId="2"/>
  </si>
  <si>
    <t>既設</t>
    <rPh sb="0" eb="2">
      <t>キセツ</t>
    </rPh>
    <phoneticPr fontId="2"/>
  </si>
  <si>
    <t>既設</t>
    <rPh sb="0" eb="2">
      <t>キセツ</t>
    </rPh>
    <phoneticPr fontId="2"/>
  </si>
  <si>
    <t>既設</t>
    <rPh sb="0" eb="2">
      <t>キセツ</t>
    </rPh>
    <phoneticPr fontId="2"/>
  </si>
  <si>
    <t>既設</t>
    <rPh sb="0" eb="2">
      <t>キセツ</t>
    </rPh>
    <phoneticPr fontId="2"/>
  </si>
  <si>
    <t>(K)</t>
    <phoneticPr fontId="2"/>
  </si>
  <si>
    <t>(GX)</t>
    <phoneticPr fontId="2"/>
  </si>
  <si>
    <t>長田（花山町2丁目他）配水管取替工事</t>
    <rPh sb="0" eb="2">
      <t>ナガタ</t>
    </rPh>
    <rPh sb="11" eb="14">
      <t>ハイスイカン</t>
    </rPh>
    <rPh sb="14" eb="18">
      <t>トリカエコウジ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</si>
</sst>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10" x14ac:knownFonts="1">
    <font>
      <sz val="10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b/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b/>
      <sz val="14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0"/>
      <color rgb="FF00B05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7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 style="thick">
        <color indexed="10"/>
      </top>
      <bottom style="dashed">
        <color indexed="64"/>
      </bottom>
      <diagonal/>
    </border>
    <border>
      <left style="thin">
        <color indexed="64"/>
      </left>
      <right/>
      <top style="thick">
        <color indexed="10"/>
      </top>
      <bottom style="dashed">
        <color indexed="64"/>
      </bottom>
      <diagonal/>
    </border>
    <border>
      <left/>
      <right style="thin">
        <color indexed="64"/>
      </right>
      <top style="thick">
        <color indexed="10"/>
      </top>
      <bottom style="dashed">
        <color indexed="64"/>
      </bottom>
      <diagonal/>
    </border>
    <border>
      <left/>
      <right/>
      <top/>
      <bottom style="thick">
        <color indexed="10"/>
      </bottom>
      <diagonal/>
    </border>
    <border>
      <left style="thin">
        <color indexed="64"/>
      </left>
      <right/>
      <top/>
      <bottom style="thick">
        <color indexed="10"/>
      </bottom>
      <diagonal/>
    </border>
    <border>
      <left/>
      <right style="thin">
        <color indexed="64"/>
      </right>
      <top/>
      <bottom style="thick">
        <color indexed="10"/>
      </bottom>
      <diagonal/>
    </border>
    <border>
      <left/>
      <right style="thin">
        <color indexed="10"/>
      </right>
      <top style="thick">
        <color indexed="10"/>
      </top>
      <bottom style="dash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4" fillId="0" borderId="25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5" fillId="0" borderId="27" xfId="0" applyFont="1" applyBorder="1" applyAlignment="1">
      <alignment horizontal="center" vertical="center" shrinkToFit="1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vertical="center"/>
    </xf>
    <xf numFmtId="0" fontId="0" fillId="0" borderId="8" xfId="0" applyBorder="1" applyAlignment="1">
      <alignment horizontal="right"/>
    </xf>
    <xf numFmtId="0" fontId="0" fillId="0" borderId="9" xfId="0" applyBorder="1"/>
    <xf numFmtId="0" fontId="0" fillId="0" borderId="10" xfId="0" applyBorder="1"/>
    <xf numFmtId="0" fontId="0" fillId="0" borderId="8" xfId="0" applyBorder="1"/>
    <xf numFmtId="176" fontId="0" fillId="0" borderId="19" xfId="0" applyNumberFormat="1" applyBorder="1" applyAlignment="1">
      <alignment vertical="center"/>
    </xf>
    <xf numFmtId="176" fontId="0" fillId="0" borderId="36" xfId="0" applyNumberFormat="1" applyBorder="1" applyAlignment="1">
      <alignment vertical="center"/>
    </xf>
    <xf numFmtId="176" fontId="0" fillId="0" borderId="37" xfId="0" applyNumberFormat="1" applyBorder="1" applyAlignment="1">
      <alignment vertical="center"/>
    </xf>
    <xf numFmtId="176" fontId="0" fillId="0" borderId="38" xfId="0" applyNumberFormat="1" applyBorder="1" applyAlignment="1">
      <alignment vertical="center"/>
    </xf>
    <xf numFmtId="0" fontId="0" fillId="0" borderId="39" xfId="0" applyBorder="1" applyAlignment="1">
      <alignment vertical="center"/>
    </xf>
    <xf numFmtId="0" fontId="1" fillId="0" borderId="12" xfId="0" applyFont="1" applyBorder="1" applyAlignment="1">
      <alignment horizontal="right"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4" fillId="0" borderId="62" xfId="0" applyFont="1" applyBorder="1" applyAlignment="1">
      <alignment horizontal="center" vertical="center" shrinkToFit="1"/>
    </xf>
    <xf numFmtId="0" fontId="0" fillId="0" borderId="63" xfId="0" applyBorder="1" applyAlignment="1">
      <alignment vertical="center"/>
    </xf>
    <xf numFmtId="0" fontId="0" fillId="0" borderId="64" xfId="0" applyBorder="1" applyAlignment="1">
      <alignment vertical="center"/>
    </xf>
    <xf numFmtId="176" fontId="0" fillId="0" borderId="65" xfId="0" applyNumberFormat="1" applyBorder="1" applyAlignment="1">
      <alignment vertical="center"/>
    </xf>
    <xf numFmtId="0" fontId="4" fillId="0" borderId="66" xfId="0" applyFont="1" applyBorder="1" applyAlignment="1">
      <alignment horizontal="center" vertical="center" shrinkToFit="1"/>
    </xf>
    <xf numFmtId="0" fontId="4" fillId="0" borderId="67" xfId="0" applyFont="1" applyBorder="1" applyAlignment="1">
      <alignment horizontal="center" vertical="center" shrinkToFit="1"/>
    </xf>
    <xf numFmtId="0" fontId="0" fillId="0" borderId="68" xfId="0" applyBorder="1" applyAlignment="1">
      <alignment vertical="center"/>
    </xf>
    <xf numFmtId="0" fontId="0" fillId="0" borderId="69" xfId="0" applyBorder="1" applyAlignment="1">
      <alignment vertical="center"/>
    </xf>
    <xf numFmtId="0" fontId="0" fillId="0" borderId="70" xfId="0" applyBorder="1" applyAlignment="1">
      <alignment vertical="center"/>
    </xf>
    <xf numFmtId="176" fontId="0" fillId="0" borderId="71" xfId="0" applyNumberForma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9" xfId="0" applyFont="1" applyBorder="1" applyAlignment="1">
      <alignment horizontal="right" vertical="center"/>
    </xf>
    <xf numFmtId="0" fontId="6" fillId="0" borderId="15" xfId="0" applyFont="1" applyBorder="1" applyAlignment="1">
      <alignment horizontal="right" vertical="center"/>
    </xf>
    <xf numFmtId="2" fontId="0" fillId="0" borderId="19" xfId="0" applyNumberFormat="1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176" fontId="0" fillId="0" borderId="2" xfId="0" applyNumberFormat="1" applyBorder="1" applyAlignment="1">
      <alignment horizontal="right" vertical="center"/>
    </xf>
    <xf numFmtId="177" fontId="0" fillId="2" borderId="68" xfId="0" applyNumberFormat="1" applyFill="1" applyBorder="1" applyAlignment="1">
      <alignment horizontal="right" vertical="center"/>
    </xf>
    <xf numFmtId="0" fontId="0" fillId="0" borderId="28" xfId="0" applyBorder="1" applyAlignment="1">
      <alignment horizontal="center" vertical="center"/>
    </xf>
    <xf numFmtId="2" fontId="0" fillId="2" borderId="0" xfId="0" applyNumberFormat="1" applyFill="1" applyAlignment="1">
      <alignment horizontal="right" vertical="center"/>
    </xf>
    <xf numFmtId="0" fontId="3" fillId="0" borderId="2" xfId="0" applyFont="1" applyBorder="1" applyAlignment="1">
      <alignment horizontal="center"/>
    </xf>
    <xf numFmtId="177" fontId="0" fillId="2" borderId="23" xfId="0" applyNumberForma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top"/>
    </xf>
    <xf numFmtId="2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horizontal="left"/>
    </xf>
    <xf numFmtId="177" fontId="0" fillId="2" borderId="22" xfId="0" applyNumberFormat="1" applyFill="1" applyBorder="1" applyAlignment="1">
      <alignment horizontal="right" vertical="center"/>
    </xf>
    <xf numFmtId="177" fontId="0" fillId="2" borderId="63" xfId="0" applyNumberFormat="1" applyFill="1" applyBorder="1" applyAlignment="1">
      <alignment horizontal="right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177" fontId="9" fillId="2" borderId="22" xfId="0" applyNumberFormat="1" applyFont="1" applyFill="1" applyBorder="1" applyAlignment="1">
      <alignment horizontal="right" vertical="center"/>
    </xf>
    <xf numFmtId="0" fontId="0" fillId="0" borderId="55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2" borderId="12" xfId="0" applyFill="1" applyBorder="1" applyAlignment="1">
      <alignment horizontal="left" vertical="center" shrinkToFit="1"/>
    </xf>
    <xf numFmtId="0" fontId="1" fillId="2" borderId="12" xfId="0" applyFont="1" applyFill="1" applyBorder="1" applyAlignment="1">
      <alignment horizontal="left" vertical="center" shrinkToFit="1"/>
    </xf>
    <xf numFmtId="0" fontId="8" fillId="0" borderId="0" xfId="0" applyFont="1" applyAlignment="1">
      <alignment horizontal="center" vertical="top"/>
    </xf>
    <xf numFmtId="0" fontId="8" fillId="0" borderId="12" xfId="0" applyFont="1" applyBorder="1" applyAlignment="1">
      <alignment horizontal="center" vertical="top"/>
    </xf>
    <xf numFmtId="0" fontId="0" fillId="0" borderId="5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2" fontId="0" fillId="0" borderId="15" xfId="0" applyNumberForma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77" fontId="0" fillId="2" borderId="24" xfId="0" applyNumberFormat="1" applyFill="1" applyBorder="1" applyAlignment="1">
      <alignment horizontal="right" vertical="center"/>
    </xf>
    <xf numFmtId="0" fontId="0" fillId="0" borderId="5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76" fontId="0" fillId="0" borderId="29" xfId="0" applyNumberFormat="1" applyBorder="1" applyAlignment="1">
      <alignment horizontal="right" vertical="center"/>
    </xf>
  </cellXfs>
  <cellStyles count="1">
    <cellStyle name="標準" xfId="0" builtinId="0"/>
  </cellStyles>
  <dxfs count="24"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theme" Target="theme/theme1.xml" /><Relationship Id="rId3" Type="http://schemas.openxmlformats.org/officeDocument/2006/relationships/worksheet" Target="worksheets/sheet3.xml" /><Relationship Id="rId21" Type="http://schemas.openxmlformats.org/officeDocument/2006/relationships/calcChain" Target="calcChain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339818" name="Rectangle 2">
          <a:extLst>
            <a:ext uri="{FF2B5EF4-FFF2-40B4-BE49-F238E27FC236}">
              <a16:creationId xmlns:a16="http://schemas.microsoft.com/office/drawing/2014/main" id="{00000000-0008-0000-0000-00006A2F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textlink="">
      <xdr:nvSpPr>
        <xdr:cNvPr id="339819" name="Oval 3">
          <a:extLst>
            <a:ext uri="{FF2B5EF4-FFF2-40B4-BE49-F238E27FC236}">
              <a16:creationId xmlns:a16="http://schemas.microsoft.com/office/drawing/2014/main" id="{00000000-0008-0000-0000-00006B2F05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textlink="">
      <xdr:nvSpPr>
        <xdr:cNvPr id="339820" name="Oval 4">
          <a:extLst>
            <a:ext uri="{FF2B5EF4-FFF2-40B4-BE49-F238E27FC236}">
              <a16:creationId xmlns:a16="http://schemas.microsoft.com/office/drawing/2014/main" id="{00000000-0008-0000-0000-00006C2F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39821" name="Oval 5">
          <a:extLst>
            <a:ext uri="{FF2B5EF4-FFF2-40B4-BE49-F238E27FC236}">
              <a16:creationId xmlns:a16="http://schemas.microsoft.com/office/drawing/2014/main" id="{00000000-0008-0000-0000-00006D2F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39822" name="Oval 8">
          <a:extLst>
            <a:ext uri="{FF2B5EF4-FFF2-40B4-BE49-F238E27FC236}">
              <a16:creationId xmlns:a16="http://schemas.microsoft.com/office/drawing/2014/main" id="{00000000-0008-0000-0000-00006E2F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39823" name="Oval 12">
          <a:extLst>
            <a:ext uri="{FF2B5EF4-FFF2-40B4-BE49-F238E27FC236}">
              <a16:creationId xmlns:a16="http://schemas.microsoft.com/office/drawing/2014/main" id="{00000000-0008-0000-0000-00006F2F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39824" name="Oval 13">
          <a:extLst>
            <a:ext uri="{FF2B5EF4-FFF2-40B4-BE49-F238E27FC236}">
              <a16:creationId xmlns:a16="http://schemas.microsoft.com/office/drawing/2014/main" id="{00000000-0008-0000-0000-0000702F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339825" name="Rectangle 16">
          <a:extLst>
            <a:ext uri="{FF2B5EF4-FFF2-40B4-BE49-F238E27FC236}">
              <a16:creationId xmlns:a16="http://schemas.microsoft.com/office/drawing/2014/main" id="{00000000-0008-0000-0000-0000712F05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105</xdr:row>
      <xdr:rowOff>85725</xdr:rowOff>
    </xdr:from>
    <xdr:to>
      <xdr:col>1</xdr:col>
      <xdr:colOff>476250</xdr:colOff>
      <xdr:row>110</xdr:row>
      <xdr:rowOff>104775</xdr:rowOff>
    </xdr:to>
    <xdr:sp textlink="">
      <xdr:nvSpPr>
        <xdr:cNvPr id="339826" name="Oval 18">
          <a:extLst>
            <a:ext uri="{FF2B5EF4-FFF2-40B4-BE49-F238E27FC236}">
              <a16:creationId xmlns:a16="http://schemas.microsoft.com/office/drawing/2014/main" id="{00000000-0008-0000-0000-0000722F0500}"/>
            </a:ext>
          </a:extLst>
        </xdr:cNvPr>
        <xdr:cNvSpPr>
          <a:spLocks noChangeArrowheads="1"/>
        </xdr:cNvSpPr>
      </xdr:nvSpPr>
      <xdr:spPr bwMode="auto">
        <a:xfrm>
          <a:off x="171450" y="9610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39827" name="Oval 30">
          <a:extLst>
            <a:ext uri="{FF2B5EF4-FFF2-40B4-BE49-F238E27FC236}">
              <a16:creationId xmlns:a16="http://schemas.microsoft.com/office/drawing/2014/main" id="{00000000-0008-0000-0000-0000732F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39828" name="Oval 34">
          <a:extLst>
            <a:ext uri="{FF2B5EF4-FFF2-40B4-BE49-F238E27FC236}">
              <a16:creationId xmlns:a16="http://schemas.microsoft.com/office/drawing/2014/main" id="{00000000-0008-0000-0000-0000742F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39829" name="Oval 51">
          <a:extLst>
            <a:ext uri="{FF2B5EF4-FFF2-40B4-BE49-F238E27FC236}">
              <a16:creationId xmlns:a16="http://schemas.microsoft.com/office/drawing/2014/main" id="{00000000-0008-0000-0000-0000752F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39830" name="Oval 81">
          <a:extLst>
            <a:ext uri="{FF2B5EF4-FFF2-40B4-BE49-F238E27FC236}">
              <a16:creationId xmlns:a16="http://schemas.microsoft.com/office/drawing/2014/main" id="{00000000-0008-0000-0000-0000762F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831" name="AutoShape 102">
          <a:extLst>
            <a:ext uri="{FF2B5EF4-FFF2-40B4-BE49-F238E27FC236}">
              <a16:creationId xmlns:a16="http://schemas.microsoft.com/office/drawing/2014/main" id="{00000000-0008-0000-0000-000077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832" name="Rectangle 103">
          <a:extLst>
            <a:ext uri="{FF2B5EF4-FFF2-40B4-BE49-F238E27FC236}">
              <a16:creationId xmlns:a16="http://schemas.microsoft.com/office/drawing/2014/main" id="{00000000-0008-0000-0000-000078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33" name="Oval 104">
          <a:extLst>
            <a:ext uri="{FF2B5EF4-FFF2-40B4-BE49-F238E27FC236}">
              <a16:creationId xmlns:a16="http://schemas.microsoft.com/office/drawing/2014/main" id="{00000000-0008-0000-0000-000079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834" name="AutoShape 105">
          <a:extLst>
            <a:ext uri="{FF2B5EF4-FFF2-40B4-BE49-F238E27FC236}">
              <a16:creationId xmlns:a16="http://schemas.microsoft.com/office/drawing/2014/main" id="{00000000-0008-0000-0000-00007A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835" name="Rectangle 106">
          <a:extLst>
            <a:ext uri="{FF2B5EF4-FFF2-40B4-BE49-F238E27FC236}">
              <a16:creationId xmlns:a16="http://schemas.microsoft.com/office/drawing/2014/main" id="{00000000-0008-0000-0000-00007B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36" name="Oval 107">
          <a:extLst>
            <a:ext uri="{FF2B5EF4-FFF2-40B4-BE49-F238E27FC236}">
              <a16:creationId xmlns:a16="http://schemas.microsoft.com/office/drawing/2014/main" id="{00000000-0008-0000-0000-00007C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837" name="AutoShape 108">
          <a:extLst>
            <a:ext uri="{FF2B5EF4-FFF2-40B4-BE49-F238E27FC236}">
              <a16:creationId xmlns:a16="http://schemas.microsoft.com/office/drawing/2014/main" id="{00000000-0008-0000-0000-00007D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838" name="Rectangle 109">
          <a:extLst>
            <a:ext uri="{FF2B5EF4-FFF2-40B4-BE49-F238E27FC236}">
              <a16:creationId xmlns:a16="http://schemas.microsoft.com/office/drawing/2014/main" id="{00000000-0008-0000-0000-00007E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39" name="Oval 110">
          <a:extLst>
            <a:ext uri="{FF2B5EF4-FFF2-40B4-BE49-F238E27FC236}">
              <a16:creationId xmlns:a16="http://schemas.microsoft.com/office/drawing/2014/main" id="{00000000-0008-0000-0000-00007F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840" name="AutoShape 111">
          <a:extLst>
            <a:ext uri="{FF2B5EF4-FFF2-40B4-BE49-F238E27FC236}">
              <a16:creationId xmlns:a16="http://schemas.microsoft.com/office/drawing/2014/main" id="{00000000-0008-0000-0000-000080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841" name="Rectangle 112">
          <a:extLst>
            <a:ext uri="{FF2B5EF4-FFF2-40B4-BE49-F238E27FC236}">
              <a16:creationId xmlns:a16="http://schemas.microsoft.com/office/drawing/2014/main" id="{00000000-0008-0000-0000-000081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42" name="Oval 113">
          <a:extLst>
            <a:ext uri="{FF2B5EF4-FFF2-40B4-BE49-F238E27FC236}">
              <a16:creationId xmlns:a16="http://schemas.microsoft.com/office/drawing/2014/main" id="{00000000-0008-0000-0000-000082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843" name="AutoShape 114">
          <a:extLst>
            <a:ext uri="{FF2B5EF4-FFF2-40B4-BE49-F238E27FC236}">
              <a16:creationId xmlns:a16="http://schemas.microsoft.com/office/drawing/2014/main" id="{00000000-0008-0000-0000-000083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844" name="Rectangle 115">
          <a:extLst>
            <a:ext uri="{FF2B5EF4-FFF2-40B4-BE49-F238E27FC236}">
              <a16:creationId xmlns:a16="http://schemas.microsoft.com/office/drawing/2014/main" id="{00000000-0008-0000-0000-000084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45" name="Oval 116">
          <a:extLst>
            <a:ext uri="{FF2B5EF4-FFF2-40B4-BE49-F238E27FC236}">
              <a16:creationId xmlns:a16="http://schemas.microsoft.com/office/drawing/2014/main" id="{00000000-0008-0000-0000-000085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846" name="AutoShape 117">
          <a:extLst>
            <a:ext uri="{FF2B5EF4-FFF2-40B4-BE49-F238E27FC236}">
              <a16:creationId xmlns:a16="http://schemas.microsoft.com/office/drawing/2014/main" id="{00000000-0008-0000-0000-000086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847" name="Rectangle 118">
          <a:extLst>
            <a:ext uri="{FF2B5EF4-FFF2-40B4-BE49-F238E27FC236}">
              <a16:creationId xmlns:a16="http://schemas.microsoft.com/office/drawing/2014/main" id="{00000000-0008-0000-0000-000087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48" name="Oval 119">
          <a:extLst>
            <a:ext uri="{FF2B5EF4-FFF2-40B4-BE49-F238E27FC236}">
              <a16:creationId xmlns:a16="http://schemas.microsoft.com/office/drawing/2014/main" id="{00000000-0008-0000-0000-000088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849" name="AutoShape 120">
          <a:extLst>
            <a:ext uri="{FF2B5EF4-FFF2-40B4-BE49-F238E27FC236}">
              <a16:creationId xmlns:a16="http://schemas.microsoft.com/office/drawing/2014/main" id="{00000000-0008-0000-0000-000089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850" name="Rectangle 121">
          <a:extLst>
            <a:ext uri="{FF2B5EF4-FFF2-40B4-BE49-F238E27FC236}">
              <a16:creationId xmlns:a16="http://schemas.microsoft.com/office/drawing/2014/main" id="{00000000-0008-0000-0000-00008A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51" name="Oval 122">
          <a:extLst>
            <a:ext uri="{FF2B5EF4-FFF2-40B4-BE49-F238E27FC236}">
              <a16:creationId xmlns:a16="http://schemas.microsoft.com/office/drawing/2014/main" id="{00000000-0008-0000-0000-00008B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852" name="AutoShape 123">
          <a:extLst>
            <a:ext uri="{FF2B5EF4-FFF2-40B4-BE49-F238E27FC236}">
              <a16:creationId xmlns:a16="http://schemas.microsoft.com/office/drawing/2014/main" id="{00000000-0008-0000-0000-00008C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853" name="Rectangle 124">
          <a:extLst>
            <a:ext uri="{FF2B5EF4-FFF2-40B4-BE49-F238E27FC236}">
              <a16:creationId xmlns:a16="http://schemas.microsoft.com/office/drawing/2014/main" id="{00000000-0008-0000-0000-00008D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54" name="Oval 125">
          <a:extLst>
            <a:ext uri="{FF2B5EF4-FFF2-40B4-BE49-F238E27FC236}">
              <a16:creationId xmlns:a16="http://schemas.microsoft.com/office/drawing/2014/main" id="{00000000-0008-0000-0000-00008E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855" name="AutoShape 126">
          <a:extLst>
            <a:ext uri="{FF2B5EF4-FFF2-40B4-BE49-F238E27FC236}">
              <a16:creationId xmlns:a16="http://schemas.microsoft.com/office/drawing/2014/main" id="{00000000-0008-0000-0000-00008F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856" name="Rectangle 127">
          <a:extLst>
            <a:ext uri="{FF2B5EF4-FFF2-40B4-BE49-F238E27FC236}">
              <a16:creationId xmlns:a16="http://schemas.microsoft.com/office/drawing/2014/main" id="{00000000-0008-0000-0000-000090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57" name="Oval 128">
          <a:extLst>
            <a:ext uri="{FF2B5EF4-FFF2-40B4-BE49-F238E27FC236}">
              <a16:creationId xmlns:a16="http://schemas.microsoft.com/office/drawing/2014/main" id="{00000000-0008-0000-0000-000091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858" name="AutoShape 129">
          <a:extLst>
            <a:ext uri="{FF2B5EF4-FFF2-40B4-BE49-F238E27FC236}">
              <a16:creationId xmlns:a16="http://schemas.microsoft.com/office/drawing/2014/main" id="{00000000-0008-0000-0000-000092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859" name="Rectangle 130">
          <a:extLst>
            <a:ext uri="{FF2B5EF4-FFF2-40B4-BE49-F238E27FC236}">
              <a16:creationId xmlns:a16="http://schemas.microsoft.com/office/drawing/2014/main" id="{00000000-0008-0000-0000-000093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60" name="Oval 131">
          <a:extLst>
            <a:ext uri="{FF2B5EF4-FFF2-40B4-BE49-F238E27FC236}">
              <a16:creationId xmlns:a16="http://schemas.microsoft.com/office/drawing/2014/main" id="{00000000-0008-0000-0000-000094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861" name="AutoShape 132">
          <a:extLst>
            <a:ext uri="{FF2B5EF4-FFF2-40B4-BE49-F238E27FC236}">
              <a16:creationId xmlns:a16="http://schemas.microsoft.com/office/drawing/2014/main" id="{00000000-0008-0000-0000-000095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862" name="Rectangle 133">
          <a:extLst>
            <a:ext uri="{FF2B5EF4-FFF2-40B4-BE49-F238E27FC236}">
              <a16:creationId xmlns:a16="http://schemas.microsoft.com/office/drawing/2014/main" id="{00000000-0008-0000-0000-000096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63" name="Oval 134">
          <a:extLst>
            <a:ext uri="{FF2B5EF4-FFF2-40B4-BE49-F238E27FC236}">
              <a16:creationId xmlns:a16="http://schemas.microsoft.com/office/drawing/2014/main" id="{00000000-0008-0000-0000-000097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864" name="AutoShape 135">
          <a:extLst>
            <a:ext uri="{FF2B5EF4-FFF2-40B4-BE49-F238E27FC236}">
              <a16:creationId xmlns:a16="http://schemas.microsoft.com/office/drawing/2014/main" id="{00000000-0008-0000-0000-000098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865" name="Rectangle 136">
          <a:extLst>
            <a:ext uri="{FF2B5EF4-FFF2-40B4-BE49-F238E27FC236}">
              <a16:creationId xmlns:a16="http://schemas.microsoft.com/office/drawing/2014/main" id="{00000000-0008-0000-0000-000099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66" name="Oval 137">
          <a:extLst>
            <a:ext uri="{FF2B5EF4-FFF2-40B4-BE49-F238E27FC236}">
              <a16:creationId xmlns:a16="http://schemas.microsoft.com/office/drawing/2014/main" id="{00000000-0008-0000-0000-00009A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867" name="AutoShape 138">
          <a:extLst>
            <a:ext uri="{FF2B5EF4-FFF2-40B4-BE49-F238E27FC236}">
              <a16:creationId xmlns:a16="http://schemas.microsoft.com/office/drawing/2014/main" id="{00000000-0008-0000-0000-00009B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868" name="Rectangle 139">
          <a:extLst>
            <a:ext uri="{FF2B5EF4-FFF2-40B4-BE49-F238E27FC236}">
              <a16:creationId xmlns:a16="http://schemas.microsoft.com/office/drawing/2014/main" id="{00000000-0008-0000-0000-00009C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69" name="Oval 140">
          <a:extLst>
            <a:ext uri="{FF2B5EF4-FFF2-40B4-BE49-F238E27FC236}">
              <a16:creationId xmlns:a16="http://schemas.microsoft.com/office/drawing/2014/main" id="{00000000-0008-0000-0000-00009D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870" name="Rectangle 141">
          <a:extLst>
            <a:ext uri="{FF2B5EF4-FFF2-40B4-BE49-F238E27FC236}">
              <a16:creationId xmlns:a16="http://schemas.microsoft.com/office/drawing/2014/main" id="{00000000-0008-0000-0000-00009E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871" name="AutoShape 142">
          <a:extLst>
            <a:ext uri="{FF2B5EF4-FFF2-40B4-BE49-F238E27FC236}">
              <a16:creationId xmlns:a16="http://schemas.microsoft.com/office/drawing/2014/main" id="{00000000-0008-0000-0000-00009F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872" name="Rectangle 143">
          <a:extLst>
            <a:ext uri="{FF2B5EF4-FFF2-40B4-BE49-F238E27FC236}">
              <a16:creationId xmlns:a16="http://schemas.microsoft.com/office/drawing/2014/main" id="{00000000-0008-0000-0000-0000A0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73" name="Oval 144">
          <a:extLst>
            <a:ext uri="{FF2B5EF4-FFF2-40B4-BE49-F238E27FC236}">
              <a16:creationId xmlns:a16="http://schemas.microsoft.com/office/drawing/2014/main" id="{00000000-0008-0000-0000-0000A1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874" name="AutoShape 145">
          <a:extLst>
            <a:ext uri="{FF2B5EF4-FFF2-40B4-BE49-F238E27FC236}">
              <a16:creationId xmlns:a16="http://schemas.microsoft.com/office/drawing/2014/main" id="{00000000-0008-0000-0000-0000A2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875" name="Rectangle 146">
          <a:extLst>
            <a:ext uri="{FF2B5EF4-FFF2-40B4-BE49-F238E27FC236}">
              <a16:creationId xmlns:a16="http://schemas.microsoft.com/office/drawing/2014/main" id="{00000000-0008-0000-0000-0000A3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76" name="Oval 147">
          <a:extLst>
            <a:ext uri="{FF2B5EF4-FFF2-40B4-BE49-F238E27FC236}">
              <a16:creationId xmlns:a16="http://schemas.microsoft.com/office/drawing/2014/main" id="{00000000-0008-0000-0000-0000A4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877" name="AutoShape 148">
          <a:extLst>
            <a:ext uri="{FF2B5EF4-FFF2-40B4-BE49-F238E27FC236}">
              <a16:creationId xmlns:a16="http://schemas.microsoft.com/office/drawing/2014/main" id="{00000000-0008-0000-0000-0000A5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878" name="Rectangle 149">
          <a:extLst>
            <a:ext uri="{FF2B5EF4-FFF2-40B4-BE49-F238E27FC236}">
              <a16:creationId xmlns:a16="http://schemas.microsoft.com/office/drawing/2014/main" id="{00000000-0008-0000-0000-0000A6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79" name="Oval 150">
          <a:extLst>
            <a:ext uri="{FF2B5EF4-FFF2-40B4-BE49-F238E27FC236}">
              <a16:creationId xmlns:a16="http://schemas.microsoft.com/office/drawing/2014/main" id="{00000000-0008-0000-0000-0000A7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80" name="Oval 151">
          <a:extLst>
            <a:ext uri="{FF2B5EF4-FFF2-40B4-BE49-F238E27FC236}">
              <a16:creationId xmlns:a16="http://schemas.microsoft.com/office/drawing/2014/main" id="{00000000-0008-0000-0000-0000A8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81" name="Oval 152">
          <a:extLst>
            <a:ext uri="{FF2B5EF4-FFF2-40B4-BE49-F238E27FC236}">
              <a16:creationId xmlns:a16="http://schemas.microsoft.com/office/drawing/2014/main" id="{00000000-0008-0000-0000-0000A9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82" name="Oval 153">
          <a:extLst>
            <a:ext uri="{FF2B5EF4-FFF2-40B4-BE49-F238E27FC236}">
              <a16:creationId xmlns:a16="http://schemas.microsoft.com/office/drawing/2014/main" id="{00000000-0008-0000-0000-0000AA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883" name="AutoShape 154">
          <a:extLst>
            <a:ext uri="{FF2B5EF4-FFF2-40B4-BE49-F238E27FC236}">
              <a16:creationId xmlns:a16="http://schemas.microsoft.com/office/drawing/2014/main" id="{00000000-0008-0000-0000-0000AB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884" name="Rectangle 155">
          <a:extLst>
            <a:ext uri="{FF2B5EF4-FFF2-40B4-BE49-F238E27FC236}">
              <a16:creationId xmlns:a16="http://schemas.microsoft.com/office/drawing/2014/main" id="{00000000-0008-0000-0000-0000AC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85" name="Oval 156">
          <a:extLst>
            <a:ext uri="{FF2B5EF4-FFF2-40B4-BE49-F238E27FC236}">
              <a16:creationId xmlns:a16="http://schemas.microsoft.com/office/drawing/2014/main" id="{00000000-0008-0000-0000-0000AD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86" name="Oval 157">
          <a:extLst>
            <a:ext uri="{FF2B5EF4-FFF2-40B4-BE49-F238E27FC236}">
              <a16:creationId xmlns:a16="http://schemas.microsoft.com/office/drawing/2014/main" id="{00000000-0008-0000-0000-0000AE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87" name="Oval 158">
          <a:extLst>
            <a:ext uri="{FF2B5EF4-FFF2-40B4-BE49-F238E27FC236}">
              <a16:creationId xmlns:a16="http://schemas.microsoft.com/office/drawing/2014/main" id="{00000000-0008-0000-0000-0000AF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88" name="Oval 159">
          <a:extLst>
            <a:ext uri="{FF2B5EF4-FFF2-40B4-BE49-F238E27FC236}">
              <a16:creationId xmlns:a16="http://schemas.microsoft.com/office/drawing/2014/main" id="{00000000-0008-0000-0000-0000B0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889" name="AutoShape 160">
          <a:extLst>
            <a:ext uri="{FF2B5EF4-FFF2-40B4-BE49-F238E27FC236}">
              <a16:creationId xmlns:a16="http://schemas.microsoft.com/office/drawing/2014/main" id="{00000000-0008-0000-0000-0000B1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890" name="Rectangle 161">
          <a:extLst>
            <a:ext uri="{FF2B5EF4-FFF2-40B4-BE49-F238E27FC236}">
              <a16:creationId xmlns:a16="http://schemas.microsoft.com/office/drawing/2014/main" id="{00000000-0008-0000-0000-0000B2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91" name="Oval 162">
          <a:extLst>
            <a:ext uri="{FF2B5EF4-FFF2-40B4-BE49-F238E27FC236}">
              <a16:creationId xmlns:a16="http://schemas.microsoft.com/office/drawing/2014/main" id="{00000000-0008-0000-0000-0000B3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92" name="Oval 163">
          <a:extLst>
            <a:ext uri="{FF2B5EF4-FFF2-40B4-BE49-F238E27FC236}">
              <a16:creationId xmlns:a16="http://schemas.microsoft.com/office/drawing/2014/main" id="{00000000-0008-0000-0000-0000B4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93" name="Oval 164">
          <a:extLst>
            <a:ext uri="{FF2B5EF4-FFF2-40B4-BE49-F238E27FC236}">
              <a16:creationId xmlns:a16="http://schemas.microsoft.com/office/drawing/2014/main" id="{00000000-0008-0000-0000-0000B5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94" name="Oval 165">
          <a:extLst>
            <a:ext uri="{FF2B5EF4-FFF2-40B4-BE49-F238E27FC236}">
              <a16:creationId xmlns:a16="http://schemas.microsoft.com/office/drawing/2014/main" id="{00000000-0008-0000-0000-0000B6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895" name="AutoShape 166">
          <a:extLst>
            <a:ext uri="{FF2B5EF4-FFF2-40B4-BE49-F238E27FC236}">
              <a16:creationId xmlns:a16="http://schemas.microsoft.com/office/drawing/2014/main" id="{00000000-0008-0000-0000-0000B7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896" name="Rectangle 167">
          <a:extLst>
            <a:ext uri="{FF2B5EF4-FFF2-40B4-BE49-F238E27FC236}">
              <a16:creationId xmlns:a16="http://schemas.microsoft.com/office/drawing/2014/main" id="{00000000-0008-0000-0000-0000B8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97" name="Oval 168">
          <a:extLst>
            <a:ext uri="{FF2B5EF4-FFF2-40B4-BE49-F238E27FC236}">
              <a16:creationId xmlns:a16="http://schemas.microsoft.com/office/drawing/2014/main" id="{00000000-0008-0000-0000-0000B9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98" name="Oval 169">
          <a:extLst>
            <a:ext uri="{FF2B5EF4-FFF2-40B4-BE49-F238E27FC236}">
              <a16:creationId xmlns:a16="http://schemas.microsoft.com/office/drawing/2014/main" id="{00000000-0008-0000-0000-0000BA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899" name="Oval 170">
          <a:extLst>
            <a:ext uri="{FF2B5EF4-FFF2-40B4-BE49-F238E27FC236}">
              <a16:creationId xmlns:a16="http://schemas.microsoft.com/office/drawing/2014/main" id="{00000000-0008-0000-0000-0000BB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00" name="Oval 171">
          <a:extLst>
            <a:ext uri="{FF2B5EF4-FFF2-40B4-BE49-F238E27FC236}">
              <a16:creationId xmlns:a16="http://schemas.microsoft.com/office/drawing/2014/main" id="{00000000-0008-0000-0000-0000BC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901" name="AutoShape 172">
          <a:extLst>
            <a:ext uri="{FF2B5EF4-FFF2-40B4-BE49-F238E27FC236}">
              <a16:creationId xmlns:a16="http://schemas.microsoft.com/office/drawing/2014/main" id="{00000000-0008-0000-0000-0000BD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902" name="Rectangle 173">
          <a:extLst>
            <a:ext uri="{FF2B5EF4-FFF2-40B4-BE49-F238E27FC236}">
              <a16:creationId xmlns:a16="http://schemas.microsoft.com/office/drawing/2014/main" id="{00000000-0008-0000-0000-0000BE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03" name="Oval 174">
          <a:extLst>
            <a:ext uri="{FF2B5EF4-FFF2-40B4-BE49-F238E27FC236}">
              <a16:creationId xmlns:a16="http://schemas.microsoft.com/office/drawing/2014/main" id="{00000000-0008-0000-0000-0000BF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04" name="Oval 175">
          <a:extLst>
            <a:ext uri="{FF2B5EF4-FFF2-40B4-BE49-F238E27FC236}">
              <a16:creationId xmlns:a16="http://schemas.microsoft.com/office/drawing/2014/main" id="{00000000-0008-0000-0000-0000C0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05" name="Oval 176">
          <a:extLst>
            <a:ext uri="{FF2B5EF4-FFF2-40B4-BE49-F238E27FC236}">
              <a16:creationId xmlns:a16="http://schemas.microsoft.com/office/drawing/2014/main" id="{00000000-0008-0000-0000-0000C1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06" name="Oval 177">
          <a:extLst>
            <a:ext uri="{FF2B5EF4-FFF2-40B4-BE49-F238E27FC236}">
              <a16:creationId xmlns:a16="http://schemas.microsoft.com/office/drawing/2014/main" id="{00000000-0008-0000-0000-0000C2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907" name="AutoShape 178">
          <a:extLst>
            <a:ext uri="{FF2B5EF4-FFF2-40B4-BE49-F238E27FC236}">
              <a16:creationId xmlns:a16="http://schemas.microsoft.com/office/drawing/2014/main" id="{00000000-0008-0000-0000-0000C3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908" name="Rectangle 179">
          <a:extLst>
            <a:ext uri="{FF2B5EF4-FFF2-40B4-BE49-F238E27FC236}">
              <a16:creationId xmlns:a16="http://schemas.microsoft.com/office/drawing/2014/main" id="{00000000-0008-0000-0000-0000C4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09" name="Oval 180">
          <a:extLst>
            <a:ext uri="{FF2B5EF4-FFF2-40B4-BE49-F238E27FC236}">
              <a16:creationId xmlns:a16="http://schemas.microsoft.com/office/drawing/2014/main" id="{00000000-0008-0000-0000-0000C5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10" name="Oval 181">
          <a:extLst>
            <a:ext uri="{FF2B5EF4-FFF2-40B4-BE49-F238E27FC236}">
              <a16:creationId xmlns:a16="http://schemas.microsoft.com/office/drawing/2014/main" id="{00000000-0008-0000-0000-0000C6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11" name="Oval 182">
          <a:extLst>
            <a:ext uri="{FF2B5EF4-FFF2-40B4-BE49-F238E27FC236}">
              <a16:creationId xmlns:a16="http://schemas.microsoft.com/office/drawing/2014/main" id="{00000000-0008-0000-0000-0000C7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12" name="Oval 183">
          <a:extLst>
            <a:ext uri="{FF2B5EF4-FFF2-40B4-BE49-F238E27FC236}">
              <a16:creationId xmlns:a16="http://schemas.microsoft.com/office/drawing/2014/main" id="{00000000-0008-0000-0000-0000C8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913" name="AutoShape 184">
          <a:extLst>
            <a:ext uri="{FF2B5EF4-FFF2-40B4-BE49-F238E27FC236}">
              <a16:creationId xmlns:a16="http://schemas.microsoft.com/office/drawing/2014/main" id="{00000000-0008-0000-0000-0000C9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914" name="Rectangle 185">
          <a:extLst>
            <a:ext uri="{FF2B5EF4-FFF2-40B4-BE49-F238E27FC236}">
              <a16:creationId xmlns:a16="http://schemas.microsoft.com/office/drawing/2014/main" id="{00000000-0008-0000-0000-0000CA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15" name="Oval 186">
          <a:extLst>
            <a:ext uri="{FF2B5EF4-FFF2-40B4-BE49-F238E27FC236}">
              <a16:creationId xmlns:a16="http://schemas.microsoft.com/office/drawing/2014/main" id="{00000000-0008-0000-0000-0000CB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16" name="Oval 187">
          <a:extLst>
            <a:ext uri="{FF2B5EF4-FFF2-40B4-BE49-F238E27FC236}">
              <a16:creationId xmlns:a16="http://schemas.microsoft.com/office/drawing/2014/main" id="{00000000-0008-0000-0000-0000CC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17" name="Oval 188">
          <a:extLst>
            <a:ext uri="{FF2B5EF4-FFF2-40B4-BE49-F238E27FC236}">
              <a16:creationId xmlns:a16="http://schemas.microsoft.com/office/drawing/2014/main" id="{00000000-0008-0000-0000-0000CD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18" name="Oval 189">
          <a:extLst>
            <a:ext uri="{FF2B5EF4-FFF2-40B4-BE49-F238E27FC236}">
              <a16:creationId xmlns:a16="http://schemas.microsoft.com/office/drawing/2014/main" id="{00000000-0008-0000-0000-0000CE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919" name="AutoShape 190">
          <a:extLst>
            <a:ext uri="{FF2B5EF4-FFF2-40B4-BE49-F238E27FC236}">
              <a16:creationId xmlns:a16="http://schemas.microsoft.com/office/drawing/2014/main" id="{00000000-0008-0000-0000-0000CF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920" name="Rectangle 191">
          <a:extLst>
            <a:ext uri="{FF2B5EF4-FFF2-40B4-BE49-F238E27FC236}">
              <a16:creationId xmlns:a16="http://schemas.microsoft.com/office/drawing/2014/main" id="{00000000-0008-0000-0000-0000D0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21" name="Oval 192">
          <a:extLst>
            <a:ext uri="{FF2B5EF4-FFF2-40B4-BE49-F238E27FC236}">
              <a16:creationId xmlns:a16="http://schemas.microsoft.com/office/drawing/2014/main" id="{00000000-0008-0000-0000-0000D1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22" name="Oval 193">
          <a:extLst>
            <a:ext uri="{FF2B5EF4-FFF2-40B4-BE49-F238E27FC236}">
              <a16:creationId xmlns:a16="http://schemas.microsoft.com/office/drawing/2014/main" id="{00000000-0008-0000-0000-0000D2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23" name="Oval 194">
          <a:extLst>
            <a:ext uri="{FF2B5EF4-FFF2-40B4-BE49-F238E27FC236}">
              <a16:creationId xmlns:a16="http://schemas.microsoft.com/office/drawing/2014/main" id="{00000000-0008-0000-0000-0000D3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24" name="Oval 195">
          <a:extLst>
            <a:ext uri="{FF2B5EF4-FFF2-40B4-BE49-F238E27FC236}">
              <a16:creationId xmlns:a16="http://schemas.microsoft.com/office/drawing/2014/main" id="{00000000-0008-0000-0000-0000D4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925" name="AutoShape 196">
          <a:extLst>
            <a:ext uri="{FF2B5EF4-FFF2-40B4-BE49-F238E27FC236}">
              <a16:creationId xmlns:a16="http://schemas.microsoft.com/office/drawing/2014/main" id="{00000000-0008-0000-0000-0000D5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926" name="Rectangle 197">
          <a:extLst>
            <a:ext uri="{FF2B5EF4-FFF2-40B4-BE49-F238E27FC236}">
              <a16:creationId xmlns:a16="http://schemas.microsoft.com/office/drawing/2014/main" id="{00000000-0008-0000-0000-0000D6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27" name="Oval 198">
          <a:extLst>
            <a:ext uri="{FF2B5EF4-FFF2-40B4-BE49-F238E27FC236}">
              <a16:creationId xmlns:a16="http://schemas.microsoft.com/office/drawing/2014/main" id="{00000000-0008-0000-0000-0000D7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28" name="Oval 199">
          <a:extLst>
            <a:ext uri="{FF2B5EF4-FFF2-40B4-BE49-F238E27FC236}">
              <a16:creationId xmlns:a16="http://schemas.microsoft.com/office/drawing/2014/main" id="{00000000-0008-0000-0000-0000D8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29" name="Oval 200">
          <a:extLst>
            <a:ext uri="{FF2B5EF4-FFF2-40B4-BE49-F238E27FC236}">
              <a16:creationId xmlns:a16="http://schemas.microsoft.com/office/drawing/2014/main" id="{00000000-0008-0000-0000-0000D9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30" name="Oval 201">
          <a:extLst>
            <a:ext uri="{FF2B5EF4-FFF2-40B4-BE49-F238E27FC236}">
              <a16:creationId xmlns:a16="http://schemas.microsoft.com/office/drawing/2014/main" id="{00000000-0008-0000-0000-0000DA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931" name="AutoShape 202">
          <a:extLst>
            <a:ext uri="{FF2B5EF4-FFF2-40B4-BE49-F238E27FC236}">
              <a16:creationId xmlns:a16="http://schemas.microsoft.com/office/drawing/2014/main" id="{00000000-0008-0000-0000-0000DB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932" name="Rectangle 203">
          <a:extLst>
            <a:ext uri="{FF2B5EF4-FFF2-40B4-BE49-F238E27FC236}">
              <a16:creationId xmlns:a16="http://schemas.microsoft.com/office/drawing/2014/main" id="{00000000-0008-0000-0000-0000DC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33" name="Oval 204">
          <a:extLst>
            <a:ext uri="{FF2B5EF4-FFF2-40B4-BE49-F238E27FC236}">
              <a16:creationId xmlns:a16="http://schemas.microsoft.com/office/drawing/2014/main" id="{00000000-0008-0000-0000-0000DD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34" name="Oval 205">
          <a:extLst>
            <a:ext uri="{FF2B5EF4-FFF2-40B4-BE49-F238E27FC236}">
              <a16:creationId xmlns:a16="http://schemas.microsoft.com/office/drawing/2014/main" id="{00000000-0008-0000-0000-0000DE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35" name="Oval 206">
          <a:extLst>
            <a:ext uri="{FF2B5EF4-FFF2-40B4-BE49-F238E27FC236}">
              <a16:creationId xmlns:a16="http://schemas.microsoft.com/office/drawing/2014/main" id="{00000000-0008-0000-0000-0000DF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36" name="Oval 207">
          <a:extLst>
            <a:ext uri="{FF2B5EF4-FFF2-40B4-BE49-F238E27FC236}">
              <a16:creationId xmlns:a16="http://schemas.microsoft.com/office/drawing/2014/main" id="{00000000-0008-0000-0000-0000E0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937" name="AutoShape 208">
          <a:extLst>
            <a:ext uri="{FF2B5EF4-FFF2-40B4-BE49-F238E27FC236}">
              <a16:creationId xmlns:a16="http://schemas.microsoft.com/office/drawing/2014/main" id="{00000000-0008-0000-0000-0000E1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938" name="Rectangle 209">
          <a:extLst>
            <a:ext uri="{FF2B5EF4-FFF2-40B4-BE49-F238E27FC236}">
              <a16:creationId xmlns:a16="http://schemas.microsoft.com/office/drawing/2014/main" id="{00000000-0008-0000-0000-0000E2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39" name="Oval 210">
          <a:extLst>
            <a:ext uri="{FF2B5EF4-FFF2-40B4-BE49-F238E27FC236}">
              <a16:creationId xmlns:a16="http://schemas.microsoft.com/office/drawing/2014/main" id="{00000000-0008-0000-0000-0000E3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40" name="Oval 211">
          <a:extLst>
            <a:ext uri="{FF2B5EF4-FFF2-40B4-BE49-F238E27FC236}">
              <a16:creationId xmlns:a16="http://schemas.microsoft.com/office/drawing/2014/main" id="{00000000-0008-0000-0000-0000E4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41" name="Oval 212">
          <a:extLst>
            <a:ext uri="{FF2B5EF4-FFF2-40B4-BE49-F238E27FC236}">
              <a16:creationId xmlns:a16="http://schemas.microsoft.com/office/drawing/2014/main" id="{00000000-0008-0000-0000-0000E5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42" name="Oval 213">
          <a:extLst>
            <a:ext uri="{FF2B5EF4-FFF2-40B4-BE49-F238E27FC236}">
              <a16:creationId xmlns:a16="http://schemas.microsoft.com/office/drawing/2014/main" id="{00000000-0008-0000-0000-0000E6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943" name="AutoShape 214">
          <a:extLst>
            <a:ext uri="{FF2B5EF4-FFF2-40B4-BE49-F238E27FC236}">
              <a16:creationId xmlns:a16="http://schemas.microsoft.com/office/drawing/2014/main" id="{00000000-0008-0000-0000-0000E7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944" name="Rectangle 215">
          <a:extLst>
            <a:ext uri="{FF2B5EF4-FFF2-40B4-BE49-F238E27FC236}">
              <a16:creationId xmlns:a16="http://schemas.microsoft.com/office/drawing/2014/main" id="{00000000-0008-0000-0000-0000E8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45" name="Oval 216">
          <a:extLst>
            <a:ext uri="{FF2B5EF4-FFF2-40B4-BE49-F238E27FC236}">
              <a16:creationId xmlns:a16="http://schemas.microsoft.com/office/drawing/2014/main" id="{00000000-0008-0000-0000-0000E9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46" name="Oval 217">
          <a:extLst>
            <a:ext uri="{FF2B5EF4-FFF2-40B4-BE49-F238E27FC236}">
              <a16:creationId xmlns:a16="http://schemas.microsoft.com/office/drawing/2014/main" id="{00000000-0008-0000-0000-0000EA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47" name="Oval 218">
          <a:extLst>
            <a:ext uri="{FF2B5EF4-FFF2-40B4-BE49-F238E27FC236}">
              <a16:creationId xmlns:a16="http://schemas.microsoft.com/office/drawing/2014/main" id="{00000000-0008-0000-0000-0000EB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48" name="Oval 219">
          <a:extLst>
            <a:ext uri="{FF2B5EF4-FFF2-40B4-BE49-F238E27FC236}">
              <a16:creationId xmlns:a16="http://schemas.microsoft.com/office/drawing/2014/main" id="{00000000-0008-0000-0000-0000EC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949" name="AutoShape 220">
          <a:extLst>
            <a:ext uri="{FF2B5EF4-FFF2-40B4-BE49-F238E27FC236}">
              <a16:creationId xmlns:a16="http://schemas.microsoft.com/office/drawing/2014/main" id="{00000000-0008-0000-0000-0000ED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950" name="Rectangle 221">
          <a:extLst>
            <a:ext uri="{FF2B5EF4-FFF2-40B4-BE49-F238E27FC236}">
              <a16:creationId xmlns:a16="http://schemas.microsoft.com/office/drawing/2014/main" id="{00000000-0008-0000-0000-0000EE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51" name="Oval 222">
          <a:extLst>
            <a:ext uri="{FF2B5EF4-FFF2-40B4-BE49-F238E27FC236}">
              <a16:creationId xmlns:a16="http://schemas.microsoft.com/office/drawing/2014/main" id="{00000000-0008-0000-0000-0000EF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52" name="Oval 223">
          <a:extLst>
            <a:ext uri="{FF2B5EF4-FFF2-40B4-BE49-F238E27FC236}">
              <a16:creationId xmlns:a16="http://schemas.microsoft.com/office/drawing/2014/main" id="{00000000-0008-0000-0000-0000F0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53" name="Oval 224">
          <a:extLst>
            <a:ext uri="{FF2B5EF4-FFF2-40B4-BE49-F238E27FC236}">
              <a16:creationId xmlns:a16="http://schemas.microsoft.com/office/drawing/2014/main" id="{00000000-0008-0000-0000-0000F1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54" name="Oval 225">
          <a:extLst>
            <a:ext uri="{FF2B5EF4-FFF2-40B4-BE49-F238E27FC236}">
              <a16:creationId xmlns:a16="http://schemas.microsoft.com/office/drawing/2014/main" id="{00000000-0008-0000-0000-0000F2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955" name="AutoShape 226">
          <a:extLst>
            <a:ext uri="{FF2B5EF4-FFF2-40B4-BE49-F238E27FC236}">
              <a16:creationId xmlns:a16="http://schemas.microsoft.com/office/drawing/2014/main" id="{00000000-0008-0000-0000-0000F3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956" name="Rectangle 227">
          <a:extLst>
            <a:ext uri="{FF2B5EF4-FFF2-40B4-BE49-F238E27FC236}">
              <a16:creationId xmlns:a16="http://schemas.microsoft.com/office/drawing/2014/main" id="{00000000-0008-0000-0000-0000F4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57" name="Oval 228">
          <a:extLst>
            <a:ext uri="{FF2B5EF4-FFF2-40B4-BE49-F238E27FC236}">
              <a16:creationId xmlns:a16="http://schemas.microsoft.com/office/drawing/2014/main" id="{00000000-0008-0000-0000-0000F5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58" name="Oval 229">
          <a:extLst>
            <a:ext uri="{FF2B5EF4-FFF2-40B4-BE49-F238E27FC236}">
              <a16:creationId xmlns:a16="http://schemas.microsoft.com/office/drawing/2014/main" id="{00000000-0008-0000-0000-0000F6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59" name="Oval 230">
          <a:extLst>
            <a:ext uri="{FF2B5EF4-FFF2-40B4-BE49-F238E27FC236}">
              <a16:creationId xmlns:a16="http://schemas.microsoft.com/office/drawing/2014/main" id="{00000000-0008-0000-0000-0000F7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60" name="Oval 231">
          <a:extLst>
            <a:ext uri="{FF2B5EF4-FFF2-40B4-BE49-F238E27FC236}">
              <a16:creationId xmlns:a16="http://schemas.microsoft.com/office/drawing/2014/main" id="{00000000-0008-0000-0000-0000F8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961" name="AutoShape 232">
          <a:extLst>
            <a:ext uri="{FF2B5EF4-FFF2-40B4-BE49-F238E27FC236}">
              <a16:creationId xmlns:a16="http://schemas.microsoft.com/office/drawing/2014/main" id="{00000000-0008-0000-0000-0000F9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9962" name="Rectangle 233">
          <a:extLst>
            <a:ext uri="{FF2B5EF4-FFF2-40B4-BE49-F238E27FC236}">
              <a16:creationId xmlns:a16="http://schemas.microsoft.com/office/drawing/2014/main" id="{00000000-0008-0000-0000-0000FA2F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63" name="Oval 234">
          <a:extLst>
            <a:ext uri="{FF2B5EF4-FFF2-40B4-BE49-F238E27FC236}">
              <a16:creationId xmlns:a16="http://schemas.microsoft.com/office/drawing/2014/main" id="{00000000-0008-0000-0000-0000FB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64" name="Oval 235">
          <a:extLst>
            <a:ext uri="{FF2B5EF4-FFF2-40B4-BE49-F238E27FC236}">
              <a16:creationId xmlns:a16="http://schemas.microsoft.com/office/drawing/2014/main" id="{00000000-0008-0000-0000-0000FC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65" name="Oval 236">
          <a:extLst>
            <a:ext uri="{FF2B5EF4-FFF2-40B4-BE49-F238E27FC236}">
              <a16:creationId xmlns:a16="http://schemas.microsoft.com/office/drawing/2014/main" id="{00000000-0008-0000-0000-0000FD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39966" name="Oval 237">
          <a:extLst>
            <a:ext uri="{FF2B5EF4-FFF2-40B4-BE49-F238E27FC236}">
              <a16:creationId xmlns:a16="http://schemas.microsoft.com/office/drawing/2014/main" id="{00000000-0008-0000-0000-0000FE2F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9967" name="AutoShape 238">
          <a:extLst>
            <a:ext uri="{FF2B5EF4-FFF2-40B4-BE49-F238E27FC236}">
              <a16:creationId xmlns:a16="http://schemas.microsoft.com/office/drawing/2014/main" id="{00000000-0008-0000-0000-0000FF2F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3280" name="Rectangle 239">
          <a:extLst>
            <a:ext uri="{FF2B5EF4-FFF2-40B4-BE49-F238E27FC236}">
              <a16:creationId xmlns:a16="http://schemas.microsoft.com/office/drawing/2014/main" id="{00000000-0008-0000-0000-00000064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281" name="Oval 240">
          <a:extLst>
            <a:ext uri="{FF2B5EF4-FFF2-40B4-BE49-F238E27FC236}">
              <a16:creationId xmlns:a16="http://schemas.microsoft.com/office/drawing/2014/main" id="{00000000-0008-0000-0000-000001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282" name="Oval 241">
          <a:extLst>
            <a:ext uri="{FF2B5EF4-FFF2-40B4-BE49-F238E27FC236}">
              <a16:creationId xmlns:a16="http://schemas.microsoft.com/office/drawing/2014/main" id="{00000000-0008-0000-0000-000002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283" name="Oval 242">
          <a:extLst>
            <a:ext uri="{FF2B5EF4-FFF2-40B4-BE49-F238E27FC236}">
              <a16:creationId xmlns:a16="http://schemas.microsoft.com/office/drawing/2014/main" id="{00000000-0008-0000-0000-000003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284" name="Oval 243">
          <a:extLst>
            <a:ext uri="{FF2B5EF4-FFF2-40B4-BE49-F238E27FC236}">
              <a16:creationId xmlns:a16="http://schemas.microsoft.com/office/drawing/2014/main" id="{00000000-0008-0000-0000-000004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3285" name="AutoShape 244">
          <a:extLst>
            <a:ext uri="{FF2B5EF4-FFF2-40B4-BE49-F238E27FC236}">
              <a16:creationId xmlns:a16="http://schemas.microsoft.com/office/drawing/2014/main" id="{00000000-0008-0000-0000-00000564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3286" name="Rectangle 245">
          <a:extLst>
            <a:ext uri="{FF2B5EF4-FFF2-40B4-BE49-F238E27FC236}">
              <a16:creationId xmlns:a16="http://schemas.microsoft.com/office/drawing/2014/main" id="{00000000-0008-0000-0000-00000664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287" name="Oval 246">
          <a:extLst>
            <a:ext uri="{FF2B5EF4-FFF2-40B4-BE49-F238E27FC236}">
              <a16:creationId xmlns:a16="http://schemas.microsoft.com/office/drawing/2014/main" id="{00000000-0008-0000-0000-000007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288" name="Oval 247">
          <a:extLst>
            <a:ext uri="{FF2B5EF4-FFF2-40B4-BE49-F238E27FC236}">
              <a16:creationId xmlns:a16="http://schemas.microsoft.com/office/drawing/2014/main" id="{00000000-0008-0000-0000-000008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289" name="Oval 248">
          <a:extLst>
            <a:ext uri="{FF2B5EF4-FFF2-40B4-BE49-F238E27FC236}">
              <a16:creationId xmlns:a16="http://schemas.microsoft.com/office/drawing/2014/main" id="{00000000-0008-0000-0000-000009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290" name="Oval 249">
          <a:extLst>
            <a:ext uri="{FF2B5EF4-FFF2-40B4-BE49-F238E27FC236}">
              <a16:creationId xmlns:a16="http://schemas.microsoft.com/office/drawing/2014/main" id="{00000000-0008-0000-0000-00000A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3291" name="AutoShape 250">
          <a:extLst>
            <a:ext uri="{FF2B5EF4-FFF2-40B4-BE49-F238E27FC236}">
              <a16:creationId xmlns:a16="http://schemas.microsoft.com/office/drawing/2014/main" id="{00000000-0008-0000-0000-00000B64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3292" name="Rectangle 251">
          <a:extLst>
            <a:ext uri="{FF2B5EF4-FFF2-40B4-BE49-F238E27FC236}">
              <a16:creationId xmlns:a16="http://schemas.microsoft.com/office/drawing/2014/main" id="{00000000-0008-0000-0000-00000C64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293" name="Oval 252">
          <a:extLst>
            <a:ext uri="{FF2B5EF4-FFF2-40B4-BE49-F238E27FC236}">
              <a16:creationId xmlns:a16="http://schemas.microsoft.com/office/drawing/2014/main" id="{00000000-0008-0000-0000-00000D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294" name="Oval 253">
          <a:extLst>
            <a:ext uri="{FF2B5EF4-FFF2-40B4-BE49-F238E27FC236}">
              <a16:creationId xmlns:a16="http://schemas.microsoft.com/office/drawing/2014/main" id="{00000000-0008-0000-0000-00000E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295" name="Oval 254">
          <a:extLst>
            <a:ext uri="{FF2B5EF4-FFF2-40B4-BE49-F238E27FC236}">
              <a16:creationId xmlns:a16="http://schemas.microsoft.com/office/drawing/2014/main" id="{00000000-0008-0000-0000-00000F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296" name="Oval 255">
          <a:extLst>
            <a:ext uri="{FF2B5EF4-FFF2-40B4-BE49-F238E27FC236}">
              <a16:creationId xmlns:a16="http://schemas.microsoft.com/office/drawing/2014/main" id="{00000000-0008-0000-0000-000010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3297" name="AutoShape 256">
          <a:extLst>
            <a:ext uri="{FF2B5EF4-FFF2-40B4-BE49-F238E27FC236}">
              <a16:creationId xmlns:a16="http://schemas.microsoft.com/office/drawing/2014/main" id="{00000000-0008-0000-0000-00001164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3298" name="Rectangle 257">
          <a:extLst>
            <a:ext uri="{FF2B5EF4-FFF2-40B4-BE49-F238E27FC236}">
              <a16:creationId xmlns:a16="http://schemas.microsoft.com/office/drawing/2014/main" id="{00000000-0008-0000-0000-00001264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299" name="Oval 258">
          <a:extLst>
            <a:ext uri="{FF2B5EF4-FFF2-40B4-BE49-F238E27FC236}">
              <a16:creationId xmlns:a16="http://schemas.microsoft.com/office/drawing/2014/main" id="{00000000-0008-0000-0000-000013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300" name="Oval 259">
          <a:extLst>
            <a:ext uri="{FF2B5EF4-FFF2-40B4-BE49-F238E27FC236}">
              <a16:creationId xmlns:a16="http://schemas.microsoft.com/office/drawing/2014/main" id="{00000000-0008-0000-0000-000014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301" name="Oval 260">
          <a:extLst>
            <a:ext uri="{FF2B5EF4-FFF2-40B4-BE49-F238E27FC236}">
              <a16:creationId xmlns:a16="http://schemas.microsoft.com/office/drawing/2014/main" id="{00000000-0008-0000-0000-000015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302" name="Oval 261">
          <a:extLst>
            <a:ext uri="{FF2B5EF4-FFF2-40B4-BE49-F238E27FC236}">
              <a16:creationId xmlns:a16="http://schemas.microsoft.com/office/drawing/2014/main" id="{00000000-0008-0000-0000-000016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3303" name="AutoShape 262">
          <a:extLst>
            <a:ext uri="{FF2B5EF4-FFF2-40B4-BE49-F238E27FC236}">
              <a16:creationId xmlns:a16="http://schemas.microsoft.com/office/drawing/2014/main" id="{00000000-0008-0000-0000-00001764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3304" name="Rectangle 263">
          <a:extLst>
            <a:ext uri="{FF2B5EF4-FFF2-40B4-BE49-F238E27FC236}">
              <a16:creationId xmlns:a16="http://schemas.microsoft.com/office/drawing/2014/main" id="{00000000-0008-0000-0000-00001864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305" name="Oval 264">
          <a:extLst>
            <a:ext uri="{FF2B5EF4-FFF2-40B4-BE49-F238E27FC236}">
              <a16:creationId xmlns:a16="http://schemas.microsoft.com/office/drawing/2014/main" id="{00000000-0008-0000-0000-000019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306" name="Oval 265">
          <a:extLst>
            <a:ext uri="{FF2B5EF4-FFF2-40B4-BE49-F238E27FC236}">
              <a16:creationId xmlns:a16="http://schemas.microsoft.com/office/drawing/2014/main" id="{00000000-0008-0000-0000-00001A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307" name="Oval 266">
          <a:extLst>
            <a:ext uri="{FF2B5EF4-FFF2-40B4-BE49-F238E27FC236}">
              <a16:creationId xmlns:a16="http://schemas.microsoft.com/office/drawing/2014/main" id="{00000000-0008-0000-0000-00001B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308" name="Oval 267">
          <a:extLst>
            <a:ext uri="{FF2B5EF4-FFF2-40B4-BE49-F238E27FC236}">
              <a16:creationId xmlns:a16="http://schemas.microsoft.com/office/drawing/2014/main" id="{00000000-0008-0000-0000-00001C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3309" name="AutoShape 268">
          <a:extLst>
            <a:ext uri="{FF2B5EF4-FFF2-40B4-BE49-F238E27FC236}">
              <a16:creationId xmlns:a16="http://schemas.microsoft.com/office/drawing/2014/main" id="{00000000-0008-0000-0000-00001D64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3310" name="Rectangle 269">
          <a:extLst>
            <a:ext uri="{FF2B5EF4-FFF2-40B4-BE49-F238E27FC236}">
              <a16:creationId xmlns:a16="http://schemas.microsoft.com/office/drawing/2014/main" id="{00000000-0008-0000-0000-00001E64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311" name="Oval 270">
          <a:extLst>
            <a:ext uri="{FF2B5EF4-FFF2-40B4-BE49-F238E27FC236}">
              <a16:creationId xmlns:a16="http://schemas.microsoft.com/office/drawing/2014/main" id="{00000000-0008-0000-0000-00001F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312" name="Oval 271">
          <a:extLst>
            <a:ext uri="{FF2B5EF4-FFF2-40B4-BE49-F238E27FC236}">
              <a16:creationId xmlns:a16="http://schemas.microsoft.com/office/drawing/2014/main" id="{00000000-0008-0000-0000-000020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313" name="Oval 272">
          <a:extLst>
            <a:ext uri="{FF2B5EF4-FFF2-40B4-BE49-F238E27FC236}">
              <a16:creationId xmlns:a16="http://schemas.microsoft.com/office/drawing/2014/main" id="{00000000-0008-0000-0000-000021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314" name="Oval 273">
          <a:extLst>
            <a:ext uri="{FF2B5EF4-FFF2-40B4-BE49-F238E27FC236}">
              <a16:creationId xmlns:a16="http://schemas.microsoft.com/office/drawing/2014/main" id="{00000000-0008-0000-0000-000022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3315" name="Rectangle 274">
          <a:extLst>
            <a:ext uri="{FF2B5EF4-FFF2-40B4-BE49-F238E27FC236}">
              <a16:creationId xmlns:a16="http://schemas.microsoft.com/office/drawing/2014/main" id="{00000000-0008-0000-0000-00002364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316" name="Oval 275">
          <a:extLst>
            <a:ext uri="{FF2B5EF4-FFF2-40B4-BE49-F238E27FC236}">
              <a16:creationId xmlns:a16="http://schemas.microsoft.com/office/drawing/2014/main" id="{00000000-0008-0000-0000-000024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317" name="Oval 276">
          <a:extLst>
            <a:ext uri="{FF2B5EF4-FFF2-40B4-BE49-F238E27FC236}">
              <a16:creationId xmlns:a16="http://schemas.microsoft.com/office/drawing/2014/main" id="{00000000-0008-0000-0000-000025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318" name="Oval 277">
          <a:extLst>
            <a:ext uri="{FF2B5EF4-FFF2-40B4-BE49-F238E27FC236}">
              <a16:creationId xmlns:a16="http://schemas.microsoft.com/office/drawing/2014/main" id="{00000000-0008-0000-0000-000026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319" name="Oval 278">
          <a:extLst>
            <a:ext uri="{FF2B5EF4-FFF2-40B4-BE49-F238E27FC236}">
              <a16:creationId xmlns:a16="http://schemas.microsoft.com/office/drawing/2014/main" id="{00000000-0008-0000-0000-000027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3320" name="Rectangle 279">
          <a:extLst>
            <a:ext uri="{FF2B5EF4-FFF2-40B4-BE49-F238E27FC236}">
              <a16:creationId xmlns:a16="http://schemas.microsoft.com/office/drawing/2014/main" id="{00000000-0008-0000-0000-00002864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321" name="Oval 280">
          <a:extLst>
            <a:ext uri="{FF2B5EF4-FFF2-40B4-BE49-F238E27FC236}">
              <a16:creationId xmlns:a16="http://schemas.microsoft.com/office/drawing/2014/main" id="{00000000-0008-0000-0000-000029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322" name="Oval 281">
          <a:extLst>
            <a:ext uri="{FF2B5EF4-FFF2-40B4-BE49-F238E27FC236}">
              <a16:creationId xmlns:a16="http://schemas.microsoft.com/office/drawing/2014/main" id="{00000000-0008-0000-0000-00002A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323" name="Oval 282">
          <a:extLst>
            <a:ext uri="{FF2B5EF4-FFF2-40B4-BE49-F238E27FC236}">
              <a16:creationId xmlns:a16="http://schemas.microsoft.com/office/drawing/2014/main" id="{00000000-0008-0000-0000-00002B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3324" name="Oval 283">
          <a:extLst>
            <a:ext uri="{FF2B5EF4-FFF2-40B4-BE49-F238E27FC236}">
              <a16:creationId xmlns:a16="http://schemas.microsoft.com/office/drawing/2014/main" id="{00000000-0008-0000-0000-00002C64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353325" name="Rectangle 285">
          <a:extLst>
            <a:ext uri="{FF2B5EF4-FFF2-40B4-BE49-F238E27FC236}">
              <a16:creationId xmlns:a16="http://schemas.microsoft.com/office/drawing/2014/main" id="{00000000-0008-0000-0000-00002D64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353326" name="Rectangle 287">
          <a:extLst>
            <a:ext uri="{FF2B5EF4-FFF2-40B4-BE49-F238E27FC236}">
              <a16:creationId xmlns:a16="http://schemas.microsoft.com/office/drawing/2014/main" id="{00000000-0008-0000-0000-00002E64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353327" name="Rectangle 289">
          <a:extLst>
            <a:ext uri="{FF2B5EF4-FFF2-40B4-BE49-F238E27FC236}">
              <a16:creationId xmlns:a16="http://schemas.microsoft.com/office/drawing/2014/main" id="{00000000-0008-0000-0000-00002F64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353328" name="Rectangle 291">
          <a:extLst>
            <a:ext uri="{FF2B5EF4-FFF2-40B4-BE49-F238E27FC236}">
              <a16:creationId xmlns:a16="http://schemas.microsoft.com/office/drawing/2014/main" id="{00000000-0008-0000-0000-00003064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353329" name="Rectangle 293">
          <a:extLst>
            <a:ext uri="{FF2B5EF4-FFF2-40B4-BE49-F238E27FC236}">
              <a16:creationId xmlns:a16="http://schemas.microsoft.com/office/drawing/2014/main" id="{00000000-0008-0000-0000-00003164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353330" name="Rectangle 295">
          <a:extLst>
            <a:ext uri="{FF2B5EF4-FFF2-40B4-BE49-F238E27FC236}">
              <a16:creationId xmlns:a16="http://schemas.microsoft.com/office/drawing/2014/main" id="{00000000-0008-0000-0000-00003264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353331" name="Rectangle 297">
          <a:extLst>
            <a:ext uri="{FF2B5EF4-FFF2-40B4-BE49-F238E27FC236}">
              <a16:creationId xmlns:a16="http://schemas.microsoft.com/office/drawing/2014/main" id="{00000000-0008-0000-0000-00003364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353332" name="Rectangle 299">
          <a:extLst>
            <a:ext uri="{FF2B5EF4-FFF2-40B4-BE49-F238E27FC236}">
              <a16:creationId xmlns:a16="http://schemas.microsoft.com/office/drawing/2014/main" id="{00000000-0008-0000-0000-00003464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353333" name="Rectangle 301">
          <a:extLst>
            <a:ext uri="{FF2B5EF4-FFF2-40B4-BE49-F238E27FC236}">
              <a16:creationId xmlns:a16="http://schemas.microsoft.com/office/drawing/2014/main" id="{00000000-0008-0000-0000-00003564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353334" name="Rectangle 303">
          <a:extLst>
            <a:ext uri="{FF2B5EF4-FFF2-40B4-BE49-F238E27FC236}">
              <a16:creationId xmlns:a16="http://schemas.microsoft.com/office/drawing/2014/main" id="{00000000-0008-0000-0000-00003664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353335" name="Rectangle 305">
          <a:extLst>
            <a:ext uri="{FF2B5EF4-FFF2-40B4-BE49-F238E27FC236}">
              <a16:creationId xmlns:a16="http://schemas.microsoft.com/office/drawing/2014/main" id="{00000000-0008-0000-0000-00003764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353336" name="Rectangle 307">
          <a:extLst>
            <a:ext uri="{FF2B5EF4-FFF2-40B4-BE49-F238E27FC236}">
              <a16:creationId xmlns:a16="http://schemas.microsoft.com/office/drawing/2014/main" id="{00000000-0008-0000-0000-00003864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textlink="">
      <xdr:nvSpPr>
        <xdr:cNvPr id="353337" name="フリーフォーム 311">
          <a:extLst>
            <a:ext uri="{FF2B5EF4-FFF2-40B4-BE49-F238E27FC236}">
              <a16:creationId xmlns:a16="http://schemas.microsoft.com/office/drawing/2014/main" id="{00000000-0008-0000-0000-000039640500}"/>
            </a:ext>
          </a:extLst>
        </xdr:cNvPr>
        <xdr:cNvSpPr>
          <a:spLocks noChangeArrowheads="1"/>
        </xdr:cNvSpPr>
      </xdr:nvSpPr>
      <xdr:spPr bwMode="auto">
        <a:xfrm>
          <a:off x="723900" y="2162175"/>
          <a:ext cx="276225" cy="180975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textlink="">
      <xdr:nvSpPr>
        <xdr:cNvPr id="353338" name="フリーフォーム 312">
          <a:extLst>
            <a:ext uri="{FF2B5EF4-FFF2-40B4-BE49-F238E27FC236}">
              <a16:creationId xmlns:a16="http://schemas.microsoft.com/office/drawing/2014/main" id="{00000000-0008-0000-0000-00003A640500}"/>
            </a:ext>
          </a:extLst>
        </xdr:cNvPr>
        <xdr:cNvSpPr>
          <a:spLocks noChangeArrowheads="1"/>
        </xdr:cNvSpPr>
      </xdr:nvSpPr>
      <xdr:spPr bwMode="auto">
        <a:xfrm>
          <a:off x="742950" y="2847975"/>
          <a:ext cx="276225" cy="190500"/>
        </a:xfrm>
        <a:custGeom>
          <a:avLst/>
          <a:gdLst>
            <a:gd name="T0" fmla="*/ 0 w 272143"/>
            <a:gd name="T1" fmla="*/ 0 h 185057"/>
            <a:gd name="T2" fmla="*/ 385332 w 272143"/>
            <a:gd name="T3" fmla="*/ 0 h 185057"/>
            <a:gd name="T4" fmla="*/ 544000 w 272143"/>
            <a:gd name="T5" fmla="*/ 279321 h 185057"/>
            <a:gd name="T6" fmla="*/ 566665 w 272143"/>
            <a:gd name="T7" fmla="*/ 319227 h 185057"/>
            <a:gd name="T8" fmla="*/ 385332 w 272143"/>
            <a:gd name="T9" fmla="*/ 678369 h 185057"/>
            <a:gd name="T10" fmla="*/ 11331 w 272143"/>
            <a:gd name="T11" fmla="*/ 678369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textlink="">
      <xdr:nvSpPr>
        <xdr:cNvPr id="353339" name="フリーフォーム 313">
          <a:extLst>
            <a:ext uri="{FF2B5EF4-FFF2-40B4-BE49-F238E27FC236}">
              <a16:creationId xmlns:a16="http://schemas.microsoft.com/office/drawing/2014/main" id="{00000000-0008-0000-0000-00003B640500}"/>
            </a:ext>
          </a:extLst>
        </xdr:cNvPr>
        <xdr:cNvSpPr>
          <a:spLocks noChangeArrowheads="1"/>
        </xdr:cNvSpPr>
      </xdr:nvSpPr>
      <xdr:spPr bwMode="auto">
        <a:xfrm>
          <a:off x="742950" y="3543300"/>
          <a:ext cx="276225" cy="180975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textlink="">
      <xdr:nvSpPr>
        <xdr:cNvPr id="353340" name="フリーフォーム 314">
          <a:extLst>
            <a:ext uri="{FF2B5EF4-FFF2-40B4-BE49-F238E27FC236}">
              <a16:creationId xmlns:a16="http://schemas.microsoft.com/office/drawing/2014/main" id="{00000000-0008-0000-0000-00003C640500}"/>
            </a:ext>
          </a:extLst>
        </xdr:cNvPr>
        <xdr:cNvSpPr>
          <a:spLocks noChangeArrowheads="1"/>
        </xdr:cNvSpPr>
      </xdr:nvSpPr>
      <xdr:spPr bwMode="auto">
        <a:xfrm>
          <a:off x="733425" y="42195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textlink="">
      <xdr:nvSpPr>
        <xdr:cNvPr id="353341" name="フリーフォーム 315">
          <a:extLst>
            <a:ext uri="{FF2B5EF4-FFF2-40B4-BE49-F238E27FC236}">
              <a16:creationId xmlns:a16="http://schemas.microsoft.com/office/drawing/2014/main" id="{00000000-0008-0000-0000-00003D640500}"/>
            </a:ext>
          </a:extLst>
        </xdr:cNvPr>
        <xdr:cNvSpPr>
          <a:spLocks noChangeArrowheads="1"/>
        </xdr:cNvSpPr>
      </xdr:nvSpPr>
      <xdr:spPr bwMode="auto">
        <a:xfrm>
          <a:off x="733425" y="4905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textlink="">
      <xdr:nvSpPr>
        <xdr:cNvPr id="353342" name="フリーフォーム 316">
          <a:extLst>
            <a:ext uri="{FF2B5EF4-FFF2-40B4-BE49-F238E27FC236}">
              <a16:creationId xmlns:a16="http://schemas.microsoft.com/office/drawing/2014/main" id="{00000000-0008-0000-0000-00003E640500}"/>
            </a:ext>
          </a:extLst>
        </xdr:cNvPr>
        <xdr:cNvSpPr>
          <a:spLocks noChangeArrowheads="1"/>
        </xdr:cNvSpPr>
      </xdr:nvSpPr>
      <xdr:spPr bwMode="auto">
        <a:xfrm>
          <a:off x="733425" y="55816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textlink="">
      <xdr:nvSpPr>
        <xdr:cNvPr id="353343" name="フリーフォーム 317">
          <a:extLst>
            <a:ext uri="{FF2B5EF4-FFF2-40B4-BE49-F238E27FC236}">
              <a16:creationId xmlns:a16="http://schemas.microsoft.com/office/drawing/2014/main" id="{00000000-0008-0000-0000-00003F640500}"/>
            </a:ext>
          </a:extLst>
        </xdr:cNvPr>
        <xdr:cNvSpPr>
          <a:spLocks noChangeArrowheads="1"/>
        </xdr:cNvSpPr>
      </xdr:nvSpPr>
      <xdr:spPr bwMode="auto">
        <a:xfrm>
          <a:off x="723900" y="6267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textlink="">
      <xdr:nvSpPr>
        <xdr:cNvPr id="353344" name="フリーフォーム 319">
          <a:extLst>
            <a:ext uri="{FF2B5EF4-FFF2-40B4-BE49-F238E27FC236}">
              <a16:creationId xmlns:a16="http://schemas.microsoft.com/office/drawing/2014/main" id="{00000000-0008-0000-0000-000040640500}"/>
            </a:ext>
          </a:extLst>
        </xdr:cNvPr>
        <xdr:cNvSpPr>
          <a:spLocks noChangeArrowheads="1"/>
        </xdr:cNvSpPr>
      </xdr:nvSpPr>
      <xdr:spPr bwMode="auto">
        <a:xfrm>
          <a:off x="733425" y="76390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textlink="">
      <xdr:nvSpPr>
        <xdr:cNvPr id="353345" name="フリーフォーム 320">
          <a:extLst>
            <a:ext uri="{FF2B5EF4-FFF2-40B4-BE49-F238E27FC236}">
              <a16:creationId xmlns:a16="http://schemas.microsoft.com/office/drawing/2014/main" id="{00000000-0008-0000-0000-000041640500}"/>
            </a:ext>
          </a:extLst>
        </xdr:cNvPr>
        <xdr:cNvSpPr>
          <a:spLocks noChangeArrowheads="1"/>
        </xdr:cNvSpPr>
      </xdr:nvSpPr>
      <xdr:spPr bwMode="auto">
        <a:xfrm>
          <a:off x="723900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353346" name="フリーフォーム 321">
          <a:extLst>
            <a:ext uri="{FF2B5EF4-FFF2-40B4-BE49-F238E27FC236}">
              <a16:creationId xmlns:a16="http://schemas.microsoft.com/office/drawing/2014/main" id="{00000000-0008-0000-0000-00004264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textlink="">
      <xdr:nvSpPr>
        <xdr:cNvPr id="353347" name="フリーフォーム 322">
          <a:extLst>
            <a:ext uri="{FF2B5EF4-FFF2-40B4-BE49-F238E27FC236}">
              <a16:creationId xmlns:a16="http://schemas.microsoft.com/office/drawing/2014/main" id="{00000000-0008-0000-0000-000043640500}"/>
            </a:ext>
          </a:extLst>
        </xdr:cNvPr>
        <xdr:cNvSpPr>
          <a:spLocks noChangeArrowheads="1"/>
        </xdr:cNvSpPr>
      </xdr:nvSpPr>
      <xdr:spPr bwMode="auto">
        <a:xfrm>
          <a:off x="733425" y="9696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353348" name="Rectangle 2">
          <a:extLst>
            <a:ext uri="{FF2B5EF4-FFF2-40B4-BE49-F238E27FC236}">
              <a16:creationId xmlns:a16="http://schemas.microsoft.com/office/drawing/2014/main" id="{00000000-0008-0000-0000-00004464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353349" name="Rectangle 2">
          <a:extLst>
            <a:ext uri="{FF2B5EF4-FFF2-40B4-BE49-F238E27FC236}">
              <a16:creationId xmlns:a16="http://schemas.microsoft.com/office/drawing/2014/main" id="{00000000-0008-0000-0000-00004564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353350" name="Rectangle 2">
          <a:extLst>
            <a:ext uri="{FF2B5EF4-FFF2-40B4-BE49-F238E27FC236}">
              <a16:creationId xmlns:a16="http://schemas.microsoft.com/office/drawing/2014/main" id="{00000000-0008-0000-0000-00004664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353351" name="Rectangle 2">
          <a:extLst>
            <a:ext uri="{FF2B5EF4-FFF2-40B4-BE49-F238E27FC236}">
              <a16:creationId xmlns:a16="http://schemas.microsoft.com/office/drawing/2014/main" id="{00000000-0008-0000-0000-00004764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353352" name="Rectangle 2">
          <a:extLst>
            <a:ext uri="{FF2B5EF4-FFF2-40B4-BE49-F238E27FC236}">
              <a16:creationId xmlns:a16="http://schemas.microsoft.com/office/drawing/2014/main" id="{00000000-0008-0000-0000-00004864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353353" name="Rectangle 293">
          <a:extLst>
            <a:ext uri="{FF2B5EF4-FFF2-40B4-BE49-F238E27FC236}">
              <a16:creationId xmlns:a16="http://schemas.microsoft.com/office/drawing/2014/main" id="{00000000-0008-0000-0000-00004964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353354" name="Rectangle 2">
          <a:extLst>
            <a:ext uri="{FF2B5EF4-FFF2-40B4-BE49-F238E27FC236}">
              <a16:creationId xmlns:a16="http://schemas.microsoft.com/office/drawing/2014/main" id="{00000000-0008-0000-0000-00004A64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353355" name="Rectangle 293">
          <a:extLst>
            <a:ext uri="{FF2B5EF4-FFF2-40B4-BE49-F238E27FC236}">
              <a16:creationId xmlns:a16="http://schemas.microsoft.com/office/drawing/2014/main" id="{00000000-0008-0000-0000-00004B64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353356" name="Rectangle 2">
          <a:extLst>
            <a:ext uri="{FF2B5EF4-FFF2-40B4-BE49-F238E27FC236}">
              <a16:creationId xmlns:a16="http://schemas.microsoft.com/office/drawing/2014/main" id="{00000000-0008-0000-0000-00004C64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353357" name="Rectangle 293">
          <a:extLst>
            <a:ext uri="{FF2B5EF4-FFF2-40B4-BE49-F238E27FC236}">
              <a16:creationId xmlns:a16="http://schemas.microsoft.com/office/drawing/2014/main" id="{00000000-0008-0000-0000-00004D64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4</xdr:col>
      <xdr:colOff>0</xdr:colOff>
      <xdr:row>78</xdr:row>
      <xdr:rowOff>28575</xdr:rowOff>
    </xdr:to>
    <xdr:sp textlink="">
      <xdr:nvSpPr>
        <xdr:cNvPr id="353358" name="フリーフォーム 342">
          <a:extLst>
            <a:ext uri="{FF2B5EF4-FFF2-40B4-BE49-F238E27FC236}">
              <a16:creationId xmlns:a16="http://schemas.microsoft.com/office/drawing/2014/main" id="{00000000-0008-0000-0000-00004E640500}"/>
            </a:ext>
          </a:extLst>
        </xdr:cNvPr>
        <xdr:cNvSpPr>
          <a:spLocks noChangeArrowheads="1"/>
        </xdr:cNvSpPr>
      </xdr:nvSpPr>
      <xdr:spPr bwMode="auto">
        <a:xfrm>
          <a:off x="733425" y="69627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353359" name="Rectangle 2">
          <a:extLst>
            <a:ext uri="{FF2B5EF4-FFF2-40B4-BE49-F238E27FC236}">
              <a16:creationId xmlns:a16="http://schemas.microsoft.com/office/drawing/2014/main" id="{00000000-0008-0000-0000-00004F64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353360" name="Rectangle 293">
          <a:extLst>
            <a:ext uri="{FF2B5EF4-FFF2-40B4-BE49-F238E27FC236}">
              <a16:creationId xmlns:a16="http://schemas.microsoft.com/office/drawing/2014/main" id="{00000000-0008-0000-0000-00005064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353361" name="Rectangle 2">
          <a:extLst>
            <a:ext uri="{FF2B5EF4-FFF2-40B4-BE49-F238E27FC236}">
              <a16:creationId xmlns:a16="http://schemas.microsoft.com/office/drawing/2014/main" id="{00000000-0008-0000-0000-00005164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353362" name="Rectangle 293">
          <a:extLst>
            <a:ext uri="{FF2B5EF4-FFF2-40B4-BE49-F238E27FC236}">
              <a16:creationId xmlns:a16="http://schemas.microsoft.com/office/drawing/2014/main" id="{00000000-0008-0000-0000-00005264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textlink="">
      <xdr:nvSpPr>
        <xdr:cNvPr id="353363" name="フリーフォーム 350">
          <a:extLst>
            <a:ext uri="{FF2B5EF4-FFF2-40B4-BE49-F238E27FC236}">
              <a16:creationId xmlns:a16="http://schemas.microsoft.com/office/drawing/2014/main" id="{00000000-0008-0000-0000-000053640500}"/>
            </a:ext>
          </a:extLst>
        </xdr:cNvPr>
        <xdr:cNvSpPr>
          <a:spLocks noChangeArrowheads="1"/>
        </xdr:cNvSpPr>
      </xdr:nvSpPr>
      <xdr:spPr bwMode="auto">
        <a:xfrm>
          <a:off x="733425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353364" name="Rectangle 2">
          <a:extLst>
            <a:ext uri="{FF2B5EF4-FFF2-40B4-BE49-F238E27FC236}">
              <a16:creationId xmlns:a16="http://schemas.microsoft.com/office/drawing/2014/main" id="{00000000-0008-0000-0000-00005464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353365" name="Rectangle 293">
          <a:extLst>
            <a:ext uri="{FF2B5EF4-FFF2-40B4-BE49-F238E27FC236}">
              <a16:creationId xmlns:a16="http://schemas.microsoft.com/office/drawing/2014/main" id="{00000000-0008-0000-0000-00005564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353366" name="フリーフォーム 354">
          <a:extLst>
            <a:ext uri="{FF2B5EF4-FFF2-40B4-BE49-F238E27FC236}">
              <a16:creationId xmlns:a16="http://schemas.microsoft.com/office/drawing/2014/main" id="{00000000-0008-0000-0000-00005664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353367" name="Rectangle 2">
          <a:extLst>
            <a:ext uri="{FF2B5EF4-FFF2-40B4-BE49-F238E27FC236}">
              <a16:creationId xmlns:a16="http://schemas.microsoft.com/office/drawing/2014/main" id="{00000000-0008-0000-0000-00005764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353368" name="Rectangle 293">
          <a:extLst>
            <a:ext uri="{FF2B5EF4-FFF2-40B4-BE49-F238E27FC236}">
              <a16:creationId xmlns:a16="http://schemas.microsoft.com/office/drawing/2014/main" id="{00000000-0008-0000-0000-00005864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353369" name="Rectangle 2">
          <a:extLst>
            <a:ext uri="{FF2B5EF4-FFF2-40B4-BE49-F238E27FC236}">
              <a16:creationId xmlns:a16="http://schemas.microsoft.com/office/drawing/2014/main" id="{00000000-0008-0000-0000-00005964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353370" name="Rectangle 285">
          <a:extLst>
            <a:ext uri="{FF2B5EF4-FFF2-40B4-BE49-F238E27FC236}">
              <a16:creationId xmlns:a16="http://schemas.microsoft.com/office/drawing/2014/main" id="{00000000-0008-0000-0000-00005A64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textlink="">
      <xdr:nvSpPr>
        <xdr:cNvPr id="353371" name="フリーフォーム 362">
          <a:extLst>
            <a:ext uri="{FF2B5EF4-FFF2-40B4-BE49-F238E27FC236}">
              <a16:creationId xmlns:a16="http://schemas.microsoft.com/office/drawing/2014/main" id="{00000000-0008-0000-0000-00005B640500}"/>
            </a:ext>
          </a:extLst>
        </xdr:cNvPr>
        <xdr:cNvSpPr>
          <a:spLocks noChangeArrowheads="1"/>
        </xdr:cNvSpPr>
      </xdr:nvSpPr>
      <xdr:spPr bwMode="auto">
        <a:xfrm>
          <a:off x="723900" y="1476375"/>
          <a:ext cx="276225" cy="180975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353372" name="Rectangle 2">
          <a:extLst>
            <a:ext uri="{FF2B5EF4-FFF2-40B4-BE49-F238E27FC236}">
              <a16:creationId xmlns:a16="http://schemas.microsoft.com/office/drawing/2014/main" id="{00000000-0008-0000-0000-00005C64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104775</xdr:colOff>
      <xdr:row>97</xdr:row>
      <xdr:rowOff>104775</xdr:rowOff>
    </xdr:from>
    <xdr:to>
      <xdr:col>1</xdr:col>
      <xdr:colOff>466725</xdr:colOff>
      <xdr:row>102</xdr:row>
      <xdr:rowOff>123825</xdr:rowOff>
    </xdr:to>
    <xdr:sp textlink="">
      <xdr:nvSpPr>
        <xdr:cNvPr id="353373" name="Oval 18">
          <a:extLst>
            <a:ext uri="{FF2B5EF4-FFF2-40B4-BE49-F238E27FC236}">
              <a16:creationId xmlns:a16="http://schemas.microsoft.com/office/drawing/2014/main" id="{00000000-0008-0000-0000-00005D640500}"/>
            </a:ext>
          </a:extLst>
        </xdr:cNvPr>
        <xdr:cNvSpPr>
          <a:spLocks noChangeArrowheads="1"/>
        </xdr:cNvSpPr>
      </xdr:nvSpPr>
      <xdr:spPr bwMode="auto">
        <a:xfrm>
          <a:off x="161925" y="894397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53374" name="Oval 51">
          <a:extLst>
            <a:ext uri="{FF2B5EF4-FFF2-40B4-BE49-F238E27FC236}">
              <a16:creationId xmlns:a16="http://schemas.microsoft.com/office/drawing/2014/main" id="{00000000-0008-0000-0000-00005E64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167640</xdr:colOff>
      <xdr:row>11</xdr:row>
      <xdr:rowOff>16669</xdr:rowOff>
    </xdr:from>
    <xdr:to>
      <xdr:col>6</xdr:col>
      <xdr:colOff>0</xdr:colOff>
      <xdr:row>11</xdr:row>
      <xdr:rowOff>18312</xdr:rowOff>
    </xdr:to>
    <xdr:cxnSp macro="">
      <xdr:nvCxnSpPr>
        <xdr:cNvPr id="247" name="直線コネクタ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CxnSpPr/>
      </xdr:nvCxnSpPr>
      <xdr:spPr bwMode="auto">
        <a:xfrm flipV="1">
          <a:off x="996315" y="1540669"/>
          <a:ext cx="375285" cy="1643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10</xdr:col>
      <xdr:colOff>1431</xdr:colOff>
      <xdr:row>11</xdr:row>
      <xdr:rowOff>16403</xdr:rowOff>
    </xdr:from>
    <xdr:to>
      <xdr:col>12</xdr:col>
      <xdr:colOff>1468</xdr:colOff>
      <xdr:row>11</xdr:row>
      <xdr:rowOff>18515</xdr:rowOff>
    </xdr:to>
    <xdr:cxnSp macro="">
      <xdr:nvCxnSpPr>
        <xdr:cNvPr id="248" name="直線コネクタ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CxnSpPr/>
      </xdr:nvCxnSpPr>
      <xdr:spPr bwMode="auto">
        <a:xfrm>
          <a:off x="2096931" y="1543632"/>
          <a:ext cx="361664" cy="2112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2224</xdr:colOff>
      <xdr:row>12</xdr:row>
      <xdr:rowOff>21431</xdr:rowOff>
    </xdr:from>
    <xdr:to>
      <xdr:col>9</xdr:col>
      <xdr:colOff>178594</xdr:colOff>
      <xdr:row>12</xdr:row>
      <xdr:rowOff>21697</xdr:rowOff>
    </xdr:to>
    <xdr:cxnSp macro="">
      <xdr:nvCxnSpPr>
        <xdr:cNvPr id="249" name="直線コネクタ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CxnSpPr/>
      </xdr:nvCxnSpPr>
      <xdr:spPr bwMode="auto">
        <a:xfrm flipV="1">
          <a:off x="1735774" y="1583531"/>
          <a:ext cx="357345" cy="266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oneCellAnchor>
    <xdr:from>
      <xdr:col>4</xdr:col>
      <xdr:colOff>117230</xdr:colOff>
      <xdr:row>11</xdr:row>
      <xdr:rowOff>14652</xdr:rowOff>
    </xdr:from>
    <xdr:ext cx="329713" cy="196849"/>
    <xdr:sp textlink="">
      <xdr:nvSpPr>
        <xdr:cNvPr id="254" name="テキスト ボックス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1135672" y="1545979"/>
          <a:ext cx="329713" cy="1968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/>
            <a:t>NS</a:t>
          </a:r>
          <a:endParaRPr kumimoji="1" lang="ja-JP" altLang="en-US" sz="800"/>
        </a:p>
      </xdr:txBody>
    </xdr:sp>
    <xdr:clientData/>
  </xdr:oneCellAnchor>
  <xdr:oneCellAnchor>
    <xdr:from>
      <xdr:col>8</xdr:col>
      <xdr:colOff>109902</xdr:colOff>
      <xdr:row>9</xdr:row>
      <xdr:rowOff>95249</xdr:rowOff>
    </xdr:from>
    <xdr:ext cx="329713" cy="196849"/>
    <xdr:sp textlink="">
      <xdr:nvSpPr>
        <xdr:cNvPr id="255" name="テキスト ボックス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/>
      </xdr:nvSpPr>
      <xdr:spPr>
        <a:xfrm>
          <a:off x="1861037" y="1399441"/>
          <a:ext cx="329713" cy="1968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/>
            <a:t>NS</a:t>
          </a:r>
          <a:endParaRPr kumimoji="1" lang="ja-JP" altLang="en-US" sz="800"/>
        </a:p>
      </xdr:txBody>
    </xdr:sp>
    <xdr:clientData/>
  </xdr:oneCellAnchor>
  <xdr:oneCellAnchor>
    <xdr:from>
      <xdr:col>9</xdr:col>
      <xdr:colOff>117227</xdr:colOff>
      <xdr:row>11</xdr:row>
      <xdr:rowOff>7326</xdr:rowOff>
    </xdr:from>
    <xdr:ext cx="329713" cy="196849"/>
    <xdr:sp textlink="">
      <xdr:nvSpPr>
        <xdr:cNvPr id="256" name="テキスト ボックス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/>
      </xdr:nvSpPr>
      <xdr:spPr>
        <a:xfrm>
          <a:off x="2051535" y="1538653"/>
          <a:ext cx="329713" cy="1968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/>
            <a:t>NS</a:t>
          </a:r>
          <a:endParaRPr kumimoji="1" lang="ja-JP" altLang="en-US" sz="8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340900" name="Rectangle 2">
          <a:extLst>
            <a:ext uri="{FF2B5EF4-FFF2-40B4-BE49-F238E27FC236}">
              <a16:creationId xmlns:a16="http://schemas.microsoft.com/office/drawing/2014/main" id="{00000000-0008-0000-0100-0000A433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textlink="">
      <xdr:nvSpPr>
        <xdr:cNvPr id="340901" name="Oval 3">
          <a:extLst>
            <a:ext uri="{FF2B5EF4-FFF2-40B4-BE49-F238E27FC236}">
              <a16:creationId xmlns:a16="http://schemas.microsoft.com/office/drawing/2014/main" id="{00000000-0008-0000-0100-0000A53305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0902" name="Oval 8">
          <a:extLst>
            <a:ext uri="{FF2B5EF4-FFF2-40B4-BE49-F238E27FC236}">
              <a16:creationId xmlns:a16="http://schemas.microsoft.com/office/drawing/2014/main" id="{00000000-0008-0000-0100-0000A633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0903" name="Oval 9">
          <a:extLst>
            <a:ext uri="{FF2B5EF4-FFF2-40B4-BE49-F238E27FC236}">
              <a16:creationId xmlns:a16="http://schemas.microsoft.com/office/drawing/2014/main" id="{00000000-0008-0000-0100-0000A733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0904" name="Oval 10">
          <a:extLst>
            <a:ext uri="{FF2B5EF4-FFF2-40B4-BE49-F238E27FC236}">
              <a16:creationId xmlns:a16="http://schemas.microsoft.com/office/drawing/2014/main" id="{00000000-0008-0000-0100-0000A833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0905" name="Oval 12">
          <a:extLst>
            <a:ext uri="{FF2B5EF4-FFF2-40B4-BE49-F238E27FC236}">
              <a16:creationId xmlns:a16="http://schemas.microsoft.com/office/drawing/2014/main" id="{00000000-0008-0000-0100-0000A933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0906" name="Oval 13">
          <a:extLst>
            <a:ext uri="{FF2B5EF4-FFF2-40B4-BE49-F238E27FC236}">
              <a16:creationId xmlns:a16="http://schemas.microsoft.com/office/drawing/2014/main" id="{00000000-0008-0000-0100-0000AA33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0907" name="Oval 14">
          <a:extLst>
            <a:ext uri="{FF2B5EF4-FFF2-40B4-BE49-F238E27FC236}">
              <a16:creationId xmlns:a16="http://schemas.microsoft.com/office/drawing/2014/main" id="{00000000-0008-0000-0100-0000AB33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40908" name="Oval 15">
          <a:extLst>
            <a:ext uri="{FF2B5EF4-FFF2-40B4-BE49-F238E27FC236}">
              <a16:creationId xmlns:a16="http://schemas.microsoft.com/office/drawing/2014/main" id="{00000000-0008-0000-0100-0000AC33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340909" name="Rectangle 16">
          <a:extLst>
            <a:ext uri="{FF2B5EF4-FFF2-40B4-BE49-F238E27FC236}">
              <a16:creationId xmlns:a16="http://schemas.microsoft.com/office/drawing/2014/main" id="{00000000-0008-0000-0100-0000AD3305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340910" name="Oval 17">
          <a:extLst>
            <a:ext uri="{FF2B5EF4-FFF2-40B4-BE49-F238E27FC236}">
              <a16:creationId xmlns:a16="http://schemas.microsoft.com/office/drawing/2014/main" id="{00000000-0008-0000-0100-0000AE33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105</xdr:row>
      <xdr:rowOff>85725</xdr:rowOff>
    </xdr:from>
    <xdr:to>
      <xdr:col>1</xdr:col>
      <xdr:colOff>476250</xdr:colOff>
      <xdr:row>110</xdr:row>
      <xdr:rowOff>104775</xdr:rowOff>
    </xdr:to>
    <xdr:sp textlink="">
      <xdr:nvSpPr>
        <xdr:cNvPr id="340911" name="Oval 18">
          <a:extLst>
            <a:ext uri="{FF2B5EF4-FFF2-40B4-BE49-F238E27FC236}">
              <a16:creationId xmlns:a16="http://schemas.microsoft.com/office/drawing/2014/main" id="{00000000-0008-0000-0100-0000AF330500}"/>
            </a:ext>
          </a:extLst>
        </xdr:cNvPr>
        <xdr:cNvSpPr>
          <a:spLocks noChangeArrowheads="1"/>
        </xdr:cNvSpPr>
      </xdr:nvSpPr>
      <xdr:spPr bwMode="auto">
        <a:xfrm>
          <a:off x="171450" y="9610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textlink="">
      <xdr:nvSpPr>
        <xdr:cNvPr id="340912" name="Oval 21">
          <a:extLst>
            <a:ext uri="{FF2B5EF4-FFF2-40B4-BE49-F238E27FC236}">
              <a16:creationId xmlns:a16="http://schemas.microsoft.com/office/drawing/2014/main" id="{00000000-0008-0000-0100-0000B033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0913" name="Oval 65">
          <a:extLst>
            <a:ext uri="{FF2B5EF4-FFF2-40B4-BE49-F238E27FC236}">
              <a16:creationId xmlns:a16="http://schemas.microsoft.com/office/drawing/2014/main" id="{00000000-0008-0000-0100-0000B133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0914" name="Oval 80">
          <a:extLst>
            <a:ext uri="{FF2B5EF4-FFF2-40B4-BE49-F238E27FC236}">
              <a16:creationId xmlns:a16="http://schemas.microsoft.com/office/drawing/2014/main" id="{00000000-0008-0000-0100-0000B233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0915" name="AutoShape 102">
          <a:extLst>
            <a:ext uri="{FF2B5EF4-FFF2-40B4-BE49-F238E27FC236}">
              <a16:creationId xmlns:a16="http://schemas.microsoft.com/office/drawing/2014/main" id="{00000000-0008-0000-0100-0000B3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0916" name="Rectangle 103">
          <a:extLst>
            <a:ext uri="{FF2B5EF4-FFF2-40B4-BE49-F238E27FC236}">
              <a16:creationId xmlns:a16="http://schemas.microsoft.com/office/drawing/2014/main" id="{00000000-0008-0000-0100-0000B4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17" name="Oval 104">
          <a:extLst>
            <a:ext uri="{FF2B5EF4-FFF2-40B4-BE49-F238E27FC236}">
              <a16:creationId xmlns:a16="http://schemas.microsoft.com/office/drawing/2014/main" id="{00000000-0008-0000-0100-0000B5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0918" name="AutoShape 105">
          <a:extLst>
            <a:ext uri="{FF2B5EF4-FFF2-40B4-BE49-F238E27FC236}">
              <a16:creationId xmlns:a16="http://schemas.microsoft.com/office/drawing/2014/main" id="{00000000-0008-0000-0100-0000B6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0919" name="Rectangle 106">
          <a:extLst>
            <a:ext uri="{FF2B5EF4-FFF2-40B4-BE49-F238E27FC236}">
              <a16:creationId xmlns:a16="http://schemas.microsoft.com/office/drawing/2014/main" id="{00000000-0008-0000-0100-0000B7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20" name="Oval 107">
          <a:extLst>
            <a:ext uri="{FF2B5EF4-FFF2-40B4-BE49-F238E27FC236}">
              <a16:creationId xmlns:a16="http://schemas.microsoft.com/office/drawing/2014/main" id="{00000000-0008-0000-0100-0000B8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0921" name="AutoShape 108">
          <a:extLst>
            <a:ext uri="{FF2B5EF4-FFF2-40B4-BE49-F238E27FC236}">
              <a16:creationId xmlns:a16="http://schemas.microsoft.com/office/drawing/2014/main" id="{00000000-0008-0000-0100-0000B9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0922" name="Rectangle 109">
          <a:extLst>
            <a:ext uri="{FF2B5EF4-FFF2-40B4-BE49-F238E27FC236}">
              <a16:creationId xmlns:a16="http://schemas.microsoft.com/office/drawing/2014/main" id="{00000000-0008-0000-0100-0000BA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23" name="Oval 110">
          <a:extLst>
            <a:ext uri="{FF2B5EF4-FFF2-40B4-BE49-F238E27FC236}">
              <a16:creationId xmlns:a16="http://schemas.microsoft.com/office/drawing/2014/main" id="{00000000-0008-0000-0100-0000BB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0924" name="AutoShape 111">
          <a:extLst>
            <a:ext uri="{FF2B5EF4-FFF2-40B4-BE49-F238E27FC236}">
              <a16:creationId xmlns:a16="http://schemas.microsoft.com/office/drawing/2014/main" id="{00000000-0008-0000-0100-0000BC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0925" name="Rectangle 112">
          <a:extLst>
            <a:ext uri="{FF2B5EF4-FFF2-40B4-BE49-F238E27FC236}">
              <a16:creationId xmlns:a16="http://schemas.microsoft.com/office/drawing/2014/main" id="{00000000-0008-0000-0100-0000BD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26" name="Oval 113">
          <a:extLst>
            <a:ext uri="{FF2B5EF4-FFF2-40B4-BE49-F238E27FC236}">
              <a16:creationId xmlns:a16="http://schemas.microsoft.com/office/drawing/2014/main" id="{00000000-0008-0000-0100-0000BE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0927" name="AutoShape 114">
          <a:extLst>
            <a:ext uri="{FF2B5EF4-FFF2-40B4-BE49-F238E27FC236}">
              <a16:creationId xmlns:a16="http://schemas.microsoft.com/office/drawing/2014/main" id="{00000000-0008-0000-0100-0000BF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0928" name="Rectangle 115">
          <a:extLst>
            <a:ext uri="{FF2B5EF4-FFF2-40B4-BE49-F238E27FC236}">
              <a16:creationId xmlns:a16="http://schemas.microsoft.com/office/drawing/2014/main" id="{00000000-0008-0000-0100-0000C0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29" name="Oval 116">
          <a:extLst>
            <a:ext uri="{FF2B5EF4-FFF2-40B4-BE49-F238E27FC236}">
              <a16:creationId xmlns:a16="http://schemas.microsoft.com/office/drawing/2014/main" id="{00000000-0008-0000-0100-0000C1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0930" name="AutoShape 117">
          <a:extLst>
            <a:ext uri="{FF2B5EF4-FFF2-40B4-BE49-F238E27FC236}">
              <a16:creationId xmlns:a16="http://schemas.microsoft.com/office/drawing/2014/main" id="{00000000-0008-0000-0100-0000C2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0931" name="Rectangle 118">
          <a:extLst>
            <a:ext uri="{FF2B5EF4-FFF2-40B4-BE49-F238E27FC236}">
              <a16:creationId xmlns:a16="http://schemas.microsoft.com/office/drawing/2014/main" id="{00000000-0008-0000-0100-0000C3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32" name="Oval 119">
          <a:extLst>
            <a:ext uri="{FF2B5EF4-FFF2-40B4-BE49-F238E27FC236}">
              <a16:creationId xmlns:a16="http://schemas.microsoft.com/office/drawing/2014/main" id="{00000000-0008-0000-0100-0000C4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0933" name="AutoShape 120">
          <a:extLst>
            <a:ext uri="{FF2B5EF4-FFF2-40B4-BE49-F238E27FC236}">
              <a16:creationId xmlns:a16="http://schemas.microsoft.com/office/drawing/2014/main" id="{00000000-0008-0000-0100-0000C5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0934" name="Rectangle 121">
          <a:extLst>
            <a:ext uri="{FF2B5EF4-FFF2-40B4-BE49-F238E27FC236}">
              <a16:creationId xmlns:a16="http://schemas.microsoft.com/office/drawing/2014/main" id="{00000000-0008-0000-0100-0000C6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35" name="Oval 122">
          <a:extLst>
            <a:ext uri="{FF2B5EF4-FFF2-40B4-BE49-F238E27FC236}">
              <a16:creationId xmlns:a16="http://schemas.microsoft.com/office/drawing/2014/main" id="{00000000-0008-0000-0100-0000C7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0936" name="AutoShape 123">
          <a:extLst>
            <a:ext uri="{FF2B5EF4-FFF2-40B4-BE49-F238E27FC236}">
              <a16:creationId xmlns:a16="http://schemas.microsoft.com/office/drawing/2014/main" id="{00000000-0008-0000-0100-0000C8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0937" name="Rectangle 124">
          <a:extLst>
            <a:ext uri="{FF2B5EF4-FFF2-40B4-BE49-F238E27FC236}">
              <a16:creationId xmlns:a16="http://schemas.microsoft.com/office/drawing/2014/main" id="{00000000-0008-0000-0100-0000C9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38" name="Oval 125">
          <a:extLst>
            <a:ext uri="{FF2B5EF4-FFF2-40B4-BE49-F238E27FC236}">
              <a16:creationId xmlns:a16="http://schemas.microsoft.com/office/drawing/2014/main" id="{00000000-0008-0000-0100-0000CA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0939" name="AutoShape 126">
          <a:extLst>
            <a:ext uri="{FF2B5EF4-FFF2-40B4-BE49-F238E27FC236}">
              <a16:creationId xmlns:a16="http://schemas.microsoft.com/office/drawing/2014/main" id="{00000000-0008-0000-0100-0000CB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0940" name="Rectangle 127">
          <a:extLst>
            <a:ext uri="{FF2B5EF4-FFF2-40B4-BE49-F238E27FC236}">
              <a16:creationId xmlns:a16="http://schemas.microsoft.com/office/drawing/2014/main" id="{00000000-0008-0000-0100-0000CC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41" name="Oval 128">
          <a:extLst>
            <a:ext uri="{FF2B5EF4-FFF2-40B4-BE49-F238E27FC236}">
              <a16:creationId xmlns:a16="http://schemas.microsoft.com/office/drawing/2014/main" id="{00000000-0008-0000-0100-0000CD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0942" name="AutoShape 129">
          <a:extLst>
            <a:ext uri="{FF2B5EF4-FFF2-40B4-BE49-F238E27FC236}">
              <a16:creationId xmlns:a16="http://schemas.microsoft.com/office/drawing/2014/main" id="{00000000-0008-0000-0100-0000CE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0943" name="Rectangle 130">
          <a:extLst>
            <a:ext uri="{FF2B5EF4-FFF2-40B4-BE49-F238E27FC236}">
              <a16:creationId xmlns:a16="http://schemas.microsoft.com/office/drawing/2014/main" id="{00000000-0008-0000-0100-0000CF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44" name="Oval 131">
          <a:extLst>
            <a:ext uri="{FF2B5EF4-FFF2-40B4-BE49-F238E27FC236}">
              <a16:creationId xmlns:a16="http://schemas.microsoft.com/office/drawing/2014/main" id="{00000000-0008-0000-0100-0000D0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0945" name="AutoShape 132">
          <a:extLst>
            <a:ext uri="{FF2B5EF4-FFF2-40B4-BE49-F238E27FC236}">
              <a16:creationId xmlns:a16="http://schemas.microsoft.com/office/drawing/2014/main" id="{00000000-0008-0000-0100-0000D1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0946" name="Rectangle 133">
          <a:extLst>
            <a:ext uri="{FF2B5EF4-FFF2-40B4-BE49-F238E27FC236}">
              <a16:creationId xmlns:a16="http://schemas.microsoft.com/office/drawing/2014/main" id="{00000000-0008-0000-0100-0000D2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47" name="Oval 134">
          <a:extLst>
            <a:ext uri="{FF2B5EF4-FFF2-40B4-BE49-F238E27FC236}">
              <a16:creationId xmlns:a16="http://schemas.microsoft.com/office/drawing/2014/main" id="{00000000-0008-0000-0100-0000D3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0948" name="AutoShape 135">
          <a:extLst>
            <a:ext uri="{FF2B5EF4-FFF2-40B4-BE49-F238E27FC236}">
              <a16:creationId xmlns:a16="http://schemas.microsoft.com/office/drawing/2014/main" id="{00000000-0008-0000-0100-0000D4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0949" name="Rectangle 136">
          <a:extLst>
            <a:ext uri="{FF2B5EF4-FFF2-40B4-BE49-F238E27FC236}">
              <a16:creationId xmlns:a16="http://schemas.microsoft.com/office/drawing/2014/main" id="{00000000-0008-0000-0100-0000D5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50" name="Oval 137">
          <a:extLst>
            <a:ext uri="{FF2B5EF4-FFF2-40B4-BE49-F238E27FC236}">
              <a16:creationId xmlns:a16="http://schemas.microsoft.com/office/drawing/2014/main" id="{00000000-0008-0000-0100-0000D6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0951" name="AutoShape 138">
          <a:extLst>
            <a:ext uri="{FF2B5EF4-FFF2-40B4-BE49-F238E27FC236}">
              <a16:creationId xmlns:a16="http://schemas.microsoft.com/office/drawing/2014/main" id="{00000000-0008-0000-0100-0000D7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0952" name="Rectangle 139">
          <a:extLst>
            <a:ext uri="{FF2B5EF4-FFF2-40B4-BE49-F238E27FC236}">
              <a16:creationId xmlns:a16="http://schemas.microsoft.com/office/drawing/2014/main" id="{00000000-0008-0000-0100-0000D8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53" name="Oval 140">
          <a:extLst>
            <a:ext uri="{FF2B5EF4-FFF2-40B4-BE49-F238E27FC236}">
              <a16:creationId xmlns:a16="http://schemas.microsoft.com/office/drawing/2014/main" id="{00000000-0008-0000-0100-0000D9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0954" name="Rectangle 141">
          <a:extLst>
            <a:ext uri="{FF2B5EF4-FFF2-40B4-BE49-F238E27FC236}">
              <a16:creationId xmlns:a16="http://schemas.microsoft.com/office/drawing/2014/main" id="{00000000-0008-0000-0100-0000DA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0955" name="AutoShape 142">
          <a:extLst>
            <a:ext uri="{FF2B5EF4-FFF2-40B4-BE49-F238E27FC236}">
              <a16:creationId xmlns:a16="http://schemas.microsoft.com/office/drawing/2014/main" id="{00000000-0008-0000-0100-0000DB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0956" name="Rectangle 143">
          <a:extLst>
            <a:ext uri="{FF2B5EF4-FFF2-40B4-BE49-F238E27FC236}">
              <a16:creationId xmlns:a16="http://schemas.microsoft.com/office/drawing/2014/main" id="{00000000-0008-0000-0100-0000DC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57" name="Oval 144">
          <a:extLst>
            <a:ext uri="{FF2B5EF4-FFF2-40B4-BE49-F238E27FC236}">
              <a16:creationId xmlns:a16="http://schemas.microsoft.com/office/drawing/2014/main" id="{00000000-0008-0000-0100-0000DD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0958" name="AutoShape 145">
          <a:extLst>
            <a:ext uri="{FF2B5EF4-FFF2-40B4-BE49-F238E27FC236}">
              <a16:creationId xmlns:a16="http://schemas.microsoft.com/office/drawing/2014/main" id="{00000000-0008-0000-0100-0000DE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0959" name="Rectangle 146">
          <a:extLst>
            <a:ext uri="{FF2B5EF4-FFF2-40B4-BE49-F238E27FC236}">
              <a16:creationId xmlns:a16="http://schemas.microsoft.com/office/drawing/2014/main" id="{00000000-0008-0000-0100-0000DF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60" name="Oval 147">
          <a:extLst>
            <a:ext uri="{FF2B5EF4-FFF2-40B4-BE49-F238E27FC236}">
              <a16:creationId xmlns:a16="http://schemas.microsoft.com/office/drawing/2014/main" id="{00000000-0008-0000-0100-0000E0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0961" name="AutoShape 148">
          <a:extLst>
            <a:ext uri="{FF2B5EF4-FFF2-40B4-BE49-F238E27FC236}">
              <a16:creationId xmlns:a16="http://schemas.microsoft.com/office/drawing/2014/main" id="{00000000-0008-0000-0100-0000E1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0962" name="Rectangle 149">
          <a:extLst>
            <a:ext uri="{FF2B5EF4-FFF2-40B4-BE49-F238E27FC236}">
              <a16:creationId xmlns:a16="http://schemas.microsoft.com/office/drawing/2014/main" id="{00000000-0008-0000-0100-0000E2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63" name="Oval 150">
          <a:extLst>
            <a:ext uri="{FF2B5EF4-FFF2-40B4-BE49-F238E27FC236}">
              <a16:creationId xmlns:a16="http://schemas.microsoft.com/office/drawing/2014/main" id="{00000000-0008-0000-0100-0000E3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64" name="Oval 151">
          <a:extLst>
            <a:ext uri="{FF2B5EF4-FFF2-40B4-BE49-F238E27FC236}">
              <a16:creationId xmlns:a16="http://schemas.microsoft.com/office/drawing/2014/main" id="{00000000-0008-0000-0100-0000E4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65" name="Oval 152">
          <a:extLst>
            <a:ext uri="{FF2B5EF4-FFF2-40B4-BE49-F238E27FC236}">
              <a16:creationId xmlns:a16="http://schemas.microsoft.com/office/drawing/2014/main" id="{00000000-0008-0000-0100-0000E5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66" name="Oval 153">
          <a:extLst>
            <a:ext uri="{FF2B5EF4-FFF2-40B4-BE49-F238E27FC236}">
              <a16:creationId xmlns:a16="http://schemas.microsoft.com/office/drawing/2014/main" id="{00000000-0008-0000-0100-0000E6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0967" name="AutoShape 154">
          <a:extLst>
            <a:ext uri="{FF2B5EF4-FFF2-40B4-BE49-F238E27FC236}">
              <a16:creationId xmlns:a16="http://schemas.microsoft.com/office/drawing/2014/main" id="{00000000-0008-0000-0100-0000E7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0968" name="Rectangle 155">
          <a:extLst>
            <a:ext uri="{FF2B5EF4-FFF2-40B4-BE49-F238E27FC236}">
              <a16:creationId xmlns:a16="http://schemas.microsoft.com/office/drawing/2014/main" id="{00000000-0008-0000-0100-0000E8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69" name="Oval 156">
          <a:extLst>
            <a:ext uri="{FF2B5EF4-FFF2-40B4-BE49-F238E27FC236}">
              <a16:creationId xmlns:a16="http://schemas.microsoft.com/office/drawing/2014/main" id="{00000000-0008-0000-0100-0000E9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70" name="Oval 157">
          <a:extLst>
            <a:ext uri="{FF2B5EF4-FFF2-40B4-BE49-F238E27FC236}">
              <a16:creationId xmlns:a16="http://schemas.microsoft.com/office/drawing/2014/main" id="{00000000-0008-0000-0100-0000EA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71" name="Oval 158">
          <a:extLst>
            <a:ext uri="{FF2B5EF4-FFF2-40B4-BE49-F238E27FC236}">
              <a16:creationId xmlns:a16="http://schemas.microsoft.com/office/drawing/2014/main" id="{00000000-0008-0000-0100-0000EB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72" name="Oval 159">
          <a:extLst>
            <a:ext uri="{FF2B5EF4-FFF2-40B4-BE49-F238E27FC236}">
              <a16:creationId xmlns:a16="http://schemas.microsoft.com/office/drawing/2014/main" id="{00000000-0008-0000-0100-0000EC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0973" name="AutoShape 160">
          <a:extLst>
            <a:ext uri="{FF2B5EF4-FFF2-40B4-BE49-F238E27FC236}">
              <a16:creationId xmlns:a16="http://schemas.microsoft.com/office/drawing/2014/main" id="{00000000-0008-0000-0100-0000ED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0974" name="Rectangle 161">
          <a:extLst>
            <a:ext uri="{FF2B5EF4-FFF2-40B4-BE49-F238E27FC236}">
              <a16:creationId xmlns:a16="http://schemas.microsoft.com/office/drawing/2014/main" id="{00000000-0008-0000-0100-0000EE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75" name="Oval 162">
          <a:extLst>
            <a:ext uri="{FF2B5EF4-FFF2-40B4-BE49-F238E27FC236}">
              <a16:creationId xmlns:a16="http://schemas.microsoft.com/office/drawing/2014/main" id="{00000000-0008-0000-0100-0000EF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76" name="Oval 163">
          <a:extLst>
            <a:ext uri="{FF2B5EF4-FFF2-40B4-BE49-F238E27FC236}">
              <a16:creationId xmlns:a16="http://schemas.microsoft.com/office/drawing/2014/main" id="{00000000-0008-0000-0100-0000F0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77" name="Oval 164">
          <a:extLst>
            <a:ext uri="{FF2B5EF4-FFF2-40B4-BE49-F238E27FC236}">
              <a16:creationId xmlns:a16="http://schemas.microsoft.com/office/drawing/2014/main" id="{00000000-0008-0000-0100-0000F1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78" name="Oval 165">
          <a:extLst>
            <a:ext uri="{FF2B5EF4-FFF2-40B4-BE49-F238E27FC236}">
              <a16:creationId xmlns:a16="http://schemas.microsoft.com/office/drawing/2014/main" id="{00000000-0008-0000-0100-0000F2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0979" name="AutoShape 166">
          <a:extLst>
            <a:ext uri="{FF2B5EF4-FFF2-40B4-BE49-F238E27FC236}">
              <a16:creationId xmlns:a16="http://schemas.microsoft.com/office/drawing/2014/main" id="{00000000-0008-0000-0100-0000F3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0980" name="Rectangle 167">
          <a:extLst>
            <a:ext uri="{FF2B5EF4-FFF2-40B4-BE49-F238E27FC236}">
              <a16:creationId xmlns:a16="http://schemas.microsoft.com/office/drawing/2014/main" id="{00000000-0008-0000-0100-0000F4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81" name="Oval 168">
          <a:extLst>
            <a:ext uri="{FF2B5EF4-FFF2-40B4-BE49-F238E27FC236}">
              <a16:creationId xmlns:a16="http://schemas.microsoft.com/office/drawing/2014/main" id="{00000000-0008-0000-0100-0000F5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82" name="Oval 169">
          <a:extLst>
            <a:ext uri="{FF2B5EF4-FFF2-40B4-BE49-F238E27FC236}">
              <a16:creationId xmlns:a16="http://schemas.microsoft.com/office/drawing/2014/main" id="{00000000-0008-0000-0100-0000F6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83" name="Oval 170">
          <a:extLst>
            <a:ext uri="{FF2B5EF4-FFF2-40B4-BE49-F238E27FC236}">
              <a16:creationId xmlns:a16="http://schemas.microsoft.com/office/drawing/2014/main" id="{00000000-0008-0000-0100-0000F7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84" name="Oval 171">
          <a:extLst>
            <a:ext uri="{FF2B5EF4-FFF2-40B4-BE49-F238E27FC236}">
              <a16:creationId xmlns:a16="http://schemas.microsoft.com/office/drawing/2014/main" id="{00000000-0008-0000-0100-0000F8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0985" name="AutoShape 172">
          <a:extLst>
            <a:ext uri="{FF2B5EF4-FFF2-40B4-BE49-F238E27FC236}">
              <a16:creationId xmlns:a16="http://schemas.microsoft.com/office/drawing/2014/main" id="{00000000-0008-0000-0100-0000F9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0986" name="Rectangle 173">
          <a:extLst>
            <a:ext uri="{FF2B5EF4-FFF2-40B4-BE49-F238E27FC236}">
              <a16:creationId xmlns:a16="http://schemas.microsoft.com/office/drawing/2014/main" id="{00000000-0008-0000-0100-0000FA33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87" name="Oval 174">
          <a:extLst>
            <a:ext uri="{FF2B5EF4-FFF2-40B4-BE49-F238E27FC236}">
              <a16:creationId xmlns:a16="http://schemas.microsoft.com/office/drawing/2014/main" id="{00000000-0008-0000-0100-0000FB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88" name="Oval 175">
          <a:extLst>
            <a:ext uri="{FF2B5EF4-FFF2-40B4-BE49-F238E27FC236}">
              <a16:creationId xmlns:a16="http://schemas.microsoft.com/office/drawing/2014/main" id="{00000000-0008-0000-0100-0000FC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89" name="Oval 176">
          <a:extLst>
            <a:ext uri="{FF2B5EF4-FFF2-40B4-BE49-F238E27FC236}">
              <a16:creationId xmlns:a16="http://schemas.microsoft.com/office/drawing/2014/main" id="{00000000-0008-0000-0100-0000FD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0990" name="Oval 177">
          <a:extLst>
            <a:ext uri="{FF2B5EF4-FFF2-40B4-BE49-F238E27FC236}">
              <a16:creationId xmlns:a16="http://schemas.microsoft.com/office/drawing/2014/main" id="{00000000-0008-0000-0100-0000FE33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0991" name="AutoShape 178">
          <a:extLst>
            <a:ext uri="{FF2B5EF4-FFF2-40B4-BE49-F238E27FC236}">
              <a16:creationId xmlns:a16="http://schemas.microsoft.com/office/drawing/2014/main" id="{00000000-0008-0000-0100-0000FF33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4304" name="Rectangle 179">
          <a:extLst>
            <a:ext uri="{FF2B5EF4-FFF2-40B4-BE49-F238E27FC236}">
              <a16:creationId xmlns:a16="http://schemas.microsoft.com/office/drawing/2014/main" id="{00000000-0008-0000-0100-000000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05" name="Oval 180">
          <a:extLst>
            <a:ext uri="{FF2B5EF4-FFF2-40B4-BE49-F238E27FC236}">
              <a16:creationId xmlns:a16="http://schemas.microsoft.com/office/drawing/2014/main" id="{00000000-0008-0000-0100-000001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06" name="Oval 181">
          <a:extLst>
            <a:ext uri="{FF2B5EF4-FFF2-40B4-BE49-F238E27FC236}">
              <a16:creationId xmlns:a16="http://schemas.microsoft.com/office/drawing/2014/main" id="{00000000-0008-0000-0100-000002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07" name="Oval 182">
          <a:extLst>
            <a:ext uri="{FF2B5EF4-FFF2-40B4-BE49-F238E27FC236}">
              <a16:creationId xmlns:a16="http://schemas.microsoft.com/office/drawing/2014/main" id="{00000000-0008-0000-0100-000003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08" name="Oval 183">
          <a:extLst>
            <a:ext uri="{FF2B5EF4-FFF2-40B4-BE49-F238E27FC236}">
              <a16:creationId xmlns:a16="http://schemas.microsoft.com/office/drawing/2014/main" id="{00000000-0008-0000-0100-000004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4309" name="AutoShape 184">
          <a:extLst>
            <a:ext uri="{FF2B5EF4-FFF2-40B4-BE49-F238E27FC236}">
              <a16:creationId xmlns:a16="http://schemas.microsoft.com/office/drawing/2014/main" id="{00000000-0008-0000-0100-000005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4310" name="Rectangle 185">
          <a:extLst>
            <a:ext uri="{FF2B5EF4-FFF2-40B4-BE49-F238E27FC236}">
              <a16:creationId xmlns:a16="http://schemas.microsoft.com/office/drawing/2014/main" id="{00000000-0008-0000-0100-000006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11" name="Oval 186">
          <a:extLst>
            <a:ext uri="{FF2B5EF4-FFF2-40B4-BE49-F238E27FC236}">
              <a16:creationId xmlns:a16="http://schemas.microsoft.com/office/drawing/2014/main" id="{00000000-0008-0000-0100-000007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12" name="Oval 187">
          <a:extLst>
            <a:ext uri="{FF2B5EF4-FFF2-40B4-BE49-F238E27FC236}">
              <a16:creationId xmlns:a16="http://schemas.microsoft.com/office/drawing/2014/main" id="{00000000-0008-0000-0100-000008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13" name="Oval 188">
          <a:extLst>
            <a:ext uri="{FF2B5EF4-FFF2-40B4-BE49-F238E27FC236}">
              <a16:creationId xmlns:a16="http://schemas.microsoft.com/office/drawing/2014/main" id="{00000000-0008-0000-0100-000009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14" name="Oval 189">
          <a:extLst>
            <a:ext uri="{FF2B5EF4-FFF2-40B4-BE49-F238E27FC236}">
              <a16:creationId xmlns:a16="http://schemas.microsoft.com/office/drawing/2014/main" id="{00000000-0008-0000-0100-00000A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4315" name="AutoShape 190">
          <a:extLst>
            <a:ext uri="{FF2B5EF4-FFF2-40B4-BE49-F238E27FC236}">
              <a16:creationId xmlns:a16="http://schemas.microsoft.com/office/drawing/2014/main" id="{00000000-0008-0000-0100-00000B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4316" name="Rectangle 191">
          <a:extLst>
            <a:ext uri="{FF2B5EF4-FFF2-40B4-BE49-F238E27FC236}">
              <a16:creationId xmlns:a16="http://schemas.microsoft.com/office/drawing/2014/main" id="{00000000-0008-0000-0100-00000C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17" name="Oval 192">
          <a:extLst>
            <a:ext uri="{FF2B5EF4-FFF2-40B4-BE49-F238E27FC236}">
              <a16:creationId xmlns:a16="http://schemas.microsoft.com/office/drawing/2014/main" id="{00000000-0008-0000-0100-00000D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18" name="Oval 193">
          <a:extLst>
            <a:ext uri="{FF2B5EF4-FFF2-40B4-BE49-F238E27FC236}">
              <a16:creationId xmlns:a16="http://schemas.microsoft.com/office/drawing/2014/main" id="{00000000-0008-0000-0100-00000E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19" name="Oval 194">
          <a:extLst>
            <a:ext uri="{FF2B5EF4-FFF2-40B4-BE49-F238E27FC236}">
              <a16:creationId xmlns:a16="http://schemas.microsoft.com/office/drawing/2014/main" id="{00000000-0008-0000-0100-00000F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20" name="Oval 195">
          <a:extLst>
            <a:ext uri="{FF2B5EF4-FFF2-40B4-BE49-F238E27FC236}">
              <a16:creationId xmlns:a16="http://schemas.microsoft.com/office/drawing/2014/main" id="{00000000-0008-0000-0100-000010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4321" name="AutoShape 196">
          <a:extLst>
            <a:ext uri="{FF2B5EF4-FFF2-40B4-BE49-F238E27FC236}">
              <a16:creationId xmlns:a16="http://schemas.microsoft.com/office/drawing/2014/main" id="{00000000-0008-0000-0100-000011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4322" name="Rectangle 197">
          <a:extLst>
            <a:ext uri="{FF2B5EF4-FFF2-40B4-BE49-F238E27FC236}">
              <a16:creationId xmlns:a16="http://schemas.microsoft.com/office/drawing/2014/main" id="{00000000-0008-0000-0100-000012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23" name="Oval 198">
          <a:extLst>
            <a:ext uri="{FF2B5EF4-FFF2-40B4-BE49-F238E27FC236}">
              <a16:creationId xmlns:a16="http://schemas.microsoft.com/office/drawing/2014/main" id="{00000000-0008-0000-0100-000013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24" name="Oval 199">
          <a:extLst>
            <a:ext uri="{FF2B5EF4-FFF2-40B4-BE49-F238E27FC236}">
              <a16:creationId xmlns:a16="http://schemas.microsoft.com/office/drawing/2014/main" id="{00000000-0008-0000-0100-000014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25" name="Oval 200">
          <a:extLst>
            <a:ext uri="{FF2B5EF4-FFF2-40B4-BE49-F238E27FC236}">
              <a16:creationId xmlns:a16="http://schemas.microsoft.com/office/drawing/2014/main" id="{00000000-0008-0000-0100-000015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26" name="Oval 201">
          <a:extLst>
            <a:ext uri="{FF2B5EF4-FFF2-40B4-BE49-F238E27FC236}">
              <a16:creationId xmlns:a16="http://schemas.microsoft.com/office/drawing/2014/main" id="{00000000-0008-0000-0100-000016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4327" name="AutoShape 202">
          <a:extLst>
            <a:ext uri="{FF2B5EF4-FFF2-40B4-BE49-F238E27FC236}">
              <a16:creationId xmlns:a16="http://schemas.microsoft.com/office/drawing/2014/main" id="{00000000-0008-0000-0100-000017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4328" name="Rectangle 203">
          <a:extLst>
            <a:ext uri="{FF2B5EF4-FFF2-40B4-BE49-F238E27FC236}">
              <a16:creationId xmlns:a16="http://schemas.microsoft.com/office/drawing/2014/main" id="{00000000-0008-0000-0100-000018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29" name="Oval 204">
          <a:extLst>
            <a:ext uri="{FF2B5EF4-FFF2-40B4-BE49-F238E27FC236}">
              <a16:creationId xmlns:a16="http://schemas.microsoft.com/office/drawing/2014/main" id="{00000000-0008-0000-0100-000019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30" name="Oval 205">
          <a:extLst>
            <a:ext uri="{FF2B5EF4-FFF2-40B4-BE49-F238E27FC236}">
              <a16:creationId xmlns:a16="http://schemas.microsoft.com/office/drawing/2014/main" id="{00000000-0008-0000-0100-00001A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31" name="Oval 206">
          <a:extLst>
            <a:ext uri="{FF2B5EF4-FFF2-40B4-BE49-F238E27FC236}">
              <a16:creationId xmlns:a16="http://schemas.microsoft.com/office/drawing/2014/main" id="{00000000-0008-0000-0100-00001B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32" name="Oval 207">
          <a:extLst>
            <a:ext uri="{FF2B5EF4-FFF2-40B4-BE49-F238E27FC236}">
              <a16:creationId xmlns:a16="http://schemas.microsoft.com/office/drawing/2014/main" id="{00000000-0008-0000-0100-00001C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4333" name="AutoShape 208">
          <a:extLst>
            <a:ext uri="{FF2B5EF4-FFF2-40B4-BE49-F238E27FC236}">
              <a16:creationId xmlns:a16="http://schemas.microsoft.com/office/drawing/2014/main" id="{00000000-0008-0000-0100-00001D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4334" name="Rectangle 209">
          <a:extLst>
            <a:ext uri="{FF2B5EF4-FFF2-40B4-BE49-F238E27FC236}">
              <a16:creationId xmlns:a16="http://schemas.microsoft.com/office/drawing/2014/main" id="{00000000-0008-0000-0100-00001E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35" name="Oval 210">
          <a:extLst>
            <a:ext uri="{FF2B5EF4-FFF2-40B4-BE49-F238E27FC236}">
              <a16:creationId xmlns:a16="http://schemas.microsoft.com/office/drawing/2014/main" id="{00000000-0008-0000-0100-00001F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36" name="Oval 211">
          <a:extLst>
            <a:ext uri="{FF2B5EF4-FFF2-40B4-BE49-F238E27FC236}">
              <a16:creationId xmlns:a16="http://schemas.microsoft.com/office/drawing/2014/main" id="{00000000-0008-0000-0100-000020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37" name="Oval 212">
          <a:extLst>
            <a:ext uri="{FF2B5EF4-FFF2-40B4-BE49-F238E27FC236}">
              <a16:creationId xmlns:a16="http://schemas.microsoft.com/office/drawing/2014/main" id="{00000000-0008-0000-0100-000021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38" name="Oval 213">
          <a:extLst>
            <a:ext uri="{FF2B5EF4-FFF2-40B4-BE49-F238E27FC236}">
              <a16:creationId xmlns:a16="http://schemas.microsoft.com/office/drawing/2014/main" id="{00000000-0008-0000-0100-000022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4339" name="AutoShape 214">
          <a:extLst>
            <a:ext uri="{FF2B5EF4-FFF2-40B4-BE49-F238E27FC236}">
              <a16:creationId xmlns:a16="http://schemas.microsoft.com/office/drawing/2014/main" id="{00000000-0008-0000-0100-000023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4340" name="Rectangle 215">
          <a:extLst>
            <a:ext uri="{FF2B5EF4-FFF2-40B4-BE49-F238E27FC236}">
              <a16:creationId xmlns:a16="http://schemas.microsoft.com/office/drawing/2014/main" id="{00000000-0008-0000-0100-000024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41" name="Oval 216">
          <a:extLst>
            <a:ext uri="{FF2B5EF4-FFF2-40B4-BE49-F238E27FC236}">
              <a16:creationId xmlns:a16="http://schemas.microsoft.com/office/drawing/2014/main" id="{00000000-0008-0000-0100-000025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42" name="Oval 217">
          <a:extLst>
            <a:ext uri="{FF2B5EF4-FFF2-40B4-BE49-F238E27FC236}">
              <a16:creationId xmlns:a16="http://schemas.microsoft.com/office/drawing/2014/main" id="{00000000-0008-0000-0100-000026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43" name="Oval 218">
          <a:extLst>
            <a:ext uri="{FF2B5EF4-FFF2-40B4-BE49-F238E27FC236}">
              <a16:creationId xmlns:a16="http://schemas.microsoft.com/office/drawing/2014/main" id="{00000000-0008-0000-0100-000027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44" name="Oval 219">
          <a:extLst>
            <a:ext uri="{FF2B5EF4-FFF2-40B4-BE49-F238E27FC236}">
              <a16:creationId xmlns:a16="http://schemas.microsoft.com/office/drawing/2014/main" id="{00000000-0008-0000-0100-000028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4345" name="AutoShape 220">
          <a:extLst>
            <a:ext uri="{FF2B5EF4-FFF2-40B4-BE49-F238E27FC236}">
              <a16:creationId xmlns:a16="http://schemas.microsoft.com/office/drawing/2014/main" id="{00000000-0008-0000-0100-000029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4346" name="Rectangle 221">
          <a:extLst>
            <a:ext uri="{FF2B5EF4-FFF2-40B4-BE49-F238E27FC236}">
              <a16:creationId xmlns:a16="http://schemas.microsoft.com/office/drawing/2014/main" id="{00000000-0008-0000-0100-00002A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47" name="Oval 222">
          <a:extLst>
            <a:ext uri="{FF2B5EF4-FFF2-40B4-BE49-F238E27FC236}">
              <a16:creationId xmlns:a16="http://schemas.microsoft.com/office/drawing/2014/main" id="{00000000-0008-0000-0100-00002B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48" name="Oval 223">
          <a:extLst>
            <a:ext uri="{FF2B5EF4-FFF2-40B4-BE49-F238E27FC236}">
              <a16:creationId xmlns:a16="http://schemas.microsoft.com/office/drawing/2014/main" id="{00000000-0008-0000-0100-00002C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49" name="Oval 224">
          <a:extLst>
            <a:ext uri="{FF2B5EF4-FFF2-40B4-BE49-F238E27FC236}">
              <a16:creationId xmlns:a16="http://schemas.microsoft.com/office/drawing/2014/main" id="{00000000-0008-0000-0100-00002D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50" name="Oval 225">
          <a:extLst>
            <a:ext uri="{FF2B5EF4-FFF2-40B4-BE49-F238E27FC236}">
              <a16:creationId xmlns:a16="http://schemas.microsoft.com/office/drawing/2014/main" id="{00000000-0008-0000-0100-00002E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4351" name="AutoShape 226">
          <a:extLst>
            <a:ext uri="{FF2B5EF4-FFF2-40B4-BE49-F238E27FC236}">
              <a16:creationId xmlns:a16="http://schemas.microsoft.com/office/drawing/2014/main" id="{00000000-0008-0000-0100-00002F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4352" name="Rectangle 227">
          <a:extLst>
            <a:ext uri="{FF2B5EF4-FFF2-40B4-BE49-F238E27FC236}">
              <a16:creationId xmlns:a16="http://schemas.microsoft.com/office/drawing/2014/main" id="{00000000-0008-0000-0100-000030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53" name="Oval 228">
          <a:extLst>
            <a:ext uri="{FF2B5EF4-FFF2-40B4-BE49-F238E27FC236}">
              <a16:creationId xmlns:a16="http://schemas.microsoft.com/office/drawing/2014/main" id="{00000000-0008-0000-0100-000031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54" name="Oval 229">
          <a:extLst>
            <a:ext uri="{FF2B5EF4-FFF2-40B4-BE49-F238E27FC236}">
              <a16:creationId xmlns:a16="http://schemas.microsoft.com/office/drawing/2014/main" id="{00000000-0008-0000-0100-000032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55" name="Oval 230">
          <a:extLst>
            <a:ext uri="{FF2B5EF4-FFF2-40B4-BE49-F238E27FC236}">
              <a16:creationId xmlns:a16="http://schemas.microsoft.com/office/drawing/2014/main" id="{00000000-0008-0000-0100-000033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56" name="Oval 231">
          <a:extLst>
            <a:ext uri="{FF2B5EF4-FFF2-40B4-BE49-F238E27FC236}">
              <a16:creationId xmlns:a16="http://schemas.microsoft.com/office/drawing/2014/main" id="{00000000-0008-0000-0100-000034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4357" name="AutoShape 232">
          <a:extLst>
            <a:ext uri="{FF2B5EF4-FFF2-40B4-BE49-F238E27FC236}">
              <a16:creationId xmlns:a16="http://schemas.microsoft.com/office/drawing/2014/main" id="{00000000-0008-0000-0100-000035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4358" name="Rectangle 233">
          <a:extLst>
            <a:ext uri="{FF2B5EF4-FFF2-40B4-BE49-F238E27FC236}">
              <a16:creationId xmlns:a16="http://schemas.microsoft.com/office/drawing/2014/main" id="{00000000-0008-0000-0100-000036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59" name="Oval 234">
          <a:extLst>
            <a:ext uri="{FF2B5EF4-FFF2-40B4-BE49-F238E27FC236}">
              <a16:creationId xmlns:a16="http://schemas.microsoft.com/office/drawing/2014/main" id="{00000000-0008-0000-0100-000037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60" name="Oval 235">
          <a:extLst>
            <a:ext uri="{FF2B5EF4-FFF2-40B4-BE49-F238E27FC236}">
              <a16:creationId xmlns:a16="http://schemas.microsoft.com/office/drawing/2014/main" id="{00000000-0008-0000-0100-000038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61" name="Oval 236">
          <a:extLst>
            <a:ext uri="{FF2B5EF4-FFF2-40B4-BE49-F238E27FC236}">
              <a16:creationId xmlns:a16="http://schemas.microsoft.com/office/drawing/2014/main" id="{00000000-0008-0000-0100-000039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62" name="Oval 237">
          <a:extLst>
            <a:ext uri="{FF2B5EF4-FFF2-40B4-BE49-F238E27FC236}">
              <a16:creationId xmlns:a16="http://schemas.microsoft.com/office/drawing/2014/main" id="{00000000-0008-0000-0100-00003A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4363" name="AutoShape 238">
          <a:extLst>
            <a:ext uri="{FF2B5EF4-FFF2-40B4-BE49-F238E27FC236}">
              <a16:creationId xmlns:a16="http://schemas.microsoft.com/office/drawing/2014/main" id="{00000000-0008-0000-0100-00003B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4364" name="Rectangle 239">
          <a:extLst>
            <a:ext uri="{FF2B5EF4-FFF2-40B4-BE49-F238E27FC236}">
              <a16:creationId xmlns:a16="http://schemas.microsoft.com/office/drawing/2014/main" id="{00000000-0008-0000-0100-00003C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65" name="Oval 240">
          <a:extLst>
            <a:ext uri="{FF2B5EF4-FFF2-40B4-BE49-F238E27FC236}">
              <a16:creationId xmlns:a16="http://schemas.microsoft.com/office/drawing/2014/main" id="{00000000-0008-0000-0100-00003D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66" name="Oval 241">
          <a:extLst>
            <a:ext uri="{FF2B5EF4-FFF2-40B4-BE49-F238E27FC236}">
              <a16:creationId xmlns:a16="http://schemas.microsoft.com/office/drawing/2014/main" id="{00000000-0008-0000-0100-00003E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67" name="Oval 242">
          <a:extLst>
            <a:ext uri="{FF2B5EF4-FFF2-40B4-BE49-F238E27FC236}">
              <a16:creationId xmlns:a16="http://schemas.microsoft.com/office/drawing/2014/main" id="{00000000-0008-0000-0100-00003F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68" name="Oval 243">
          <a:extLst>
            <a:ext uri="{FF2B5EF4-FFF2-40B4-BE49-F238E27FC236}">
              <a16:creationId xmlns:a16="http://schemas.microsoft.com/office/drawing/2014/main" id="{00000000-0008-0000-0100-000040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4369" name="AutoShape 244">
          <a:extLst>
            <a:ext uri="{FF2B5EF4-FFF2-40B4-BE49-F238E27FC236}">
              <a16:creationId xmlns:a16="http://schemas.microsoft.com/office/drawing/2014/main" id="{00000000-0008-0000-0100-000041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4370" name="Rectangle 245">
          <a:extLst>
            <a:ext uri="{FF2B5EF4-FFF2-40B4-BE49-F238E27FC236}">
              <a16:creationId xmlns:a16="http://schemas.microsoft.com/office/drawing/2014/main" id="{00000000-0008-0000-0100-000042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71" name="Oval 246">
          <a:extLst>
            <a:ext uri="{FF2B5EF4-FFF2-40B4-BE49-F238E27FC236}">
              <a16:creationId xmlns:a16="http://schemas.microsoft.com/office/drawing/2014/main" id="{00000000-0008-0000-0100-000043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72" name="Oval 247">
          <a:extLst>
            <a:ext uri="{FF2B5EF4-FFF2-40B4-BE49-F238E27FC236}">
              <a16:creationId xmlns:a16="http://schemas.microsoft.com/office/drawing/2014/main" id="{00000000-0008-0000-0100-000044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73" name="Oval 248">
          <a:extLst>
            <a:ext uri="{FF2B5EF4-FFF2-40B4-BE49-F238E27FC236}">
              <a16:creationId xmlns:a16="http://schemas.microsoft.com/office/drawing/2014/main" id="{00000000-0008-0000-0100-000045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74" name="Oval 249">
          <a:extLst>
            <a:ext uri="{FF2B5EF4-FFF2-40B4-BE49-F238E27FC236}">
              <a16:creationId xmlns:a16="http://schemas.microsoft.com/office/drawing/2014/main" id="{00000000-0008-0000-0100-000046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4375" name="AutoShape 250">
          <a:extLst>
            <a:ext uri="{FF2B5EF4-FFF2-40B4-BE49-F238E27FC236}">
              <a16:creationId xmlns:a16="http://schemas.microsoft.com/office/drawing/2014/main" id="{00000000-0008-0000-0100-000047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4376" name="Rectangle 251">
          <a:extLst>
            <a:ext uri="{FF2B5EF4-FFF2-40B4-BE49-F238E27FC236}">
              <a16:creationId xmlns:a16="http://schemas.microsoft.com/office/drawing/2014/main" id="{00000000-0008-0000-0100-000048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77" name="Oval 252">
          <a:extLst>
            <a:ext uri="{FF2B5EF4-FFF2-40B4-BE49-F238E27FC236}">
              <a16:creationId xmlns:a16="http://schemas.microsoft.com/office/drawing/2014/main" id="{00000000-0008-0000-0100-000049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78" name="Oval 253">
          <a:extLst>
            <a:ext uri="{FF2B5EF4-FFF2-40B4-BE49-F238E27FC236}">
              <a16:creationId xmlns:a16="http://schemas.microsoft.com/office/drawing/2014/main" id="{00000000-0008-0000-0100-00004A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79" name="Oval 254">
          <a:extLst>
            <a:ext uri="{FF2B5EF4-FFF2-40B4-BE49-F238E27FC236}">
              <a16:creationId xmlns:a16="http://schemas.microsoft.com/office/drawing/2014/main" id="{00000000-0008-0000-0100-00004B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80" name="Oval 255">
          <a:extLst>
            <a:ext uri="{FF2B5EF4-FFF2-40B4-BE49-F238E27FC236}">
              <a16:creationId xmlns:a16="http://schemas.microsoft.com/office/drawing/2014/main" id="{00000000-0008-0000-0100-00004C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4381" name="AutoShape 256">
          <a:extLst>
            <a:ext uri="{FF2B5EF4-FFF2-40B4-BE49-F238E27FC236}">
              <a16:creationId xmlns:a16="http://schemas.microsoft.com/office/drawing/2014/main" id="{00000000-0008-0000-0100-00004D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4382" name="Rectangle 257">
          <a:extLst>
            <a:ext uri="{FF2B5EF4-FFF2-40B4-BE49-F238E27FC236}">
              <a16:creationId xmlns:a16="http://schemas.microsoft.com/office/drawing/2014/main" id="{00000000-0008-0000-0100-00004E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83" name="Oval 258">
          <a:extLst>
            <a:ext uri="{FF2B5EF4-FFF2-40B4-BE49-F238E27FC236}">
              <a16:creationId xmlns:a16="http://schemas.microsoft.com/office/drawing/2014/main" id="{00000000-0008-0000-0100-00004F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84" name="Oval 259">
          <a:extLst>
            <a:ext uri="{FF2B5EF4-FFF2-40B4-BE49-F238E27FC236}">
              <a16:creationId xmlns:a16="http://schemas.microsoft.com/office/drawing/2014/main" id="{00000000-0008-0000-0100-000050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85" name="Oval 260">
          <a:extLst>
            <a:ext uri="{FF2B5EF4-FFF2-40B4-BE49-F238E27FC236}">
              <a16:creationId xmlns:a16="http://schemas.microsoft.com/office/drawing/2014/main" id="{00000000-0008-0000-0100-000051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86" name="Oval 261">
          <a:extLst>
            <a:ext uri="{FF2B5EF4-FFF2-40B4-BE49-F238E27FC236}">
              <a16:creationId xmlns:a16="http://schemas.microsoft.com/office/drawing/2014/main" id="{00000000-0008-0000-0100-000052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4387" name="AutoShape 262">
          <a:extLst>
            <a:ext uri="{FF2B5EF4-FFF2-40B4-BE49-F238E27FC236}">
              <a16:creationId xmlns:a16="http://schemas.microsoft.com/office/drawing/2014/main" id="{00000000-0008-0000-0100-000053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4388" name="Rectangle 263">
          <a:extLst>
            <a:ext uri="{FF2B5EF4-FFF2-40B4-BE49-F238E27FC236}">
              <a16:creationId xmlns:a16="http://schemas.microsoft.com/office/drawing/2014/main" id="{00000000-0008-0000-0100-000054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89" name="Oval 264">
          <a:extLst>
            <a:ext uri="{FF2B5EF4-FFF2-40B4-BE49-F238E27FC236}">
              <a16:creationId xmlns:a16="http://schemas.microsoft.com/office/drawing/2014/main" id="{00000000-0008-0000-0100-000055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90" name="Oval 265">
          <a:extLst>
            <a:ext uri="{FF2B5EF4-FFF2-40B4-BE49-F238E27FC236}">
              <a16:creationId xmlns:a16="http://schemas.microsoft.com/office/drawing/2014/main" id="{00000000-0008-0000-0100-000056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91" name="Oval 266">
          <a:extLst>
            <a:ext uri="{FF2B5EF4-FFF2-40B4-BE49-F238E27FC236}">
              <a16:creationId xmlns:a16="http://schemas.microsoft.com/office/drawing/2014/main" id="{00000000-0008-0000-0100-000057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92" name="Oval 267">
          <a:extLst>
            <a:ext uri="{FF2B5EF4-FFF2-40B4-BE49-F238E27FC236}">
              <a16:creationId xmlns:a16="http://schemas.microsoft.com/office/drawing/2014/main" id="{00000000-0008-0000-0100-000058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4393" name="AutoShape 268">
          <a:extLst>
            <a:ext uri="{FF2B5EF4-FFF2-40B4-BE49-F238E27FC236}">
              <a16:creationId xmlns:a16="http://schemas.microsoft.com/office/drawing/2014/main" id="{00000000-0008-0000-0100-00005968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4394" name="Rectangle 269">
          <a:extLst>
            <a:ext uri="{FF2B5EF4-FFF2-40B4-BE49-F238E27FC236}">
              <a16:creationId xmlns:a16="http://schemas.microsoft.com/office/drawing/2014/main" id="{00000000-0008-0000-0100-00005A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95" name="Oval 270">
          <a:extLst>
            <a:ext uri="{FF2B5EF4-FFF2-40B4-BE49-F238E27FC236}">
              <a16:creationId xmlns:a16="http://schemas.microsoft.com/office/drawing/2014/main" id="{00000000-0008-0000-0100-00005B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96" name="Oval 271">
          <a:extLst>
            <a:ext uri="{FF2B5EF4-FFF2-40B4-BE49-F238E27FC236}">
              <a16:creationId xmlns:a16="http://schemas.microsoft.com/office/drawing/2014/main" id="{00000000-0008-0000-0100-00005C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97" name="Oval 272">
          <a:extLst>
            <a:ext uri="{FF2B5EF4-FFF2-40B4-BE49-F238E27FC236}">
              <a16:creationId xmlns:a16="http://schemas.microsoft.com/office/drawing/2014/main" id="{00000000-0008-0000-0100-00005D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398" name="Oval 273">
          <a:extLst>
            <a:ext uri="{FF2B5EF4-FFF2-40B4-BE49-F238E27FC236}">
              <a16:creationId xmlns:a16="http://schemas.microsoft.com/office/drawing/2014/main" id="{00000000-0008-0000-0100-00005E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4399" name="Rectangle 274">
          <a:extLst>
            <a:ext uri="{FF2B5EF4-FFF2-40B4-BE49-F238E27FC236}">
              <a16:creationId xmlns:a16="http://schemas.microsoft.com/office/drawing/2014/main" id="{00000000-0008-0000-0100-00005F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400" name="Oval 275">
          <a:extLst>
            <a:ext uri="{FF2B5EF4-FFF2-40B4-BE49-F238E27FC236}">
              <a16:creationId xmlns:a16="http://schemas.microsoft.com/office/drawing/2014/main" id="{00000000-0008-0000-0100-000060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401" name="Oval 276">
          <a:extLst>
            <a:ext uri="{FF2B5EF4-FFF2-40B4-BE49-F238E27FC236}">
              <a16:creationId xmlns:a16="http://schemas.microsoft.com/office/drawing/2014/main" id="{00000000-0008-0000-0100-000061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402" name="Oval 277">
          <a:extLst>
            <a:ext uri="{FF2B5EF4-FFF2-40B4-BE49-F238E27FC236}">
              <a16:creationId xmlns:a16="http://schemas.microsoft.com/office/drawing/2014/main" id="{00000000-0008-0000-0100-000062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403" name="Oval 278">
          <a:extLst>
            <a:ext uri="{FF2B5EF4-FFF2-40B4-BE49-F238E27FC236}">
              <a16:creationId xmlns:a16="http://schemas.microsoft.com/office/drawing/2014/main" id="{00000000-0008-0000-0100-000063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4404" name="Rectangle 279">
          <a:extLst>
            <a:ext uri="{FF2B5EF4-FFF2-40B4-BE49-F238E27FC236}">
              <a16:creationId xmlns:a16="http://schemas.microsoft.com/office/drawing/2014/main" id="{00000000-0008-0000-0100-00006468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405" name="Oval 280">
          <a:extLst>
            <a:ext uri="{FF2B5EF4-FFF2-40B4-BE49-F238E27FC236}">
              <a16:creationId xmlns:a16="http://schemas.microsoft.com/office/drawing/2014/main" id="{00000000-0008-0000-0100-000065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406" name="Oval 281">
          <a:extLst>
            <a:ext uri="{FF2B5EF4-FFF2-40B4-BE49-F238E27FC236}">
              <a16:creationId xmlns:a16="http://schemas.microsoft.com/office/drawing/2014/main" id="{00000000-0008-0000-0100-000066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407" name="Oval 282">
          <a:extLst>
            <a:ext uri="{FF2B5EF4-FFF2-40B4-BE49-F238E27FC236}">
              <a16:creationId xmlns:a16="http://schemas.microsoft.com/office/drawing/2014/main" id="{00000000-0008-0000-0100-000067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4408" name="Oval 283">
          <a:extLst>
            <a:ext uri="{FF2B5EF4-FFF2-40B4-BE49-F238E27FC236}">
              <a16:creationId xmlns:a16="http://schemas.microsoft.com/office/drawing/2014/main" id="{00000000-0008-0000-0100-00006868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354409" name="Rectangle 285">
          <a:extLst>
            <a:ext uri="{FF2B5EF4-FFF2-40B4-BE49-F238E27FC236}">
              <a16:creationId xmlns:a16="http://schemas.microsoft.com/office/drawing/2014/main" id="{00000000-0008-0000-0100-00006968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354410" name="Rectangle 287">
          <a:extLst>
            <a:ext uri="{FF2B5EF4-FFF2-40B4-BE49-F238E27FC236}">
              <a16:creationId xmlns:a16="http://schemas.microsoft.com/office/drawing/2014/main" id="{00000000-0008-0000-0100-00006A68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354411" name="Rectangle 289">
          <a:extLst>
            <a:ext uri="{FF2B5EF4-FFF2-40B4-BE49-F238E27FC236}">
              <a16:creationId xmlns:a16="http://schemas.microsoft.com/office/drawing/2014/main" id="{00000000-0008-0000-0100-00006B68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354412" name="Rectangle 291">
          <a:extLst>
            <a:ext uri="{FF2B5EF4-FFF2-40B4-BE49-F238E27FC236}">
              <a16:creationId xmlns:a16="http://schemas.microsoft.com/office/drawing/2014/main" id="{00000000-0008-0000-0100-00006C68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354413" name="Rectangle 293">
          <a:extLst>
            <a:ext uri="{FF2B5EF4-FFF2-40B4-BE49-F238E27FC236}">
              <a16:creationId xmlns:a16="http://schemas.microsoft.com/office/drawing/2014/main" id="{00000000-0008-0000-0100-00006D68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354414" name="Rectangle 295">
          <a:extLst>
            <a:ext uri="{FF2B5EF4-FFF2-40B4-BE49-F238E27FC236}">
              <a16:creationId xmlns:a16="http://schemas.microsoft.com/office/drawing/2014/main" id="{00000000-0008-0000-0100-00006E68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354415" name="Rectangle 297">
          <a:extLst>
            <a:ext uri="{FF2B5EF4-FFF2-40B4-BE49-F238E27FC236}">
              <a16:creationId xmlns:a16="http://schemas.microsoft.com/office/drawing/2014/main" id="{00000000-0008-0000-0100-00006F68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354416" name="Rectangle 299">
          <a:extLst>
            <a:ext uri="{FF2B5EF4-FFF2-40B4-BE49-F238E27FC236}">
              <a16:creationId xmlns:a16="http://schemas.microsoft.com/office/drawing/2014/main" id="{00000000-0008-0000-0100-00007068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354417" name="Rectangle 301">
          <a:extLst>
            <a:ext uri="{FF2B5EF4-FFF2-40B4-BE49-F238E27FC236}">
              <a16:creationId xmlns:a16="http://schemas.microsoft.com/office/drawing/2014/main" id="{00000000-0008-0000-0100-00007168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354418" name="Rectangle 303">
          <a:extLst>
            <a:ext uri="{FF2B5EF4-FFF2-40B4-BE49-F238E27FC236}">
              <a16:creationId xmlns:a16="http://schemas.microsoft.com/office/drawing/2014/main" id="{00000000-0008-0000-0100-00007268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354419" name="Rectangle 305">
          <a:extLst>
            <a:ext uri="{FF2B5EF4-FFF2-40B4-BE49-F238E27FC236}">
              <a16:creationId xmlns:a16="http://schemas.microsoft.com/office/drawing/2014/main" id="{00000000-0008-0000-0100-00007368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354420" name="Rectangle 307">
          <a:extLst>
            <a:ext uri="{FF2B5EF4-FFF2-40B4-BE49-F238E27FC236}">
              <a16:creationId xmlns:a16="http://schemas.microsoft.com/office/drawing/2014/main" id="{00000000-0008-0000-0100-00007468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textlink="">
      <xdr:nvSpPr>
        <xdr:cNvPr id="354421" name="フリーフォーム 311">
          <a:extLst>
            <a:ext uri="{FF2B5EF4-FFF2-40B4-BE49-F238E27FC236}">
              <a16:creationId xmlns:a16="http://schemas.microsoft.com/office/drawing/2014/main" id="{00000000-0008-0000-0100-000075680500}"/>
            </a:ext>
          </a:extLst>
        </xdr:cNvPr>
        <xdr:cNvSpPr>
          <a:spLocks noChangeArrowheads="1"/>
        </xdr:cNvSpPr>
      </xdr:nvSpPr>
      <xdr:spPr bwMode="auto">
        <a:xfrm>
          <a:off x="723900" y="2162175"/>
          <a:ext cx="276225" cy="180975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textlink="">
      <xdr:nvSpPr>
        <xdr:cNvPr id="354422" name="フリーフォーム 312">
          <a:extLst>
            <a:ext uri="{FF2B5EF4-FFF2-40B4-BE49-F238E27FC236}">
              <a16:creationId xmlns:a16="http://schemas.microsoft.com/office/drawing/2014/main" id="{00000000-0008-0000-0100-000076680500}"/>
            </a:ext>
          </a:extLst>
        </xdr:cNvPr>
        <xdr:cNvSpPr>
          <a:spLocks noChangeArrowheads="1"/>
        </xdr:cNvSpPr>
      </xdr:nvSpPr>
      <xdr:spPr bwMode="auto">
        <a:xfrm>
          <a:off x="742950" y="2847975"/>
          <a:ext cx="276225" cy="190500"/>
        </a:xfrm>
        <a:custGeom>
          <a:avLst/>
          <a:gdLst>
            <a:gd name="T0" fmla="*/ 0 w 272143"/>
            <a:gd name="T1" fmla="*/ 0 h 185057"/>
            <a:gd name="T2" fmla="*/ 385332 w 272143"/>
            <a:gd name="T3" fmla="*/ 0 h 185057"/>
            <a:gd name="T4" fmla="*/ 544000 w 272143"/>
            <a:gd name="T5" fmla="*/ 279321 h 185057"/>
            <a:gd name="T6" fmla="*/ 566665 w 272143"/>
            <a:gd name="T7" fmla="*/ 319227 h 185057"/>
            <a:gd name="T8" fmla="*/ 385332 w 272143"/>
            <a:gd name="T9" fmla="*/ 678369 h 185057"/>
            <a:gd name="T10" fmla="*/ 11331 w 272143"/>
            <a:gd name="T11" fmla="*/ 678369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textlink="">
      <xdr:nvSpPr>
        <xdr:cNvPr id="354423" name="フリーフォーム 313">
          <a:extLst>
            <a:ext uri="{FF2B5EF4-FFF2-40B4-BE49-F238E27FC236}">
              <a16:creationId xmlns:a16="http://schemas.microsoft.com/office/drawing/2014/main" id="{00000000-0008-0000-0100-000077680500}"/>
            </a:ext>
          </a:extLst>
        </xdr:cNvPr>
        <xdr:cNvSpPr>
          <a:spLocks noChangeArrowheads="1"/>
        </xdr:cNvSpPr>
      </xdr:nvSpPr>
      <xdr:spPr bwMode="auto">
        <a:xfrm>
          <a:off x="742950" y="3543300"/>
          <a:ext cx="276225" cy="180975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textlink="">
      <xdr:nvSpPr>
        <xdr:cNvPr id="354424" name="フリーフォーム 314">
          <a:extLst>
            <a:ext uri="{FF2B5EF4-FFF2-40B4-BE49-F238E27FC236}">
              <a16:creationId xmlns:a16="http://schemas.microsoft.com/office/drawing/2014/main" id="{00000000-0008-0000-0100-000078680500}"/>
            </a:ext>
          </a:extLst>
        </xdr:cNvPr>
        <xdr:cNvSpPr>
          <a:spLocks noChangeArrowheads="1"/>
        </xdr:cNvSpPr>
      </xdr:nvSpPr>
      <xdr:spPr bwMode="auto">
        <a:xfrm>
          <a:off x="733425" y="42195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textlink="">
      <xdr:nvSpPr>
        <xdr:cNvPr id="354425" name="フリーフォーム 315">
          <a:extLst>
            <a:ext uri="{FF2B5EF4-FFF2-40B4-BE49-F238E27FC236}">
              <a16:creationId xmlns:a16="http://schemas.microsoft.com/office/drawing/2014/main" id="{00000000-0008-0000-0100-000079680500}"/>
            </a:ext>
          </a:extLst>
        </xdr:cNvPr>
        <xdr:cNvSpPr>
          <a:spLocks noChangeArrowheads="1"/>
        </xdr:cNvSpPr>
      </xdr:nvSpPr>
      <xdr:spPr bwMode="auto">
        <a:xfrm>
          <a:off x="733425" y="4905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textlink="">
      <xdr:nvSpPr>
        <xdr:cNvPr id="354426" name="フリーフォーム 316">
          <a:extLst>
            <a:ext uri="{FF2B5EF4-FFF2-40B4-BE49-F238E27FC236}">
              <a16:creationId xmlns:a16="http://schemas.microsoft.com/office/drawing/2014/main" id="{00000000-0008-0000-0100-00007A680500}"/>
            </a:ext>
          </a:extLst>
        </xdr:cNvPr>
        <xdr:cNvSpPr>
          <a:spLocks noChangeArrowheads="1"/>
        </xdr:cNvSpPr>
      </xdr:nvSpPr>
      <xdr:spPr bwMode="auto">
        <a:xfrm>
          <a:off x="733425" y="55816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textlink="">
      <xdr:nvSpPr>
        <xdr:cNvPr id="354427" name="フリーフォーム 317">
          <a:extLst>
            <a:ext uri="{FF2B5EF4-FFF2-40B4-BE49-F238E27FC236}">
              <a16:creationId xmlns:a16="http://schemas.microsoft.com/office/drawing/2014/main" id="{00000000-0008-0000-0100-00007B680500}"/>
            </a:ext>
          </a:extLst>
        </xdr:cNvPr>
        <xdr:cNvSpPr>
          <a:spLocks noChangeArrowheads="1"/>
        </xdr:cNvSpPr>
      </xdr:nvSpPr>
      <xdr:spPr bwMode="auto">
        <a:xfrm>
          <a:off x="723900" y="6267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textlink="">
      <xdr:nvSpPr>
        <xdr:cNvPr id="354428" name="フリーフォーム 319">
          <a:extLst>
            <a:ext uri="{FF2B5EF4-FFF2-40B4-BE49-F238E27FC236}">
              <a16:creationId xmlns:a16="http://schemas.microsoft.com/office/drawing/2014/main" id="{00000000-0008-0000-0100-00007C680500}"/>
            </a:ext>
          </a:extLst>
        </xdr:cNvPr>
        <xdr:cNvSpPr>
          <a:spLocks noChangeArrowheads="1"/>
        </xdr:cNvSpPr>
      </xdr:nvSpPr>
      <xdr:spPr bwMode="auto">
        <a:xfrm>
          <a:off x="733425" y="76390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textlink="">
      <xdr:nvSpPr>
        <xdr:cNvPr id="354429" name="フリーフォーム 320">
          <a:extLst>
            <a:ext uri="{FF2B5EF4-FFF2-40B4-BE49-F238E27FC236}">
              <a16:creationId xmlns:a16="http://schemas.microsoft.com/office/drawing/2014/main" id="{00000000-0008-0000-0100-00007D680500}"/>
            </a:ext>
          </a:extLst>
        </xdr:cNvPr>
        <xdr:cNvSpPr>
          <a:spLocks noChangeArrowheads="1"/>
        </xdr:cNvSpPr>
      </xdr:nvSpPr>
      <xdr:spPr bwMode="auto">
        <a:xfrm>
          <a:off x="723900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354430" name="フリーフォーム 321">
          <a:extLst>
            <a:ext uri="{FF2B5EF4-FFF2-40B4-BE49-F238E27FC236}">
              <a16:creationId xmlns:a16="http://schemas.microsoft.com/office/drawing/2014/main" id="{00000000-0008-0000-0100-00007E68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textlink="">
      <xdr:nvSpPr>
        <xdr:cNvPr id="354431" name="フリーフォーム 322">
          <a:extLst>
            <a:ext uri="{FF2B5EF4-FFF2-40B4-BE49-F238E27FC236}">
              <a16:creationId xmlns:a16="http://schemas.microsoft.com/office/drawing/2014/main" id="{00000000-0008-0000-0100-00007F680500}"/>
            </a:ext>
          </a:extLst>
        </xdr:cNvPr>
        <xdr:cNvSpPr>
          <a:spLocks noChangeArrowheads="1"/>
        </xdr:cNvSpPr>
      </xdr:nvSpPr>
      <xdr:spPr bwMode="auto">
        <a:xfrm>
          <a:off x="733425" y="9696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354432" name="Rectangle 2">
          <a:extLst>
            <a:ext uri="{FF2B5EF4-FFF2-40B4-BE49-F238E27FC236}">
              <a16:creationId xmlns:a16="http://schemas.microsoft.com/office/drawing/2014/main" id="{00000000-0008-0000-0100-00008068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354433" name="Rectangle 2">
          <a:extLst>
            <a:ext uri="{FF2B5EF4-FFF2-40B4-BE49-F238E27FC236}">
              <a16:creationId xmlns:a16="http://schemas.microsoft.com/office/drawing/2014/main" id="{00000000-0008-0000-0100-00008168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354434" name="Rectangle 2">
          <a:extLst>
            <a:ext uri="{FF2B5EF4-FFF2-40B4-BE49-F238E27FC236}">
              <a16:creationId xmlns:a16="http://schemas.microsoft.com/office/drawing/2014/main" id="{00000000-0008-0000-0100-00008268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354435" name="Rectangle 2">
          <a:extLst>
            <a:ext uri="{FF2B5EF4-FFF2-40B4-BE49-F238E27FC236}">
              <a16:creationId xmlns:a16="http://schemas.microsoft.com/office/drawing/2014/main" id="{00000000-0008-0000-0100-00008368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354436" name="Rectangle 2">
          <a:extLst>
            <a:ext uri="{FF2B5EF4-FFF2-40B4-BE49-F238E27FC236}">
              <a16:creationId xmlns:a16="http://schemas.microsoft.com/office/drawing/2014/main" id="{00000000-0008-0000-0100-00008468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354437" name="Rectangle 293">
          <a:extLst>
            <a:ext uri="{FF2B5EF4-FFF2-40B4-BE49-F238E27FC236}">
              <a16:creationId xmlns:a16="http://schemas.microsoft.com/office/drawing/2014/main" id="{00000000-0008-0000-0100-00008568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354438" name="Rectangle 2">
          <a:extLst>
            <a:ext uri="{FF2B5EF4-FFF2-40B4-BE49-F238E27FC236}">
              <a16:creationId xmlns:a16="http://schemas.microsoft.com/office/drawing/2014/main" id="{00000000-0008-0000-0100-00008668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354439" name="Rectangle 293">
          <a:extLst>
            <a:ext uri="{FF2B5EF4-FFF2-40B4-BE49-F238E27FC236}">
              <a16:creationId xmlns:a16="http://schemas.microsoft.com/office/drawing/2014/main" id="{00000000-0008-0000-0100-00008768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354440" name="Rectangle 2">
          <a:extLst>
            <a:ext uri="{FF2B5EF4-FFF2-40B4-BE49-F238E27FC236}">
              <a16:creationId xmlns:a16="http://schemas.microsoft.com/office/drawing/2014/main" id="{00000000-0008-0000-0100-00008868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354441" name="Rectangle 293">
          <a:extLst>
            <a:ext uri="{FF2B5EF4-FFF2-40B4-BE49-F238E27FC236}">
              <a16:creationId xmlns:a16="http://schemas.microsoft.com/office/drawing/2014/main" id="{00000000-0008-0000-0100-00008968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3</xdr:col>
      <xdr:colOff>180975</xdr:colOff>
      <xdr:row>78</xdr:row>
      <xdr:rowOff>28575</xdr:rowOff>
    </xdr:to>
    <xdr:sp textlink="">
      <xdr:nvSpPr>
        <xdr:cNvPr id="354442" name="フリーフォーム 342">
          <a:extLst>
            <a:ext uri="{FF2B5EF4-FFF2-40B4-BE49-F238E27FC236}">
              <a16:creationId xmlns:a16="http://schemas.microsoft.com/office/drawing/2014/main" id="{00000000-0008-0000-0100-00008A680500}"/>
            </a:ext>
          </a:extLst>
        </xdr:cNvPr>
        <xdr:cNvSpPr>
          <a:spLocks noChangeArrowheads="1"/>
        </xdr:cNvSpPr>
      </xdr:nvSpPr>
      <xdr:spPr bwMode="auto">
        <a:xfrm>
          <a:off x="733425" y="69627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354443" name="Rectangle 2">
          <a:extLst>
            <a:ext uri="{FF2B5EF4-FFF2-40B4-BE49-F238E27FC236}">
              <a16:creationId xmlns:a16="http://schemas.microsoft.com/office/drawing/2014/main" id="{00000000-0008-0000-0100-00008B68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354444" name="Rectangle 293">
          <a:extLst>
            <a:ext uri="{FF2B5EF4-FFF2-40B4-BE49-F238E27FC236}">
              <a16:creationId xmlns:a16="http://schemas.microsoft.com/office/drawing/2014/main" id="{00000000-0008-0000-0100-00008C68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354445" name="Rectangle 2">
          <a:extLst>
            <a:ext uri="{FF2B5EF4-FFF2-40B4-BE49-F238E27FC236}">
              <a16:creationId xmlns:a16="http://schemas.microsoft.com/office/drawing/2014/main" id="{00000000-0008-0000-0100-00008D68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354446" name="Rectangle 293">
          <a:extLst>
            <a:ext uri="{FF2B5EF4-FFF2-40B4-BE49-F238E27FC236}">
              <a16:creationId xmlns:a16="http://schemas.microsoft.com/office/drawing/2014/main" id="{00000000-0008-0000-0100-00008E68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textlink="">
      <xdr:nvSpPr>
        <xdr:cNvPr id="354447" name="フリーフォーム 350">
          <a:extLst>
            <a:ext uri="{FF2B5EF4-FFF2-40B4-BE49-F238E27FC236}">
              <a16:creationId xmlns:a16="http://schemas.microsoft.com/office/drawing/2014/main" id="{00000000-0008-0000-0100-00008F680500}"/>
            </a:ext>
          </a:extLst>
        </xdr:cNvPr>
        <xdr:cNvSpPr>
          <a:spLocks noChangeArrowheads="1"/>
        </xdr:cNvSpPr>
      </xdr:nvSpPr>
      <xdr:spPr bwMode="auto">
        <a:xfrm>
          <a:off x="733425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354448" name="Rectangle 2">
          <a:extLst>
            <a:ext uri="{FF2B5EF4-FFF2-40B4-BE49-F238E27FC236}">
              <a16:creationId xmlns:a16="http://schemas.microsoft.com/office/drawing/2014/main" id="{00000000-0008-0000-0100-00009068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354449" name="Rectangle 293">
          <a:extLst>
            <a:ext uri="{FF2B5EF4-FFF2-40B4-BE49-F238E27FC236}">
              <a16:creationId xmlns:a16="http://schemas.microsoft.com/office/drawing/2014/main" id="{00000000-0008-0000-0100-00009168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354450" name="フリーフォーム 354">
          <a:extLst>
            <a:ext uri="{FF2B5EF4-FFF2-40B4-BE49-F238E27FC236}">
              <a16:creationId xmlns:a16="http://schemas.microsoft.com/office/drawing/2014/main" id="{00000000-0008-0000-0100-00009268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354451" name="Rectangle 2">
          <a:extLst>
            <a:ext uri="{FF2B5EF4-FFF2-40B4-BE49-F238E27FC236}">
              <a16:creationId xmlns:a16="http://schemas.microsoft.com/office/drawing/2014/main" id="{00000000-0008-0000-0100-00009368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354452" name="Rectangle 293">
          <a:extLst>
            <a:ext uri="{FF2B5EF4-FFF2-40B4-BE49-F238E27FC236}">
              <a16:creationId xmlns:a16="http://schemas.microsoft.com/office/drawing/2014/main" id="{00000000-0008-0000-0100-00009468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354453" name="Rectangle 2">
          <a:extLst>
            <a:ext uri="{FF2B5EF4-FFF2-40B4-BE49-F238E27FC236}">
              <a16:creationId xmlns:a16="http://schemas.microsoft.com/office/drawing/2014/main" id="{00000000-0008-0000-0100-00009568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354454" name="Rectangle 285">
          <a:extLst>
            <a:ext uri="{FF2B5EF4-FFF2-40B4-BE49-F238E27FC236}">
              <a16:creationId xmlns:a16="http://schemas.microsoft.com/office/drawing/2014/main" id="{00000000-0008-0000-0100-00009668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textlink="">
      <xdr:nvSpPr>
        <xdr:cNvPr id="354455" name="フリーフォーム 362">
          <a:extLst>
            <a:ext uri="{FF2B5EF4-FFF2-40B4-BE49-F238E27FC236}">
              <a16:creationId xmlns:a16="http://schemas.microsoft.com/office/drawing/2014/main" id="{00000000-0008-0000-0100-000097680500}"/>
            </a:ext>
          </a:extLst>
        </xdr:cNvPr>
        <xdr:cNvSpPr>
          <a:spLocks noChangeArrowheads="1"/>
        </xdr:cNvSpPr>
      </xdr:nvSpPr>
      <xdr:spPr bwMode="auto">
        <a:xfrm>
          <a:off x="723900" y="1476375"/>
          <a:ext cx="276225" cy="180975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354456" name="Rectangle 2">
          <a:extLst>
            <a:ext uri="{FF2B5EF4-FFF2-40B4-BE49-F238E27FC236}">
              <a16:creationId xmlns:a16="http://schemas.microsoft.com/office/drawing/2014/main" id="{00000000-0008-0000-0100-00009868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341866" name="Rectangle 2">
          <a:extLst>
            <a:ext uri="{FF2B5EF4-FFF2-40B4-BE49-F238E27FC236}">
              <a16:creationId xmlns:a16="http://schemas.microsoft.com/office/drawing/2014/main" id="{00000000-0008-0000-0200-00006A37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textlink="">
      <xdr:nvSpPr>
        <xdr:cNvPr id="341867" name="Oval 3">
          <a:extLst>
            <a:ext uri="{FF2B5EF4-FFF2-40B4-BE49-F238E27FC236}">
              <a16:creationId xmlns:a16="http://schemas.microsoft.com/office/drawing/2014/main" id="{00000000-0008-0000-0200-00006B3705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textlink="">
      <xdr:nvSpPr>
        <xdr:cNvPr id="341868" name="Oval 4">
          <a:extLst>
            <a:ext uri="{FF2B5EF4-FFF2-40B4-BE49-F238E27FC236}">
              <a16:creationId xmlns:a16="http://schemas.microsoft.com/office/drawing/2014/main" id="{00000000-0008-0000-0200-00006C37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1869" name="Oval 5">
          <a:extLst>
            <a:ext uri="{FF2B5EF4-FFF2-40B4-BE49-F238E27FC236}">
              <a16:creationId xmlns:a16="http://schemas.microsoft.com/office/drawing/2014/main" id="{00000000-0008-0000-0200-00006D37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1870" name="Oval 8">
          <a:extLst>
            <a:ext uri="{FF2B5EF4-FFF2-40B4-BE49-F238E27FC236}">
              <a16:creationId xmlns:a16="http://schemas.microsoft.com/office/drawing/2014/main" id="{00000000-0008-0000-0200-00006E37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1871" name="Oval 12">
          <a:extLst>
            <a:ext uri="{FF2B5EF4-FFF2-40B4-BE49-F238E27FC236}">
              <a16:creationId xmlns:a16="http://schemas.microsoft.com/office/drawing/2014/main" id="{00000000-0008-0000-0200-00006F37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1872" name="Oval 13">
          <a:extLst>
            <a:ext uri="{FF2B5EF4-FFF2-40B4-BE49-F238E27FC236}">
              <a16:creationId xmlns:a16="http://schemas.microsoft.com/office/drawing/2014/main" id="{00000000-0008-0000-0200-00007037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341873" name="Rectangle 16">
          <a:extLst>
            <a:ext uri="{FF2B5EF4-FFF2-40B4-BE49-F238E27FC236}">
              <a16:creationId xmlns:a16="http://schemas.microsoft.com/office/drawing/2014/main" id="{00000000-0008-0000-0200-0000713705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1874" name="Oval 30">
          <a:extLst>
            <a:ext uri="{FF2B5EF4-FFF2-40B4-BE49-F238E27FC236}">
              <a16:creationId xmlns:a16="http://schemas.microsoft.com/office/drawing/2014/main" id="{00000000-0008-0000-0200-00007237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1875" name="Oval 34">
          <a:extLst>
            <a:ext uri="{FF2B5EF4-FFF2-40B4-BE49-F238E27FC236}">
              <a16:creationId xmlns:a16="http://schemas.microsoft.com/office/drawing/2014/main" id="{00000000-0008-0000-0200-00007337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1876" name="Oval 51">
          <a:extLst>
            <a:ext uri="{FF2B5EF4-FFF2-40B4-BE49-F238E27FC236}">
              <a16:creationId xmlns:a16="http://schemas.microsoft.com/office/drawing/2014/main" id="{00000000-0008-0000-0200-00007437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1877" name="Oval 81">
          <a:extLst>
            <a:ext uri="{FF2B5EF4-FFF2-40B4-BE49-F238E27FC236}">
              <a16:creationId xmlns:a16="http://schemas.microsoft.com/office/drawing/2014/main" id="{00000000-0008-0000-0200-00007537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878" name="AutoShape 102">
          <a:extLst>
            <a:ext uri="{FF2B5EF4-FFF2-40B4-BE49-F238E27FC236}">
              <a16:creationId xmlns:a16="http://schemas.microsoft.com/office/drawing/2014/main" id="{00000000-0008-0000-0200-000076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879" name="Rectangle 103">
          <a:extLst>
            <a:ext uri="{FF2B5EF4-FFF2-40B4-BE49-F238E27FC236}">
              <a16:creationId xmlns:a16="http://schemas.microsoft.com/office/drawing/2014/main" id="{00000000-0008-0000-0200-000077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880" name="Oval 104">
          <a:extLst>
            <a:ext uri="{FF2B5EF4-FFF2-40B4-BE49-F238E27FC236}">
              <a16:creationId xmlns:a16="http://schemas.microsoft.com/office/drawing/2014/main" id="{00000000-0008-0000-0200-000078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881" name="AutoShape 105">
          <a:extLst>
            <a:ext uri="{FF2B5EF4-FFF2-40B4-BE49-F238E27FC236}">
              <a16:creationId xmlns:a16="http://schemas.microsoft.com/office/drawing/2014/main" id="{00000000-0008-0000-0200-000079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882" name="Rectangle 106">
          <a:extLst>
            <a:ext uri="{FF2B5EF4-FFF2-40B4-BE49-F238E27FC236}">
              <a16:creationId xmlns:a16="http://schemas.microsoft.com/office/drawing/2014/main" id="{00000000-0008-0000-0200-00007A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883" name="Oval 107">
          <a:extLst>
            <a:ext uri="{FF2B5EF4-FFF2-40B4-BE49-F238E27FC236}">
              <a16:creationId xmlns:a16="http://schemas.microsoft.com/office/drawing/2014/main" id="{00000000-0008-0000-0200-00007B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884" name="AutoShape 108">
          <a:extLst>
            <a:ext uri="{FF2B5EF4-FFF2-40B4-BE49-F238E27FC236}">
              <a16:creationId xmlns:a16="http://schemas.microsoft.com/office/drawing/2014/main" id="{00000000-0008-0000-0200-00007C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885" name="Rectangle 109">
          <a:extLst>
            <a:ext uri="{FF2B5EF4-FFF2-40B4-BE49-F238E27FC236}">
              <a16:creationId xmlns:a16="http://schemas.microsoft.com/office/drawing/2014/main" id="{00000000-0008-0000-0200-00007D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886" name="Oval 110">
          <a:extLst>
            <a:ext uri="{FF2B5EF4-FFF2-40B4-BE49-F238E27FC236}">
              <a16:creationId xmlns:a16="http://schemas.microsoft.com/office/drawing/2014/main" id="{00000000-0008-0000-0200-00007E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887" name="AutoShape 111">
          <a:extLst>
            <a:ext uri="{FF2B5EF4-FFF2-40B4-BE49-F238E27FC236}">
              <a16:creationId xmlns:a16="http://schemas.microsoft.com/office/drawing/2014/main" id="{00000000-0008-0000-0200-00007F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888" name="Rectangle 112">
          <a:extLst>
            <a:ext uri="{FF2B5EF4-FFF2-40B4-BE49-F238E27FC236}">
              <a16:creationId xmlns:a16="http://schemas.microsoft.com/office/drawing/2014/main" id="{00000000-0008-0000-0200-000080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889" name="Oval 113">
          <a:extLst>
            <a:ext uri="{FF2B5EF4-FFF2-40B4-BE49-F238E27FC236}">
              <a16:creationId xmlns:a16="http://schemas.microsoft.com/office/drawing/2014/main" id="{00000000-0008-0000-0200-000081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890" name="AutoShape 114">
          <a:extLst>
            <a:ext uri="{FF2B5EF4-FFF2-40B4-BE49-F238E27FC236}">
              <a16:creationId xmlns:a16="http://schemas.microsoft.com/office/drawing/2014/main" id="{00000000-0008-0000-0200-000082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891" name="Rectangle 115">
          <a:extLst>
            <a:ext uri="{FF2B5EF4-FFF2-40B4-BE49-F238E27FC236}">
              <a16:creationId xmlns:a16="http://schemas.microsoft.com/office/drawing/2014/main" id="{00000000-0008-0000-0200-000083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892" name="Oval 116">
          <a:extLst>
            <a:ext uri="{FF2B5EF4-FFF2-40B4-BE49-F238E27FC236}">
              <a16:creationId xmlns:a16="http://schemas.microsoft.com/office/drawing/2014/main" id="{00000000-0008-0000-0200-000084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893" name="AutoShape 117">
          <a:extLst>
            <a:ext uri="{FF2B5EF4-FFF2-40B4-BE49-F238E27FC236}">
              <a16:creationId xmlns:a16="http://schemas.microsoft.com/office/drawing/2014/main" id="{00000000-0008-0000-0200-000085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894" name="Rectangle 118">
          <a:extLst>
            <a:ext uri="{FF2B5EF4-FFF2-40B4-BE49-F238E27FC236}">
              <a16:creationId xmlns:a16="http://schemas.microsoft.com/office/drawing/2014/main" id="{00000000-0008-0000-0200-000086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895" name="Oval 119">
          <a:extLst>
            <a:ext uri="{FF2B5EF4-FFF2-40B4-BE49-F238E27FC236}">
              <a16:creationId xmlns:a16="http://schemas.microsoft.com/office/drawing/2014/main" id="{00000000-0008-0000-0200-000087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896" name="AutoShape 120">
          <a:extLst>
            <a:ext uri="{FF2B5EF4-FFF2-40B4-BE49-F238E27FC236}">
              <a16:creationId xmlns:a16="http://schemas.microsoft.com/office/drawing/2014/main" id="{00000000-0008-0000-0200-000088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897" name="Rectangle 121">
          <a:extLst>
            <a:ext uri="{FF2B5EF4-FFF2-40B4-BE49-F238E27FC236}">
              <a16:creationId xmlns:a16="http://schemas.microsoft.com/office/drawing/2014/main" id="{00000000-0008-0000-0200-000089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898" name="Oval 122">
          <a:extLst>
            <a:ext uri="{FF2B5EF4-FFF2-40B4-BE49-F238E27FC236}">
              <a16:creationId xmlns:a16="http://schemas.microsoft.com/office/drawing/2014/main" id="{00000000-0008-0000-0200-00008A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899" name="AutoShape 123">
          <a:extLst>
            <a:ext uri="{FF2B5EF4-FFF2-40B4-BE49-F238E27FC236}">
              <a16:creationId xmlns:a16="http://schemas.microsoft.com/office/drawing/2014/main" id="{00000000-0008-0000-0200-00008B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900" name="Rectangle 124">
          <a:extLst>
            <a:ext uri="{FF2B5EF4-FFF2-40B4-BE49-F238E27FC236}">
              <a16:creationId xmlns:a16="http://schemas.microsoft.com/office/drawing/2014/main" id="{00000000-0008-0000-0200-00008C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01" name="Oval 125">
          <a:extLst>
            <a:ext uri="{FF2B5EF4-FFF2-40B4-BE49-F238E27FC236}">
              <a16:creationId xmlns:a16="http://schemas.microsoft.com/office/drawing/2014/main" id="{00000000-0008-0000-0200-00008D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902" name="AutoShape 126">
          <a:extLst>
            <a:ext uri="{FF2B5EF4-FFF2-40B4-BE49-F238E27FC236}">
              <a16:creationId xmlns:a16="http://schemas.microsoft.com/office/drawing/2014/main" id="{00000000-0008-0000-0200-00008E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903" name="Rectangle 127">
          <a:extLst>
            <a:ext uri="{FF2B5EF4-FFF2-40B4-BE49-F238E27FC236}">
              <a16:creationId xmlns:a16="http://schemas.microsoft.com/office/drawing/2014/main" id="{00000000-0008-0000-0200-00008F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04" name="Oval 128">
          <a:extLst>
            <a:ext uri="{FF2B5EF4-FFF2-40B4-BE49-F238E27FC236}">
              <a16:creationId xmlns:a16="http://schemas.microsoft.com/office/drawing/2014/main" id="{00000000-0008-0000-0200-000090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905" name="AutoShape 129">
          <a:extLst>
            <a:ext uri="{FF2B5EF4-FFF2-40B4-BE49-F238E27FC236}">
              <a16:creationId xmlns:a16="http://schemas.microsoft.com/office/drawing/2014/main" id="{00000000-0008-0000-0200-000091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906" name="Rectangle 130">
          <a:extLst>
            <a:ext uri="{FF2B5EF4-FFF2-40B4-BE49-F238E27FC236}">
              <a16:creationId xmlns:a16="http://schemas.microsoft.com/office/drawing/2014/main" id="{00000000-0008-0000-0200-000092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07" name="Oval 131">
          <a:extLst>
            <a:ext uri="{FF2B5EF4-FFF2-40B4-BE49-F238E27FC236}">
              <a16:creationId xmlns:a16="http://schemas.microsoft.com/office/drawing/2014/main" id="{00000000-0008-0000-0200-000093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908" name="AutoShape 132">
          <a:extLst>
            <a:ext uri="{FF2B5EF4-FFF2-40B4-BE49-F238E27FC236}">
              <a16:creationId xmlns:a16="http://schemas.microsoft.com/office/drawing/2014/main" id="{00000000-0008-0000-0200-000094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909" name="Rectangle 133">
          <a:extLst>
            <a:ext uri="{FF2B5EF4-FFF2-40B4-BE49-F238E27FC236}">
              <a16:creationId xmlns:a16="http://schemas.microsoft.com/office/drawing/2014/main" id="{00000000-0008-0000-0200-000095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10" name="Oval 134">
          <a:extLst>
            <a:ext uri="{FF2B5EF4-FFF2-40B4-BE49-F238E27FC236}">
              <a16:creationId xmlns:a16="http://schemas.microsoft.com/office/drawing/2014/main" id="{00000000-0008-0000-0200-000096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911" name="AutoShape 135">
          <a:extLst>
            <a:ext uri="{FF2B5EF4-FFF2-40B4-BE49-F238E27FC236}">
              <a16:creationId xmlns:a16="http://schemas.microsoft.com/office/drawing/2014/main" id="{00000000-0008-0000-0200-000097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912" name="Rectangle 136">
          <a:extLst>
            <a:ext uri="{FF2B5EF4-FFF2-40B4-BE49-F238E27FC236}">
              <a16:creationId xmlns:a16="http://schemas.microsoft.com/office/drawing/2014/main" id="{00000000-0008-0000-0200-000098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13" name="Oval 137">
          <a:extLst>
            <a:ext uri="{FF2B5EF4-FFF2-40B4-BE49-F238E27FC236}">
              <a16:creationId xmlns:a16="http://schemas.microsoft.com/office/drawing/2014/main" id="{00000000-0008-0000-0200-000099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914" name="AutoShape 138">
          <a:extLst>
            <a:ext uri="{FF2B5EF4-FFF2-40B4-BE49-F238E27FC236}">
              <a16:creationId xmlns:a16="http://schemas.microsoft.com/office/drawing/2014/main" id="{00000000-0008-0000-0200-00009A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915" name="Rectangle 139">
          <a:extLst>
            <a:ext uri="{FF2B5EF4-FFF2-40B4-BE49-F238E27FC236}">
              <a16:creationId xmlns:a16="http://schemas.microsoft.com/office/drawing/2014/main" id="{00000000-0008-0000-0200-00009B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16" name="Oval 140">
          <a:extLst>
            <a:ext uri="{FF2B5EF4-FFF2-40B4-BE49-F238E27FC236}">
              <a16:creationId xmlns:a16="http://schemas.microsoft.com/office/drawing/2014/main" id="{00000000-0008-0000-0200-00009C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917" name="Rectangle 141">
          <a:extLst>
            <a:ext uri="{FF2B5EF4-FFF2-40B4-BE49-F238E27FC236}">
              <a16:creationId xmlns:a16="http://schemas.microsoft.com/office/drawing/2014/main" id="{00000000-0008-0000-0200-00009D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918" name="AutoShape 142">
          <a:extLst>
            <a:ext uri="{FF2B5EF4-FFF2-40B4-BE49-F238E27FC236}">
              <a16:creationId xmlns:a16="http://schemas.microsoft.com/office/drawing/2014/main" id="{00000000-0008-0000-0200-00009E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919" name="Rectangle 143">
          <a:extLst>
            <a:ext uri="{FF2B5EF4-FFF2-40B4-BE49-F238E27FC236}">
              <a16:creationId xmlns:a16="http://schemas.microsoft.com/office/drawing/2014/main" id="{00000000-0008-0000-0200-00009F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20" name="Oval 144">
          <a:extLst>
            <a:ext uri="{FF2B5EF4-FFF2-40B4-BE49-F238E27FC236}">
              <a16:creationId xmlns:a16="http://schemas.microsoft.com/office/drawing/2014/main" id="{00000000-0008-0000-0200-0000A0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921" name="AutoShape 145">
          <a:extLst>
            <a:ext uri="{FF2B5EF4-FFF2-40B4-BE49-F238E27FC236}">
              <a16:creationId xmlns:a16="http://schemas.microsoft.com/office/drawing/2014/main" id="{00000000-0008-0000-0200-0000A1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922" name="Rectangle 146">
          <a:extLst>
            <a:ext uri="{FF2B5EF4-FFF2-40B4-BE49-F238E27FC236}">
              <a16:creationId xmlns:a16="http://schemas.microsoft.com/office/drawing/2014/main" id="{00000000-0008-0000-0200-0000A2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23" name="Oval 147">
          <a:extLst>
            <a:ext uri="{FF2B5EF4-FFF2-40B4-BE49-F238E27FC236}">
              <a16:creationId xmlns:a16="http://schemas.microsoft.com/office/drawing/2014/main" id="{00000000-0008-0000-0200-0000A3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924" name="AutoShape 148">
          <a:extLst>
            <a:ext uri="{FF2B5EF4-FFF2-40B4-BE49-F238E27FC236}">
              <a16:creationId xmlns:a16="http://schemas.microsoft.com/office/drawing/2014/main" id="{00000000-0008-0000-0200-0000A4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925" name="Rectangle 149">
          <a:extLst>
            <a:ext uri="{FF2B5EF4-FFF2-40B4-BE49-F238E27FC236}">
              <a16:creationId xmlns:a16="http://schemas.microsoft.com/office/drawing/2014/main" id="{00000000-0008-0000-0200-0000A5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26" name="Oval 150">
          <a:extLst>
            <a:ext uri="{FF2B5EF4-FFF2-40B4-BE49-F238E27FC236}">
              <a16:creationId xmlns:a16="http://schemas.microsoft.com/office/drawing/2014/main" id="{00000000-0008-0000-0200-0000A6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27" name="Oval 151">
          <a:extLst>
            <a:ext uri="{FF2B5EF4-FFF2-40B4-BE49-F238E27FC236}">
              <a16:creationId xmlns:a16="http://schemas.microsoft.com/office/drawing/2014/main" id="{00000000-0008-0000-0200-0000A7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28" name="Oval 152">
          <a:extLst>
            <a:ext uri="{FF2B5EF4-FFF2-40B4-BE49-F238E27FC236}">
              <a16:creationId xmlns:a16="http://schemas.microsoft.com/office/drawing/2014/main" id="{00000000-0008-0000-0200-0000A8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29" name="Oval 153">
          <a:extLst>
            <a:ext uri="{FF2B5EF4-FFF2-40B4-BE49-F238E27FC236}">
              <a16:creationId xmlns:a16="http://schemas.microsoft.com/office/drawing/2014/main" id="{00000000-0008-0000-0200-0000A9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930" name="AutoShape 154">
          <a:extLst>
            <a:ext uri="{FF2B5EF4-FFF2-40B4-BE49-F238E27FC236}">
              <a16:creationId xmlns:a16="http://schemas.microsoft.com/office/drawing/2014/main" id="{00000000-0008-0000-0200-0000AA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931" name="Rectangle 155">
          <a:extLst>
            <a:ext uri="{FF2B5EF4-FFF2-40B4-BE49-F238E27FC236}">
              <a16:creationId xmlns:a16="http://schemas.microsoft.com/office/drawing/2014/main" id="{00000000-0008-0000-0200-0000AB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32" name="Oval 156">
          <a:extLst>
            <a:ext uri="{FF2B5EF4-FFF2-40B4-BE49-F238E27FC236}">
              <a16:creationId xmlns:a16="http://schemas.microsoft.com/office/drawing/2014/main" id="{00000000-0008-0000-0200-0000AC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33" name="Oval 157">
          <a:extLst>
            <a:ext uri="{FF2B5EF4-FFF2-40B4-BE49-F238E27FC236}">
              <a16:creationId xmlns:a16="http://schemas.microsoft.com/office/drawing/2014/main" id="{00000000-0008-0000-0200-0000AD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34" name="Oval 158">
          <a:extLst>
            <a:ext uri="{FF2B5EF4-FFF2-40B4-BE49-F238E27FC236}">
              <a16:creationId xmlns:a16="http://schemas.microsoft.com/office/drawing/2014/main" id="{00000000-0008-0000-0200-0000AE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35" name="Oval 159">
          <a:extLst>
            <a:ext uri="{FF2B5EF4-FFF2-40B4-BE49-F238E27FC236}">
              <a16:creationId xmlns:a16="http://schemas.microsoft.com/office/drawing/2014/main" id="{00000000-0008-0000-0200-0000AF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936" name="AutoShape 160">
          <a:extLst>
            <a:ext uri="{FF2B5EF4-FFF2-40B4-BE49-F238E27FC236}">
              <a16:creationId xmlns:a16="http://schemas.microsoft.com/office/drawing/2014/main" id="{00000000-0008-0000-0200-0000B0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937" name="Rectangle 161">
          <a:extLst>
            <a:ext uri="{FF2B5EF4-FFF2-40B4-BE49-F238E27FC236}">
              <a16:creationId xmlns:a16="http://schemas.microsoft.com/office/drawing/2014/main" id="{00000000-0008-0000-0200-0000B1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38" name="Oval 162">
          <a:extLst>
            <a:ext uri="{FF2B5EF4-FFF2-40B4-BE49-F238E27FC236}">
              <a16:creationId xmlns:a16="http://schemas.microsoft.com/office/drawing/2014/main" id="{00000000-0008-0000-0200-0000B2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39" name="Oval 163">
          <a:extLst>
            <a:ext uri="{FF2B5EF4-FFF2-40B4-BE49-F238E27FC236}">
              <a16:creationId xmlns:a16="http://schemas.microsoft.com/office/drawing/2014/main" id="{00000000-0008-0000-0200-0000B3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40" name="Oval 164">
          <a:extLst>
            <a:ext uri="{FF2B5EF4-FFF2-40B4-BE49-F238E27FC236}">
              <a16:creationId xmlns:a16="http://schemas.microsoft.com/office/drawing/2014/main" id="{00000000-0008-0000-0200-0000B4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41" name="Oval 165">
          <a:extLst>
            <a:ext uri="{FF2B5EF4-FFF2-40B4-BE49-F238E27FC236}">
              <a16:creationId xmlns:a16="http://schemas.microsoft.com/office/drawing/2014/main" id="{00000000-0008-0000-0200-0000B5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942" name="AutoShape 166">
          <a:extLst>
            <a:ext uri="{FF2B5EF4-FFF2-40B4-BE49-F238E27FC236}">
              <a16:creationId xmlns:a16="http://schemas.microsoft.com/office/drawing/2014/main" id="{00000000-0008-0000-0200-0000B6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943" name="Rectangle 167">
          <a:extLst>
            <a:ext uri="{FF2B5EF4-FFF2-40B4-BE49-F238E27FC236}">
              <a16:creationId xmlns:a16="http://schemas.microsoft.com/office/drawing/2014/main" id="{00000000-0008-0000-0200-0000B7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44" name="Oval 168">
          <a:extLst>
            <a:ext uri="{FF2B5EF4-FFF2-40B4-BE49-F238E27FC236}">
              <a16:creationId xmlns:a16="http://schemas.microsoft.com/office/drawing/2014/main" id="{00000000-0008-0000-0200-0000B8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45" name="Oval 169">
          <a:extLst>
            <a:ext uri="{FF2B5EF4-FFF2-40B4-BE49-F238E27FC236}">
              <a16:creationId xmlns:a16="http://schemas.microsoft.com/office/drawing/2014/main" id="{00000000-0008-0000-0200-0000B9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46" name="Oval 170">
          <a:extLst>
            <a:ext uri="{FF2B5EF4-FFF2-40B4-BE49-F238E27FC236}">
              <a16:creationId xmlns:a16="http://schemas.microsoft.com/office/drawing/2014/main" id="{00000000-0008-0000-0200-0000BA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47" name="Oval 171">
          <a:extLst>
            <a:ext uri="{FF2B5EF4-FFF2-40B4-BE49-F238E27FC236}">
              <a16:creationId xmlns:a16="http://schemas.microsoft.com/office/drawing/2014/main" id="{00000000-0008-0000-0200-0000BB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948" name="AutoShape 172">
          <a:extLst>
            <a:ext uri="{FF2B5EF4-FFF2-40B4-BE49-F238E27FC236}">
              <a16:creationId xmlns:a16="http://schemas.microsoft.com/office/drawing/2014/main" id="{00000000-0008-0000-0200-0000BC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949" name="Rectangle 173">
          <a:extLst>
            <a:ext uri="{FF2B5EF4-FFF2-40B4-BE49-F238E27FC236}">
              <a16:creationId xmlns:a16="http://schemas.microsoft.com/office/drawing/2014/main" id="{00000000-0008-0000-0200-0000BD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50" name="Oval 174">
          <a:extLst>
            <a:ext uri="{FF2B5EF4-FFF2-40B4-BE49-F238E27FC236}">
              <a16:creationId xmlns:a16="http://schemas.microsoft.com/office/drawing/2014/main" id="{00000000-0008-0000-0200-0000BE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51" name="Oval 175">
          <a:extLst>
            <a:ext uri="{FF2B5EF4-FFF2-40B4-BE49-F238E27FC236}">
              <a16:creationId xmlns:a16="http://schemas.microsoft.com/office/drawing/2014/main" id="{00000000-0008-0000-0200-0000BF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52" name="Oval 176">
          <a:extLst>
            <a:ext uri="{FF2B5EF4-FFF2-40B4-BE49-F238E27FC236}">
              <a16:creationId xmlns:a16="http://schemas.microsoft.com/office/drawing/2014/main" id="{00000000-0008-0000-0200-0000C0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53" name="Oval 177">
          <a:extLst>
            <a:ext uri="{FF2B5EF4-FFF2-40B4-BE49-F238E27FC236}">
              <a16:creationId xmlns:a16="http://schemas.microsoft.com/office/drawing/2014/main" id="{00000000-0008-0000-0200-0000C1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954" name="AutoShape 178">
          <a:extLst>
            <a:ext uri="{FF2B5EF4-FFF2-40B4-BE49-F238E27FC236}">
              <a16:creationId xmlns:a16="http://schemas.microsoft.com/office/drawing/2014/main" id="{00000000-0008-0000-0200-0000C2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955" name="Rectangle 179">
          <a:extLst>
            <a:ext uri="{FF2B5EF4-FFF2-40B4-BE49-F238E27FC236}">
              <a16:creationId xmlns:a16="http://schemas.microsoft.com/office/drawing/2014/main" id="{00000000-0008-0000-0200-0000C3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56" name="Oval 180">
          <a:extLst>
            <a:ext uri="{FF2B5EF4-FFF2-40B4-BE49-F238E27FC236}">
              <a16:creationId xmlns:a16="http://schemas.microsoft.com/office/drawing/2014/main" id="{00000000-0008-0000-0200-0000C4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57" name="Oval 181">
          <a:extLst>
            <a:ext uri="{FF2B5EF4-FFF2-40B4-BE49-F238E27FC236}">
              <a16:creationId xmlns:a16="http://schemas.microsoft.com/office/drawing/2014/main" id="{00000000-0008-0000-0200-0000C5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58" name="Oval 182">
          <a:extLst>
            <a:ext uri="{FF2B5EF4-FFF2-40B4-BE49-F238E27FC236}">
              <a16:creationId xmlns:a16="http://schemas.microsoft.com/office/drawing/2014/main" id="{00000000-0008-0000-0200-0000C6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59" name="Oval 183">
          <a:extLst>
            <a:ext uri="{FF2B5EF4-FFF2-40B4-BE49-F238E27FC236}">
              <a16:creationId xmlns:a16="http://schemas.microsoft.com/office/drawing/2014/main" id="{00000000-0008-0000-0200-0000C7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960" name="AutoShape 184">
          <a:extLst>
            <a:ext uri="{FF2B5EF4-FFF2-40B4-BE49-F238E27FC236}">
              <a16:creationId xmlns:a16="http://schemas.microsoft.com/office/drawing/2014/main" id="{00000000-0008-0000-0200-0000C8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961" name="Rectangle 185">
          <a:extLst>
            <a:ext uri="{FF2B5EF4-FFF2-40B4-BE49-F238E27FC236}">
              <a16:creationId xmlns:a16="http://schemas.microsoft.com/office/drawing/2014/main" id="{00000000-0008-0000-0200-0000C9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62" name="Oval 186">
          <a:extLst>
            <a:ext uri="{FF2B5EF4-FFF2-40B4-BE49-F238E27FC236}">
              <a16:creationId xmlns:a16="http://schemas.microsoft.com/office/drawing/2014/main" id="{00000000-0008-0000-0200-0000CA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63" name="Oval 187">
          <a:extLst>
            <a:ext uri="{FF2B5EF4-FFF2-40B4-BE49-F238E27FC236}">
              <a16:creationId xmlns:a16="http://schemas.microsoft.com/office/drawing/2014/main" id="{00000000-0008-0000-0200-0000CB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64" name="Oval 188">
          <a:extLst>
            <a:ext uri="{FF2B5EF4-FFF2-40B4-BE49-F238E27FC236}">
              <a16:creationId xmlns:a16="http://schemas.microsoft.com/office/drawing/2014/main" id="{00000000-0008-0000-0200-0000CC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65" name="Oval 189">
          <a:extLst>
            <a:ext uri="{FF2B5EF4-FFF2-40B4-BE49-F238E27FC236}">
              <a16:creationId xmlns:a16="http://schemas.microsoft.com/office/drawing/2014/main" id="{00000000-0008-0000-0200-0000CD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966" name="AutoShape 190">
          <a:extLst>
            <a:ext uri="{FF2B5EF4-FFF2-40B4-BE49-F238E27FC236}">
              <a16:creationId xmlns:a16="http://schemas.microsoft.com/office/drawing/2014/main" id="{00000000-0008-0000-0200-0000CE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967" name="Rectangle 191">
          <a:extLst>
            <a:ext uri="{FF2B5EF4-FFF2-40B4-BE49-F238E27FC236}">
              <a16:creationId xmlns:a16="http://schemas.microsoft.com/office/drawing/2014/main" id="{00000000-0008-0000-0200-0000CF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68" name="Oval 192">
          <a:extLst>
            <a:ext uri="{FF2B5EF4-FFF2-40B4-BE49-F238E27FC236}">
              <a16:creationId xmlns:a16="http://schemas.microsoft.com/office/drawing/2014/main" id="{00000000-0008-0000-0200-0000D0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69" name="Oval 193">
          <a:extLst>
            <a:ext uri="{FF2B5EF4-FFF2-40B4-BE49-F238E27FC236}">
              <a16:creationId xmlns:a16="http://schemas.microsoft.com/office/drawing/2014/main" id="{00000000-0008-0000-0200-0000D1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70" name="Oval 194">
          <a:extLst>
            <a:ext uri="{FF2B5EF4-FFF2-40B4-BE49-F238E27FC236}">
              <a16:creationId xmlns:a16="http://schemas.microsoft.com/office/drawing/2014/main" id="{00000000-0008-0000-0200-0000D2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71" name="Oval 195">
          <a:extLst>
            <a:ext uri="{FF2B5EF4-FFF2-40B4-BE49-F238E27FC236}">
              <a16:creationId xmlns:a16="http://schemas.microsoft.com/office/drawing/2014/main" id="{00000000-0008-0000-0200-0000D3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972" name="AutoShape 196">
          <a:extLst>
            <a:ext uri="{FF2B5EF4-FFF2-40B4-BE49-F238E27FC236}">
              <a16:creationId xmlns:a16="http://schemas.microsoft.com/office/drawing/2014/main" id="{00000000-0008-0000-0200-0000D4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973" name="Rectangle 197">
          <a:extLst>
            <a:ext uri="{FF2B5EF4-FFF2-40B4-BE49-F238E27FC236}">
              <a16:creationId xmlns:a16="http://schemas.microsoft.com/office/drawing/2014/main" id="{00000000-0008-0000-0200-0000D5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74" name="Oval 198">
          <a:extLst>
            <a:ext uri="{FF2B5EF4-FFF2-40B4-BE49-F238E27FC236}">
              <a16:creationId xmlns:a16="http://schemas.microsoft.com/office/drawing/2014/main" id="{00000000-0008-0000-0200-0000D6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75" name="Oval 199">
          <a:extLst>
            <a:ext uri="{FF2B5EF4-FFF2-40B4-BE49-F238E27FC236}">
              <a16:creationId xmlns:a16="http://schemas.microsoft.com/office/drawing/2014/main" id="{00000000-0008-0000-0200-0000D7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76" name="Oval 200">
          <a:extLst>
            <a:ext uri="{FF2B5EF4-FFF2-40B4-BE49-F238E27FC236}">
              <a16:creationId xmlns:a16="http://schemas.microsoft.com/office/drawing/2014/main" id="{00000000-0008-0000-0200-0000D8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77" name="Oval 201">
          <a:extLst>
            <a:ext uri="{FF2B5EF4-FFF2-40B4-BE49-F238E27FC236}">
              <a16:creationId xmlns:a16="http://schemas.microsoft.com/office/drawing/2014/main" id="{00000000-0008-0000-0200-0000D9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978" name="AutoShape 202">
          <a:extLst>
            <a:ext uri="{FF2B5EF4-FFF2-40B4-BE49-F238E27FC236}">
              <a16:creationId xmlns:a16="http://schemas.microsoft.com/office/drawing/2014/main" id="{00000000-0008-0000-0200-0000DA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979" name="Rectangle 203">
          <a:extLst>
            <a:ext uri="{FF2B5EF4-FFF2-40B4-BE49-F238E27FC236}">
              <a16:creationId xmlns:a16="http://schemas.microsoft.com/office/drawing/2014/main" id="{00000000-0008-0000-0200-0000DB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80" name="Oval 204">
          <a:extLst>
            <a:ext uri="{FF2B5EF4-FFF2-40B4-BE49-F238E27FC236}">
              <a16:creationId xmlns:a16="http://schemas.microsoft.com/office/drawing/2014/main" id="{00000000-0008-0000-0200-0000DC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81" name="Oval 205">
          <a:extLst>
            <a:ext uri="{FF2B5EF4-FFF2-40B4-BE49-F238E27FC236}">
              <a16:creationId xmlns:a16="http://schemas.microsoft.com/office/drawing/2014/main" id="{00000000-0008-0000-0200-0000DD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82" name="Oval 206">
          <a:extLst>
            <a:ext uri="{FF2B5EF4-FFF2-40B4-BE49-F238E27FC236}">
              <a16:creationId xmlns:a16="http://schemas.microsoft.com/office/drawing/2014/main" id="{00000000-0008-0000-0200-0000DE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83" name="Oval 207">
          <a:extLst>
            <a:ext uri="{FF2B5EF4-FFF2-40B4-BE49-F238E27FC236}">
              <a16:creationId xmlns:a16="http://schemas.microsoft.com/office/drawing/2014/main" id="{00000000-0008-0000-0200-0000DF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984" name="AutoShape 208">
          <a:extLst>
            <a:ext uri="{FF2B5EF4-FFF2-40B4-BE49-F238E27FC236}">
              <a16:creationId xmlns:a16="http://schemas.microsoft.com/office/drawing/2014/main" id="{00000000-0008-0000-0200-0000E0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985" name="Rectangle 209">
          <a:extLst>
            <a:ext uri="{FF2B5EF4-FFF2-40B4-BE49-F238E27FC236}">
              <a16:creationId xmlns:a16="http://schemas.microsoft.com/office/drawing/2014/main" id="{00000000-0008-0000-0200-0000E1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86" name="Oval 210">
          <a:extLst>
            <a:ext uri="{FF2B5EF4-FFF2-40B4-BE49-F238E27FC236}">
              <a16:creationId xmlns:a16="http://schemas.microsoft.com/office/drawing/2014/main" id="{00000000-0008-0000-0200-0000E2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87" name="Oval 211">
          <a:extLst>
            <a:ext uri="{FF2B5EF4-FFF2-40B4-BE49-F238E27FC236}">
              <a16:creationId xmlns:a16="http://schemas.microsoft.com/office/drawing/2014/main" id="{00000000-0008-0000-0200-0000E3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88" name="Oval 212">
          <a:extLst>
            <a:ext uri="{FF2B5EF4-FFF2-40B4-BE49-F238E27FC236}">
              <a16:creationId xmlns:a16="http://schemas.microsoft.com/office/drawing/2014/main" id="{00000000-0008-0000-0200-0000E4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89" name="Oval 213">
          <a:extLst>
            <a:ext uri="{FF2B5EF4-FFF2-40B4-BE49-F238E27FC236}">
              <a16:creationId xmlns:a16="http://schemas.microsoft.com/office/drawing/2014/main" id="{00000000-0008-0000-0200-0000E5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990" name="AutoShape 214">
          <a:extLst>
            <a:ext uri="{FF2B5EF4-FFF2-40B4-BE49-F238E27FC236}">
              <a16:creationId xmlns:a16="http://schemas.microsoft.com/office/drawing/2014/main" id="{00000000-0008-0000-0200-0000E6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991" name="Rectangle 215">
          <a:extLst>
            <a:ext uri="{FF2B5EF4-FFF2-40B4-BE49-F238E27FC236}">
              <a16:creationId xmlns:a16="http://schemas.microsoft.com/office/drawing/2014/main" id="{00000000-0008-0000-0200-0000E7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92" name="Oval 216">
          <a:extLst>
            <a:ext uri="{FF2B5EF4-FFF2-40B4-BE49-F238E27FC236}">
              <a16:creationId xmlns:a16="http://schemas.microsoft.com/office/drawing/2014/main" id="{00000000-0008-0000-0200-0000E8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93" name="Oval 217">
          <a:extLst>
            <a:ext uri="{FF2B5EF4-FFF2-40B4-BE49-F238E27FC236}">
              <a16:creationId xmlns:a16="http://schemas.microsoft.com/office/drawing/2014/main" id="{00000000-0008-0000-0200-0000E9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94" name="Oval 218">
          <a:extLst>
            <a:ext uri="{FF2B5EF4-FFF2-40B4-BE49-F238E27FC236}">
              <a16:creationId xmlns:a16="http://schemas.microsoft.com/office/drawing/2014/main" id="{00000000-0008-0000-0200-0000EA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95" name="Oval 219">
          <a:extLst>
            <a:ext uri="{FF2B5EF4-FFF2-40B4-BE49-F238E27FC236}">
              <a16:creationId xmlns:a16="http://schemas.microsoft.com/office/drawing/2014/main" id="{00000000-0008-0000-0200-0000EB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1996" name="AutoShape 220">
          <a:extLst>
            <a:ext uri="{FF2B5EF4-FFF2-40B4-BE49-F238E27FC236}">
              <a16:creationId xmlns:a16="http://schemas.microsoft.com/office/drawing/2014/main" id="{00000000-0008-0000-0200-0000EC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1997" name="Rectangle 221">
          <a:extLst>
            <a:ext uri="{FF2B5EF4-FFF2-40B4-BE49-F238E27FC236}">
              <a16:creationId xmlns:a16="http://schemas.microsoft.com/office/drawing/2014/main" id="{00000000-0008-0000-0200-0000ED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98" name="Oval 222">
          <a:extLst>
            <a:ext uri="{FF2B5EF4-FFF2-40B4-BE49-F238E27FC236}">
              <a16:creationId xmlns:a16="http://schemas.microsoft.com/office/drawing/2014/main" id="{00000000-0008-0000-0200-0000EE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1999" name="Oval 223">
          <a:extLst>
            <a:ext uri="{FF2B5EF4-FFF2-40B4-BE49-F238E27FC236}">
              <a16:creationId xmlns:a16="http://schemas.microsoft.com/office/drawing/2014/main" id="{00000000-0008-0000-0200-0000EF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000" name="Oval 224">
          <a:extLst>
            <a:ext uri="{FF2B5EF4-FFF2-40B4-BE49-F238E27FC236}">
              <a16:creationId xmlns:a16="http://schemas.microsoft.com/office/drawing/2014/main" id="{00000000-0008-0000-0200-0000F0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001" name="Oval 225">
          <a:extLst>
            <a:ext uri="{FF2B5EF4-FFF2-40B4-BE49-F238E27FC236}">
              <a16:creationId xmlns:a16="http://schemas.microsoft.com/office/drawing/2014/main" id="{00000000-0008-0000-0200-0000F1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002" name="AutoShape 226">
          <a:extLst>
            <a:ext uri="{FF2B5EF4-FFF2-40B4-BE49-F238E27FC236}">
              <a16:creationId xmlns:a16="http://schemas.microsoft.com/office/drawing/2014/main" id="{00000000-0008-0000-0200-0000F2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003" name="Rectangle 227">
          <a:extLst>
            <a:ext uri="{FF2B5EF4-FFF2-40B4-BE49-F238E27FC236}">
              <a16:creationId xmlns:a16="http://schemas.microsoft.com/office/drawing/2014/main" id="{00000000-0008-0000-0200-0000F3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004" name="Oval 228">
          <a:extLst>
            <a:ext uri="{FF2B5EF4-FFF2-40B4-BE49-F238E27FC236}">
              <a16:creationId xmlns:a16="http://schemas.microsoft.com/office/drawing/2014/main" id="{00000000-0008-0000-0200-0000F4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005" name="Oval 229">
          <a:extLst>
            <a:ext uri="{FF2B5EF4-FFF2-40B4-BE49-F238E27FC236}">
              <a16:creationId xmlns:a16="http://schemas.microsoft.com/office/drawing/2014/main" id="{00000000-0008-0000-0200-0000F5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006" name="Oval 230">
          <a:extLst>
            <a:ext uri="{FF2B5EF4-FFF2-40B4-BE49-F238E27FC236}">
              <a16:creationId xmlns:a16="http://schemas.microsoft.com/office/drawing/2014/main" id="{00000000-0008-0000-0200-0000F6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007" name="Oval 231">
          <a:extLst>
            <a:ext uri="{FF2B5EF4-FFF2-40B4-BE49-F238E27FC236}">
              <a16:creationId xmlns:a16="http://schemas.microsoft.com/office/drawing/2014/main" id="{00000000-0008-0000-0200-0000F7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008" name="AutoShape 232">
          <a:extLst>
            <a:ext uri="{FF2B5EF4-FFF2-40B4-BE49-F238E27FC236}">
              <a16:creationId xmlns:a16="http://schemas.microsoft.com/office/drawing/2014/main" id="{00000000-0008-0000-0200-0000F8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009" name="Rectangle 233">
          <a:extLst>
            <a:ext uri="{FF2B5EF4-FFF2-40B4-BE49-F238E27FC236}">
              <a16:creationId xmlns:a16="http://schemas.microsoft.com/office/drawing/2014/main" id="{00000000-0008-0000-0200-0000F9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010" name="Oval 234">
          <a:extLst>
            <a:ext uri="{FF2B5EF4-FFF2-40B4-BE49-F238E27FC236}">
              <a16:creationId xmlns:a16="http://schemas.microsoft.com/office/drawing/2014/main" id="{00000000-0008-0000-0200-0000FA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011" name="Oval 235">
          <a:extLst>
            <a:ext uri="{FF2B5EF4-FFF2-40B4-BE49-F238E27FC236}">
              <a16:creationId xmlns:a16="http://schemas.microsoft.com/office/drawing/2014/main" id="{00000000-0008-0000-0200-0000FB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012" name="Oval 236">
          <a:extLst>
            <a:ext uri="{FF2B5EF4-FFF2-40B4-BE49-F238E27FC236}">
              <a16:creationId xmlns:a16="http://schemas.microsoft.com/office/drawing/2014/main" id="{00000000-0008-0000-0200-0000FC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013" name="Oval 237">
          <a:extLst>
            <a:ext uri="{FF2B5EF4-FFF2-40B4-BE49-F238E27FC236}">
              <a16:creationId xmlns:a16="http://schemas.microsoft.com/office/drawing/2014/main" id="{00000000-0008-0000-0200-0000FD37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014" name="AutoShape 238">
          <a:extLst>
            <a:ext uri="{FF2B5EF4-FFF2-40B4-BE49-F238E27FC236}">
              <a16:creationId xmlns:a16="http://schemas.microsoft.com/office/drawing/2014/main" id="{00000000-0008-0000-0200-0000FE37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015" name="Rectangle 239">
          <a:extLst>
            <a:ext uri="{FF2B5EF4-FFF2-40B4-BE49-F238E27FC236}">
              <a16:creationId xmlns:a16="http://schemas.microsoft.com/office/drawing/2014/main" id="{00000000-0008-0000-0200-0000FF37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28" name="Oval 240">
          <a:extLst>
            <a:ext uri="{FF2B5EF4-FFF2-40B4-BE49-F238E27FC236}">
              <a16:creationId xmlns:a16="http://schemas.microsoft.com/office/drawing/2014/main" id="{00000000-0008-0000-0200-000000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29" name="Oval 241">
          <a:extLst>
            <a:ext uri="{FF2B5EF4-FFF2-40B4-BE49-F238E27FC236}">
              <a16:creationId xmlns:a16="http://schemas.microsoft.com/office/drawing/2014/main" id="{00000000-0008-0000-0200-000001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30" name="Oval 242">
          <a:extLst>
            <a:ext uri="{FF2B5EF4-FFF2-40B4-BE49-F238E27FC236}">
              <a16:creationId xmlns:a16="http://schemas.microsoft.com/office/drawing/2014/main" id="{00000000-0008-0000-0200-000002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31" name="Oval 243">
          <a:extLst>
            <a:ext uri="{FF2B5EF4-FFF2-40B4-BE49-F238E27FC236}">
              <a16:creationId xmlns:a16="http://schemas.microsoft.com/office/drawing/2014/main" id="{00000000-0008-0000-0200-000003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5332" name="AutoShape 244">
          <a:extLst>
            <a:ext uri="{FF2B5EF4-FFF2-40B4-BE49-F238E27FC236}">
              <a16:creationId xmlns:a16="http://schemas.microsoft.com/office/drawing/2014/main" id="{00000000-0008-0000-0200-0000046C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5333" name="Rectangle 245">
          <a:extLst>
            <a:ext uri="{FF2B5EF4-FFF2-40B4-BE49-F238E27FC236}">
              <a16:creationId xmlns:a16="http://schemas.microsoft.com/office/drawing/2014/main" id="{00000000-0008-0000-0200-0000056C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34" name="Oval 246">
          <a:extLst>
            <a:ext uri="{FF2B5EF4-FFF2-40B4-BE49-F238E27FC236}">
              <a16:creationId xmlns:a16="http://schemas.microsoft.com/office/drawing/2014/main" id="{00000000-0008-0000-0200-000006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35" name="Oval 247">
          <a:extLst>
            <a:ext uri="{FF2B5EF4-FFF2-40B4-BE49-F238E27FC236}">
              <a16:creationId xmlns:a16="http://schemas.microsoft.com/office/drawing/2014/main" id="{00000000-0008-0000-0200-000007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36" name="Oval 248">
          <a:extLst>
            <a:ext uri="{FF2B5EF4-FFF2-40B4-BE49-F238E27FC236}">
              <a16:creationId xmlns:a16="http://schemas.microsoft.com/office/drawing/2014/main" id="{00000000-0008-0000-0200-000008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37" name="Oval 249">
          <a:extLst>
            <a:ext uri="{FF2B5EF4-FFF2-40B4-BE49-F238E27FC236}">
              <a16:creationId xmlns:a16="http://schemas.microsoft.com/office/drawing/2014/main" id="{00000000-0008-0000-0200-000009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5338" name="AutoShape 250">
          <a:extLst>
            <a:ext uri="{FF2B5EF4-FFF2-40B4-BE49-F238E27FC236}">
              <a16:creationId xmlns:a16="http://schemas.microsoft.com/office/drawing/2014/main" id="{00000000-0008-0000-0200-00000A6C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5339" name="Rectangle 251">
          <a:extLst>
            <a:ext uri="{FF2B5EF4-FFF2-40B4-BE49-F238E27FC236}">
              <a16:creationId xmlns:a16="http://schemas.microsoft.com/office/drawing/2014/main" id="{00000000-0008-0000-0200-00000B6C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40" name="Oval 252">
          <a:extLst>
            <a:ext uri="{FF2B5EF4-FFF2-40B4-BE49-F238E27FC236}">
              <a16:creationId xmlns:a16="http://schemas.microsoft.com/office/drawing/2014/main" id="{00000000-0008-0000-0200-00000C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41" name="Oval 253">
          <a:extLst>
            <a:ext uri="{FF2B5EF4-FFF2-40B4-BE49-F238E27FC236}">
              <a16:creationId xmlns:a16="http://schemas.microsoft.com/office/drawing/2014/main" id="{00000000-0008-0000-0200-00000D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42" name="Oval 254">
          <a:extLst>
            <a:ext uri="{FF2B5EF4-FFF2-40B4-BE49-F238E27FC236}">
              <a16:creationId xmlns:a16="http://schemas.microsoft.com/office/drawing/2014/main" id="{00000000-0008-0000-0200-00000E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43" name="Oval 255">
          <a:extLst>
            <a:ext uri="{FF2B5EF4-FFF2-40B4-BE49-F238E27FC236}">
              <a16:creationId xmlns:a16="http://schemas.microsoft.com/office/drawing/2014/main" id="{00000000-0008-0000-0200-00000F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5344" name="AutoShape 256">
          <a:extLst>
            <a:ext uri="{FF2B5EF4-FFF2-40B4-BE49-F238E27FC236}">
              <a16:creationId xmlns:a16="http://schemas.microsoft.com/office/drawing/2014/main" id="{00000000-0008-0000-0200-0000106C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5345" name="Rectangle 257">
          <a:extLst>
            <a:ext uri="{FF2B5EF4-FFF2-40B4-BE49-F238E27FC236}">
              <a16:creationId xmlns:a16="http://schemas.microsoft.com/office/drawing/2014/main" id="{00000000-0008-0000-0200-0000116C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46" name="Oval 258">
          <a:extLst>
            <a:ext uri="{FF2B5EF4-FFF2-40B4-BE49-F238E27FC236}">
              <a16:creationId xmlns:a16="http://schemas.microsoft.com/office/drawing/2014/main" id="{00000000-0008-0000-0200-000012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47" name="Oval 259">
          <a:extLst>
            <a:ext uri="{FF2B5EF4-FFF2-40B4-BE49-F238E27FC236}">
              <a16:creationId xmlns:a16="http://schemas.microsoft.com/office/drawing/2014/main" id="{00000000-0008-0000-0200-000013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48" name="Oval 260">
          <a:extLst>
            <a:ext uri="{FF2B5EF4-FFF2-40B4-BE49-F238E27FC236}">
              <a16:creationId xmlns:a16="http://schemas.microsoft.com/office/drawing/2014/main" id="{00000000-0008-0000-0200-000014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49" name="Oval 261">
          <a:extLst>
            <a:ext uri="{FF2B5EF4-FFF2-40B4-BE49-F238E27FC236}">
              <a16:creationId xmlns:a16="http://schemas.microsoft.com/office/drawing/2014/main" id="{00000000-0008-0000-0200-000015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5350" name="AutoShape 262">
          <a:extLst>
            <a:ext uri="{FF2B5EF4-FFF2-40B4-BE49-F238E27FC236}">
              <a16:creationId xmlns:a16="http://schemas.microsoft.com/office/drawing/2014/main" id="{00000000-0008-0000-0200-0000166C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5351" name="Rectangle 263">
          <a:extLst>
            <a:ext uri="{FF2B5EF4-FFF2-40B4-BE49-F238E27FC236}">
              <a16:creationId xmlns:a16="http://schemas.microsoft.com/office/drawing/2014/main" id="{00000000-0008-0000-0200-0000176C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52" name="Oval 264">
          <a:extLst>
            <a:ext uri="{FF2B5EF4-FFF2-40B4-BE49-F238E27FC236}">
              <a16:creationId xmlns:a16="http://schemas.microsoft.com/office/drawing/2014/main" id="{00000000-0008-0000-0200-000018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53" name="Oval 265">
          <a:extLst>
            <a:ext uri="{FF2B5EF4-FFF2-40B4-BE49-F238E27FC236}">
              <a16:creationId xmlns:a16="http://schemas.microsoft.com/office/drawing/2014/main" id="{00000000-0008-0000-0200-000019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54" name="Oval 266">
          <a:extLst>
            <a:ext uri="{FF2B5EF4-FFF2-40B4-BE49-F238E27FC236}">
              <a16:creationId xmlns:a16="http://schemas.microsoft.com/office/drawing/2014/main" id="{00000000-0008-0000-0200-00001A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55" name="Oval 267">
          <a:extLst>
            <a:ext uri="{FF2B5EF4-FFF2-40B4-BE49-F238E27FC236}">
              <a16:creationId xmlns:a16="http://schemas.microsoft.com/office/drawing/2014/main" id="{00000000-0008-0000-0200-00001B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5356" name="AutoShape 268">
          <a:extLst>
            <a:ext uri="{FF2B5EF4-FFF2-40B4-BE49-F238E27FC236}">
              <a16:creationId xmlns:a16="http://schemas.microsoft.com/office/drawing/2014/main" id="{00000000-0008-0000-0200-00001C6C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5357" name="Rectangle 269">
          <a:extLst>
            <a:ext uri="{FF2B5EF4-FFF2-40B4-BE49-F238E27FC236}">
              <a16:creationId xmlns:a16="http://schemas.microsoft.com/office/drawing/2014/main" id="{00000000-0008-0000-0200-00001D6C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58" name="Oval 270">
          <a:extLst>
            <a:ext uri="{FF2B5EF4-FFF2-40B4-BE49-F238E27FC236}">
              <a16:creationId xmlns:a16="http://schemas.microsoft.com/office/drawing/2014/main" id="{00000000-0008-0000-0200-00001E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59" name="Oval 271">
          <a:extLst>
            <a:ext uri="{FF2B5EF4-FFF2-40B4-BE49-F238E27FC236}">
              <a16:creationId xmlns:a16="http://schemas.microsoft.com/office/drawing/2014/main" id="{00000000-0008-0000-0200-00001F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60" name="Oval 272">
          <a:extLst>
            <a:ext uri="{FF2B5EF4-FFF2-40B4-BE49-F238E27FC236}">
              <a16:creationId xmlns:a16="http://schemas.microsoft.com/office/drawing/2014/main" id="{00000000-0008-0000-0200-000020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61" name="Oval 273">
          <a:extLst>
            <a:ext uri="{FF2B5EF4-FFF2-40B4-BE49-F238E27FC236}">
              <a16:creationId xmlns:a16="http://schemas.microsoft.com/office/drawing/2014/main" id="{00000000-0008-0000-0200-000021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5362" name="Rectangle 274">
          <a:extLst>
            <a:ext uri="{FF2B5EF4-FFF2-40B4-BE49-F238E27FC236}">
              <a16:creationId xmlns:a16="http://schemas.microsoft.com/office/drawing/2014/main" id="{00000000-0008-0000-0200-0000226C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63" name="Oval 275">
          <a:extLst>
            <a:ext uri="{FF2B5EF4-FFF2-40B4-BE49-F238E27FC236}">
              <a16:creationId xmlns:a16="http://schemas.microsoft.com/office/drawing/2014/main" id="{00000000-0008-0000-0200-000023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64" name="Oval 276">
          <a:extLst>
            <a:ext uri="{FF2B5EF4-FFF2-40B4-BE49-F238E27FC236}">
              <a16:creationId xmlns:a16="http://schemas.microsoft.com/office/drawing/2014/main" id="{00000000-0008-0000-0200-000024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65" name="Oval 277">
          <a:extLst>
            <a:ext uri="{FF2B5EF4-FFF2-40B4-BE49-F238E27FC236}">
              <a16:creationId xmlns:a16="http://schemas.microsoft.com/office/drawing/2014/main" id="{00000000-0008-0000-0200-000025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66" name="Oval 278">
          <a:extLst>
            <a:ext uri="{FF2B5EF4-FFF2-40B4-BE49-F238E27FC236}">
              <a16:creationId xmlns:a16="http://schemas.microsoft.com/office/drawing/2014/main" id="{00000000-0008-0000-0200-000026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55367" name="Rectangle 279">
          <a:extLst>
            <a:ext uri="{FF2B5EF4-FFF2-40B4-BE49-F238E27FC236}">
              <a16:creationId xmlns:a16="http://schemas.microsoft.com/office/drawing/2014/main" id="{00000000-0008-0000-0200-0000276C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68" name="Oval 280">
          <a:extLst>
            <a:ext uri="{FF2B5EF4-FFF2-40B4-BE49-F238E27FC236}">
              <a16:creationId xmlns:a16="http://schemas.microsoft.com/office/drawing/2014/main" id="{00000000-0008-0000-0200-000028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69" name="Oval 281">
          <a:extLst>
            <a:ext uri="{FF2B5EF4-FFF2-40B4-BE49-F238E27FC236}">
              <a16:creationId xmlns:a16="http://schemas.microsoft.com/office/drawing/2014/main" id="{00000000-0008-0000-0200-000029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70" name="Oval 282">
          <a:extLst>
            <a:ext uri="{FF2B5EF4-FFF2-40B4-BE49-F238E27FC236}">
              <a16:creationId xmlns:a16="http://schemas.microsoft.com/office/drawing/2014/main" id="{00000000-0008-0000-0200-00002A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5371" name="Oval 283">
          <a:extLst>
            <a:ext uri="{FF2B5EF4-FFF2-40B4-BE49-F238E27FC236}">
              <a16:creationId xmlns:a16="http://schemas.microsoft.com/office/drawing/2014/main" id="{00000000-0008-0000-0200-00002B6C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355372" name="Rectangle 285">
          <a:extLst>
            <a:ext uri="{FF2B5EF4-FFF2-40B4-BE49-F238E27FC236}">
              <a16:creationId xmlns:a16="http://schemas.microsoft.com/office/drawing/2014/main" id="{00000000-0008-0000-0200-00002C6C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355373" name="Rectangle 287">
          <a:extLst>
            <a:ext uri="{FF2B5EF4-FFF2-40B4-BE49-F238E27FC236}">
              <a16:creationId xmlns:a16="http://schemas.microsoft.com/office/drawing/2014/main" id="{00000000-0008-0000-0200-00002D6C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355374" name="Rectangle 289">
          <a:extLst>
            <a:ext uri="{FF2B5EF4-FFF2-40B4-BE49-F238E27FC236}">
              <a16:creationId xmlns:a16="http://schemas.microsoft.com/office/drawing/2014/main" id="{00000000-0008-0000-0200-00002E6C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355375" name="Rectangle 291">
          <a:extLst>
            <a:ext uri="{FF2B5EF4-FFF2-40B4-BE49-F238E27FC236}">
              <a16:creationId xmlns:a16="http://schemas.microsoft.com/office/drawing/2014/main" id="{00000000-0008-0000-0200-00002F6C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355376" name="Rectangle 293">
          <a:extLst>
            <a:ext uri="{FF2B5EF4-FFF2-40B4-BE49-F238E27FC236}">
              <a16:creationId xmlns:a16="http://schemas.microsoft.com/office/drawing/2014/main" id="{00000000-0008-0000-0200-0000306C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355377" name="Rectangle 295">
          <a:extLst>
            <a:ext uri="{FF2B5EF4-FFF2-40B4-BE49-F238E27FC236}">
              <a16:creationId xmlns:a16="http://schemas.microsoft.com/office/drawing/2014/main" id="{00000000-0008-0000-0200-0000316C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355378" name="Rectangle 297">
          <a:extLst>
            <a:ext uri="{FF2B5EF4-FFF2-40B4-BE49-F238E27FC236}">
              <a16:creationId xmlns:a16="http://schemas.microsoft.com/office/drawing/2014/main" id="{00000000-0008-0000-0200-0000326C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355379" name="Rectangle 299">
          <a:extLst>
            <a:ext uri="{FF2B5EF4-FFF2-40B4-BE49-F238E27FC236}">
              <a16:creationId xmlns:a16="http://schemas.microsoft.com/office/drawing/2014/main" id="{00000000-0008-0000-0200-0000336C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355380" name="Rectangle 301">
          <a:extLst>
            <a:ext uri="{FF2B5EF4-FFF2-40B4-BE49-F238E27FC236}">
              <a16:creationId xmlns:a16="http://schemas.microsoft.com/office/drawing/2014/main" id="{00000000-0008-0000-0200-0000346C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355381" name="Rectangle 303">
          <a:extLst>
            <a:ext uri="{FF2B5EF4-FFF2-40B4-BE49-F238E27FC236}">
              <a16:creationId xmlns:a16="http://schemas.microsoft.com/office/drawing/2014/main" id="{00000000-0008-0000-0200-0000356C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355382" name="Rectangle 305">
          <a:extLst>
            <a:ext uri="{FF2B5EF4-FFF2-40B4-BE49-F238E27FC236}">
              <a16:creationId xmlns:a16="http://schemas.microsoft.com/office/drawing/2014/main" id="{00000000-0008-0000-0200-0000366C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355383" name="Rectangle 307">
          <a:extLst>
            <a:ext uri="{FF2B5EF4-FFF2-40B4-BE49-F238E27FC236}">
              <a16:creationId xmlns:a16="http://schemas.microsoft.com/office/drawing/2014/main" id="{00000000-0008-0000-0200-0000376C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textlink="">
      <xdr:nvSpPr>
        <xdr:cNvPr id="355384" name="フリーフォーム 311">
          <a:extLst>
            <a:ext uri="{FF2B5EF4-FFF2-40B4-BE49-F238E27FC236}">
              <a16:creationId xmlns:a16="http://schemas.microsoft.com/office/drawing/2014/main" id="{00000000-0008-0000-0200-0000386C0500}"/>
            </a:ext>
          </a:extLst>
        </xdr:cNvPr>
        <xdr:cNvSpPr>
          <a:spLocks noChangeArrowheads="1"/>
        </xdr:cNvSpPr>
      </xdr:nvSpPr>
      <xdr:spPr bwMode="auto">
        <a:xfrm>
          <a:off x="723900" y="2162175"/>
          <a:ext cx="276225" cy="180975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textlink="">
      <xdr:nvSpPr>
        <xdr:cNvPr id="355385" name="フリーフォーム 312">
          <a:extLst>
            <a:ext uri="{FF2B5EF4-FFF2-40B4-BE49-F238E27FC236}">
              <a16:creationId xmlns:a16="http://schemas.microsoft.com/office/drawing/2014/main" id="{00000000-0008-0000-0200-0000396C0500}"/>
            </a:ext>
          </a:extLst>
        </xdr:cNvPr>
        <xdr:cNvSpPr>
          <a:spLocks noChangeArrowheads="1"/>
        </xdr:cNvSpPr>
      </xdr:nvSpPr>
      <xdr:spPr bwMode="auto">
        <a:xfrm>
          <a:off x="742950" y="2847975"/>
          <a:ext cx="276225" cy="190500"/>
        </a:xfrm>
        <a:custGeom>
          <a:avLst/>
          <a:gdLst>
            <a:gd name="T0" fmla="*/ 0 w 272143"/>
            <a:gd name="T1" fmla="*/ 0 h 185057"/>
            <a:gd name="T2" fmla="*/ 389763 w 272143"/>
            <a:gd name="T3" fmla="*/ 0 h 185057"/>
            <a:gd name="T4" fmla="*/ 550255 w 272143"/>
            <a:gd name="T5" fmla="*/ 288631 h 185057"/>
            <a:gd name="T6" fmla="*/ 573181 w 272143"/>
            <a:gd name="T7" fmla="*/ 329868 h 185057"/>
            <a:gd name="T8" fmla="*/ 389763 w 272143"/>
            <a:gd name="T9" fmla="*/ 700980 h 185057"/>
            <a:gd name="T10" fmla="*/ 11462 w 272143"/>
            <a:gd name="T11" fmla="*/ 700980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textlink="">
      <xdr:nvSpPr>
        <xdr:cNvPr id="355386" name="フリーフォーム 313">
          <a:extLst>
            <a:ext uri="{FF2B5EF4-FFF2-40B4-BE49-F238E27FC236}">
              <a16:creationId xmlns:a16="http://schemas.microsoft.com/office/drawing/2014/main" id="{00000000-0008-0000-0200-00003A6C0500}"/>
            </a:ext>
          </a:extLst>
        </xdr:cNvPr>
        <xdr:cNvSpPr>
          <a:spLocks noChangeArrowheads="1"/>
        </xdr:cNvSpPr>
      </xdr:nvSpPr>
      <xdr:spPr bwMode="auto">
        <a:xfrm>
          <a:off x="742950" y="3543300"/>
          <a:ext cx="276225" cy="180975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textlink="">
      <xdr:nvSpPr>
        <xdr:cNvPr id="355387" name="フリーフォーム 314">
          <a:extLst>
            <a:ext uri="{FF2B5EF4-FFF2-40B4-BE49-F238E27FC236}">
              <a16:creationId xmlns:a16="http://schemas.microsoft.com/office/drawing/2014/main" id="{00000000-0008-0000-0200-00003B6C0500}"/>
            </a:ext>
          </a:extLst>
        </xdr:cNvPr>
        <xdr:cNvSpPr>
          <a:spLocks noChangeArrowheads="1"/>
        </xdr:cNvSpPr>
      </xdr:nvSpPr>
      <xdr:spPr bwMode="auto">
        <a:xfrm>
          <a:off x="733425" y="42195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textlink="">
      <xdr:nvSpPr>
        <xdr:cNvPr id="355388" name="フリーフォーム 315">
          <a:extLst>
            <a:ext uri="{FF2B5EF4-FFF2-40B4-BE49-F238E27FC236}">
              <a16:creationId xmlns:a16="http://schemas.microsoft.com/office/drawing/2014/main" id="{00000000-0008-0000-0200-00003C6C0500}"/>
            </a:ext>
          </a:extLst>
        </xdr:cNvPr>
        <xdr:cNvSpPr>
          <a:spLocks noChangeArrowheads="1"/>
        </xdr:cNvSpPr>
      </xdr:nvSpPr>
      <xdr:spPr bwMode="auto">
        <a:xfrm>
          <a:off x="733425" y="4905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textlink="">
      <xdr:nvSpPr>
        <xdr:cNvPr id="355389" name="フリーフォーム 316">
          <a:extLst>
            <a:ext uri="{FF2B5EF4-FFF2-40B4-BE49-F238E27FC236}">
              <a16:creationId xmlns:a16="http://schemas.microsoft.com/office/drawing/2014/main" id="{00000000-0008-0000-0200-00003D6C0500}"/>
            </a:ext>
          </a:extLst>
        </xdr:cNvPr>
        <xdr:cNvSpPr>
          <a:spLocks noChangeArrowheads="1"/>
        </xdr:cNvSpPr>
      </xdr:nvSpPr>
      <xdr:spPr bwMode="auto">
        <a:xfrm>
          <a:off x="733425" y="55816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textlink="">
      <xdr:nvSpPr>
        <xdr:cNvPr id="355390" name="フリーフォーム 317">
          <a:extLst>
            <a:ext uri="{FF2B5EF4-FFF2-40B4-BE49-F238E27FC236}">
              <a16:creationId xmlns:a16="http://schemas.microsoft.com/office/drawing/2014/main" id="{00000000-0008-0000-0200-00003E6C0500}"/>
            </a:ext>
          </a:extLst>
        </xdr:cNvPr>
        <xdr:cNvSpPr>
          <a:spLocks noChangeArrowheads="1"/>
        </xdr:cNvSpPr>
      </xdr:nvSpPr>
      <xdr:spPr bwMode="auto">
        <a:xfrm>
          <a:off x="723900" y="6267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textlink="">
      <xdr:nvSpPr>
        <xdr:cNvPr id="355391" name="フリーフォーム 319">
          <a:extLst>
            <a:ext uri="{FF2B5EF4-FFF2-40B4-BE49-F238E27FC236}">
              <a16:creationId xmlns:a16="http://schemas.microsoft.com/office/drawing/2014/main" id="{00000000-0008-0000-0200-00003F6C0500}"/>
            </a:ext>
          </a:extLst>
        </xdr:cNvPr>
        <xdr:cNvSpPr>
          <a:spLocks noChangeArrowheads="1"/>
        </xdr:cNvSpPr>
      </xdr:nvSpPr>
      <xdr:spPr bwMode="auto">
        <a:xfrm>
          <a:off x="733425" y="76390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textlink="">
      <xdr:nvSpPr>
        <xdr:cNvPr id="355392" name="フリーフォーム 320">
          <a:extLst>
            <a:ext uri="{FF2B5EF4-FFF2-40B4-BE49-F238E27FC236}">
              <a16:creationId xmlns:a16="http://schemas.microsoft.com/office/drawing/2014/main" id="{00000000-0008-0000-0200-0000406C0500}"/>
            </a:ext>
          </a:extLst>
        </xdr:cNvPr>
        <xdr:cNvSpPr>
          <a:spLocks noChangeArrowheads="1"/>
        </xdr:cNvSpPr>
      </xdr:nvSpPr>
      <xdr:spPr bwMode="auto">
        <a:xfrm>
          <a:off x="723900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355393" name="フリーフォーム 321">
          <a:extLst>
            <a:ext uri="{FF2B5EF4-FFF2-40B4-BE49-F238E27FC236}">
              <a16:creationId xmlns:a16="http://schemas.microsoft.com/office/drawing/2014/main" id="{00000000-0008-0000-0200-0000416C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textlink="">
      <xdr:nvSpPr>
        <xdr:cNvPr id="355394" name="フリーフォーム 322">
          <a:extLst>
            <a:ext uri="{FF2B5EF4-FFF2-40B4-BE49-F238E27FC236}">
              <a16:creationId xmlns:a16="http://schemas.microsoft.com/office/drawing/2014/main" id="{00000000-0008-0000-0200-0000426C0500}"/>
            </a:ext>
          </a:extLst>
        </xdr:cNvPr>
        <xdr:cNvSpPr>
          <a:spLocks noChangeArrowheads="1"/>
        </xdr:cNvSpPr>
      </xdr:nvSpPr>
      <xdr:spPr bwMode="auto">
        <a:xfrm>
          <a:off x="733425" y="9696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355395" name="Rectangle 2">
          <a:extLst>
            <a:ext uri="{FF2B5EF4-FFF2-40B4-BE49-F238E27FC236}">
              <a16:creationId xmlns:a16="http://schemas.microsoft.com/office/drawing/2014/main" id="{00000000-0008-0000-0200-0000436C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355396" name="Rectangle 2">
          <a:extLst>
            <a:ext uri="{FF2B5EF4-FFF2-40B4-BE49-F238E27FC236}">
              <a16:creationId xmlns:a16="http://schemas.microsoft.com/office/drawing/2014/main" id="{00000000-0008-0000-0200-0000446C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355397" name="Rectangle 2">
          <a:extLst>
            <a:ext uri="{FF2B5EF4-FFF2-40B4-BE49-F238E27FC236}">
              <a16:creationId xmlns:a16="http://schemas.microsoft.com/office/drawing/2014/main" id="{00000000-0008-0000-0200-0000456C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355398" name="Rectangle 2">
          <a:extLst>
            <a:ext uri="{FF2B5EF4-FFF2-40B4-BE49-F238E27FC236}">
              <a16:creationId xmlns:a16="http://schemas.microsoft.com/office/drawing/2014/main" id="{00000000-0008-0000-0200-0000466C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355399" name="Rectangle 2">
          <a:extLst>
            <a:ext uri="{FF2B5EF4-FFF2-40B4-BE49-F238E27FC236}">
              <a16:creationId xmlns:a16="http://schemas.microsoft.com/office/drawing/2014/main" id="{00000000-0008-0000-0200-0000476C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355400" name="Rectangle 293">
          <a:extLst>
            <a:ext uri="{FF2B5EF4-FFF2-40B4-BE49-F238E27FC236}">
              <a16:creationId xmlns:a16="http://schemas.microsoft.com/office/drawing/2014/main" id="{00000000-0008-0000-0200-0000486C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355401" name="Rectangle 2">
          <a:extLst>
            <a:ext uri="{FF2B5EF4-FFF2-40B4-BE49-F238E27FC236}">
              <a16:creationId xmlns:a16="http://schemas.microsoft.com/office/drawing/2014/main" id="{00000000-0008-0000-0200-0000496C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355402" name="Rectangle 293">
          <a:extLst>
            <a:ext uri="{FF2B5EF4-FFF2-40B4-BE49-F238E27FC236}">
              <a16:creationId xmlns:a16="http://schemas.microsoft.com/office/drawing/2014/main" id="{00000000-0008-0000-0200-00004A6C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355403" name="Rectangle 2">
          <a:extLst>
            <a:ext uri="{FF2B5EF4-FFF2-40B4-BE49-F238E27FC236}">
              <a16:creationId xmlns:a16="http://schemas.microsoft.com/office/drawing/2014/main" id="{00000000-0008-0000-0200-00004B6C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355404" name="Rectangle 293">
          <a:extLst>
            <a:ext uri="{FF2B5EF4-FFF2-40B4-BE49-F238E27FC236}">
              <a16:creationId xmlns:a16="http://schemas.microsoft.com/office/drawing/2014/main" id="{00000000-0008-0000-0200-00004C6C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4</xdr:col>
      <xdr:colOff>0</xdr:colOff>
      <xdr:row>78</xdr:row>
      <xdr:rowOff>28575</xdr:rowOff>
    </xdr:to>
    <xdr:sp textlink="">
      <xdr:nvSpPr>
        <xdr:cNvPr id="355405" name="フリーフォーム 342">
          <a:extLst>
            <a:ext uri="{FF2B5EF4-FFF2-40B4-BE49-F238E27FC236}">
              <a16:creationId xmlns:a16="http://schemas.microsoft.com/office/drawing/2014/main" id="{00000000-0008-0000-0200-00004D6C0500}"/>
            </a:ext>
          </a:extLst>
        </xdr:cNvPr>
        <xdr:cNvSpPr>
          <a:spLocks noChangeArrowheads="1"/>
        </xdr:cNvSpPr>
      </xdr:nvSpPr>
      <xdr:spPr bwMode="auto">
        <a:xfrm>
          <a:off x="733425" y="69627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355406" name="Rectangle 2">
          <a:extLst>
            <a:ext uri="{FF2B5EF4-FFF2-40B4-BE49-F238E27FC236}">
              <a16:creationId xmlns:a16="http://schemas.microsoft.com/office/drawing/2014/main" id="{00000000-0008-0000-0200-00004E6C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355407" name="Rectangle 293">
          <a:extLst>
            <a:ext uri="{FF2B5EF4-FFF2-40B4-BE49-F238E27FC236}">
              <a16:creationId xmlns:a16="http://schemas.microsoft.com/office/drawing/2014/main" id="{00000000-0008-0000-0200-00004F6C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355408" name="Rectangle 2">
          <a:extLst>
            <a:ext uri="{FF2B5EF4-FFF2-40B4-BE49-F238E27FC236}">
              <a16:creationId xmlns:a16="http://schemas.microsoft.com/office/drawing/2014/main" id="{00000000-0008-0000-0200-0000506C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355409" name="Rectangle 293">
          <a:extLst>
            <a:ext uri="{FF2B5EF4-FFF2-40B4-BE49-F238E27FC236}">
              <a16:creationId xmlns:a16="http://schemas.microsoft.com/office/drawing/2014/main" id="{00000000-0008-0000-0200-0000516C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textlink="">
      <xdr:nvSpPr>
        <xdr:cNvPr id="355410" name="フリーフォーム 350">
          <a:extLst>
            <a:ext uri="{FF2B5EF4-FFF2-40B4-BE49-F238E27FC236}">
              <a16:creationId xmlns:a16="http://schemas.microsoft.com/office/drawing/2014/main" id="{00000000-0008-0000-0200-0000526C0500}"/>
            </a:ext>
          </a:extLst>
        </xdr:cNvPr>
        <xdr:cNvSpPr>
          <a:spLocks noChangeArrowheads="1"/>
        </xdr:cNvSpPr>
      </xdr:nvSpPr>
      <xdr:spPr bwMode="auto">
        <a:xfrm>
          <a:off x="733425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355411" name="Rectangle 2">
          <a:extLst>
            <a:ext uri="{FF2B5EF4-FFF2-40B4-BE49-F238E27FC236}">
              <a16:creationId xmlns:a16="http://schemas.microsoft.com/office/drawing/2014/main" id="{00000000-0008-0000-0200-0000536C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355412" name="Rectangle 293">
          <a:extLst>
            <a:ext uri="{FF2B5EF4-FFF2-40B4-BE49-F238E27FC236}">
              <a16:creationId xmlns:a16="http://schemas.microsoft.com/office/drawing/2014/main" id="{00000000-0008-0000-0200-0000546C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355413" name="フリーフォーム 354">
          <a:extLst>
            <a:ext uri="{FF2B5EF4-FFF2-40B4-BE49-F238E27FC236}">
              <a16:creationId xmlns:a16="http://schemas.microsoft.com/office/drawing/2014/main" id="{00000000-0008-0000-0200-0000556C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355414" name="Rectangle 2">
          <a:extLst>
            <a:ext uri="{FF2B5EF4-FFF2-40B4-BE49-F238E27FC236}">
              <a16:creationId xmlns:a16="http://schemas.microsoft.com/office/drawing/2014/main" id="{00000000-0008-0000-0200-0000566C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355415" name="Rectangle 293">
          <a:extLst>
            <a:ext uri="{FF2B5EF4-FFF2-40B4-BE49-F238E27FC236}">
              <a16:creationId xmlns:a16="http://schemas.microsoft.com/office/drawing/2014/main" id="{00000000-0008-0000-0200-0000576C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355416" name="Rectangle 2">
          <a:extLst>
            <a:ext uri="{FF2B5EF4-FFF2-40B4-BE49-F238E27FC236}">
              <a16:creationId xmlns:a16="http://schemas.microsoft.com/office/drawing/2014/main" id="{00000000-0008-0000-0200-0000586C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355417" name="Rectangle 285">
          <a:extLst>
            <a:ext uri="{FF2B5EF4-FFF2-40B4-BE49-F238E27FC236}">
              <a16:creationId xmlns:a16="http://schemas.microsoft.com/office/drawing/2014/main" id="{00000000-0008-0000-0200-0000596C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textlink="">
      <xdr:nvSpPr>
        <xdr:cNvPr id="355418" name="フリーフォーム 362">
          <a:extLst>
            <a:ext uri="{FF2B5EF4-FFF2-40B4-BE49-F238E27FC236}">
              <a16:creationId xmlns:a16="http://schemas.microsoft.com/office/drawing/2014/main" id="{00000000-0008-0000-0200-00005A6C0500}"/>
            </a:ext>
          </a:extLst>
        </xdr:cNvPr>
        <xdr:cNvSpPr>
          <a:spLocks noChangeArrowheads="1"/>
        </xdr:cNvSpPr>
      </xdr:nvSpPr>
      <xdr:spPr bwMode="auto">
        <a:xfrm>
          <a:off x="723900" y="1476375"/>
          <a:ext cx="276225" cy="180975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355419" name="Rectangle 2">
          <a:extLst>
            <a:ext uri="{FF2B5EF4-FFF2-40B4-BE49-F238E27FC236}">
              <a16:creationId xmlns:a16="http://schemas.microsoft.com/office/drawing/2014/main" id="{00000000-0008-0000-0200-00005B6C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104775</xdr:colOff>
      <xdr:row>97</xdr:row>
      <xdr:rowOff>104775</xdr:rowOff>
    </xdr:from>
    <xdr:to>
      <xdr:col>1</xdr:col>
      <xdr:colOff>466725</xdr:colOff>
      <xdr:row>102</xdr:row>
      <xdr:rowOff>123825</xdr:rowOff>
    </xdr:to>
    <xdr:sp textlink="">
      <xdr:nvSpPr>
        <xdr:cNvPr id="355420" name="Oval 18">
          <a:extLst>
            <a:ext uri="{FF2B5EF4-FFF2-40B4-BE49-F238E27FC236}">
              <a16:creationId xmlns:a16="http://schemas.microsoft.com/office/drawing/2014/main" id="{00000000-0008-0000-0200-00005C6C0500}"/>
            </a:ext>
          </a:extLst>
        </xdr:cNvPr>
        <xdr:cNvSpPr>
          <a:spLocks noChangeArrowheads="1"/>
        </xdr:cNvSpPr>
      </xdr:nvSpPr>
      <xdr:spPr bwMode="auto">
        <a:xfrm>
          <a:off x="161925" y="894397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55421" name="Oval 51">
          <a:extLst>
            <a:ext uri="{FF2B5EF4-FFF2-40B4-BE49-F238E27FC236}">
              <a16:creationId xmlns:a16="http://schemas.microsoft.com/office/drawing/2014/main" id="{00000000-0008-0000-0200-00005D6C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104775</xdr:colOff>
      <xdr:row>105</xdr:row>
      <xdr:rowOff>104775</xdr:rowOff>
    </xdr:from>
    <xdr:to>
      <xdr:col>1</xdr:col>
      <xdr:colOff>466725</xdr:colOff>
      <xdr:row>110</xdr:row>
      <xdr:rowOff>123825</xdr:rowOff>
    </xdr:to>
    <xdr:sp textlink="">
      <xdr:nvSpPr>
        <xdr:cNvPr id="355422" name="Oval 18">
          <a:extLst>
            <a:ext uri="{FF2B5EF4-FFF2-40B4-BE49-F238E27FC236}">
              <a16:creationId xmlns:a16="http://schemas.microsoft.com/office/drawing/2014/main" id="{00000000-0008-0000-0200-00005E6C0500}"/>
            </a:ext>
          </a:extLst>
        </xdr:cNvPr>
        <xdr:cNvSpPr>
          <a:spLocks noChangeArrowheads="1"/>
        </xdr:cNvSpPr>
      </xdr:nvSpPr>
      <xdr:spPr bwMode="auto">
        <a:xfrm>
          <a:off x="161925" y="962977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173850</xdr:colOff>
      <xdr:row>12</xdr:row>
      <xdr:rowOff>1116</xdr:rowOff>
    </xdr:from>
    <xdr:to>
      <xdr:col>6</xdr:col>
      <xdr:colOff>3229</xdr:colOff>
      <xdr:row>12</xdr:row>
      <xdr:rowOff>3228</xdr:rowOff>
    </xdr:to>
    <xdr:cxnSp macro="">
      <xdr:nvCxnSpPr>
        <xdr:cNvPr id="247" name="直線コネクタ 24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CxnSpPr/>
      </xdr:nvCxnSpPr>
      <xdr:spPr bwMode="auto">
        <a:xfrm>
          <a:off x="1003655" y="1567091"/>
          <a:ext cx="371820" cy="2112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oneCellAnchor>
    <xdr:from>
      <xdr:col>4</xdr:col>
      <xdr:colOff>150881</xdr:colOff>
      <xdr:row>11</xdr:row>
      <xdr:rowOff>17859</xdr:rowOff>
    </xdr:from>
    <xdr:ext cx="315516" cy="196849"/>
    <xdr:sp textlink="">
      <xdr:nvSpPr>
        <xdr:cNvPr id="251" name="テキスト ボックス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 txBox="1"/>
      </xdr:nvSpPr>
      <xdr:spPr>
        <a:xfrm>
          <a:off x="1169071" y="1541859"/>
          <a:ext cx="315516" cy="1968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/>
            <a:t>NS</a:t>
          </a:r>
          <a:endParaRPr kumimoji="1" lang="ja-JP" altLang="en-US" sz="8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textlink="">
      <xdr:nvSpPr>
        <xdr:cNvPr id="3" name="Oval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textlink="">
      <xdr:nvSpPr>
        <xdr:cNvPr id="4" name="Oval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5" name="Oval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7" name="Oval 1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8" name="Oval 1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9" name="Rectangle 16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105</xdr:row>
      <xdr:rowOff>85725</xdr:rowOff>
    </xdr:from>
    <xdr:to>
      <xdr:col>1</xdr:col>
      <xdr:colOff>476250</xdr:colOff>
      <xdr:row>110</xdr:row>
      <xdr:rowOff>104775</xdr:rowOff>
    </xdr:to>
    <xdr:sp textlink="">
      <xdr:nvSpPr>
        <xdr:cNvPr id="10" name="Oval 18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Arrowheads="1"/>
        </xdr:cNvSpPr>
      </xdr:nvSpPr>
      <xdr:spPr bwMode="auto">
        <a:xfrm>
          <a:off x="171450" y="9610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11" name="Oval 3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12" name="Oval 3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13" name="Oval 51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14" name="Oval 81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5" name="AutoShape 102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6" name="Rectangle 103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" name="Oval 104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8" name="AutoShape 105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9" name="Rectangle 106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20" name="Oval 107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21" name="AutoShape 108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22" name="Rectangle 109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23" name="Oval 110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24" name="AutoShape 111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25" name="Rectangle 112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26" name="Oval 113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27" name="AutoShape 114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28" name="Rectangle 115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29" name="Oval 116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0" name="AutoShape 117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1" name="Rectangle 118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2" name="Oval 119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" name="AutoShape 120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" name="Rectangle 121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" name="Oval 122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6" name="AutoShape 123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7" name="Rectangle 124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8" name="Oval 125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9" name="AutoShape 126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40" name="Rectangle 127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41" name="Oval 128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42" name="AutoShape 129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43" name="Rectangle 130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44" name="Oval 131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45" name="AutoShape 132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46" name="Rectangle 133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47" name="Oval 134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48" name="AutoShape 135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49" name="Rectangle 136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50" name="Oval 137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51" name="AutoShape 138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52" name="Rectangle 139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53" name="Oval 140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54" name="Rectangle 141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55" name="AutoShape 142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56" name="Rectangle 143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57" name="Oval 144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58" name="AutoShape 145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59" name="Rectangle 146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0" name="Oval 147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61" name="AutoShape 148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62" name="Rectangle 149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3" name="Oval 150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4" name="Oval 151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5" name="Oval 152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6" name="Oval 153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67" name="AutoShape 154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68" name="Rectangle 155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9" name="Oval 156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0" name="Oval 157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1" name="Oval 158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2" name="Oval 159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73" name="AutoShape 160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74" name="Rectangle 161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5" name="Oval 162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6" name="Oval 163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7" name="Oval 164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8" name="Oval 165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79" name="AutoShape 166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80" name="Rectangle 167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1" name="Oval 168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2" name="Oval 169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3" name="Oval 170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4" name="Oval 171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85" name="AutoShape 172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86" name="Rectangle 173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7" name="Oval 174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8" name="Oval 175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9" name="Oval 176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0" name="Oval 177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91" name="AutoShape 178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92" name="Rectangle 179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3" name="Oval 180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4" name="Oval 181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5" name="Oval 182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6" name="Oval 183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97" name="AutoShape 184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98" name="Rectangle 185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9" name="Oval 186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0" name="Oval 187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1" name="Oval 188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2" name="Oval 189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03" name="AutoShape 190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04" name="Rectangle 191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5" name="Oval 192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6" name="Oval 193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7" name="Oval 194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8" name="Oval 195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09" name="AutoShape 196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10" name="Rectangle 197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1" name="Oval 198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2" name="Oval 199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3" name="Oval 200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4" name="Oval 201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15" name="AutoShape 202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16" name="Rectangle 203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7" name="Oval 204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8" name="Oval 205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9" name="Oval 206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0" name="Oval 207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21" name="AutoShape 208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22" name="Rectangle 209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3" name="Oval 210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4" name="Oval 211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5" name="Oval 212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6" name="Oval 213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27" name="AutoShape 214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28" name="Rectangle 215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9" name="Oval 216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0" name="Oval 217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1" name="Oval 218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2" name="Oval 219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33" name="AutoShape 220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34" name="Rectangle 221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5" name="Oval 222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6" name="Oval 223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7" name="Oval 224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8" name="Oval 225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39" name="AutoShape 226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40" name="Rectangle 227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1" name="Oval 228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2" name="Oval 229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3" name="Oval 230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4" name="Oval 231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45" name="AutoShape 232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46" name="Rectangle 233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7" name="Oval 234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8" name="Oval 235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9" name="Oval 236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0" name="Oval 237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51" name="AutoShape 238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52" name="Rectangle 239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3" name="Oval 240">
          <a:extLst>
            <a:ext uri="{FF2B5EF4-FFF2-40B4-BE49-F238E27FC236}">
              <a16:creationId xmlns:a16="http://schemas.microsoft.com/office/drawing/2014/main" id="{00000000-0008-0000-0300-00009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4" name="Oval 241">
          <a:extLst>
            <a:ext uri="{FF2B5EF4-FFF2-40B4-BE49-F238E27FC236}">
              <a16:creationId xmlns:a16="http://schemas.microsoft.com/office/drawing/2014/main" id="{00000000-0008-0000-0300-00009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5" name="Oval 242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6" name="Oval 243"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57" name="AutoShape 244">
          <a:extLst>
            <a:ext uri="{FF2B5EF4-FFF2-40B4-BE49-F238E27FC236}">
              <a16:creationId xmlns:a16="http://schemas.microsoft.com/office/drawing/2014/main" id="{00000000-0008-0000-0300-00009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58" name="Rectangle 245">
          <a:extLst>
            <a:ext uri="{FF2B5EF4-FFF2-40B4-BE49-F238E27FC236}">
              <a16:creationId xmlns:a16="http://schemas.microsoft.com/office/drawing/2014/main" id="{00000000-0008-0000-0300-00009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9" name="Oval 246"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0" name="Oval 247">
          <a:extLst>
            <a:ext uri="{FF2B5EF4-FFF2-40B4-BE49-F238E27FC236}">
              <a16:creationId xmlns:a16="http://schemas.microsoft.com/office/drawing/2014/main" id="{00000000-0008-0000-0300-0000A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1" name="Oval 248">
          <a:extLst>
            <a:ext uri="{FF2B5EF4-FFF2-40B4-BE49-F238E27FC236}">
              <a16:creationId xmlns:a16="http://schemas.microsoft.com/office/drawing/2014/main" id="{00000000-0008-0000-0300-0000A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2" name="Oval 249">
          <a:extLst>
            <a:ext uri="{FF2B5EF4-FFF2-40B4-BE49-F238E27FC236}">
              <a16:creationId xmlns:a16="http://schemas.microsoft.com/office/drawing/2014/main" id="{00000000-0008-0000-0300-0000A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63" name="AutoShape 250">
          <a:extLst>
            <a:ext uri="{FF2B5EF4-FFF2-40B4-BE49-F238E27FC236}">
              <a16:creationId xmlns:a16="http://schemas.microsoft.com/office/drawing/2014/main" id="{00000000-0008-0000-0300-0000A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64" name="Rectangle 251">
          <a:extLst>
            <a:ext uri="{FF2B5EF4-FFF2-40B4-BE49-F238E27FC236}">
              <a16:creationId xmlns:a16="http://schemas.microsoft.com/office/drawing/2014/main" id="{00000000-0008-0000-0300-0000A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5" name="Oval 252">
          <a:extLst>
            <a:ext uri="{FF2B5EF4-FFF2-40B4-BE49-F238E27FC236}">
              <a16:creationId xmlns:a16="http://schemas.microsoft.com/office/drawing/2014/main" id="{00000000-0008-0000-0300-0000A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6" name="Oval 253">
          <a:extLst>
            <a:ext uri="{FF2B5EF4-FFF2-40B4-BE49-F238E27FC236}">
              <a16:creationId xmlns:a16="http://schemas.microsoft.com/office/drawing/2014/main" id="{00000000-0008-0000-0300-0000A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7" name="Oval 254">
          <a:extLst>
            <a:ext uri="{FF2B5EF4-FFF2-40B4-BE49-F238E27FC236}">
              <a16:creationId xmlns:a16="http://schemas.microsoft.com/office/drawing/2014/main" id="{00000000-0008-0000-0300-0000A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8" name="Oval 255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69" name="AutoShape 256">
          <a:extLst>
            <a:ext uri="{FF2B5EF4-FFF2-40B4-BE49-F238E27FC236}">
              <a16:creationId xmlns:a16="http://schemas.microsoft.com/office/drawing/2014/main" id="{00000000-0008-0000-0300-0000A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70" name="Rectangle 257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1" name="Oval 258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2" name="Oval 259"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3" name="Oval 260"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4" name="Oval 261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75" name="AutoShape 262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76" name="Rectangle 263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7" name="Oval 264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8" name="Oval 265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9" name="Oval 266"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0" name="Oval 267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81" name="AutoShape 268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82" name="Rectangle 269"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3" name="Oval 270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4" name="Oval 271">
          <a:extLst>
            <a:ext uri="{FF2B5EF4-FFF2-40B4-BE49-F238E27FC236}">
              <a16:creationId xmlns:a16="http://schemas.microsoft.com/office/drawing/2014/main" id="{00000000-0008-0000-0300-0000B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5" name="Oval 272">
          <a:extLst>
            <a:ext uri="{FF2B5EF4-FFF2-40B4-BE49-F238E27FC236}">
              <a16:creationId xmlns:a16="http://schemas.microsoft.com/office/drawing/2014/main" id="{00000000-0008-0000-0300-0000B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6" name="Oval 273">
          <a:extLst>
            <a:ext uri="{FF2B5EF4-FFF2-40B4-BE49-F238E27FC236}">
              <a16:creationId xmlns:a16="http://schemas.microsoft.com/office/drawing/2014/main" id="{00000000-0008-0000-0300-0000B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87" name="Rectangle 274">
          <a:extLst>
            <a:ext uri="{FF2B5EF4-FFF2-40B4-BE49-F238E27FC236}">
              <a16:creationId xmlns:a16="http://schemas.microsoft.com/office/drawing/2014/main" id="{00000000-0008-0000-0300-0000B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8" name="Oval 275">
          <a:extLst>
            <a:ext uri="{FF2B5EF4-FFF2-40B4-BE49-F238E27FC236}">
              <a16:creationId xmlns:a16="http://schemas.microsoft.com/office/drawing/2014/main" id="{00000000-0008-0000-0300-0000B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9" name="Oval 276">
          <a:extLst>
            <a:ext uri="{FF2B5EF4-FFF2-40B4-BE49-F238E27FC236}">
              <a16:creationId xmlns:a16="http://schemas.microsoft.com/office/drawing/2014/main" id="{00000000-0008-0000-0300-0000B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0" name="Oval 277">
          <a:extLst>
            <a:ext uri="{FF2B5EF4-FFF2-40B4-BE49-F238E27FC236}">
              <a16:creationId xmlns:a16="http://schemas.microsoft.com/office/drawing/2014/main" id="{00000000-0008-0000-0300-0000B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1" name="Oval 278">
          <a:extLst>
            <a:ext uri="{FF2B5EF4-FFF2-40B4-BE49-F238E27FC236}">
              <a16:creationId xmlns:a16="http://schemas.microsoft.com/office/drawing/2014/main" id="{00000000-0008-0000-0300-0000B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92" name="Rectangle 279">
          <a:extLst>
            <a:ext uri="{FF2B5EF4-FFF2-40B4-BE49-F238E27FC236}">
              <a16:creationId xmlns:a16="http://schemas.microsoft.com/office/drawing/2014/main" id="{00000000-0008-0000-0300-0000C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3" name="Oval 280">
          <a:extLst>
            <a:ext uri="{FF2B5EF4-FFF2-40B4-BE49-F238E27FC236}">
              <a16:creationId xmlns:a16="http://schemas.microsoft.com/office/drawing/2014/main" id="{00000000-0008-0000-0300-0000C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4" name="Oval 281">
          <a:extLst>
            <a:ext uri="{FF2B5EF4-FFF2-40B4-BE49-F238E27FC236}">
              <a16:creationId xmlns:a16="http://schemas.microsoft.com/office/drawing/2014/main" id="{00000000-0008-0000-0300-0000C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5" name="Oval 282">
          <a:extLst>
            <a:ext uri="{FF2B5EF4-FFF2-40B4-BE49-F238E27FC236}">
              <a16:creationId xmlns:a16="http://schemas.microsoft.com/office/drawing/2014/main" id="{00000000-0008-0000-0300-0000C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6" name="Oval 283">
          <a:extLst>
            <a:ext uri="{FF2B5EF4-FFF2-40B4-BE49-F238E27FC236}">
              <a16:creationId xmlns:a16="http://schemas.microsoft.com/office/drawing/2014/main" id="{00000000-0008-0000-0300-0000C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197" name="Rectangle 285">
          <a:extLst>
            <a:ext uri="{FF2B5EF4-FFF2-40B4-BE49-F238E27FC236}">
              <a16:creationId xmlns:a16="http://schemas.microsoft.com/office/drawing/2014/main" id="{00000000-0008-0000-0300-0000C50000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198" name="Rectangle 287">
          <a:extLst>
            <a:ext uri="{FF2B5EF4-FFF2-40B4-BE49-F238E27FC236}">
              <a16:creationId xmlns:a16="http://schemas.microsoft.com/office/drawing/2014/main" id="{00000000-0008-0000-0300-0000C60000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199" name="Rectangle 289">
          <a:extLst>
            <a:ext uri="{FF2B5EF4-FFF2-40B4-BE49-F238E27FC236}">
              <a16:creationId xmlns:a16="http://schemas.microsoft.com/office/drawing/2014/main" id="{00000000-0008-0000-0300-0000C70000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200" name="Rectangle 291">
          <a:extLst>
            <a:ext uri="{FF2B5EF4-FFF2-40B4-BE49-F238E27FC236}">
              <a16:creationId xmlns:a16="http://schemas.microsoft.com/office/drawing/2014/main" id="{00000000-0008-0000-0300-0000C80000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201" name="Rectangle 293">
          <a:extLst>
            <a:ext uri="{FF2B5EF4-FFF2-40B4-BE49-F238E27FC236}">
              <a16:creationId xmlns:a16="http://schemas.microsoft.com/office/drawing/2014/main" id="{00000000-0008-0000-0300-0000C90000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02" name="Rectangle 295">
          <a:extLst>
            <a:ext uri="{FF2B5EF4-FFF2-40B4-BE49-F238E27FC236}">
              <a16:creationId xmlns:a16="http://schemas.microsoft.com/office/drawing/2014/main" id="{00000000-0008-0000-0300-0000CA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03" name="Rectangle 297">
          <a:extLst>
            <a:ext uri="{FF2B5EF4-FFF2-40B4-BE49-F238E27FC236}">
              <a16:creationId xmlns:a16="http://schemas.microsoft.com/office/drawing/2014/main" id="{00000000-0008-0000-0300-0000CB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04" name="Rectangle 299">
          <a:extLst>
            <a:ext uri="{FF2B5EF4-FFF2-40B4-BE49-F238E27FC236}">
              <a16:creationId xmlns:a16="http://schemas.microsoft.com/office/drawing/2014/main" id="{00000000-0008-0000-0300-0000CC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05" name="Rectangle 301">
          <a:extLst>
            <a:ext uri="{FF2B5EF4-FFF2-40B4-BE49-F238E27FC236}">
              <a16:creationId xmlns:a16="http://schemas.microsoft.com/office/drawing/2014/main" id="{00000000-0008-0000-0300-0000CD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06" name="Rectangle 303">
          <a:extLst>
            <a:ext uri="{FF2B5EF4-FFF2-40B4-BE49-F238E27FC236}">
              <a16:creationId xmlns:a16="http://schemas.microsoft.com/office/drawing/2014/main" id="{00000000-0008-0000-0300-0000CE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07" name="Rectangle 305">
          <a:extLst>
            <a:ext uri="{FF2B5EF4-FFF2-40B4-BE49-F238E27FC236}">
              <a16:creationId xmlns:a16="http://schemas.microsoft.com/office/drawing/2014/main" id="{00000000-0008-0000-0300-0000CF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208" name="Rectangle 307">
          <a:extLst>
            <a:ext uri="{FF2B5EF4-FFF2-40B4-BE49-F238E27FC236}">
              <a16:creationId xmlns:a16="http://schemas.microsoft.com/office/drawing/2014/main" id="{00000000-0008-0000-0300-0000D0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textlink="">
      <xdr:nvSpPr>
        <xdr:cNvPr id="209" name="フリーフォーム 311">
          <a:extLst>
            <a:ext uri="{FF2B5EF4-FFF2-40B4-BE49-F238E27FC236}">
              <a16:creationId xmlns:a16="http://schemas.microsoft.com/office/drawing/2014/main" id="{00000000-0008-0000-0300-0000D1000000}"/>
            </a:ext>
          </a:extLst>
        </xdr:cNvPr>
        <xdr:cNvSpPr>
          <a:spLocks noChangeArrowheads="1"/>
        </xdr:cNvSpPr>
      </xdr:nvSpPr>
      <xdr:spPr bwMode="auto">
        <a:xfrm>
          <a:off x="723900" y="2162175"/>
          <a:ext cx="276225" cy="180975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textlink="">
      <xdr:nvSpPr>
        <xdr:cNvPr id="210" name="フリーフォーム 312">
          <a:extLst>
            <a:ext uri="{FF2B5EF4-FFF2-40B4-BE49-F238E27FC236}">
              <a16:creationId xmlns:a16="http://schemas.microsoft.com/office/drawing/2014/main" id="{00000000-0008-0000-0300-0000D2000000}"/>
            </a:ext>
          </a:extLst>
        </xdr:cNvPr>
        <xdr:cNvSpPr>
          <a:spLocks noChangeArrowheads="1"/>
        </xdr:cNvSpPr>
      </xdr:nvSpPr>
      <xdr:spPr bwMode="auto">
        <a:xfrm>
          <a:off x="742950" y="2847975"/>
          <a:ext cx="276225" cy="190500"/>
        </a:xfrm>
        <a:custGeom>
          <a:avLst/>
          <a:gdLst>
            <a:gd name="T0" fmla="*/ 0 w 272143"/>
            <a:gd name="T1" fmla="*/ 0 h 185057"/>
            <a:gd name="T2" fmla="*/ 385332 w 272143"/>
            <a:gd name="T3" fmla="*/ 0 h 185057"/>
            <a:gd name="T4" fmla="*/ 544000 w 272143"/>
            <a:gd name="T5" fmla="*/ 279321 h 185057"/>
            <a:gd name="T6" fmla="*/ 566665 w 272143"/>
            <a:gd name="T7" fmla="*/ 319227 h 185057"/>
            <a:gd name="T8" fmla="*/ 385332 w 272143"/>
            <a:gd name="T9" fmla="*/ 678369 h 185057"/>
            <a:gd name="T10" fmla="*/ 11331 w 272143"/>
            <a:gd name="T11" fmla="*/ 678369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textlink="">
      <xdr:nvSpPr>
        <xdr:cNvPr id="211" name="フリーフォーム 313">
          <a:extLst>
            <a:ext uri="{FF2B5EF4-FFF2-40B4-BE49-F238E27FC236}">
              <a16:creationId xmlns:a16="http://schemas.microsoft.com/office/drawing/2014/main" id="{00000000-0008-0000-0300-0000D3000000}"/>
            </a:ext>
          </a:extLst>
        </xdr:cNvPr>
        <xdr:cNvSpPr>
          <a:spLocks noChangeArrowheads="1"/>
        </xdr:cNvSpPr>
      </xdr:nvSpPr>
      <xdr:spPr bwMode="auto">
        <a:xfrm>
          <a:off x="742950" y="3543300"/>
          <a:ext cx="276225" cy="180975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textlink="">
      <xdr:nvSpPr>
        <xdr:cNvPr id="212" name="フリーフォーム 314">
          <a:extLst>
            <a:ext uri="{FF2B5EF4-FFF2-40B4-BE49-F238E27FC236}">
              <a16:creationId xmlns:a16="http://schemas.microsoft.com/office/drawing/2014/main" id="{00000000-0008-0000-0300-0000D4000000}"/>
            </a:ext>
          </a:extLst>
        </xdr:cNvPr>
        <xdr:cNvSpPr>
          <a:spLocks noChangeArrowheads="1"/>
        </xdr:cNvSpPr>
      </xdr:nvSpPr>
      <xdr:spPr bwMode="auto">
        <a:xfrm>
          <a:off x="733425" y="42195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textlink="">
      <xdr:nvSpPr>
        <xdr:cNvPr id="213" name="フリーフォーム 315">
          <a:extLst>
            <a:ext uri="{FF2B5EF4-FFF2-40B4-BE49-F238E27FC236}">
              <a16:creationId xmlns:a16="http://schemas.microsoft.com/office/drawing/2014/main" id="{00000000-0008-0000-0300-0000D5000000}"/>
            </a:ext>
          </a:extLst>
        </xdr:cNvPr>
        <xdr:cNvSpPr>
          <a:spLocks noChangeArrowheads="1"/>
        </xdr:cNvSpPr>
      </xdr:nvSpPr>
      <xdr:spPr bwMode="auto">
        <a:xfrm>
          <a:off x="733425" y="4905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textlink="">
      <xdr:nvSpPr>
        <xdr:cNvPr id="214" name="フリーフォーム 316">
          <a:extLst>
            <a:ext uri="{FF2B5EF4-FFF2-40B4-BE49-F238E27FC236}">
              <a16:creationId xmlns:a16="http://schemas.microsoft.com/office/drawing/2014/main" id="{00000000-0008-0000-0300-0000D6000000}"/>
            </a:ext>
          </a:extLst>
        </xdr:cNvPr>
        <xdr:cNvSpPr>
          <a:spLocks noChangeArrowheads="1"/>
        </xdr:cNvSpPr>
      </xdr:nvSpPr>
      <xdr:spPr bwMode="auto">
        <a:xfrm>
          <a:off x="733425" y="55816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textlink="">
      <xdr:nvSpPr>
        <xdr:cNvPr id="215" name="フリーフォーム 317">
          <a:extLst>
            <a:ext uri="{FF2B5EF4-FFF2-40B4-BE49-F238E27FC236}">
              <a16:creationId xmlns:a16="http://schemas.microsoft.com/office/drawing/2014/main" id="{00000000-0008-0000-0300-0000D7000000}"/>
            </a:ext>
          </a:extLst>
        </xdr:cNvPr>
        <xdr:cNvSpPr>
          <a:spLocks noChangeArrowheads="1"/>
        </xdr:cNvSpPr>
      </xdr:nvSpPr>
      <xdr:spPr bwMode="auto">
        <a:xfrm>
          <a:off x="723900" y="6267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textlink="">
      <xdr:nvSpPr>
        <xdr:cNvPr id="216" name="フリーフォーム 319">
          <a:extLst>
            <a:ext uri="{FF2B5EF4-FFF2-40B4-BE49-F238E27FC236}">
              <a16:creationId xmlns:a16="http://schemas.microsoft.com/office/drawing/2014/main" id="{00000000-0008-0000-0300-0000D8000000}"/>
            </a:ext>
          </a:extLst>
        </xdr:cNvPr>
        <xdr:cNvSpPr>
          <a:spLocks noChangeArrowheads="1"/>
        </xdr:cNvSpPr>
      </xdr:nvSpPr>
      <xdr:spPr bwMode="auto">
        <a:xfrm>
          <a:off x="733425" y="76390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textlink="">
      <xdr:nvSpPr>
        <xdr:cNvPr id="217" name="フリーフォーム 320">
          <a:extLst>
            <a:ext uri="{FF2B5EF4-FFF2-40B4-BE49-F238E27FC236}">
              <a16:creationId xmlns:a16="http://schemas.microsoft.com/office/drawing/2014/main" id="{00000000-0008-0000-0300-0000D9000000}"/>
            </a:ext>
          </a:extLst>
        </xdr:cNvPr>
        <xdr:cNvSpPr>
          <a:spLocks noChangeArrowheads="1"/>
        </xdr:cNvSpPr>
      </xdr:nvSpPr>
      <xdr:spPr bwMode="auto">
        <a:xfrm>
          <a:off x="723900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218" name="フリーフォーム 321">
          <a:extLst>
            <a:ext uri="{FF2B5EF4-FFF2-40B4-BE49-F238E27FC236}">
              <a16:creationId xmlns:a16="http://schemas.microsoft.com/office/drawing/2014/main" id="{00000000-0008-0000-0300-0000DA0000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textlink="">
      <xdr:nvSpPr>
        <xdr:cNvPr id="219" name="フリーフォーム 322">
          <a:extLst>
            <a:ext uri="{FF2B5EF4-FFF2-40B4-BE49-F238E27FC236}">
              <a16:creationId xmlns:a16="http://schemas.microsoft.com/office/drawing/2014/main" id="{00000000-0008-0000-0300-0000DB000000}"/>
            </a:ext>
          </a:extLst>
        </xdr:cNvPr>
        <xdr:cNvSpPr>
          <a:spLocks noChangeArrowheads="1"/>
        </xdr:cNvSpPr>
      </xdr:nvSpPr>
      <xdr:spPr bwMode="auto">
        <a:xfrm>
          <a:off x="733425" y="9696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220" name="Rectangle 2">
          <a:extLst>
            <a:ext uri="{FF2B5EF4-FFF2-40B4-BE49-F238E27FC236}">
              <a16:creationId xmlns:a16="http://schemas.microsoft.com/office/drawing/2014/main" id="{00000000-0008-0000-0300-0000DC0000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221" name="Rectangle 2">
          <a:extLst>
            <a:ext uri="{FF2B5EF4-FFF2-40B4-BE49-F238E27FC236}">
              <a16:creationId xmlns:a16="http://schemas.microsoft.com/office/drawing/2014/main" id="{00000000-0008-0000-0300-0000DD0000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222" name="Rectangle 2">
          <a:extLst>
            <a:ext uri="{FF2B5EF4-FFF2-40B4-BE49-F238E27FC236}">
              <a16:creationId xmlns:a16="http://schemas.microsoft.com/office/drawing/2014/main" id="{00000000-0008-0000-0300-0000DE0000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223" name="Rectangle 2">
          <a:extLst>
            <a:ext uri="{FF2B5EF4-FFF2-40B4-BE49-F238E27FC236}">
              <a16:creationId xmlns:a16="http://schemas.microsoft.com/office/drawing/2014/main" id="{00000000-0008-0000-0300-0000DF0000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224" name="Rectangle 2">
          <a:extLst>
            <a:ext uri="{FF2B5EF4-FFF2-40B4-BE49-F238E27FC236}">
              <a16:creationId xmlns:a16="http://schemas.microsoft.com/office/drawing/2014/main" id="{00000000-0008-0000-0300-0000E00000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25" name="Rectangle 293">
          <a:extLst>
            <a:ext uri="{FF2B5EF4-FFF2-40B4-BE49-F238E27FC236}">
              <a16:creationId xmlns:a16="http://schemas.microsoft.com/office/drawing/2014/main" id="{00000000-0008-0000-0300-0000E1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26" name="Rectangle 2">
          <a:extLst>
            <a:ext uri="{FF2B5EF4-FFF2-40B4-BE49-F238E27FC236}">
              <a16:creationId xmlns:a16="http://schemas.microsoft.com/office/drawing/2014/main" id="{00000000-0008-0000-0300-0000E2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27" name="Rectangle 293">
          <a:extLst>
            <a:ext uri="{FF2B5EF4-FFF2-40B4-BE49-F238E27FC236}">
              <a16:creationId xmlns:a16="http://schemas.microsoft.com/office/drawing/2014/main" id="{00000000-0008-0000-0300-0000E3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28" name="Rectangle 2">
          <a:extLst>
            <a:ext uri="{FF2B5EF4-FFF2-40B4-BE49-F238E27FC236}">
              <a16:creationId xmlns:a16="http://schemas.microsoft.com/office/drawing/2014/main" id="{00000000-0008-0000-0300-0000E4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29" name="Rectangle 293">
          <a:extLst>
            <a:ext uri="{FF2B5EF4-FFF2-40B4-BE49-F238E27FC236}">
              <a16:creationId xmlns:a16="http://schemas.microsoft.com/office/drawing/2014/main" id="{00000000-0008-0000-0300-0000E5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4</xdr:col>
      <xdr:colOff>0</xdr:colOff>
      <xdr:row>78</xdr:row>
      <xdr:rowOff>28575</xdr:rowOff>
    </xdr:to>
    <xdr:sp textlink="">
      <xdr:nvSpPr>
        <xdr:cNvPr id="230" name="フリーフォーム 342">
          <a:extLst>
            <a:ext uri="{FF2B5EF4-FFF2-40B4-BE49-F238E27FC236}">
              <a16:creationId xmlns:a16="http://schemas.microsoft.com/office/drawing/2014/main" id="{00000000-0008-0000-0300-0000E6000000}"/>
            </a:ext>
          </a:extLst>
        </xdr:cNvPr>
        <xdr:cNvSpPr>
          <a:spLocks noChangeArrowheads="1"/>
        </xdr:cNvSpPr>
      </xdr:nvSpPr>
      <xdr:spPr bwMode="auto">
        <a:xfrm>
          <a:off x="733425" y="69627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31" name="Rectangle 2">
          <a:extLst>
            <a:ext uri="{FF2B5EF4-FFF2-40B4-BE49-F238E27FC236}">
              <a16:creationId xmlns:a16="http://schemas.microsoft.com/office/drawing/2014/main" id="{00000000-0008-0000-0300-0000E7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32" name="Rectangle 293">
          <a:extLst>
            <a:ext uri="{FF2B5EF4-FFF2-40B4-BE49-F238E27FC236}">
              <a16:creationId xmlns:a16="http://schemas.microsoft.com/office/drawing/2014/main" id="{00000000-0008-0000-0300-0000E8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33" name="Rectangle 2">
          <a:extLst>
            <a:ext uri="{FF2B5EF4-FFF2-40B4-BE49-F238E27FC236}">
              <a16:creationId xmlns:a16="http://schemas.microsoft.com/office/drawing/2014/main" id="{00000000-0008-0000-0300-0000E9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34" name="Rectangle 293">
          <a:extLst>
            <a:ext uri="{FF2B5EF4-FFF2-40B4-BE49-F238E27FC236}">
              <a16:creationId xmlns:a16="http://schemas.microsoft.com/office/drawing/2014/main" id="{00000000-0008-0000-0300-0000EA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textlink="">
      <xdr:nvSpPr>
        <xdr:cNvPr id="235" name="フリーフォーム 350">
          <a:extLst>
            <a:ext uri="{FF2B5EF4-FFF2-40B4-BE49-F238E27FC236}">
              <a16:creationId xmlns:a16="http://schemas.microsoft.com/office/drawing/2014/main" id="{00000000-0008-0000-0300-0000EB000000}"/>
            </a:ext>
          </a:extLst>
        </xdr:cNvPr>
        <xdr:cNvSpPr>
          <a:spLocks noChangeArrowheads="1"/>
        </xdr:cNvSpPr>
      </xdr:nvSpPr>
      <xdr:spPr bwMode="auto">
        <a:xfrm>
          <a:off x="733425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36" name="Rectangle 2">
          <a:extLst>
            <a:ext uri="{FF2B5EF4-FFF2-40B4-BE49-F238E27FC236}">
              <a16:creationId xmlns:a16="http://schemas.microsoft.com/office/drawing/2014/main" id="{00000000-0008-0000-0300-0000EC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37" name="Rectangle 293">
          <a:extLst>
            <a:ext uri="{FF2B5EF4-FFF2-40B4-BE49-F238E27FC236}">
              <a16:creationId xmlns:a16="http://schemas.microsoft.com/office/drawing/2014/main" id="{00000000-0008-0000-0300-0000ED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238" name="フリーフォーム 354">
          <a:extLst>
            <a:ext uri="{FF2B5EF4-FFF2-40B4-BE49-F238E27FC236}">
              <a16:creationId xmlns:a16="http://schemas.microsoft.com/office/drawing/2014/main" id="{00000000-0008-0000-0300-0000EE0000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39" name="Rectangle 2">
          <a:extLst>
            <a:ext uri="{FF2B5EF4-FFF2-40B4-BE49-F238E27FC236}">
              <a16:creationId xmlns:a16="http://schemas.microsoft.com/office/drawing/2014/main" id="{00000000-0008-0000-0300-0000EF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240" name="Rectangle 293">
          <a:extLst>
            <a:ext uri="{FF2B5EF4-FFF2-40B4-BE49-F238E27FC236}">
              <a16:creationId xmlns:a16="http://schemas.microsoft.com/office/drawing/2014/main" id="{00000000-0008-0000-0300-0000F0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241" name="Rectangle 2">
          <a:extLst>
            <a:ext uri="{FF2B5EF4-FFF2-40B4-BE49-F238E27FC236}">
              <a16:creationId xmlns:a16="http://schemas.microsoft.com/office/drawing/2014/main" id="{00000000-0008-0000-0300-0000F1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42" name="Rectangle 285">
          <a:extLst>
            <a:ext uri="{FF2B5EF4-FFF2-40B4-BE49-F238E27FC236}">
              <a16:creationId xmlns:a16="http://schemas.microsoft.com/office/drawing/2014/main" id="{00000000-0008-0000-0300-0000F2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textlink="">
      <xdr:nvSpPr>
        <xdr:cNvPr id="243" name="フリーフォーム 362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SpPr>
          <a:spLocks noChangeArrowheads="1"/>
        </xdr:cNvSpPr>
      </xdr:nvSpPr>
      <xdr:spPr bwMode="auto">
        <a:xfrm>
          <a:off x="723900" y="1476375"/>
          <a:ext cx="276225" cy="180975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44" name="Rectangle 2">
          <a:extLst>
            <a:ext uri="{FF2B5EF4-FFF2-40B4-BE49-F238E27FC236}">
              <a16:creationId xmlns:a16="http://schemas.microsoft.com/office/drawing/2014/main" id="{00000000-0008-0000-0300-0000F4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104775</xdr:colOff>
      <xdr:row>97</xdr:row>
      <xdr:rowOff>104775</xdr:rowOff>
    </xdr:from>
    <xdr:to>
      <xdr:col>1</xdr:col>
      <xdr:colOff>466725</xdr:colOff>
      <xdr:row>102</xdr:row>
      <xdr:rowOff>123825</xdr:rowOff>
    </xdr:to>
    <xdr:sp textlink="">
      <xdr:nvSpPr>
        <xdr:cNvPr id="245" name="Oval 18">
          <a:extLst>
            <a:ext uri="{FF2B5EF4-FFF2-40B4-BE49-F238E27FC236}">
              <a16:creationId xmlns:a16="http://schemas.microsoft.com/office/drawing/2014/main" id="{00000000-0008-0000-0300-0000F5000000}"/>
            </a:ext>
          </a:extLst>
        </xdr:cNvPr>
        <xdr:cNvSpPr>
          <a:spLocks noChangeArrowheads="1"/>
        </xdr:cNvSpPr>
      </xdr:nvSpPr>
      <xdr:spPr bwMode="auto">
        <a:xfrm>
          <a:off x="161925" y="894397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246" name="Oval 51"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161653</xdr:colOff>
      <xdr:row>19</xdr:row>
      <xdr:rowOff>29119</xdr:rowOff>
    </xdr:from>
    <xdr:to>
      <xdr:col>6</xdr:col>
      <xdr:colOff>7347</xdr:colOff>
      <xdr:row>19</xdr:row>
      <xdr:rowOff>31024</xdr:rowOff>
    </xdr:to>
    <xdr:cxnSp macro="">
      <xdr:nvCxnSpPr>
        <xdr:cNvPr id="248" name="直線コネクタ 247">
          <a:extLst>
            <a:ext uri="{FF2B5EF4-FFF2-40B4-BE49-F238E27FC236}">
              <a16:creationId xmlns:a16="http://schemas.microsoft.com/office/drawing/2014/main" id="{00000000-0008-0000-0300-0000F8000000}"/>
            </a:ext>
          </a:extLst>
        </xdr:cNvPr>
        <xdr:cNvCxnSpPr/>
      </xdr:nvCxnSpPr>
      <xdr:spPr bwMode="auto">
        <a:xfrm flipV="1">
          <a:off x="1010739" y="2238919"/>
          <a:ext cx="384537" cy="190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159747</xdr:colOff>
      <xdr:row>11</xdr:row>
      <xdr:rowOff>27214</xdr:rowOff>
    </xdr:from>
    <xdr:to>
      <xdr:col>8</xdr:col>
      <xdr:colOff>5443</xdr:colOff>
      <xdr:row>11</xdr:row>
      <xdr:rowOff>34562</xdr:rowOff>
    </xdr:to>
    <xdr:cxnSp macro="">
      <xdr:nvCxnSpPr>
        <xdr:cNvPr id="250" name="直線コネクタ 249">
          <a:extLst>
            <a:ext uri="{FF2B5EF4-FFF2-40B4-BE49-F238E27FC236}">
              <a16:creationId xmlns:a16="http://schemas.microsoft.com/office/drawing/2014/main" id="{00000000-0008-0000-0300-0000FA000000}"/>
            </a:ext>
          </a:extLst>
        </xdr:cNvPr>
        <xdr:cNvCxnSpPr/>
      </xdr:nvCxnSpPr>
      <xdr:spPr bwMode="auto">
        <a:xfrm flipV="1">
          <a:off x="1008833" y="1551214"/>
          <a:ext cx="743767" cy="7348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168729</xdr:colOff>
      <xdr:row>12</xdr:row>
      <xdr:rowOff>0</xdr:rowOff>
    </xdr:from>
    <xdr:to>
      <xdr:col>12</xdr:col>
      <xdr:colOff>10613</xdr:colOff>
      <xdr:row>12</xdr:row>
      <xdr:rowOff>1905</xdr:rowOff>
    </xdr:to>
    <xdr:cxnSp macro="">
      <xdr:nvCxnSpPr>
        <xdr:cNvPr id="252" name="直線コネクタ 251">
          <a:extLst>
            <a:ext uri="{FF2B5EF4-FFF2-40B4-BE49-F238E27FC236}">
              <a16:creationId xmlns:a16="http://schemas.microsoft.com/office/drawing/2014/main" id="{00000000-0008-0000-0300-0000FC000000}"/>
            </a:ext>
          </a:extLst>
        </xdr:cNvPr>
        <xdr:cNvCxnSpPr/>
      </xdr:nvCxnSpPr>
      <xdr:spPr bwMode="auto">
        <a:xfrm flipV="1">
          <a:off x="2095500" y="1562100"/>
          <a:ext cx="380727" cy="190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168730</xdr:colOff>
      <xdr:row>20</xdr:row>
      <xdr:rowOff>0</xdr:rowOff>
    </xdr:from>
    <xdr:to>
      <xdr:col>12</xdr:col>
      <xdr:colOff>10614</xdr:colOff>
      <xdr:row>20</xdr:row>
      <xdr:rowOff>1905</xdr:rowOff>
    </xdr:to>
    <xdr:cxnSp macro="">
      <xdr:nvCxnSpPr>
        <xdr:cNvPr id="253" name="直線コネクタ 252">
          <a:extLst>
            <a:ext uri="{FF2B5EF4-FFF2-40B4-BE49-F238E27FC236}">
              <a16:creationId xmlns:a16="http://schemas.microsoft.com/office/drawing/2014/main" id="{00000000-0008-0000-0300-0000FD000000}"/>
            </a:ext>
          </a:extLst>
        </xdr:cNvPr>
        <xdr:cNvCxnSpPr/>
      </xdr:nvCxnSpPr>
      <xdr:spPr bwMode="auto">
        <a:xfrm flipV="1">
          <a:off x="2095501" y="2247900"/>
          <a:ext cx="380727" cy="190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114300</xdr:colOff>
      <xdr:row>28</xdr:row>
      <xdr:rowOff>0</xdr:rowOff>
    </xdr:from>
    <xdr:to>
      <xdr:col>11</xdr:col>
      <xdr:colOff>177437</xdr:colOff>
      <xdr:row>28</xdr:row>
      <xdr:rowOff>7348</xdr:rowOff>
    </xdr:to>
    <xdr:cxnSp macro="">
      <xdr:nvCxnSpPr>
        <xdr:cNvPr id="254" name="直線コネクタ 253">
          <a:extLst>
            <a:ext uri="{FF2B5EF4-FFF2-40B4-BE49-F238E27FC236}">
              <a16:creationId xmlns:a16="http://schemas.microsoft.com/office/drawing/2014/main" id="{00000000-0008-0000-0300-0000FE000000}"/>
            </a:ext>
          </a:extLst>
        </xdr:cNvPr>
        <xdr:cNvCxnSpPr/>
      </xdr:nvCxnSpPr>
      <xdr:spPr bwMode="auto">
        <a:xfrm>
          <a:off x="2041071" y="2933700"/>
          <a:ext cx="422366" cy="7348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174171</xdr:colOff>
      <xdr:row>28</xdr:row>
      <xdr:rowOff>0</xdr:rowOff>
    </xdr:from>
    <xdr:to>
      <xdr:col>6</xdr:col>
      <xdr:colOff>16055</xdr:colOff>
      <xdr:row>28</xdr:row>
      <xdr:rowOff>1905</xdr:rowOff>
    </xdr:to>
    <xdr:cxnSp macro="">
      <xdr:nvCxnSpPr>
        <xdr:cNvPr id="255" name="直線コネクタ 254">
          <a:extLst>
            <a:ext uri="{FF2B5EF4-FFF2-40B4-BE49-F238E27FC236}">
              <a16:creationId xmlns:a16="http://schemas.microsoft.com/office/drawing/2014/main" id="{00000000-0008-0000-0300-0000FF000000}"/>
            </a:ext>
          </a:extLst>
        </xdr:cNvPr>
        <xdr:cNvCxnSpPr/>
      </xdr:nvCxnSpPr>
      <xdr:spPr bwMode="auto">
        <a:xfrm flipV="1">
          <a:off x="1023257" y="2933700"/>
          <a:ext cx="380727" cy="190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247" name="Oval 5">
          <a:extLst>
            <a:ext uri="{FF2B5EF4-FFF2-40B4-BE49-F238E27FC236}">
              <a16:creationId xmlns:a16="http://schemas.microsoft.com/office/drawing/2014/main" id="{00000000-0008-0000-0300-0000F7000000}"/>
            </a:ext>
          </a:extLst>
        </xdr:cNvPr>
        <xdr:cNvSpPr>
          <a:spLocks noChangeArrowheads="1"/>
        </xdr:cNvSpPr>
      </xdr:nvSpPr>
      <xdr:spPr bwMode="auto">
        <a:xfrm>
          <a:off x="170329" y="2743424"/>
          <a:ext cx="358140" cy="340211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174171</xdr:colOff>
      <xdr:row>36</xdr:row>
      <xdr:rowOff>5443</xdr:rowOff>
    </xdr:from>
    <xdr:to>
      <xdr:col>5</xdr:col>
      <xdr:colOff>130629</xdr:colOff>
      <xdr:row>36</xdr:row>
      <xdr:rowOff>11158</xdr:rowOff>
    </xdr:to>
    <xdr:cxnSp macro="">
      <xdr:nvCxnSpPr>
        <xdr:cNvPr id="249" name="直線コネクタ 248">
          <a:extLst>
            <a:ext uri="{FF2B5EF4-FFF2-40B4-BE49-F238E27FC236}">
              <a16:creationId xmlns:a16="http://schemas.microsoft.com/office/drawing/2014/main" id="{00000000-0008-0000-0300-0000F9000000}"/>
            </a:ext>
          </a:extLst>
        </xdr:cNvPr>
        <xdr:cNvCxnSpPr/>
      </xdr:nvCxnSpPr>
      <xdr:spPr bwMode="auto">
        <a:xfrm flipV="1">
          <a:off x="1023257" y="3624943"/>
          <a:ext cx="315686" cy="571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10</xdr:col>
      <xdr:colOff>63409</xdr:colOff>
      <xdr:row>35</xdr:row>
      <xdr:rowOff>32385</xdr:rowOff>
    </xdr:from>
    <xdr:to>
      <xdr:col>12</xdr:col>
      <xdr:colOff>18234</xdr:colOff>
      <xdr:row>35</xdr:row>
      <xdr:rowOff>36195</xdr:rowOff>
    </xdr:to>
    <xdr:cxnSp macro="">
      <xdr:nvCxnSpPr>
        <xdr:cNvPr id="256" name="直線コネクタ 255">
          <a:extLst>
            <a:ext uri="{FF2B5EF4-FFF2-40B4-BE49-F238E27FC236}">
              <a16:creationId xmlns:a16="http://schemas.microsoft.com/office/drawing/2014/main" id="{00000000-0008-0000-0300-000000010000}"/>
            </a:ext>
          </a:extLst>
        </xdr:cNvPr>
        <xdr:cNvCxnSpPr/>
      </xdr:nvCxnSpPr>
      <xdr:spPr bwMode="auto">
        <a:xfrm flipV="1">
          <a:off x="2169795" y="3613785"/>
          <a:ext cx="314053" cy="381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textlink="">
      <xdr:nvSpPr>
        <xdr:cNvPr id="3" name="Oval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textlink="">
      <xdr:nvSpPr>
        <xdr:cNvPr id="4" name="Oval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5" name="Oval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6" name="Oval 8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7" name="Oval 1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8" name="Oval 13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9" name="Rectangle 16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105</xdr:row>
      <xdr:rowOff>85725</xdr:rowOff>
    </xdr:from>
    <xdr:to>
      <xdr:col>1</xdr:col>
      <xdr:colOff>476250</xdr:colOff>
      <xdr:row>110</xdr:row>
      <xdr:rowOff>104775</xdr:rowOff>
    </xdr:to>
    <xdr:sp textlink="">
      <xdr:nvSpPr>
        <xdr:cNvPr id="10" name="Oval 18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>
          <a:spLocks noChangeArrowheads="1"/>
        </xdr:cNvSpPr>
      </xdr:nvSpPr>
      <xdr:spPr bwMode="auto">
        <a:xfrm>
          <a:off x="171450" y="9610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11" name="Oval 3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12" name="Oval 34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13" name="Oval 51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14" name="Oval 81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15" name="AutoShape 10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16" name="Rectangle 103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7" name="Oval 104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18" name="AutoShape 105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19" name="Rectangle 106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20" name="Oval 107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21" name="AutoShape 108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22" name="Rectangle 10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23" name="Oval 110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24" name="AutoShape 111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25" name="Rectangle 112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26" name="Oval 113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27" name="AutoShape 114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28" name="Rectangle 115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29" name="Oval 116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30" name="AutoShape 117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31" name="Rectangle 118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32" name="Oval 119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33" name="AutoShape 120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34" name="Rectangle 121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35" name="Oval 122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36" name="AutoShape 123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37" name="Rectangle 124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38" name="Oval 125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39" name="AutoShape 126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40" name="Rectangle 127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41" name="Oval 128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42" name="AutoShape 129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43" name="Rectangle 130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44" name="Oval 13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45" name="AutoShape 132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46" name="Rectangle 133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47" name="Oval 134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48" name="AutoShape 135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49" name="Rectangle 136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50" name="Oval 137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51" name="AutoShape 138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52" name="Rectangle 139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53" name="Oval 140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54" name="Rectangle 141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55" name="AutoShape 142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56" name="Rectangle 143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57" name="Oval 144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58" name="AutoShape 145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59" name="Rectangle 146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60" name="Oval 147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61" name="AutoShape 148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62" name="Rectangle 149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63" name="Oval 150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64" name="Oval 151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65" name="Oval 152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66" name="Oval 153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67" name="AutoShape 154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68" name="Rectangle 155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69" name="Oval 156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70" name="Oval 157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71" name="Oval 158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72" name="Oval 159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73" name="AutoShape 160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74" name="Rectangle 161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75" name="Oval 162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76" name="Oval 163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77" name="Oval 164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78" name="Oval 165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79" name="AutoShape 166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80" name="Rectangle 167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81" name="Oval 168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82" name="Oval 169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83" name="Oval 170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84" name="Oval 171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85" name="AutoShape 172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86" name="Rectangle 173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87" name="Oval 174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88" name="Oval 175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89" name="Oval 176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90" name="Oval 177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91" name="AutoShape 178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92" name="Rectangle 179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93" name="Oval 180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94" name="Oval 181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95" name="Oval 182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96" name="Oval 183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97" name="AutoShape 184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98" name="Rectangle 185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99" name="Oval 186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00" name="Oval 187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01" name="Oval 188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02" name="Oval 189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103" name="AutoShape 190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104" name="Rectangle 191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05" name="Oval 192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06" name="Oval 193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07" name="Oval 194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08" name="Oval 195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109" name="AutoShape 196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110" name="Rectangle 197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11" name="Oval 198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12" name="Oval 199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13" name="Oval 200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14" name="Oval 201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115" name="AutoShape 202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116" name="Rectangle 203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17" name="Oval 204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18" name="Oval 205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19" name="Oval 206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20" name="Oval 207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121" name="AutoShape 208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122" name="Rectangle 209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23" name="Oval 210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24" name="Oval 211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25" name="Oval 212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26" name="Oval 213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127" name="AutoShape 214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128" name="Rectangle 215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29" name="Oval 216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30" name="Oval 217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31" name="Oval 218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32" name="Oval 219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133" name="AutoShape 220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134" name="Rectangle 221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35" name="Oval 222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36" name="Oval 223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37" name="Oval 224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38" name="Oval 225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139" name="AutoShape 226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140" name="Rectangle 227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41" name="Oval 228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42" name="Oval 229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43" name="Oval 230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44" name="Oval 231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145" name="AutoShape 232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146" name="Rectangle 233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47" name="Oval 234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48" name="Oval 235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49" name="Oval 236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50" name="Oval 237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151" name="AutoShape 238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152" name="Rectangle 239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53" name="Oval 240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54" name="Oval 241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55" name="Oval 242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56" name="Oval 243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157" name="AutoShape 244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158" name="Rectangle 245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59" name="Oval 246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60" name="Oval 247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61" name="Oval 248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62" name="Oval 249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163" name="AutoShape 250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164" name="Rectangle 251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65" name="Oval 252"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66" name="Oval 253">
          <a:extLst>
            <a:ext uri="{FF2B5EF4-FFF2-40B4-BE49-F238E27FC236}">
              <a16:creationId xmlns:a16="http://schemas.microsoft.com/office/drawing/2014/main" id="{00000000-0008-0000-0400-0000A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67" name="Oval 254">
          <a:extLst>
            <a:ext uri="{FF2B5EF4-FFF2-40B4-BE49-F238E27FC236}">
              <a16:creationId xmlns:a16="http://schemas.microsoft.com/office/drawing/2014/main" id="{00000000-0008-0000-0400-0000A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68" name="Oval 255">
          <a:extLst>
            <a:ext uri="{FF2B5EF4-FFF2-40B4-BE49-F238E27FC236}">
              <a16:creationId xmlns:a16="http://schemas.microsoft.com/office/drawing/2014/main" id="{00000000-0008-0000-0400-0000A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169" name="AutoShape 256">
          <a:extLst>
            <a:ext uri="{FF2B5EF4-FFF2-40B4-BE49-F238E27FC236}">
              <a16:creationId xmlns:a16="http://schemas.microsoft.com/office/drawing/2014/main" id="{00000000-0008-0000-0400-0000A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170" name="Rectangle 257"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71" name="Oval 258"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72" name="Oval 259">
          <a:extLst>
            <a:ext uri="{FF2B5EF4-FFF2-40B4-BE49-F238E27FC236}">
              <a16:creationId xmlns:a16="http://schemas.microsoft.com/office/drawing/2014/main" id="{00000000-0008-0000-0400-0000A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73" name="Oval 260"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74" name="Oval 261">
          <a:extLst>
            <a:ext uri="{FF2B5EF4-FFF2-40B4-BE49-F238E27FC236}">
              <a16:creationId xmlns:a16="http://schemas.microsoft.com/office/drawing/2014/main" id="{00000000-0008-0000-0400-0000A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175" name="AutoShape 262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176" name="Rectangle 263"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77" name="Oval 264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78" name="Oval 265"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79" name="Oval 266">
          <a:extLst>
            <a:ext uri="{FF2B5EF4-FFF2-40B4-BE49-F238E27FC236}">
              <a16:creationId xmlns:a16="http://schemas.microsoft.com/office/drawing/2014/main" id="{00000000-0008-0000-0400-0000B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80" name="Oval 267">
          <a:extLst>
            <a:ext uri="{FF2B5EF4-FFF2-40B4-BE49-F238E27FC236}">
              <a16:creationId xmlns:a16="http://schemas.microsoft.com/office/drawing/2014/main" id="{00000000-0008-0000-0400-0000B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122</xdr:row>
      <xdr:rowOff>0</xdr:rowOff>
    </xdr:from>
    <xdr:to>
      <xdr:col>4</xdr:col>
      <xdr:colOff>9525</xdr:colOff>
      <xdr:row>122</xdr:row>
      <xdr:rowOff>0</xdr:rowOff>
    </xdr:to>
    <xdr:sp textlink="">
      <xdr:nvSpPr>
        <xdr:cNvPr id="181" name="AutoShape 268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182" name="Rectangle 269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83" name="Oval 270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84" name="Oval 271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85" name="Oval 272"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86" name="Oval 273"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187" name="Rectangle 274"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88" name="Oval 275"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89" name="Oval 276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90" name="Oval 277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91" name="Oval 278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161925</xdr:colOff>
      <xdr:row>122</xdr:row>
      <xdr:rowOff>0</xdr:rowOff>
    </xdr:to>
    <xdr:sp textlink="">
      <xdr:nvSpPr>
        <xdr:cNvPr id="192" name="Rectangle 279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93" name="Oval 280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94" name="Oval 281">
          <a:extLst>
            <a:ext uri="{FF2B5EF4-FFF2-40B4-BE49-F238E27FC236}">
              <a16:creationId xmlns:a16="http://schemas.microsoft.com/office/drawing/2014/main" id="{00000000-0008-0000-0400-0000C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95" name="Oval 282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122</xdr:row>
      <xdr:rowOff>0</xdr:rowOff>
    </xdr:from>
    <xdr:to>
      <xdr:col>1</xdr:col>
      <xdr:colOff>476250</xdr:colOff>
      <xdr:row>122</xdr:row>
      <xdr:rowOff>0</xdr:rowOff>
    </xdr:to>
    <xdr:sp textlink="">
      <xdr:nvSpPr>
        <xdr:cNvPr id="196" name="Oval 283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197" name="Rectangle 285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198" name="Rectangle 287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199" name="Rectangle 289"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200" name="Rectangle 291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201" name="Rectangle 293"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02" name="Rectangle 295"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03" name="Rectangle 297">
          <a:extLst>
            <a:ext uri="{FF2B5EF4-FFF2-40B4-BE49-F238E27FC236}">
              <a16:creationId xmlns:a16="http://schemas.microsoft.com/office/drawing/2014/main" id="{00000000-0008-0000-0400-0000CB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04" name="Rectangle 299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05" name="Rectangle 301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06" name="Rectangle 303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07" name="Rectangle 305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208" name="Rectangle 307">
          <a:extLst>
            <a:ext uri="{FF2B5EF4-FFF2-40B4-BE49-F238E27FC236}">
              <a16:creationId xmlns:a16="http://schemas.microsoft.com/office/drawing/2014/main" id="{00000000-0008-0000-0400-0000D0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textlink="">
      <xdr:nvSpPr>
        <xdr:cNvPr id="209" name="フリーフォーム 311"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SpPr>
          <a:spLocks noChangeArrowheads="1"/>
        </xdr:cNvSpPr>
      </xdr:nvSpPr>
      <xdr:spPr bwMode="auto">
        <a:xfrm>
          <a:off x="723900" y="2162175"/>
          <a:ext cx="276225" cy="180975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textlink="">
      <xdr:nvSpPr>
        <xdr:cNvPr id="210" name="フリーフォーム 312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SpPr>
          <a:spLocks noChangeArrowheads="1"/>
        </xdr:cNvSpPr>
      </xdr:nvSpPr>
      <xdr:spPr bwMode="auto">
        <a:xfrm>
          <a:off x="742950" y="2847975"/>
          <a:ext cx="276225" cy="190500"/>
        </a:xfrm>
        <a:custGeom>
          <a:avLst/>
          <a:gdLst>
            <a:gd name="T0" fmla="*/ 0 w 272143"/>
            <a:gd name="T1" fmla="*/ 0 h 185057"/>
            <a:gd name="T2" fmla="*/ 385332 w 272143"/>
            <a:gd name="T3" fmla="*/ 0 h 185057"/>
            <a:gd name="T4" fmla="*/ 544000 w 272143"/>
            <a:gd name="T5" fmla="*/ 279321 h 185057"/>
            <a:gd name="T6" fmla="*/ 566665 w 272143"/>
            <a:gd name="T7" fmla="*/ 319227 h 185057"/>
            <a:gd name="T8" fmla="*/ 385332 w 272143"/>
            <a:gd name="T9" fmla="*/ 678369 h 185057"/>
            <a:gd name="T10" fmla="*/ 11331 w 272143"/>
            <a:gd name="T11" fmla="*/ 678369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textlink="">
      <xdr:nvSpPr>
        <xdr:cNvPr id="211" name="フリーフォーム 313">
          <a:extLst>
            <a:ext uri="{FF2B5EF4-FFF2-40B4-BE49-F238E27FC236}">
              <a16:creationId xmlns:a16="http://schemas.microsoft.com/office/drawing/2014/main" id="{00000000-0008-0000-0400-0000D3000000}"/>
            </a:ext>
          </a:extLst>
        </xdr:cNvPr>
        <xdr:cNvSpPr>
          <a:spLocks noChangeArrowheads="1"/>
        </xdr:cNvSpPr>
      </xdr:nvSpPr>
      <xdr:spPr bwMode="auto">
        <a:xfrm>
          <a:off x="742950" y="3543300"/>
          <a:ext cx="276225" cy="180975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textlink="">
      <xdr:nvSpPr>
        <xdr:cNvPr id="212" name="フリーフォーム 314"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SpPr>
          <a:spLocks noChangeArrowheads="1"/>
        </xdr:cNvSpPr>
      </xdr:nvSpPr>
      <xdr:spPr bwMode="auto">
        <a:xfrm>
          <a:off x="733425" y="42195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textlink="">
      <xdr:nvSpPr>
        <xdr:cNvPr id="213" name="フリーフォーム 315"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SpPr>
          <a:spLocks noChangeArrowheads="1"/>
        </xdr:cNvSpPr>
      </xdr:nvSpPr>
      <xdr:spPr bwMode="auto">
        <a:xfrm>
          <a:off x="733425" y="4905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textlink="">
      <xdr:nvSpPr>
        <xdr:cNvPr id="214" name="フリーフォーム 316"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SpPr>
          <a:spLocks noChangeArrowheads="1"/>
        </xdr:cNvSpPr>
      </xdr:nvSpPr>
      <xdr:spPr bwMode="auto">
        <a:xfrm>
          <a:off x="733425" y="55816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textlink="">
      <xdr:nvSpPr>
        <xdr:cNvPr id="215" name="フリーフォーム 317">
          <a:extLst>
            <a:ext uri="{FF2B5EF4-FFF2-40B4-BE49-F238E27FC236}">
              <a16:creationId xmlns:a16="http://schemas.microsoft.com/office/drawing/2014/main" id="{00000000-0008-0000-0400-0000D7000000}"/>
            </a:ext>
          </a:extLst>
        </xdr:cNvPr>
        <xdr:cNvSpPr>
          <a:spLocks noChangeArrowheads="1"/>
        </xdr:cNvSpPr>
      </xdr:nvSpPr>
      <xdr:spPr bwMode="auto">
        <a:xfrm>
          <a:off x="723900" y="6267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textlink="">
      <xdr:nvSpPr>
        <xdr:cNvPr id="216" name="フリーフォーム 319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SpPr>
          <a:spLocks noChangeArrowheads="1"/>
        </xdr:cNvSpPr>
      </xdr:nvSpPr>
      <xdr:spPr bwMode="auto">
        <a:xfrm>
          <a:off x="733425" y="76390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textlink="">
      <xdr:nvSpPr>
        <xdr:cNvPr id="217" name="フリーフォーム 320">
          <a:extLst>
            <a:ext uri="{FF2B5EF4-FFF2-40B4-BE49-F238E27FC236}">
              <a16:creationId xmlns:a16="http://schemas.microsoft.com/office/drawing/2014/main" id="{00000000-0008-0000-0400-0000D9000000}"/>
            </a:ext>
          </a:extLst>
        </xdr:cNvPr>
        <xdr:cNvSpPr>
          <a:spLocks noChangeArrowheads="1"/>
        </xdr:cNvSpPr>
      </xdr:nvSpPr>
      <xdr:spPr bwMode="auto">
        <a:xfrm>
          <a:off x="723900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218" name="フリーフォーム 321">
          <a:extLst>
            <a:ext uri="{FF2B5EF4-FFF2-40B4-BE49-F238E27FC236}">
              <a16:creationId xmlns:a16="http://schemas.microsoft.com/office/drawing/2014/main" id="{00000000-0008-0000-0400-0000DA0000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textlink="">
      <xdr:nvSpPr>
        <xdr:cNvPr id="219" name="フリーフォーム 322"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SpPr>
          <a:spLocks noChangeArrowheads="1"/>
        </xdr:cNvSpPr>
      </xdr:nvSpPr>
      <xdr:spPr bwMode="auto">
        <a:xfrm>
          <a:off x="733425" y="9696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220" name="Rectangle 2"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221" name="Rectangle 2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222" name="Rectangle 2">
          <a:extLst>
            <a:ext uri="{FF2B5EF4-FFF2-40B4-BE49-F238E27FC236}">
              <a16:creationId xmlns:a16="http://schemas.microsoft.com/office/drawing/2014/main" id="{00000000-0008-0000-0400-0000DE0000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223" name="Rectangle 2"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224" name="Rectangle 2">
          <a:extLst>
            <a:ext uri="{FF2B5EF4-FFF2-40B4-BE49-F238E27FC236}">
              <a16:creationId xmlns:a16="http://schemas.microsoft.com/office/drawing/2014/main" id="{00000000-0008-0000-0400-0000E00000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25" name="Rectangle 293">
          <a:extLst>
            <a:ext uri="{FF2B5EF4-FFF2-40B4-BE49-F238E27FC236}">
              <a16:creationId xmlns:a16="http://schemas.microsoft.com/office/drawing/2014/main" id="{00000000-0008-0000-0400-0000E1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26" name="Rectangle 2">
          <a:extLst>
            <a:ext uri="{FF2B5EF4-FFF2-40B4-BE49-F238E27FC236}">
              <a16:creationId xmlns:a16="http://schemas.microsoft.com/office/drawing/2014/main" id="{00000000-0008-0000-0400-0000E2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27" name="Rectangle 293"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28" name="Rectangle 2">
          <a:extLst>
            <a:ext uri="{FF2B5EF4-FFF2-40B4-BE49-F238E27FC236}">
              <a16:creationId xmlns:a16="http://schemas.microsoft.com/office/drawing/2014/main" id="{00000000-0008-0000-0400-0000E4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29" name="Rectangle 293">
          <a:extLst>
            <a:ext uri="{FF2B5EF4-FFF2-40B4-BE49-F238E27FC236}">
              <a16:creationId xmlns:a16="http://schemas.microsoft.com/office/drawing/2014/main" id="{00000000-0008-0000-0400-0000E5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4</xdr:col>
      <xdr:colOff>0</xdr:colOff>
      <xdr:row>78</xdr:row>
      <xdr:rowOff>28575</xdr:rowOff>
    </xdr:to>
    <xdr:sp textlink="">
      <xdr:nvSpPr>
        <xdr:cNvPr id="230" name="フリーフォーム 342">
          <a:extLst>
            <a:ext uri="{FF2B5EF4-FFF2-40B4-BE49-F238E27FC236}">
              <a16:creationId xmlns:a16="http://schemas.microsoft.com/office/drawing/2014/main" id="{00000000-0008-0000-0400-0000E6000000}"/>
            </a:ext>
          </a:extLst>
        </xdr:cNvPr>
        <xdr:cNvSpPr>
          <a:spLocks noChangeArrowheads="1"/>
        </xdr:cNvSpPr>
      </xdr:nvSpPr>
      <xdr:spPr bwMode="auto">
        <a:xfrm>
          <a:off x="733425" y="69627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31" name="Rectangle 2">
          <a:extLst>
            <a:ext uri="{FF2B5EF4-FFF2-40B4-BE49-F238E27FC236}">
              <a16:creationId xmlns:a16="http://schemas.microsoft.com/office/drawing/2014/main" id="{00000000-0008-0000-0400-0000E7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32" name="Rectangle 293">
          <a:extLst>
            <a:ext uri="{FF2B5EF4-FFF2-40B4-BE49-F238E27FC236}">
              <a16:creationId xmlns:a16="http://schemas.microsoft.com/office/drawing/2014/main" id="{00000000-0008-0000-0400-0000E8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33" name="Rectangle 2">
          <a:extLst>
            <a:ext uri="{FF2B5EF4-FFF2-40B4-BE49-F238E27FC236}">
              <a16:creationId xmlns:a16="http://schemas.microsoft.com/office/drawing/2014/main" id="{00000000-0008-0000-0400-0000E9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34" name="Rectangle 293">
          <a:extLst>
            <a:ext uri="{FF2B5EF4-FFF2-40B4-BE49-F238E27FC236}">
              <a16:creationId xmlns:a16="http://schemas.microsoft.com/office/drawing/2014/main" id="{00000000-0008-0000-0400-0000EA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textlink="">
      <xdr:nvSpPr>
        <xdr:cNvPr id="235" name="フリーフォーム 350">
          <a:extLst>
            <a:ext uri="{FF2B5EF4-FFF2-40B4-BE49-F238E27FC236}">
              <a16:creationId xmlns:a16="http://schemas.microsoft.com/office/drawing/2014/main" id="{00000000-0008-0000-0400-0000EB000000}"/>
            </a:ext>
          </a:extLst>
        </xdr:cNvPr>
        <xdr:cNvSpPr>
          <a:spLocks noChangeArrowheads="1"/>
        </xdr:cNvSpPr>
      </xdr:nvSpPr>
      <xdr:spPr bwMode="auto">
        <a:xfrm>
          <a:off x="733425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36" name="Rectangle 2"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37" name="Rectangle 293">
          <a:extLst>
            <a:ext uri="{FF2B5EF4-FFF2-40B4-BE49-F238E27FC236}">
              <a16:creationId xmlns:a16="http://schemas.microsoft.com/office/drawing/2014/main" id="{00000000-0008-0000-0400-0000ED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238" name="フリーフォーム 354">
          <a:extLst>
            <a:ext uri="{FF2B5EF4-FFF2-40B4-BE49-F238E27FC236}">
              <a16:creationId xmlns:a16="http://schemas.microsoft.com/office/drawing/2014/main" id="{00000000-0008-0000-0400-0000EE0000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39" name="Rectangle 2">
          <a:extLst>
            <a:ext uri="{FF2B5EF4-FFF2-40B4-BE49-F238E27FC236}">
              <a16:creationId xmlns:a16="http://schemas.microsoft.com/office/drawing/2014/main" id="{00000000-0008-0000-0400-0000EF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240" name="Rectangle 293">
          <a:extLst>
            <a:ext uri="{FF2B5EF4-FFF2-40B4-BE49-F238E27FC236}">
              <a16:creationId xmlns:a16="http://schemas.microsoft.com/office/drawing/2014/main" id="{00000000-0008-0000-0400-0000F0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241" name="Rectangle 2">
          <a:extLst>
            <a:ext uri="{FF2B5EF4-FFF2-40B4-BE49-F238E27FC236}">
              <a16:creationId xmlns:a16="http://schemas.microsoft.com/office/drawing/2014/main" id="{00000000-0008-0000-0400-0000F1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42" name="Rectangle 285">
          <a:extLst>
            <a:ext uri="{FF2B5EF4-FFF2-40B4-BE49-F238E27FC236}">
              <a16:creationId xmlns:a16="http://schemas.microsoft.com/office/drawing/2014/main" id="{00000000-0008-0000-0400-0000F2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textlink="">
      <xdr:nvSpPr>
        <xdr:cNvPr id="243" name="フリーフォーム 362">
          <a:extLst>
            <a:ext uri="{FF2B5EF4-FFF2-40B4-BE49-F238E27FC236}">
              <a16:creationId xmlns:a16="http://schemas.microsoft.com/office/drawing/2014/main" id="{00000000-0008-0000-0400-0000F3000000}"/>
            </a:ext>
          </a:extLst>
        </xdr:cNvPr>
        <xdr:cNvSpPr>
          <a:spLocks noChangeArrowheads="1"/>
        </xdr:cNvSpPr>
      </xdr:nvSpPr>
      <xdr:spPr bwMode="auto">
        <a:xfrm>
          <a:off x="723900" y="1476375"/>
          <a:ext cx="276225" cy="180975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44" name="Rectangle 2">
          <a:extLst>
            <a:ext uri="{FF2B5EF4-FFF2-40B4-BE49-F238E27FC236}">
              <a16:creationId xmlns:a16="http://schemas.microsoft.com/office/drawing/2014/main" id="{00000000-0008-0000-0400-0000F4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104775</xdr:colOff>
      <xdr:row>97</xdr:row>
      <xdr:rowOff>104775</xdr:rowOff>
    </xdr:from>
    <xdr:to>
      <xdr:col>1</xdr:col>
      <xdr:colOff>466725</xdr:colOff>
      <xdr:row>102</xdr:row>
      <xdr:rowOff>123825</xdr:rowOff>
    </xdr:to>
    <xdr:sp textlink="">
      <xdr:nvSpPr>
        <xdr:cNvPr id="245" name="Oval 18">
          <a:extLst>
            <a:ext uri="{FF2B5EF4-FFF2-40B4-BE49-F238E27FC236}">
              <a16:creationId xmlns:a16="http://schemas.microsoft.com/office/drawing/2014/main" id="{00000000-0008-0000-0400-0000F5000000}"/>
            </a:ext>
          </a:extLst>
        </xdr:cNvPr>
        <xdr:cNvSpPr>
          <a:spLocks noChangeArrowheads="1"/>
        </xdr:cNvSpPr>
      </xdr:nvSpPr>
      <xdr:spPr bwMode="auto">
        <a:xfrm>
          <a:off x="161925" y="894397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246" name="Oval 51">
          <a:extLst>
            <a:ext uri="{FF2B5EF4-FFF2-40B4-BE49-F238E27FC236}">
              <a16:creationId xmlns:a16="http://schemas.microsoft.com/office/drawing/2014/main" id="{00000000-0008-0000-0400-0000F60000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161925</xdr:colOff>
      <xdr:row>12</xdr:row>
      <xdr:rowOff>0</xdr:rowOff>
    </xdr:from>
    <xdr:to>
      <xdr:col>6</xdr:col>
      <xdr:colOff>3537</xdr:colOff>
      <xdr:row>12</xdr:row>
      <xdr:rowOff>1905</xdr:rowOff>
    </xdr:to>
    <xdr:cxnSp macro="">
      <xdr:nvCxnSpPr>
        <xdr:cNvPr id="247" name="直線コネクタ 246">
          <a:extLst>
            <a:ext uri="{FF2B5EF4-FFF2-40B4-BE49-F238E27FC236}">
              <a16:creationId xmlns:a16="http://schemas.microsoft.com/office/drawing/2014/main" id="{00000000-0008-0000-0400-0000F7000000}"/>
            </a:ext>
          </a:extLst>
        </xdr:cNvPr>
        <xdr:cNvCxnSpPr/>
      </xdr:nvCxnSpPr>
      <xdr:spPr bwMode="auto">
        <a:xfrm flipV="1">
          <a:off x="1009650" y="1552575"/>
          <a:ext cx="384537" cy="190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125649</xdr:colOff>
      <xdr:row>11</xdr:row>
      <xdr:rowOff>36478</xdr:rowOff>
    </xdr:from>
    <xdr:to>
      <xdr:col>12</xdr:col>
      <xdr:colOff>17940</xdr:colOff>
      <xdr:row>11</xdr:row>
      <xdr:rowOff>36478</xdr:rowOff>
    </xdr:to>
    <xdr:cxnSp macro="">
      <xdr:nvCxnSpPr>
        <xdr:cNvPr id="249" name="直線コネクタ 248">
          <a:extLst>
            <a:ext uri="{FF2B5EF4-FFF2-40B4-BE49-F238E27FC236}">
              <a16:creationId xmlns:a16="http://schemas.microsoft.com/office/drawing/2014/main" id="{00000000-0008-0000-0400-0000F9000000}"/>
            </a:ext>
          </a:extLst>
        </xdr:cNvPr>
        <xdr:cNvCxnSpPr/>
      </xdr:nvCxnSpPr>
      <xdr:spPr bwMode="auto">
        <a:xfrm>
          <a:off x="1702340" y="1552372"/>
          <a:ext cx="804260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167268</xdr:colOff>
      <xdr:row>19</xdr:row>
      <xdr:rowOff>32524</xdr:rowOff>
    </xdr:from>
    <xdr:to>
      <xdr:col>6</xdr:col>
      <xdr:colOff>3165</xdr:colOff>
      <xdr:row>19</xdr:row>
      <xdr:rowOff>34429</xdr:rowOff>
    </xdr:to>
    <xdr:cxnSp macro="">
      <xdr:nvCxnSpPr>
        <xdr:cNvPr id="250" name="直線コネクタ 249">
          <a:extLst>
            <a:ext uri="{FF2B5EF4-FFF2-40B4-BE49-F238E27FC236}">
              <a16:creationId xmlns:a16="http://schemas.microsoft.com/office/drawing/2014/main" id="{00000000-0008-0000-0400-0000FA000000}"/>
            </a:ext>
          </a:extLst>
        </xdr:cNvPr>
        <xdr:cNvCxnSpPr/>
      </xdr:nvCxnSpPr>
      <xdr:spPr bwMode="auto">
        <a:xfrm flipV="1">
          <a:off x="1012902" y="2220951"/>
          <a:ext cx="379519" cy="190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89170</xdr:colOff>
      <xdr:row>19</xdr:row>
      <xdr:rowOff>32425</xdr:rowOff>
    </xdr:from>
    <xdr:to>
      <xdr:col>12</xdr:col>
      <xdr:colOff>20078</xdr:colOff>
      <xdr:row>20</xdr:row>
      <xdr:rowOff>0</xdr:rowOff>
    </xdr:to>
    <xdr:cxnSp macro="">
      <xdr:nvCxnSpPr>
        <xdr:cNvPr id="251" name="直線コネクタ 250">
          <a:extLst>
            <a:ext uri="{FF2B5EF4-FFF2-40B4-BE49-F238E27FC236}">
              <a16:creationId xmlns:a16="http://schemas.microsoft.com/office/drawing/2014/main" id="{00000000-0008-0000-0400-0000FB000000}"/>
            </a:ext>
          </a:extLst>
        </xdr:cNvPr>
        <xdr:cNvCxnSpPr/>
      </xdr:nvCxnSpPr>
      <xdr:spPr bwMode="auto">
        <a:xfrm>
          <a:off x="1848255" y="2229255"/>
          <a:ext cx="660483" cy="4054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176561</xdr:colOff>
      <xdr:row>28</xdr:row>
      <xdr:rowOff>1</xdr:rowOff>
    </xdr:from>
    <xdr:to>
      <xdr:col>6</xdr:col>
      <xdr:colOff>12458</xdr:colOff>
      <xdr:row>28</xdr:row>
      <xdr:rowOff>1906</xdr:rowOff>
    </xdr:to>
    <xdr:cxnSp macro="">
      <xdr:nvCxnSpPr>
        <xdr:cNvPr id="253" name="直線コネクタ 252">
          <a:extLst>
            <a:ext uri="{FF2B5EF4-FFF2-40B4-BE49-F238E27FC236}">
              <a16:creationId xmlns:a16="http://schemas.microsoft.com/office/drawing/2014/main" id="{00000000-0008-0000-0400-0000FD000000}"/>
            </a:ext>
          </a:extLst>
        </xdr:cNvPr>
        <xdr:cNvCxnSpPr/>
      </xdr:nvCxnSpPr>
      <xdr:spPr bwMode="auto">
        <a:xfrm flipV="1">
          <a:off x="1022195" y="2903964"/>
          <a:ext cx="379519" cy="190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97276</xdr:colOff>
      <xdr:row>28</xdr:row>
      <xdr:rowOff>12159</xdr:rowOff>
    </xdr:from>
    <xdr:to>
      <xdr:col>12</xdr:col>
      <xdr:colOff>20077</xdr:colOff>
      <xdr:row>28</xdr:row>
      <xdr:rowOff>13103</xdr:rowOff>
    </xdr:to>
    <xdr:cxnSp macro="">
      <xdr:nvCxnSpPr>
        <xdr:cNvPr id="254" name="直線コネクタ 253">
          <a:extLst>
            <a:ext uri="{FF2B5EF4-FFF2-40B4-BE49-F238E27FC236}">
              <a16:creationId xmlns:a16="http://schemas.microsoft.com/office/drawing/2014/main" id="{00000000-0008-0000-0400-0000FE000000}"/>
            </a:ext>
          </a:extLst>
        </xdr:cNvPr>
        <xdr:cNvCxnSpPr/>
      </xdr:nvCxnSpPr>
      <xdr:spPr bwMode="auto">
        <a:xfrm>
          <a:off x="2038755" y="2926404"/>
          <a:ext cx="469982" cy="944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176193</xdr:colOff>
      <xdr:row>43</xdr:row>
      <xdr:rowOff>28373</xdr:rowOff>
    </xdr:from>
    <xdr:to>
      <xdr:col>9</xdr:col>
      <xdr:colOff>180489</xdr:colOff>
      <xdr:row>43</xdr:row>
      <xdr:rowOff>35750</xdr:rowOff>
    </xdr:to>
    <xdr:cxnSp macro="">
      <xdr:nvCxnSpPr>
        <xdr:cNvPr id="256" name="直線コネクタ 255">
          <a:extLst>
            <a:ext uri="{FF2B5EF4-FFF2-40B4-BE49-F238E27FC236}">
              <a16:creationId xmlns:a16="http://schemas.microsoft.com/office/drawing/2014/main" id="{00000000-0008-0000-0400-000000010000}"/>
            </a:ext>
          </a:extLst>
        </xdr:cNvPr>
        <xdr:cNvCxnSpPr/>
      </xdr:nvCxnSpPr>
      <xdr:spPr bwMode="auto">
        <a:xfrm flipV="1">
          <a:off x="1023310" y="4268011"/>
          <a:ext cx="1098658" cy="7377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10</xdr:col>
      <xdr:colOff>1907</xdr:colOff>
      <xdr:row>45</xdr:row>
      <xdr:rowOff>14307</xdr:rowOff>
    </xdr:from>
    <xdr:to>
      <xdr:col>12</xdr:col>
      <xdr:colOff>20672</xdr:colOff>
      <xdr:row>45</xdr:row>
      <xdr:rowOff>14658</xdr:rowOff>
    </xdr:to>
    <xdr:cxnSp macro="">
      <xdr:nvCxnSpPr>
        <xdr:cNvPr id="257" name="直線コネクタ 256">
          <a:extLst>
            <a:ext uri="{FF2B5EF4-FFF2-40B4-BE49-F238E27FC236}">
              <a16:creationId xmlns:a16="http://schemas.microsoft.com/office/drawing/2014/main" id="{00000000-0008-0000-0400-000001010000}"/>
            </a:ext>
          </a:extLst>
        </xdr:cNvPr>
        <xdr:cNvCxnSpPr/>
      </xdr:nvCxnSpPr>
      <xdr:spPr bwMode="auto">
        <a:xfrm>
          <a:off x="2125779" y="4326903"/>
          <a:ext cx="383553" cy="35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169534</xdr:colOff>
      <xdr:row>51</xdr:row>
      <xdr:rowOff>34331</xdr:rowOff>
    </xdr:from>
    <xdr:to>
      <xdr:col>7</xdr:col>
      <xdr:colOff>129946</xdr:colOff>
      <xdr:row>52</xdr:row>
      <xdr:rowOff>5958</xdr:rowOff>
    </xdr:to>
    <xdr:cxnSp macro="">
      <xdr:nvCxnSpPr>
        <xdr:cNvPr id="260" name="直線コネクタ 259">
          <a:extLst>
            <a:ext uri="{FF2B5EF4-FFF2-40B4-BE49-F238E27FC236}">
              <a16:creationId xmlns:a16="http://schemas.microsoft.com/office/drawing/2014/main" id="{00000000-0008-0000-0400-000004010000}"/>
            </a:ext>
          </a:extLst>
        </xdr:cNvPr>
        <xdr:cNvCxnSpPr/>
      </xdr:nvCxnSpPr>
      <xdr:spPr bwMode="auto">
        <a:xfrm>
          <a:off x="1016651" y="4954905"/>
          <a:ext cx="689986" cy="8106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133999</xdr:colOff>
      <xdr:row>51</xdr:row>
      <xdr:rowOff>26468</xdr:rowOff>
    </xdr:from>
    <xdr:to>
      <xdr:col>12</xdr:col>
      <xdr:colOff>24285</xdr:colOff>
      <xdr:row>51</xdr:row>
      <xdr:rowOff>32426</xdr:rowOff>
    </xdr:to>
    <xdr:cxnSp macro="">
      <xdr:nvCxnSpPr>
        <xdr:cNvPr id="262" name="直線コネクタ 261">
          <a:extLst>
            <a:ext uri="{FF2B5EF4-FFF2-40B4-BE49-F238E27FC236}">
              <a16:creationId xmlns:a16="http://schemas.microsoft.com/office/drawing/2014/main" id="{00000000-0008-0000-0400-000006010000}"/>
            </a:ext>
          </a:extLst>
        </xdr:cNvPr>
        <xdr:cNvCxnSpPr/>
      </xdr:nvCxnSpPr>
      <xdr:spPr bwMode="auto">
        <a:xfrm>
          <a:off x="2075478" y="4947042"/>
          <a:ext cx="437467" cy="5958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172983</xdr:colOff>
      <xdr:row>59</xdr:row>
      <xdr:rowOff>25973</xdr:rowOff>
    </xdr:from>
    <xdr:to>
      <xdr:col>9</xdr:col>
      <xdr:colOff>129702</xdr:colOff>
      <xdr:row>59</xdr:row>
      <xdr:rowOff>32425</xdr:rowOff>
    </xdr:to>
    <xdr:cxnSp macro="">
      <xdr:nvCxnSpPr>
        <xdr:cNvPr id="268" name="直線コネクタ 267">
          <a:extLst>
            <a:ext uri="{FF2B5EF4-FFF2-40B4-BE49-F238E27FC236}">
              <a16:creationId xmlns:a16="http://schemas.microsoft.com/office/drawing/2014/main" id="{00000000-0008-0000-0400-00000C010000}"/>
            </a:ext>
          </a:extLst>
        </xdr:cNvPr>
        <xdr:cNvCxnSpPr/>
      </xdr:nvCxnSpPr>
      <xdr:spPr bwMode="auto">
        <a:xfrm>
          <a:off x="1020100" y="5627484"/>
          <a:ext cx="1051081" cy="6452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151424</xdr:colOff>
      <xdr:row>67</xdr:row>
      <xdr:rowOff>22163</xdr:rowOff>
    </xdr:from>
    <xdr:to>
      <xdr:col>9</xdr:col>
      <xdr:colOff>133512</xdr:colOff>
      <xdr:row>67</xdr:row>
      <xdr:rowOff>30520</xdr:rowOff>
    </xdr:to>
    <xdr:cxnSp macro="">
      <xdr:nvCxnSpPr>
        <xdr:cNvPr id="272" name="直線コネクタ 271">
          <a:extLst>
            <a:ext uri="{FF2B5EF4-FFF2-40B4-BE49-F238E27FC236}">
              <a16:creationId xmlns:a16="http://schemas.microsoft.com/office/drawing/2014/main" id="{00000000-0008-0000-0400-000010010000}"/>
            </a:ext>
          </a:extLst>
        </xdr:cNvPr>
        <xdr:cNvCxnSpPr/>
      </xdr:nvCxnSpPr>
      <xdr:spPr bwMode="auto">
        <a:xfrm>
          <a:off x="998541" y="6304610"/>
          <a:ext cx="1076450" cy="8357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164888</xdr:colOff>
      <xdr:row>83</xdr:row>
      <xdr:rowOff>26223</xdr:rowOff>
    </xdr:from>
    <xdr:to>
      <xdr:col>9</xdr:col>
      <xdr:colOff>125649</xdr:colOff>
      <xdr:row>83</xdr:row>
      <xdr:rowOff>32881</xdr:rowOff>
    </xdr:to>
    <xdr:cxnSp macro="">
      <xdr:nvCxnSpPr>
        <xdr:cNvPr id="274" name="直線コネクタ 273">
          <a:extLst>
            <a:ext uri="{FF2B5EF4-FFF2-40B4-BE49-F238E27FC236}">
              <a16:creationId xmlns:a16="http://schemas.microsoft.com/office/drawing/2014/main" id="{00000000-0008-0000-0400-000012010000}"/>
            </a:ext>
          </a:extLst>
        </xdr:cNvPr>
        <xdr:cNvCxnSpPr/>
      </xdr:nvCxnSpPr>
      <xdr:spPr bwMode="auto">
        <a:xfrm flipV="1">
          <a:off x="1012005" y="7670542"/>
          <a:ext cx="1055123" cy="6658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168105</xdr:colOff>
      <xdr:row>92</xdr:row>
      <xdr:rowOff>5950</xdr:rowOff>
    </xdr:from>
    <xdr:to>
      <xdr:col>9</xdr:col>
      <xdr:colOff>0</xdr:colOff>
      <xdr:row>92</xdr:row>
      <xdr:rowOff>10254</xdr:rowOff>
    </xdr:to>
    <xdr:cxnSp macro="">
      <xdr:nvCxnSpPr>
        <xdr:cNvPr id="278" name="直線コネクタ 277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CxnSpPr/>
      </xdr:nvCxnSpPr>
      <xdr:spPr bwMode="auto">
        <a:xfrm>
          <a:off x="1015222" y="8367684"/>
          <a:ext cx="926257" cy="4304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162738</xdr:colOff>
      <xdr:row>107</xdr:row>
      <xdr:rowOff>30277</xdr:rowOff>
    </xdr:from>
    <xdr:to>
      <xdr:col>8</xdr:col>
      <xdr:colOff>1904</xdr:colOff>
      <xdr:row>107</xdr:row>
      <xdr:rowOff>34330</xdr:rowOff>
    </xdr:to>
    <xdr:cxnSp macro="">
      <xdr:nvCxnSpPr>
        <xdr:cNvPr id="282" name="直線コネクタ 281">
          <a:extLst>
            <a:ext uri="{FF2B5EF4-FFF2-40B4-BE49-F238E27FC236}">
              <a16:creationId xmlns:a16="http://schemas.microsoft.com/office/drawing/2014/main" id="{00000000-0008-0000-0400-00001A010000}"/>
            </a:ext>
          </a:extLst>
        </xdr:cNvPr>
        <xdr:cNvCxnSpPr/>
      </xdr:nvCxnSpPr>
      <xdr:spPr bwMode="auto">
        <a:xfrm>
          <a:off x="1009855" y="9717405"/>
          <a:ext cx="751134" cy="4053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172625</xdr:colOff>
      <xdr:row>21</xdr:row>
      <xdr:rowOff>22415</xdr:rowOff>
    </xdr:from>
    <xdr:to>
      <xdr:col>8</xdr:col>
      <xdr:colOff>85117</xdr:colOff>
      <xdr:row>21</xdr:row>
      <xdr:rowOff>24319</xdr:rowOff>
    </xdr:to>
    <xdr:cxnSp macro="">
      <xdr:nvCxnSpPr>
        <xdr:cNvPr id="252" name="直線コネクタ 251">
          <a:extLst>
            <a:ext uri="{FF2B5EF4-FFF2-40B4-BE49-F238E27FC236}">
              <a16:creationId xmlns:a16="http://schemas.microsoft.com/office/drawing/2014/main" id="{00000000-0008-0000-0400-0000FC000000}"/>
            </a:ext>
          </a:extLst>
        </xdr:cNvPr>
        <xdr:cNvCxnSpPr/>
      </xdr:nvCxnSpPr>
      <xdr:spPr bwMode="auto">
        <a:xfrm>
          <a:off x="1384529" y="2292202"/>
          <a:ext cx="459673" cy="1904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105383</xdr:colOff>
      <xdr:row>30</xdr:row>
      <xdr:rowOff>4053</xdr:rowOff>
    </xdr:from>
    <xdr:to>
      <xdr:col>9</xdr:col>
      <xdr:colOff>96263</xdr:colOff>
      <xdr:row>30</xdr:row>
      <xdr:rowOff>10011</xdr:rowOff>
    </xdr:to>
    <xdr:cxnSp macro="">
      <xdr:nvCxnSpPr>
        <xdr:cNvPr id="261" name="直線コネクタ 260">
          <a:extLst>
            <a:ext uri="{FF2B5EF4-FFF2-40B4-BE49-F238E27FC236}">
              <a16:creationId xmlns:a16="http://schemas.microsoft.com/office/drawing/2014/main" id="{00000000-0008-0000-0400-000005010000}"/>
            </a:ext>
          </a:extLst>
        </xdr:cNvPr>
        <xdr:cNvCxnSpPr/>
      </xdr:nvCxnSpPr>
      <xdr:spPr bwMode="auto">
        <a:xfrm>
          <a:off x="1499681" y="2991255"/>
          <a:ext cx="538061" cy="5958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36479</xdr:colOff>
      <xdr:row>92</xdr:row>
      <xdr:rowOff>36478</xdr:rowOff>
    </xdr:from>
    <xdr:to>
      <xdr:col>12</xdr:col>
      <xdr:colOff>6363</xdr:colOff>
      <xdr:row>92</xdr:row>
      <xdr:rowOff>36478</xdr:rowOff>
    </xdr:to>
    <xdr:cxnSp macro="">
      <xdr:nvCxnSpPr>
        <xdr:cNvPr id="285" name="直線コネクタ 284">
          <a:extLst>
            <a:ext uri="{FF2B5EF4-FFF2-40B4-BE49-F238E27FC236}">
              <a16:creationId xmlns:a16="http://schemas.microsoft.com/office/drawing/2014/main" id="{00000000-0008-0000-0400-00001D010000}"/>
            </a:ext>
          </a:extLst>
        </xdr:cNvPr>
        <xdr:cNvCxnSpPr/>
      </xdr:nvCxnSpPr>
      <xdr:spPr bwMode="auto">
        <a:xfrm flipV="1">
          <a:off x="1977958" y="8398212"/>
          <a:ext cx="517065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176435</xdr:colOff>
      <xdr:row>101</xdr:row>
      <xdr:rowOff>22657</xdr:rowOff>
    </xdr:from>
    <xdr:to>
      <xdr:col>8</xdr:col>
      <xdr:colOff>174044</xdr:colOff>
      <xdr:row>101</xdr:row>
      <xdr:rowOff>24562</xdr:rowOff>
    </xdr:to>
    <xdr:cxnSp macro="">
      <xdr:nvCxnSpPr>
        <xdr:cNvPr id="289" name="直線コネクタ 288">
          <a:extLst>
            <a:ext uri="{FF2B5EF4-FFF2-40B4-BE49-F238E27FC236}">
              <a16:creationId xmlns:a16="http://schemas.microsoft.com/office/drawing/2014/main" id="{00000000-0008-0000-0400-000021010000}"/>
            </a:ext>
          </a:extLst>
        </xdr:cNvPr>
        <xdr:cNvCxnSpPr/>
      </xdr:nvCxnSpPr>
      <xdr:spPr bwMode="auto">
        <a:xfrm>
          <a:off x="1388339" y="9101806"/>
          <a:ext cx="544790" cy="190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172140</xdr:colOff>
      <xdr:row>99</xdr:row>
      <xdr:rowOff>32670</xdr:rowOff>
    </xdr:from>
    <xdr:to>
      <xdr:col>12</xdr:col>
      <xdr:colOff>7093</xdr:colOff>
      <xdr:row>99</xdr:row>
      <xdr:rowOff>34575</xdr:rowOff>
    </xdr:to>
    <xdr:cxnSp macro="">
      <xdr:nvCxnSpPr>
        <xdr:cNvPr id="290" name="直線コネクタ 289">
          <a:extLst>
            <a:ext uri="{FF2B5EF4-FFF2-40B4-BE49-F238E27FC236}">
              <a16:creationId xmlns:a16="http://schemas.microsoft.com/office/drawing/2014/main" id="{00000000-0008-0000-0400-000022010000}"/>
            </a:ext>
          </a:extLst>
        </xdr:cNvPr>
        <xdr:cNvCxnSpPr/>
      </xdr:nvCxnSpPr>
      <xdr:spPr bwMode="auto">
        <a:xfrm flipV="1">
          <a:off x="1931225" y="9038861"/>
          <a:ext cx="564528" cy="190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40532</xdr:colOff>
      <xdr:row>109</xdr:row>
      <xdr:rowOff>7620</xdr:rowOff>
    </xdr:from>
    <xdr:to>
      <xdr:col>11</xdr:col>
      <xdr:colOff>177571</xdr:colOff>
      <xdr:row>109</xdr:row>
      <xdr:rowOff>7863</xdr:rowOff>
    </xdr:to>
    <xdr:cxnSp macro="">
      <xdr:nvCxnSpPr>
        <xdr:cNvPr id="294" name="直線コネクタ 293">
          <a:extLst>
            <a:ext uri="{FF2B5EF4-FFF2-40B4-BE49-F238E27FC236}">
              <a16:creationId xmlns:a16="http://schemas.microsoft.com/office/drawing/2014/main" id="{00000000-0008-0000-0400-000026010000}"/>
            </a:ext>
          </a:extLst>
        </xdr:cNvPr>
        <xdr:cNvCxnSpPr/>
      </xdr:nvCxnSpPr>
      <xdr:spPr bwMode="auto">
        <a:xfrm flipV="1">
          <a:off x="1982011" y="9767705"/>
          <a:ext cx="501826" cy="243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266" name="Rectangle 16">
          <a:extLst>
            <a:ext uri="{FF2B5EF4-FFF2-40B4-BE49-F238E27FC236}">
              <a16:creationId xmlns:a16="http://schemas.microsoft.com/office/drawing/2014/main" id="{00000000-0008-0000-0400-00000A010000}"/>
            </a:ext>
          </a:extLst>
        </xdr:cNvPr>
        <xdr:cNvSpPr>
          <a:spLocks noChangeArrowheads="1"/>
        </xdr:cNvSpPr>
      </xdr:nvSpPr>
      <xdr:spPr bwMode="auto">
        <a:xfrm>
          <a:off x="679963" y="9650649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113</xdr:row>
      <xdr:rowOff>85725</xdr:rowOff>
    </xdr:from>
    <xdr:to>
      <xdr:col>1</xdr:col>
      <xdr:colOff>476250</xdr:colOff>
      <xdr:row>118</xdr:row>
      <xdr:rowOff>104775</xdr:rowOff>
    </xdr:to>
    <xdr:sp textlink="">
      <xdr:nvSpPr>
        <xdr:cNvPr id="267" name="Oval 18">
          <a:extLst>
            <a:ext uri="{FF2B5EF4-FFF2-40B4-BE49-F238E27FC236}">
              <a16:creationId xmlns:a16="http://schemas.microsoft.com/office/drawing/2014/main" id="{00000000-0008-0000-0400-00000B010000}"/>
            </a:ext>
          </a:extLst>
        </xdr:cNvPr>
        <xdr:cNvSpPr>
          <a:spLocks noChangeArrowheads="1"/>
        </xdr:cNvSpPr>
      </xdr:nvSpPr>
      <xdr:spPr bwMode="auto">
        <a:xfrm>
          <a:off x="171045" y="9547779"/>
          <a:ext cx="358140" cy="351655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113</xdr:row>
      <xdr:rowOff>19050</xdr:rowOff>
    </xdr:from>
    <xdr:to>
      <xdr:col>2</xdr:col>
      <xdr:colOff>161925</xdr:colOff>
      <xdr:row>118</xdr:row>
      <xdr:rowOff>133350</xdr:rowOff>
    </xdr:to>
    <xdr:sp textlink="">
      <xdr:nvSpPr>
        <xdr:cNvPr id="269" name="Rectangle 307">
          <a:extLst>
            <a:ext uri="{FF2B5EF4-FFF2-40B4-BE49-F238E27FC236}">
              <a16:creationId xmlns:a16="http://schemas.microsoft.com/office/drawing/2014/main" id="{00000000-0008-0000-0400-00000D010000}"/>
            </a:ext>
          </a:extLst>
        </xdr:cNvPr>
        <xdr:cNvSpPr>
          <a:spLocks noChangeArrowheads="1"/>
        </xdr:cNvSpPr>
      </xdr:nvSpPr>
      <xdr:spPr bwMode="auto">
        <a:xfrm>
          <a:off x="679963" y="9475389"/>
          <a:ext cx="148590" cy="45071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113</xdr:row>
      <xdr:rowOff>171450</xdr:rowOff>
    </xdr:from>
    <xdr:to>
      <xdr:col>3</xdr:col>
      <xdr:colOff>180975</xdr:colOff>
      <xdr:row>118</xdr:row>
      <xdr:rowOff>19050</xdr:rowOff>
    </xdr:to>
    <xdr:sp textlink="">
      <xdr:nvSpPr>
        <xdr:cNvPr id="270" name="フリーフォーム 322">
          <a:extLst>
            <a:ext uri="{FF2B5EF4-FFF2-40B4-BE49-F238E27FC236}">
              <a16:creationId xmlns:a16="http://schemas.microsoft.com/office/drawing/2014/main" id="{00000000-0008-0000-0400-00000E010000}"/>
            </a:ext>
          </a:extLst>
        </xdr:cNvPr>
        <xdr:cNvSpPr>
          <a:spLocks noChangeArrowheads="1"/>
        </xdr:cNvSpPr>
      </xdr:nvSpPr>
      <xdr:spPr bwMode="auto">
        <a:xfrm>
          <a:off x="752353" y="9627789"/>
          <a:ext cx="273834" cy="184015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113</xdr:row>
      <xdr:rowOff>19050</xdr:rowOff>
    </xdr:from>
    <xdr:to>
      <xdr:col>2</xdr:col>
      <xdr:colOff>161925</xdr:colOff>
      <xdr:row>118</xdr:row>
      <xdr:rowOff>133350</xdr:rowOff>
    </xdr:to>
    <xdr:sp textlink="">
      <xdr:nvSpPr>
        <xdr:cNvPr id="271" name="Rectangle 293">
          <a:extLst>
            <a:ext uri="{FF2B5EF4-FFF2-40B4-BE49-F238E27FC236}">
              <a16:creationId xmlns:a16="http://schemas.microsoft.com/office/drawing/2014/main" id="{00000000-0008-0000-0400-00000F010000}"/>
            </a:ext>
          </a:extLst>
        </xdr:cNvPr>
        <xdr:cNvSpPr>
          <a:spLocks noChangeArrowheads="1"/>
        </xdr:cNvSpPr>
      </xdr:nvSpPr>
      <xdr:spPr bwMode="auto">
        <a:xfrm>
          <a:off x="679963" y="9475389"/>
          <a:ext cx="148590" cy="45071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113</xdr:row>
      <xdr:rowOff>19050</xdr:rowOff>
    </xdr:from>
    <xdr:to>
      <xdr:col>2</xdr:col>
      <xdr:colOff>161925</xdr:colOff>
      <xdr:row>118</xdr:row>
      <xdr:rowOff>133350</xdr:rowOff>
    </xdr:to>
    <xdr:sp textlink="">
      <xdr:nvSpPr>
        <xdr:cNvPr id="273" name="Rectangle 2">
          <a:extLst>
            <a:ext uri="{FF2B5EF4-FFF2-40B4-BE49-F238E27FC236}">
              <a16:creationId xmlns:a16="http://schemas.microsoft.com/office/drawing/2014/main" id="{00000000-0008-0000-0400-000011010000}"/>
            </a:ext>
          </a:extLst>
        </xdr:cNvPr>
        <xdr:cNvSpPr>
          <a:spLocks noChangeArrowheads="1"/>
        </xdr:cNvSpPr>
      </xdr:nvSpPr>
      <xdr:spPr bwMode="auto">
        <a:xfrm>
          <a:off x="679963" y="9475389"/>
          <a:ext cx="148590" cy="45071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174655</xdr:colOff>
      <xdr:row>115</xdr:row>
      <xdr:rowOff>36102</xdr:rowOff>
    </xdr:from>
    <xdr:to>
      <xdr:col>9</xdr:col>
      <xdr:colOff>0</xdr:colOff>
      <xdr:row>116</xdr:row>
      <xdr:rowOff>4054</xdr:rowOff>
    </xdr:to>
    <xdr:cxnSp macro="">
      <xdr:nvCxnSpPr>
        <xdr:cNvPr id="275" name="直線コネクタ 274">
          <a:extLst>
            <a:ext uri="{FF2B5EF4-FFF2-40B4-BE49-F238E27FC236}">
              <a16:creationId xmlns:a16="http://schemas.microsoft.com/office/drawing/2014/main" id="{00000000-0008-0000-0400-000013010000}"/>
            </a:ext>
          </a:extLst>
        </xdr:cNvPr>
        <xdr:cNvCxnSpPr/>
      </xdr:nvCxnSpPr>
      <xdr:spPr bwMode="auto">
        <a:xfrm>
          <a:off x="1017962" y="9723230"/>
          <a:ext cx="923517" cy="633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174530</xdr:colOff>
      <xdr:row>117</xdr:row>
      <xdr:rowOff>20266</xdr:rowOff>
    </xdr:from>
    <xdr:to>
      <xdr:col>11</xdr:col>
      <xdr:colOff>178340</xdr:colOff>
      <xdr:row>117</xdr:row>
      <xdr:rowOff>21927</xdr:rowOff>
    </xdr:to>
    <xdr:cxnSp macro="">
      <xdr:nvCxnSpPr>
        <xdr:cNvPr id="276" name="直線コネクタ 275">
          <a:extLst>
            <a:ext uri="{FF2B5EF4-FFF2-40B4-BE49-F238E27FC236}">
              <a16:creationId xmlns:a16="http://schemas.microsoft.com/office/drawing/2014/main" id="{00000000-0008-0000-0400-000014010000}"/>
            </a:ext>
          </a:extLst>
        </xdr:cNvPr>
        <xdr:cNvCxnSpPr/>
      </xdr:nvCxnSpPr>
      <xdr:spPr bwMode="auto">
        <a:xfrm flipV="1">
          <a:off x="1929805" y="9776541"/>
          <a:ext cx="550991" cy="166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176435</xdr:colOff>
      <xdr:row>75</xdr:row>
      <xdr:rowOff>32425</xdr:rowOff>
    </xdr:from>
    <xdr:to>
      <xdr:col>9</xdr:col>
      <xdr:colOff>158523</xdr:colOff>
      <xdr:row>76</xdr:row>
      <xdr:rowOff>8113</xdr:rowOff>
    </xdr:to>
    <xdr:cxnSp macro="">
      <xdr:nvCxnSpPr>
        <xdr:cNvPr id="277" name="直線コネクタ 276">
          <a:extLst>
            <a:ext uri="{FF2B5EF4-FFF2-40B4-BE49-F238E27FC236}">
              <a16:creationId xmlns:a16="http://schemas.microsoft.com/office/drawing/2014/main" id="{00000000-0008-0000-0400-000015010000}"/>
            </a:ext>
          </a:extLst>
        </xdr:cNvPr>
        <xdr:cNvCxnSpPr/>
      </xdr:nvCxnSpPr>
      <xdr:spPr bwMode="auto">
        <a:xfrm>
          <a:off x="1023552" y="6995808"/>
          <a:ext cx="1076450" cy="12167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10011</xdr:colOff>
      <xdr:row>36</xdr:row>
      <xdr:rowOff>5958</xdr:rowOff>
    </xdr:from>
    <xdr:to>
      <xdr:col>6</xdr:col>
      <xdr:colOff>117542</xdr:colOff>
      <xdr:row>36</xdr:row>
      <xdr:rowOff>8106</xdr:rowOff>
    </xdr:to>
    <xdr:cxnSp macro="">
      <xdr:nvCxnSpPr>
        <xdr:cNvPr id="279" name="直線コネクタ 278">
          <a:extLst>
            <a:ext uri="{FF2B5EF4-FFF2-40B4-BE49-F238E27FC236}">
              <a16:creationId xmlns:a16="http://schemas.microsoft.com/office/drawing/2014/main" id="{00000000-0008-0000-0400-000017010000}"/>
            </a:ext>
          </a:extLst>
        </xdr:cNvPr>
        <xdr:cNvCxnSpPr/>
      </xdr:nvCxnSpPr>
      <xdr:spPr bwMode="auto">
        <a:xfrm>
          <a:off x="1039522" y="3601139"/>
          <a:ext cx="472318" cy="2148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36479</xdr:colOff>
      <xdr:row>36</xdr:row>
      <xdr:rowOff>3810</xdr:rowOff>
    </xdr:from>
    <xdr:to>
      <xdr:col>12</xdr:col>
      <xdr:colOff>936</xdr:colOff>
      <xdr:row>36</xdr:row>
      <xdr:rowOff>4060</xdr:rowOff>
    </xdr:to>
    <xdr:cxnSp macro="">
      <xdr:nvCxnSpPr>
        <xdr:cNvPr id="283" name="直線コネクタ 282">
          <a:extLst>
            <a:ext uri="{FF2B5EF4-FFF2-40B4-BE49-F238E27FC236}">
              <a16:creationId xmlns:a16="http://schemas.microsoft.com/office/drawing/2014/main" id="{00000000-0008-0000-0400-00001B010000}"/>
            </a:ext>
          </a:extLst>
        </xdr:cNvPr>
        <xdr:cNvCxnSpPr/>
      </xdr:nvCxnSpPr>
      <xdr:spPr bwMode="auto">
        <a:xfrm>
          <a:off x="1795564" y="3598991"/>
          <a:ext cx="694032" cy="25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344316" name="Rectangle 2">
          <a:extLst>
            <a:ext uri="{FF2B5EF4-FFF2-40B4-BE49-F238E27FC236}">
              <a16:creationId xmlns:a16="http://schemas.microsoft.com/office/drawing/2014/main" id="{00000000-0008-0000-0500-0000FC40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textlink="">
      <xdr:nvSpPr>
        <xdr:cNvPr id="344317" name="Oval 3">
          <a:extLst>
            <a:ext uri="{FF2B5EF4-FFF2-40B4-BE49-F238E27FC236}">
              <a16:creationId xmlns:a16="http://schemas.microsoft.com/office/drawing/2014/main" id="{00000000-0008-0000-0500-0000FD4005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textlink="">
      <xdr:nvSpPr>
        <xdr:cNvPr id="344318" name="Oval 4">
          <a:extLst>
            <a:ext uri="{FF2B5EF4-FFF2-40B4-BE49-F238E27FC236}">
              <a16:creationId xmlns:a16="http://schemas.microsoft.com/office/drawing/2014/main" id="{00000000-0008-0000-0500-0000FE40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4319" name="Oval 5">
          <a:extLst>
            <a:ext uri="{FF2B5EF4-FFF2-40B4-BE49-F238E27FC236}">
              <a16:creationId xmlns:a16="http://schemas.microsoft.com/office/drawing/2014/main" id="{00000000-0008-0000-0500-0000FF40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4320" name="Oval 8">
          <a:extLst>
            <a:ext uri="{FF2B5EF4-FFF2-40B4-BE49-F238E27FC236}">
              <a16:creationId xmlns:a16="http://schemas.microsoft.com/office/drawing/2014/main" id="{00000000-0008-0000-0500-00000041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4321" name="Oval 12">
          <a:extLst>
            <a:ext uri="{FF2B5EF4-FFF2-40B4-BE49-F238E27FC236}">
              <a16:creationId xmlns:a16="http://schemas.microsoft.com/office/drawing/2014/main" id="{00000000-0008-0000-0500-00000141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4322" name="Oval 13">
          <a:extLst>
            <a:ext uri="{FF2B5EF4-FFF2-40B4-BE49-F238E27FC236}">
              <a16:creationId xmlns:a16="http://schemas.microsoft.com/office/drawing/2014/main" id="{00000000-0008-0000-0500-00000241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344323" name="Rectangle 16">
          <a:extLst>
            <a:ext uri="{FF2B5EF4-FFF2-40B4-BE49-F238E27FC236}">
              <a16:creationId xmlns:a16="http://schemas.microsoft.com/office/drawing/2014/main" id="{00000000-0008-0000-0500-0000034105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4325" name="Oval 30">
          <a:extLst>
            <a:ext uri="{FF2B5EF4-FFF2-40B4-BE49-F238E27FC236}">
              <a16:creationId xmlns:a16="http://schemas.microsoft.com/office/drawing/2014/main" id="{00000000-0008-0000-0500-00000541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4326" name="Oval 34">
          <a:extLst>
            <a:ext uri="{FF2B5EF4-FFF2-40B4-BE49-F238E27FC236}">
              <a16:creationId xmlns:a16="http://schemas.microsoft.com/office/drawing/2014/main" id="{00000000-0008-0000-0500-00000641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4327" name="Oval 51">
          <a:extLst>
            <a:ext uri="{FF2B5EF4-FFF2-40B4-BE49-F238E27FC236}">
              <a16:creationId xmlns:a16="http://schemas.microsoft.com/office/drawing/2014/main" id="{00000000-0008-0000-0500-00000741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4328" name="Oval 81">
          <a:extLst>
            <a:ext uri="{FF2B5EF4-FFF2-40B4-BE49-F238E27FC236}">
              <a16:creationId xmlns:a16="http://schemas.microsoft.com/office/drawing/2014/main" id="{00000000-0008-0000-0500-00000841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329" name="AutoShape 102">
          <a:extLst>
            <a:ext uri="{FF2B5EF4-FFF2-40B4-BE49-F238E27FC236}">
              <a16:creationId xmlns:a16="http://schemas.microsoft.com/office/drawing/2014/main" id="{00000000-0008-0000-0500-000009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330" name="Rectangle 103">
          <a:extLst>
            <a:ext uri="{FF2B5EF4-FFF2-40B4-BE49-F238E27FC236}">
              <a16:creationId xmlns:a16="http://schemas.microsoft.com/office/drawing/2014/main" id="{00000000-0008-0000-0500-00000A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31" name="Oval 104">
          <a:extLst>
            <a:ext uri="{FF2B5EF4-FFF2-40B4-BE49-F238E27FC236}">
              <a16:creationId xmlns:a16="http://schemas.microsoft.com/office/drawing/2014/main" id="{00000000-0008-0000-0500-00000B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332" name="AutoShape 105">
          <a:extLst>
            <a:ext uri="{FF2B5EF4-FFF2-40B4-BE49-F238E27FC236}">
              <a16:creationId xmlns:a16="http://schemas.microsoft.com/office/drawing/2014/main" id="{00000000-0008-0000-0500-00000C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333" name="Rectangle 106">
          <a:extLst>
            <a:ext uri="{FF2B5EF4-FFF2-40B4-BE49-F238E27FC236}">
              <a16:creationId xmlns:a16="http://schemas.microsoft.com/office/drawing/2014/main" id="{00000000-0008-0000-0500-00000D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34" name="Oval 107">
          <a:extLst>
            <a:ext uri="{FF2B5EF4-FFF2-40B4-BE49-F238E27FC236}">
              <a16:creationId xmlns:a16="http://schemas.microsoft.com/office/drawing/2014/main" id="{00000000-0008-0000-0500-00000E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335" name="AutoShape 108">
          <a:extLst>
            <a:ext uri="{FF2B5EF4-FFF2-40B4-BE49-F238E27FC236}">
              <a16:creationId xmlns:a16="http://schemas.microsoft.com/office/drawing/2014/main" id="{00000000-0008-0000-0500-00000F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336" name="Rectangle 109">
          <a:extLst>
            <a:ext uri="{FF2B5EF4-FFF2-40B4-BE49-F238E27FC236}">
              <a16:creationId xmlns:a16="http://schemas.microsoft.com/office/drawing/2014/main" id="{00000000-0008-0000-0500-000010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37" name="Oval 110">
          <a:extLst>
            <a:ext uri="{FF2B5EF4-FFF2-40B4-BE49-F238E27FC236}">
              <a16:creationId xmlns:a16="http://schemas.microsoft.com/office/drawing/2014/main" id="{00000000-0008-0000-0500-000011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338" name="AutoShape 111">
          <a:extLst>
            <a:ext uri="{FF2B5EF4-FFF2-40B4-BE49-F238E27FC236}">
              <a16:creationId xmlns:a16="http://schemas.microsoft.com/office/drawing/2014/main" id="{00000000-0008-0000-0500-000012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339" name="Rectangle 112">
          <a:extLst>
            <a:ext uri="{FF2B5EF4-FFF2-40B4-BE49-F238E27FC236}">
              <a16:creationId xmlns:a16="http://schemas.microsoft.com/office/drawing/2014/main" id="{00000000-0008-0000-0500-000013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40" name="Oval 113">
          <a:extLst>
            <a:ext uri="{FF2B5EF4-FFF2-40B4-BE49-F238E27FC236}">
              <a16:creationId xmlns:a16="http://schemas.microsoft.com/office/drawing/2014/main" id="{00000000-0008-0000-0500-000014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341" name="AutoShape 114">
          <a:extLst>
            <a:ext uri="{FF2B5EF4-FFF2-40B4-BE49-F238E27FC236}">
              <a16:creationId xmlns:a16="http://schemas.microsoft.com/office/drawing/2014/main" id="{00000000-0008-0000-0500-000015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342" name="Rectangle 115">
          <a:extLst>
            <a:ext uri="{FF2B5EF4-FFF2-40B4-BE49-F238E27FC236}">
              <a16:creationId xmlns:a16="http://schemas.microsoft.com/office/drawing/2014/main" id="{00000000-0008-0000-0500-000016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43" name="Oval 116">
          <a:extLst>
            <a:ext uri="{FF2B5EF4-FFF2-40B4-BE49-F238E27FC236}">
              <a16:creationId xmlns:a16="http://schemas.microsoft.com/office/drawing/2014/main" id="{00000000-0008-0000-0500-000017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344" name="AutoShape 117">
          <a:extLst>
            <a:ext uri="{FF2B5EF4-FFF2-40B4-BE49-F238E27FC236}">
              <a16:creationId xmlns:a16="http://schemas.microsoft.com/office/drawing/2014/main" id="{00000000-0008-0000-0500-000018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345" name="Rectangle 118">
          <a:extLst>
            <a:ext uri="{FF2B5EF4-FFF2-40B4-BE49-F238E27FC236}">
              <a16:creationId xmlns:a16="http://schemas.microsoft.com/office/drawing/2014/main" id="{00000000-0008-0000-0500-000019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46" name="Oval 119">
          <a:extLst>
            <a:ext uri="{FF2B5EF4-FFF2-40B4-BE49-F238E27FC236}">
              <a16:creationId xmlns:a16="http://schemas.microsoft.com/office/drawing/2014/main" id="{00000000-0008-0000-0500-00001A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347" name="AutoShape 120">
          <a:extLst>
            <a:ext uri="{FF2B5EF4-FFF2-40B4-BE49-F238E27FC236}">
              <a16:creationId xmlns:a16="http://schemas.microsoft.com/office/drawing/2014/main" id="{00000000-0008-0000-0500-00001B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348" name="Rectangle 121">
          <a:extLst>
            <a:ext uri="{FF2B5EF4-FFF2-40B4-BE49-F238E27FC236}">
              <a16:creationId xmlns:a16="http://schemas.microsoft.com/office/drawing/2014/main" id="{00000000-0008-0000-0500-00001C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49" name="Oval 122">
          <a:extLst>
            <a:ext uri="{FF2B5EF4-FFF2-40B4-BE49-F238E27FC236}">
              <a16:creationId xmlns:a16="http://schemas.microsoft.com/office/drawing/2014/main" id="{00000000-0008-0000-0500-00001D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350" name="AutoShape 123">
          <a:extLst>
            <a:ext uri="{FF2B5EF4-FFF2-40B4-BE49-F238E27FC236}">
              <a16:creationId xmlns:a16="http://schemas.microsoft.com/office/drawing/2014/main" id="{00000000-0008-0000-0500-00001E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351" name="Rectangle 124">
          <a:extLst>
            <a:ext uri="{FF2B5EF4-FFF2-40B4-BE49-F238E27FC236}">
              <a16:creationId xmlns:a16="http://schemas.microsoft.com/office/drawing/2014/main" id="{00000000-0008-0000-0500-00001F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52" name="Oval 125">
          <a:extLst>
            <a:ext uri="{FF2B5EF4-FFF2-40B4-BE49-F238E27FC236}">
              <a16:creationId xmlns:a16="http://schemas.microsoft.com/office/drawing/2014/main" id="{00000000-0008-0000-0500-000020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353" name="AutoShape 126">
          <a:extLst>
            <a:ext uri="{FF2B5EF4-FFF2-40B4-BE49-F238E27FC236}">
              <a16:creationId xmlns:a16="http://schemas.microsoft.com/office/drawing/2014/main" id="{00000000-0008-0000-0500-000021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354" name="Rectangle 127">
          <a:extLst>
            <a:ext uri="{FF2B5EF4-FFF2-40B4-BE49-F238E27FC236}">
              <a16:creationId xmlns:a16="http://schemas.microsoft.com/office/drawing/2014/main" id="{00000000-0008-0000-0500-000022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55" name="Oval 128">
          <a:extLst>
            <a:ext uri="{FF2B5EF4-FFF2-40B4-BE49-F238E27FC236}">
              <a16:creationId xmlns:a16="http://schemas.microsoft.com/office/drawing/2014/main" id="{00000000-0008-0000-0500-000023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356" name="AutoShape 129">
          <a:extLst>
            <a:ext uri="{FF2B5EF4-FFF2-40B4-BE49-F238E27FC236}">
              <a16:creationId xmlns:a16="http://schemas.microsoft.com/office/drawing/2014/main" id="{00000000-0008-0000-0500-000024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357" name="Rectangle 130">
          <a:extLst>
            <a:ext uri="{FF2B5EF4-FFF2-40B4-BE49-F238E27FC236}">
              <a16:creationId xmlns:a16="http://schemas.microsoft.com/office/drawing/2014/main" id="{00000000-0008-0000-0500-000025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58" name="Oval 131">
          <a:extLst>
            <a:ext uri="{FF2B5EF4-FFF2-40B4-BE49-F238E27FC236}">
              <a16:creationId xmlns:a16="http://schemas.microsoft.com/office/drawing/2014/main" id="{00000000-0008-0000-0500-000026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359" name="AutoShape 132">
          <a:extLst>
            <a:ext uri="{FF2B5EF4-FFF2-40B4-BE49-F238E27FC236}">
              <a16:creationId xmlns:a16="http://schemas.microsoft.com/office/drawing/2014/main" id="{00000000-0008-0000-0500-000027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360" name="Rectangle 133">
          <a:extLst>
            <a:ext uri="{FF2B5EF4-FFF2-40B4-BE49-F238E27FC236}">
              <a16:creationId xmlns:a16="http://schemas.microsoft.com/office/drawing/2014/main" id="{00000000-0008-0000-0500-000028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61" name="Oval 134">
          <a:extLst>
            <a:ext uri="{FF2B5EF4-FFF2-40B4-BE49-F238E27FC236}">
              <a16:creationId xmlns:a16="http://schemas.microsoft.com/office/drawing/2014/main" id="{00000000-0008-0000-0500-000029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362" name="AutoShape 135">
          <a:extLst>
            <a:ext uri="{FF2B5EF4-FFF2-40B4-BE49-F238E27FC236}">
              <a16:creationId xmlns:a16="http://schemas.microsoft.com/office/drawing/2014/main" id="{00000000-0008-0000-0500-00002A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363" name="Rectangle 136">
          <a:extLst>
            <a:ext uri="{FF2B5EF4-FFF2-40B4-BE49-F238E27FC236}">
              <a16:creationId xmlns:a16="http://schemas.microsoft.com/office/drawing/2014/main" id="{00000000-0008-0000-0500-00002B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64" name="Oval 137">
          <a:extLst>
            <a:ext uri="{FF2B5EF4-FFF2-40B4-BE49-F238E27FC236}">
              <a16:creationId xmlns:a16="http://schemas.microsoft.com/office/drawing/2014/main" id="{00000000-0008-0000-0500-00002C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365" name="AutoShape 138">
          <a:extLst>
            <a:ext uri="{FF2B5EF4-FFF2-40B4-BE49-F238E27FC236}">
              <a16:creationId xmlns:a16="http://schemas.microsoft.com/office/drawing/2014/main" id="{00000000-0008-0000-0500-00002D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366" name="Rectangle 139">
          <a:extLst>
            <a:ext uri="{FF2B5EF4-FFF2-40B4-BE49-F238E27FC236}">
              <a16:creationId xmlns:a16="http://schemas.microsoft.com/office/drawing/2014/main" id="{00000000-0008-0000-0500-00002E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67" name="Oval 140">
          <a:extLst>
            <a:ext uri="{FF2B5EF4-FFF2-40B4-BE49-F238E27FC236}">
              <a16:creationId xmlns:a16="http://schemas.microsoft.com/office/drawing/2014/main" id="{00000000-0008-0000-0500-00002F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368" name="Rectangle 141">
          <a:extLst>
            <a:ext uri="{FF2B5EF4-FFF2-40B4-BE49-F238E27FC236}">
              <a16:creationId xmlns:a16="http://schemas.microsoft.com/office/drawing/2014/main" id="{00000000-0008-0000-0500-000030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369" name="AutoShape 142">
          <a:extLst>
            <a:ext uri="{FF2B5EF4-FFF2-40B4-BE49-F238E27FC236}">
              <a16:creationId xmlns:a16="http://schemas.microsoft.com/office/drawing/2014/main" id="{00000000-0008-0000-0500-000031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370" name="Rectangle 143">
          <a:extLst>
            <a:ext uri="{FF2B5EF4-FFF2-40B4-BE49-F238E27FC236}">
              <a16:creationId xmlns:a16="http://schemas.microsoft.com/office/drawing/2014/main" id="{00000000-0008-0000-0500-000032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71" name="Oval 144">
          <a:extLst>
            <a:ext uri="{FF2B5EF4-FFF2-40B4-BE49-F238E27FC236}">
              <a16:creationId xmlns:a16="http://schemas.microsoft.com/office/drawing/2014/main" id="{00000000-0008-0000-0500-000033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372" name="AutoShape 145">
          <a:extLst>
            <a:ext uri="{FF2B5EF4-FFF2-40B4-BE49-F238E27FC236}">
              <a16:creationId xmlns:a16="http://schemas.microsoft.com/office/drawing/2014/main" id="{00000000-0008-0000-0500-000034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373" name="Rectangle 146">
          <a:extLst>
            <a:ext uri="{FF2B5EF4-FFF2-40B4-BE49-F238E27FC236}">
              <a16:creationId xmlns:a16="http://schemas.microsoft.com/office/drawing/2014/main" id="{00000000-0008-0000-0500-000035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74" name="Oval 147">
          <a:extLst>
            <a:ext uri="{FF2B5EF4-FFF2-40B4-BE49-F238E27FC236}">
              <a16:creationId xmlns:a16="http://schemas.microsoft.com/office/drawing/2014/main" id="{00000000-0008-0000-0500-000036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375" name="AutoShape 148">
          <a:extLst>
            <a:ext uri="{FF2B5EF4-FFF2-40B4-BE49-F238E27FC236}">
              <a16:creationId xmlns:a16="http://schemas.microsoft.com/office/drawing/2014/main" id="{00000000-0008-0000-0500-000037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376" name="Rectangle 149">
          <a:extLst>
            <a:ext uri="{FF2B5EF4-FFF2-40B4-BE49-F238E27FC236}">
              <a16:creationId xmlns:a16="http://schemas.microsoft.com/office/drawing/2014/main" id="{00000000-0008-0000-0500-000038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77" name="Oval 150">
          <a:extLst>
            <a:ext uri="{FF2B5EF4-FFF2-40B4-BE49-F238E27FC236}">
              <a16:creationId xmlns:a16="http://schemas.microsoft.com/office/drawing/2014/main" id="{00000000-0008-0000-0500-000039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78" name="Oval 151">
          <a:extLst>
            <a:ext uri="{FF2B5EF4-FFF2-40B4-BE49-F238E27FC236}">
              <a16:creationId xmlns:a16="http://schemas.microsoft.com/office/drawing/2014/main" id="{00000000-0008-0000-0500-00003A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79" name="Oval 152">
          <a:extLst>
            <a:ext uri="{FF2B5EF4-FFF2-40B4-BE49-F238E27FC236}">
              <a16:creationId xmlns:a16="http://schemas.microsoft.com/office/drawing/2014/main" id="{00000000-0008-0000-0500-00003B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80" name="Oval 153">
          <a:extLst>
            <a:ext uri="{FF2B5EF4-FFF2-40B4-BE49-F238E27FC236}">
              <a16:creationId xmlns:a16="http://schemas.microsoft.com/office/drawing/2014/main" id="{00000000-0008-0000-0500-00003C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381" name="AutoShape 154">
          <a:extLst>
            <a:ext uri="{FF2B5EF4-FFF2-40B4-BE49-F238E27FC236}">
              <a16:creationId xmlns:a16="http://schemas.microsoft.com/office/drawing/2014/main" id="{00000000-0008-0000-0500-00003D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382" name="Rectangle 155">
          <a:extLst>
            <a:ext uri="{FF2B5EF4-FFF2-40B4-BE49-F238E27FC236}">
              <a16:creationId xmlns:a16="http://schemas.microsoft.com/office/drawing/2014/main" id="{00000000-0008-0000-0500-00003E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83" name="Oval 156">
          <a:extLst>
            <a:ext uri="{FF2B5EF4-FFF2-40B4-BE49-F238E27FC236}">
              <a16:creationId xmlns:a16="http://schemas.microsoft.com/office/drawing/2014/main" id="{00000000-0008-0000-0500-00003F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84" name="Oval 157">
          <a:extLst>
            <a:ext uri="{FF2B5EF4-FFF2-40B4-BE49-F238E27FC236}">
              <a16:creationId xmlns:a16="http://schemas.microsoft.com/office/drawing/2014/main" id="{00000000-0008-0000-0500-000040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85" name="Oval 158">
          <a:extLst>
            <a:ext uri="{FF2B5EF4-FFF2-40B4-BE49-F238E27FC236}">
              <a16:creationId xmlns:a16="http://schemas.microsoft.com/office/drawing/2014/main" id="{00000000-0008-0000-0500-000041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86" name="Oval 159">
          <a:extLst>
            <a:ext uri="{FF2B5EF4-FFF2-40B4-BE49-F238E27FC236}">
              <a16:creationId xmlns:a16="http://schemas.microsoft.com/office/drawing/2014/main" id="{00000000-0008-0000-0500-000042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387" name="AutoShape 160">
          <a:extLst>
            <a:ext uri="{FF2B5EF4-FFF2-40B4-BE49-F238E27FC236}">
              <a16:creationId xmlns:a16="http://schemas.microsoft.com/office/drawing/2014/main" id="{00000000-0008-0000-0500-000043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388" name="Rectangle 161">
          <a:extLst>
            <a:ext uri="{FF2B5EF4-FFF2-40B4-BE49-F238E27FC236}">
              <a16:creationId xmlns:a16="http://schemas.microsoft.com/office/drawing/2014/main" id="{00000000-0008-0000-0500-000044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89" name="Oval 162">
          <a:extLst>
            <a:ext uri="{FF2B5EF4-FFF2-40B4-BE49-F238E27FC236}">
              <a16:creationId xmlns:a16="http://schemas.microsoft.com/office/drawing/2014/main" id="{00000000-0008-0000-0500-000045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90" name="Oval 163">
          <a:extLst>
            <a:ext uri="{FF2B5EF4-FFF2-40B4-BE49-F238E27FC236}">
              <a16:creationId xmlns:a16="http://schemas.microsoft.com/office/drawing/2014/main" id="{00000000-0008-0000-0500-000046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91" name="Oval 164">
          <a:extLst>
            <a:ext uri="{FF2B5EF4-FFF2-40B4-BE49-F238E27FC236}">
              <a16:creationId xmlns:a16="http://schemas.microsoft.com/office/drawing/2014/main" id="{00000000-0008-0000-0500-000047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92" name="Oval 165">
          <a:extLst>
            <a:ext uri="{FF2B5EF4-FFF2-40B4-BE49-F238E27FC236}">
              <a16:creationId xmlns:a16="http://schemas.microsoft.com/office/drawing/2014/main" id="{00000000-0008-0000-0500-000048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393" name="AutoShape 166">
          <a:extLst>
            <a:ext uri="{FF2B5EF4-FFF2-40B4-BE49-F238E27FC236}">
              <a16:creationId xmlns:a16="http://schemas.microsoft.com/office/drawing/2014/main" id="{00000000-0008-0000-0500-000049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394" name="Rectangle 167">
          <a:extLst>
            <a:ext uri="{FF2B5EF4-FFF2-40B4-BE49-F238E27FC236}">
              <a16:creationId xmlns:a16="http://schemas.microsoft.com/office/drawing/2014/main" id="{00000000-0008-0000-0500-00004A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95" name="Oval 168">
          <a:extLst>
            <a:ext uri="{FF2B5EF4-FFF2-40B4-BE49-F238E27FC236}">
              <a16:creationId xmlns:a16="http://schemas.microsoft.com/office/drawing/2014/main" id="{00000000-0008-0000-0500-00004B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96" name="Oval 169">
          <a:extLst>
            <a:ext uri="{FF2B5EF4-FFF2-40B4-BE49-F238E27FC236}">
              <a16:creationId xmlns:a16="http://schemas.microsoft.com/office/drawing/2014/main" id="{00000000-0008-0000-0500-00004C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97" name="Oval 170">
          <a:extLst>
            <a:ext uri="{FF2B5EF4-FFF2-40B4-BE49-F238E27FC236}">
              <a16:creationId xmlns:a16="http://schemas.microsoft.com/office/drawing/2014/main" id="{00000000-0008-0000-0500-00004D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398" name="Oval 171">
          <a:extLst>
            <a:ext uri="{FF2B5EF4-FFF2-40B4-BE49-F238E27FC236}">
              <a16:creationId xmlns:a16="http://schemas.microsoft.com/office/drawing/2014/main" id="{00000000-0008-0000-0500-00004E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399" name="AutoShape 172">
          <a:extLst>
            <a:ext uri="{FF2B5EF4-FFF2-40B4-BE49-F238E27FC236}">
              <a16:creationId xmlns:a16="http://schemas.microsoft.com/office/drawing/2014/main" id="{00000000-0008-0000-0500-00004F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400" name="Rectangle 173">
          <a:extLst>
            <a:ext uri="{FF2B5EF4-FFF2-40B4-BE49-F238E27FC236}">
              <a16:creationId xmlns:a16="http://schemas.microsoft.com/office/drawing/2014/main" id="{00000000-0008-0000-0500-000050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01" name="Oval 174">
          <a:extLst>
            <a:ext uri="{FF2B5EF4-FFF2-40B4-BE49-F238E27FC236}">
              <a16:creationId xmlns:a16="http://schemas.microsoft.com/office/drawing/2014/main" id="{00000000-0008-0000-0500-000051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02" name="Oval 175">
          <a:extLst>
            <a:ext uri="{FF2B5EF4-FFF2-40B4-BE49-F238E27FC236}">
              <a16:creationId xmlns:a16="http://schemas.microsoft.com/office/drawing/2014/main" id="{00000000-0008-0000-0500-000052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03" name="Oval 176">
          <a:extLst>
            <a:ext uri="{FF2B5EF4-FFF2-40B4-BE49-F238E27FC236}">
              <a16:creationId xmlns:a16="http://schemas.microsoft.com/office/drawing/2014/main" id="{00000000-0008-0000-0500-000053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04" name="Oval 177">
          <a:extLst>
            <a:ext uri="{FF2B5EF4-FFF2-40B4-BE49-F238E27FC236}">
              <a16:creationId xmlns:a16="http://schemas.microsoft.com/office/drawing/2014/main" id="{00000000-0008-0000-0500-000054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405" name="AutoShape 178">
          <a:extLst>
            <a:ext uri="{FF2B5EF4-FFF2-40B4-BE49-F238E27FC236}">
              <a16:creationId xmlns:a16="http://schemas.microsoft.com/office/drawing/2014/main" id="{00000000-0008-0000-0500-000055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406" name="Rectangle 179">
          <a:extLst>
            <a:ext uri="{FF2B5EF4-FFF2-40B4-BE49-F238E27FC236}">
              <a16:creationId xmlns:a16="http://schemas.microsoft.com/office/drawing/2014/main" id="{00000000-0008-0000-0500-000056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07" name="Oval 180">
          <a:extLst>
            <a:ext uri="{FF2B5EF4-FFF2-40B4-BE49-F238E27FC236}">
              <a16:creationId xmlns:a16="http://schemas.microsoft.com/office/drawing/2014/main" id="{00000000-0008-0000-0500-000057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08" name="Oval 181">
          <a:extLst>
            <a:ext uri="{FF2B5EF4-FFF2-40B4-BE49-F238E27FC236}">
              <a16:creationId xmlns:a16="http://schemas.microsoft.com/office/drawing/2014/main" id="{00000000-0008-0000-0500-000058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09" name="Oval 182">
          <a:extLst>
            <a:ext uri="{FF2B5EF4-FFF2-40B4-BE49-F238E27FC236}">
              <a16:creationId xmlns:a16="http://schemas.microsoft.com/office/drawing/2014/main" id="{00000000-0008-0000-0500-000059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10" name="Oval 183">
          <a:extLst>
            <a:ext uri="{FF2B5EF4-FFF2-40B4-BE49-F238E27FC236}">
              <a16:creationId xmlns:a16="http://schemas.microsoft.com/office/drawing/2014/main" id="{00000000-0008-0000-0500-00005A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411" name="AutoShape 184">
          <a:extLst>
            <a:ext uri="{FF2B5EF4-FFF2-40B4-BE49-F238E27FC236}">
              <a16:creationId xmlns:a16="http://schemas.microsoft.com/office/drawing/2014/main" id="{00000000-0008-0000-0500-00005B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412" name="Rectangle 185">
          <a:extLst>
            <a:ext uri="{FF2B5EF4-FFF2-40B4-BE49-F238E27FC236}">
              <a16:creationId xmlns:a16="http://schemas.microsoft.com/office/drawing/2014/main" id="{00000000-0008-0000-0500-00005C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13" name="Oval 186">
          <a:extLst>
            <a:ext uri="{FF2B5EF4-FFF2-40B4-BE49-F238E27FC236}">
              <a16:creationId xmlns:a16="http://schemas.microsoft.com/office/drawing/2014/main" id="{00000000-0008-0000-0500-00005D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14" name="Oval 187">
          <a:extLst>
            <a:ext uri="{FF2B5EF4-FFF2-40B4-BE49-F238E27FC236}">
              <a16:creationId xmlns:a16="http://schemas.microsoft.com/office/drawing/2014/main" id="{00000000-0008-0000-0500-00005E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15" name="Oval 188">
          <a:extLst>
            <a:ext uri="{FF2B5EF4-FFF2-40B4-BE49-F238E27FC236}">
              <a16:creationId xmlns:a16="http://schemas.microsoft.com/office/drawing/2014/main" id="{00000000-0008-0000-0500-00005F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16" name="Oval 189">
          <a:extLst>
            <a:ext uri="{FF2B5EF4-FFF2-40B4-BE49-F238E27FC236}">
              <a16:creationId xmlns:a16="http://schemas.microsoft.com/office/drawing/2014/main" id="{00000000-0008-0000-0500-000060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417" name="AutoShape 190">
          <a:extLst>
            <a:ext uri="{FF2B5EF4-FFF2-40B4-BE49-F238E27FC236}">
              <a16:creationId xmlns:a16="http://schemas.microsoft.com/office/drawing/2014/main" id="{00000000-0008-0000-0500-000061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418" name="Rectangle 191">
          <a:extLst>
            <a:ext uri="{FF2B5EF4-FFF2-40B4-BE49-F238E27FC236}">
              <a16:creationId xmlns:a16="http://schemas.microsoft.com/office/drawing/2014/main" id="{00000000-0008-0000-0500-000062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19" name="Oval 192">
          <a:extLst>
            <a:ext uri="{FF2B5EF4-FFF2-40B4-BE49-F238E27FC236}">
              <a16:creationId xmlns:a16="http://schemas.microsoft.com/office/drawing/2014/main" id="{00000000-0008-0000-0500-000063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20" name="Oval 193">
          <a:extLst>
            <a:ext uri="{FF2B5EF4-FFF2-40B4-BE49-F238E27FC236}">
              <a16:creationId xmlns:a16="http://schemas.microsoft.com/office/drawing/2014/main" id="{00000000-0008-0000-0500-000064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21" name="Oval 194">
          <a:extLst>
            <a:ext uri="{FF2B5EF4-FFF2-40B4-BE49-F238E27FC236}">
              <a16:creationId xmlns:a16="http://schemas.microsoft.com/office/drawing/2014/main" id="{00000000-0008-0000-0500-000065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22" name="Oval 195">
          <a:extLst>
            <a:ext uri="{FF2B5EF4-FFF2-40B4-BE49-F238E27FC236}">
              <a16:creationId xmlns:a16="http://schemas.microsoft.com/office/drawing/2014/main" id="{00000000-0008-0000-0500-000066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423" name="AutoShape 196">
          <a:extLst>
            <a:ext uri="{FF2B5EF4-FFF2-40B4-BE49-F238E27FC236}">
              <a16:creationId xmlns:a16="http://schemas.microsoft.com/office/drawing/2014/main" id="{00000000-0008-0000-0500-000067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424" name="Rectangle 197">
          <a:extLst>
            <a:ext uri="{FF2B5EF4-FFF2-40B4-BE49-F238E27FC236}">
              <a16:creationId xmlns:a16="http://schemas.microsoft.com/office/drawing/2014/main" id="{00000000-0008-0000-0500-000068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25" name="Oval 198">
          <a:extLst>
            <a:ext uri="{FF2B5EF4-FFF2-40B4-BE49-F238E27FC236}">
              <a16:creationId xmlns:a16="http://schemas.microsoft.com/office/drawing/2014/main" id="{00000000-0008-0000-0500-000069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26" name="Oval 199">
          <a:extLst>
            <a:ext uri="{FF2B5EF4-FFF2-40B4-BE49-F238E27FC236}">
              <a16:creationId xmlns:a16="http://schemas.microsoft.com/office/drawing/2014/main" id="{00000000-0008-0000-0500-00006A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27" name="Oval 200">
          <a:extLst>
            <a:ext uri="{FF2B5EF4-FFF2-40B4-BE49-F238E27FC236}">
              <a16:creationId xmlns:a16="http://schemas.microsoft.com/office/drawing/2014/main" id="{00000000-0008-0000-0500-00006B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28" name="Oval 201">
          <a:extLst>
            <a:ext uri="{FF2B5EF4-FFF2-40B4-BE49-F238E27FC236}">
              <a16:creationId xmlns:a16="http://schemas.microsoft.com/office/drawing/2014/main" id="{00000000-0008-0000-0500-00006C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429" name="AutoShape 202">
          <a:extLst>
            <a:ext uri="{FF2B5EF4-FFF2-40B4-BE49-F238E27FC236}">
              <a16:creationId xmlns:a16="http://schemas.microsoft.com/office/drawing/2014/main" id="{00000000-0008-0000-0500-00006D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430" name="Rectangle 203">
          <a:extLst>
            <a:ext uri="{FF2B5EF4-FFF2-40B4-BE49-F238E27FC236}">
              <a16:creationId xmlns:a16="http://schemas.microsoft.com/office/drawing/2014/main" id="{00000000-0008-0000-0500-00006E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31" name="Oval 204">
          <a:extLst>
            <a:ext uri="{FF2B5EF4-FFF2-40B4-BE49-F238E27FC236}">
              <a16:creationId xmlns:a16="http://schemas.microsoft.com/office/drawing/2014/main" id="{00000000-0008-0000-0500-00006F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32" name="Oval 205">
          <a:extLst>
            <a:ext uri="{FF2B5EF4-FFF2-40B4-BE49-F238E27FC236}">
              <a16:creationId xmlns:a16="http://schemas.microsoft.com/office/drawing/2014/main" id="{00000000-0008-0000-0500-000070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33" name="Oval 206">
          <a:extLst>
            <a:ext uri="{FF2B5EF4-FFF2-40B4-BE49-F238E27FC236}">
              <a16:creationId xmlns:a16="http://schemas.microsoft.com/office/drawing/2014/main" id="{00000000-0008-0000-0500-000071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34" name="Oval 207">
          <a:extLst>
            <a:ext uri="{FF2B5EF4-FFF2-40B4-BE49-F238E27FC236}">
              <a16:creationId xmlns:a16="http://schemas.microsoft.com/office/drawing/2014/main" id="{00000000-0008-0000-0500-000072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435" name="AutoShape 208">
          <a:extLst>
            <a:ext uri="{FF2B5EF4-FFF2-40B4-BE49-F238E27FC236}">
              <a16:creationId xmlns:a16="http://schemas.microsoft.com/office/drawing/2014/main" id="{00000000-0008-0000-0500-000073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436" name="Rectangle 209">
          <a:extLst>
            <a:ext uri="{FF2B5EF4-FFF2-40B4-BE49-F238E27FC236}">
              <a16:creationId xmlns:a16="http://schemas.microsoft.com/office/drawing/2014/main" id="{00000000-0008-0000-0500-000074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37" name="Oval 210">
          <a:extLst>
            <a:ext uri="{FF2B5EF4-FFF2-40B4-BE49-F238E27FC236}">
              <a16:creationId xmlns:a16="http://schemas.microsoft.com/office/drawing/2014/main" id="{00000000-0008-0000-0500-000075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38" name="Oval 211">
          <a:extLst>
            <a:ext uri="{FF2B5EF4-FFF2-40B4-BE49-F238E27FC236}">
              <a16:creationId xmlns:a16="http://schemas.microsoft.com/office/drawing/2014/main" id="{00000000-0008-0000-0500-000076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39" name="Oval 212">
          <a:extLst>
            <a:ext uri="{FF2B5EF4-FFF2-40B4-BE49-F238E27FC236}">
              <a16:creationId xmlns:a16="http://schemas.microsoft.com/office/drawing/2014/main" id="{00000000-0008-0000-0500-000077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40" name="Oval 213">
          <a:extLst>
            <a:ext uri="{FF2B5EF4-FFF2-40B4-BE49-F238E27FC236}">
              <a16:creationId xmlns:a16="http://schemas.microsoft.com/office/drawing/2014/main" id="{00000000-0008-0000-0500-000078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441" name="AutoShape 214">
          <a:extLst>
            <a:ext uri="{FF2B5EF4-FFF2-40B4-BE49-F238E27FC236}">
              <a16:creationId xmlns:a16="http://schemas.microsoft.com/office/drawing/2014/main" id="{00000000-0008-0000-0500-000079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442" name="Rectangle 215">
          <a:extLst>
            <a:ext uri="{FF2B5EF4-FFF2-40B4-BE49-F238E27FC236}">
              <a16:creationId xmlns:a16="http://schemas.microsoft.com/office/drawing/2014/main" id="{00000000-0008-0000-0500-00007A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43" name="Oval 216">
          <a:extLst>
            <a:ext uri="{FF2B5EF4-FFF2-40B4-BE49-F238E27FC236}">
              <a16:creationId xmlns:a16="http://schemas.microsoft.com/office/drawing/2014/main" id="{00000000-0008-0000-0500-00007B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44" name="Oval 217">
          <a:extLst>
            <a:ext uri="{FF2B5EF4-FFF2-40B4-BE49-F238E27FC236}">
              <a16:creationId xmlns:a16="http://schemas.microsoft.com/office/drawing/2014/main" id="{00000000-0008-0000-0500-00007C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45" name="Oval 218">
          <a:extLst>
            <a:ext uri="{FF2B5EF4-FFF2-40B4-BE49-F238E27FC236}">
              <a16:creationId xmlns:a16="http://schemas.microsoft.com/office/drawing/2014/main" id="{00000000-0008-0000-0500-00007D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46" name="Oval 219">
          <a:extLst>
            <a:ext uri="{FF2B5EF4-FFF2-40B4-BE49-F238E27FC236}">
              <a16:creationId xmlns:a16="http://schemas.microsoft.com/office/drawing/2014/main" id="{00000000-0008-0000-0500-00007E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447" name="AutoShape 220">
          <a:extLst>
            <a:ext uri="{FF2B5EF4-FFF2-40B4-BE49-F238E27FC236}">
              <a16:creationId xmlns:a16="http://schemas.microsoft.com/office/drawing/2014/main" id="{00000000-0008-0000-0500-00007F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448" name="Rectangle 221">
          <a:extLst>
            <a:ext uri="{FF2B5EF4-FFF2-40B4-BE49-F238E27FC236}">
              <a16:creationId xmlns:a16="http://schemas.microsoft.com/office/drawing/2014/main" id="{00000000-0008-0000-0500-000080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49" name="Oval 222">
          <a:extLst>
            <a:ext uri="{FF2B5EF4-FFF2-40B4-BE49-F238E27FC236}">
              <a16:creationId xmlns:a16="http://schemas.microsoft.com/office/drawing/2014/main" id="{00000000-0008-0000-0500-000081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50" name="Oval 223">
          <a:extLst>
            <a:ext uri="{FF2B5EF4-FFF2-40B4-BE49-F238E27FC236}">
              <a16:creationId xmlns:a16="http://schemas.microsoft.com/office/drawing/2014/main" id="{00000000-0008-0000-0500-000082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51" name="Oval 224">
          <a:extLst>
            <a:ext uri="{FF2B5EF4-FFF2-40B4-BE49-F238E27FC236}">
              <a16:creationId xmlns:a16="http://schemas.microsoft.com/office/drawing/2014/main" id="{00000000-0008-0000-0500-000083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52" name="Oval 225">
          <a:extLst>
            <a:ext uri="{FF2B5EF4-FFF2-40B4-BE49-F238E27FC236}">
              <a16:creationId xmlns:a16="http://schemas.microsoft.com/office/drawing/2014/main" id="{00000000-0008-0000-0500-000084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453" name="AutoShape 226">
          <a:extLst>
            <a:ext uri="{FF2B5EF4-FFF2-40B4-BE49-F238E27FC236}">
              <a16:creationId xmlns:a16="http://schemas.microsoft.com/office/drawing/2014/main" id="{00000000-0008-0000-0500-000085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454" name="Rectangle 227">
          <a:extLst>
            <a:ext uri="{FF2B5EF4-FFF2-40B4-BE49-F238E27FC236}">
              <a16:creationId xmlns:a16="http://schemas.microsoft.com/office/drawing/2014/main" id="{00000000-0008-0000-0500-000086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55" name="Oval 228">
          <a:extLst>
            <a:ext uri="{FF2B5EF4-FFF2-40B4-BE49-F238E27FC236}">
              <a16:creationId xmlns:a16="http://schemas.microsoft.com/office/drawing/2014/main" id="{00000000-0008-0000-0500-000087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56" name="Oval 229">
          <a:extLst>
            <a:ext uri="{FF2B5EF4-FFF2-40B4-BE49-F238E27FC236}">
              <a16:creationId xmlns:a16="http://schemas.microsoft.com/office/drawing/2014/main" id="{00000000-0008-0000-0500-000088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57" name="Oval 230">
          <a:extLst>
            <a:ext uri="{FF2B5EF4-FFF2-40B4-BE49-F238E27FC236}">
              <a16:creationId xmlns:a16="http://schemas.microsoft.com/office/drawing/2014/main" id="{00000000-0008-0000-0500-000089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58" name="Oval 231">
          <a:extLst>
            <a:ext uri="{FF2B5EF4-FFF2-40B4-BE49-F238E27FC236}">
              <a16:creationId xmlns:a16="http://schemas.microsoft.com/office/drawing/2014/main" id="{00000000-0008-0000-0500-00008A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459" name="AutoShape 232">
          <a:extLst>
            <a:ext uri="{FF2B5EF4-FFF2-40B4-BE49-F238E27FC236}">
              <a16:creationId xmlns:a16="http://schemas.microsoft.com/office/drawing/2014/main" id="{00000000-0008-0000-0500-00008B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460" name="Rectangle 233">
          <a:extLst>
            <a:ext uri="{FF2B5EF4-FFF2-40B4-BE49-F238E27FC236}">
              <a16:creationId xmlns:a16="http://schemas.microsoft.com/office/drawing/2014/main" id="{00000000-0008-0000-0500-00008C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61" name="Oval 234">
          <a:extLst>
            <a:ext uri="{FF2B5EF4-FFF2-40B4-BE49-F238E27FC236}">
              <a16:creationId xmlns:a16="http://schemas.microsoft.com/office/drawing/2014/main" id="{00000000-0008-0000-0500-00008D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62" name="Oval 235">
          <a:extLst>
            <a:ext uri="{FF2B5EF4-FFF2-40B4-BE49-F238E27FC236}">
              <a16:creationId xmlns:a16="http://schemas.microsoft.com/office/drawing/2014/main" id="{00000000-0008-0000-0500-00008E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63" name="Oval 236">
          <a:extLst>
            <a:ext uri="{FF2B5EF4-FFF2-40B4-BE49-F238E27FC236}">
              <a16:creationId xmlns:a16="http://schemas.microsoft.com/office/drawing/2014/main" id="{00000000-0008-0000-0500-00008F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64" name="Oval 237">
          <a:extLst>
            <a:ext uri="{FF2B5EF4-FFF2-40B4-BE49-F238E27FC236}">
              <a16:creationId xmlns:a16="http://schemas.microsoft.com/office/drawing/2014/main" id="{00000000-0008-0000-0500-000090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465" name="AutoShape 238">
          <a:extLst>
            <a:ext uri="{FF2B5EF4-FFF2-40B4-BE49-F238E27FC236}">
              <a16:creationId xmlns:a16="http://schemas.microsoft.com/office/drawing/2014/main" id="{00000000-0008-0000-0500-000091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466" name="Rectangle 239">
          <a:extLst>
            <a:ext uri="{FF2B5EF4-FFF2-40B4-BE49-F238E27FC236}">
              <a16:creationId xmlns:a16="http://schemas.microsoft.com/office/drawing/2014/main" id="{00000000-0008-0000-0500-000092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67" name="Oval 240">
          <a:extLst>
            <a:ext uri="{FF2B5EF4-FFF2-40B4-BE49-F238E27FC236}">
              <a16:creationId xmlns:a16="http://schemas.microsoft.com/office/drawing/2014/main" id="{00000000-0008-0000-0500-000093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68" name="Oval 241">
          <a:extLst>
            <a:ext uri="{FF2B5EF4-FFF2-40B4-BE49-F238E27FC236}">
              <a16:creationId xmlns:a16="http://schemas.microsoft.com/office/drawing/2014/main" id="{00000000-0008-0000-0500-000094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69" name="Oval 242">
          <a:extLst>
            <a:ext uri="{FF2B5EF4-FFF2-40B4-BE49-F238E27FC236}">
              <a16:creationId xmlns:a16="http://schemas.microsoft.com/office/drawing/2014/main" id="{00000000-0008-0000-0500-000095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70" name="Oval 243">
          <a:extLst>
            <a:ext uri="{FF2B5EF4-FFF2-40B4-BE49-F238E27FC236}">
              <a16:creationId xmlns:a16="http://schemas.microsoft.com/office/drawing/2014/main" id="{00000000-0008-0000-0500-000096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471" name="AutoShape 244">
          <a:extLst>
            <a:ext uri="{FF2B5EF4-FFF2-40B4-BE49-F238E27FC236}">
              <a16:creationId xmlns:a16="http://schemas.microsoft.com/office/drawing/2014/main" id="{00000000-0008-0000-0500-000097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472" name="Rectangle 245">
          <a:extLst>
            <a:ext uri="{FF2B5EF4-FFF2-40B4-BE49-F238E27FC236}">
              <a16:creationId xmlns:a16="http://schemas.microsoft.com/office/drawing/2014/main" id="{00000000-0008-0000-0500-000098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73" name="Oval 246">
          <a:extLst>
            <a:ext uri="{FF2B5EF4-FFF2-40B4-BE49-F238E27FC236}">
              <a16:creationId xmlns:a16="http://schemas.microsoft.com/office/drawing/2014/main" id="{00000000-0008-0000-0500-000099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74" name="Oval 247">
          <a:extLst>
            <a:ext uri="{FF2B5EF4-FFF2-40B4-BE49-F238E27FC236}">
              <a16:creationId xmlns:a16="http://schemas.microsoft.com/office/drawing/2014/main" id="{00000000-0008-0000-0500-00009A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75" name="Oval 248">
          <a:extLst>
            <a:ext uri="{FF2B5EF4-FFF2-40B4-BE49-F238E27FC236}">
              <a16:creationId xmlns:a16="http://schemas.microsoft.com/office/drawing/2014/main" id="{00000000-0008-0000-0500-00009B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76" name="Oval 249">
          <a:extLst>
            <a:ext uri="{FF2B5EF4-FFF2-40B4-BE49-F238E27FC236}">
              <a16:creationId xmlns:a16="http://schemas.microsoft.com/office/drawing/2014/main" id="{00000000-0008-0000-0500-00009C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477" name="AutoShape 250">
          <a:extLst>
            <a:ext uri="{FF2B5EF4-FFF2-40B4-BE49-F238E27FC236}">
              <a16:creationId xmlns:a16="http://schemas.microsoft.com/office/drawing/2014/main" id="{00000000-0008-0000-0500-00009D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478" name="Rectangle 251">
          <a:extLst>
            <a:ext uri="{FF2B5EF4-FFF2-40B4-BE49-F238E27FC236}">
              <a16:creationId xmlns:a16="http://schemas.microsoft.com/office/drawing/2014/main" id="{00000000-0008-0000-0500-00009E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79" name="Oval 252">
          <a:extLst>
            <a:ext uri="{FF2B5EF4-FFF2-40B4-BE49-F238E27FC236}">
              <a16:creationId xmlns:a16="http://schemas.microsoft.com/office/drawing/2014/main" id="{00000000-0008-0000-0500-00009F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80" name="Oval 253">
          <a:extLst>
            <a:ext uri="{FF2B5EF4-FFF2-40B4-BE49-F238E27FC236}">
              <a16:creationId xmlns:a16="http://schemas.microsoft.com/office/drawing/2014/main" id="{00000000-0008-0000-0500-0000A0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81" name="Oval 254">
          <a:extLst>
            <a:ext uri="{FF2B5EF4-FFF2-40B4-BE49-F238E27FC236}">
              <a16:creationId xmlns:a16="http://schemas.microsoft.com/office/drawing/2014/main" id="{00000000-0008-0000-0500-0000A1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82" name="Oval 255">
          <a:extLst>
            <a:ext uri="{FF2B5EF4-FFF2-40B4-BE49-F238E27FC236}">
              <a16:creationId xmlns:a16="http://schemas.microsoft.com/office/drawing/2014/main" id="{00000000-0008-0000-0500-0000A2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483" name="AutoShape 256">
          <a:extLst>
            <a:ext uri="{FF2B5EF4-FFF2-40B4-BE49-F238E27FC236}">
              <a16:creationId xmlns:a16="http://schemas.microsoft.com/office/drawing/2014/main" id="{00000000-0008-0000-0500-0000A3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484" name="Rectangle 257">
          <a:extLst>
            <a:ext uri="{FF2B5EF4-FFF2-40B4-BE49-F238E27FC236}">
              <a16:creationId xmlns:a16="http://schemas.microsoft.com/office/drawing/2014/main" id="{00000000-0008-0000-0500-0000A4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85" name="Oval 258">
          <a:extLst>
            <a:ext uri="{FF2B5EF4-FFF2-40B4-BE49-F238E27FC236}">
              <a16:creationId xmlns:a16="http://schemas.microsoft.com/office/drawing/2014/main" id="{00000000-0008-0000-0500-0000A5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86" name="Oval 259">
          <a:extLst>
            <a:ext uri="{FF2B5EF4-FFF2-40B4-BE49-F238E27FC236}">
              <a16:creationId xmlns:a16="http://schemas.microsoft.com/office/drawing/2014/main" id="{00000000-0008-0000-0500-0000A6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87" name="Oval 260">
          <a:extLst>
            <a:ext uri="{FF2B5EF4-FFF2-40B4-BE49-F238E27FC236}">
              <a16:creationId xmlns:a16="http://schemas.microsoft.com/office/drawing/2014/main" id="{00000000-0008-0000-0500-0000A7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88" name="Oval 261">
          <a:extLst>
            <a:ext uri="{FF2B5EF4-FFF2-40B4-BE49-F238E27FC236}">
              <a16:creationId xmlns:a16="http://schemas.microsoft.com/office/drawing/2014/main" id="{00000000-0008-0000-0500-0000A8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489" name="AutoShape 262">
          <a:extLst>
            <a:ext uri="{FF2B5EF4-FFF2-40B4-BE49-F238E27FC236}">
              <a16:creationId xmlns:a16="http://schemas.microsoft.com/office/drawing/2014/main" id="{00000000-0008-0000-0500-0000A9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490" name="Rectangle 263">
          <a:extLst>
            <a:ext uri="{FF2B5EF4-FFF2-40B4-BE49-F238E27FC236}">
              <a16:creationId xmlns:a16="http://schemas.microsoft.com/office/drawing/2014/main" id="{00000000-0008-0000-0500-0000AA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91" name="Oval 264">
          <a:extLst>
            <a:ext uri="{FF2B5EF4-FFF2-40B4-BE49-F238E27FC236}">
              <a16:creationId xmlns:a16="http://schemas.microsoft.com/office/drawing/2014/main" id="{00000000-0008-0000-0500-0000AB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92" name="Oval 265">
          <a:extLst>
            <a:ext uri="{FF2B5EF4-FFF2-40B4-BE49-F238E27FC236}">
              <a16:creationId xmlns:a16="http://schemas.microsoft.com/office/drawing/2014/main" id="{00000000-0008-0000-0500-0000AC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93" name="Oval 266">
          <a:extLst>
            <a:ext uri="{FF2B5EF4-FFF2-40B4-BE49-F238E27FC236}">
              <a16:creationId xmlns:a16="http://schemas.microsoft.com/office/drawing/2014/main" id="{00000000-0008-0000-0500-0000AD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94" name="Oval 267">
          <a:extLst>
            <a:ext uri="{FF2B5EF4-FFF2-40B4-BE49-F238E27FC236}">
              <a16:creationId xmlns:a16="http://schemas.microsoft.com/office/drawing/2014/main" id="{00000000-0008-0000-0500-0000AE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4495" name="AutoShape 268">
          <a:extLst>
            <a:ext uri="{FF2B5EF4-FFF2-40B4-BE49-F238E27FC236}">
              <a16:creationId xmlns:a16="http://schemas.microsoft.com/office/drawing/2014/main" id="{00000000-0008-0000-0500-0000AF4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496" name="Rectangle 269">
          <a:extLst>
            <a:ext uri="{FF2B5EF4-FFF2-40B4-BE49-F238E27FC236}">
              <a16:creationId xmlns:a16="http://schemas.microsoft.com/office/drawing/2014/main" id="{00000000-0008-0000-0500-0000B0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97" name="Oval 270">
          <a:extLst>
            <a:ext uri="{FF2B5EF4-FFF2-40B4-BE49-F238E27FC236}">
              <a16:creationId xmlns:a16="http://schemas.microsoft.com/office/drawing/2014/main" id="{00000000-0008-0000-0500-0000B1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98" name="Oval 271">
          <a:extLst>
            <a:ext uri="{FF2B5EF4-FFF2-40B4-BE49-F238E27FC236}">
              <a16:creationId xmlns:a16="http://schemas.microsoft.com/office/drawing/2014/main" id="{00000000-0008-0000-0500-0000B2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499" name="Oval 272">
          <a:extLst>
            <a:ext uri="{FF2B5EF4-FFF2-40B4-BE49-F238E27FC236}">
              <a16:creationId xmlns:a16="http://schemas.microsoft.com/office/drawing/2014/main" id="{00000000-0008-0000-0500-0000B3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500" name="Oval 273">
          <a:extLst>
            <a:ext uri="{FF2B5EF4-FFF2-40B4-BE49-F238E27FC236}">
              <a16:creationId xmlns:a16="http://schemas.microsoft.com/office/drawing/2014/main" id="{00000000-0008-0000-0500-0000B4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501" name="Rectangle 274">
          <a:extLst>
            <a:ext uri="{FF2B5EF4-FFF2-40B4-BE49-F238E27FC236}">
              <a16:creationId xmlns:a16="http://schemas.microsoft.com/office/drawing/2014/main" id="{00000000-0008-0000-0500-0000B5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502" name="Oval 275">
          <a:extLst>
            <a:ext uri="{FF2B5EF4-FFF2-40B4-BE49-F238E27FC236}">
              <a16:creationId xmlns:a16="http://schemas.microsoft.com/office/drawing/2014/main" id="{00000000-0008-0000-0500-0000B6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503" name="Oval 276">
          <a:extLst>
            <a:ext uri="{FF2B5EF4-FFF2-40B4-BE49-F238E27FC236}">
              <a16:creationId xmlns:a16="http://schemas.microsoft.com/office/drawing/2014/main" id="{00000000-0008-0000-0500-0000B7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504" name="Oval 277">
          <a:extLst>
            <a:ext uri="{FF2B5EF4-FFF2-40B4-BE49-F238E27FC236}">
              <a16:creationId xmlns:a16="http://schemas.microsoft.com/office/drawing/2014/main" id="{00000000-0008-0000-0500-0000B8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505" name="Oval 278">
          <a:extLst>
            <a:ext uri="{FF2B5EF4-FFF2-40B4-BE49-F238E27FC236}">
              <a16:creationId xmlns:a16="http://schemas.microsoft.com/office/drawing/2014/main" id="{00000000-0008-0000-0500-0000B9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4506" name="Rectangle 279">
          <a:extLst>
            <a:ext uri="{FF2B5EF4-FFF2-40B4-BE49-F238E27FC236}">
              <a16:creationId xmlns:a16="http://schemas.microsoft.com/office/drawing/2014/main" id="{00000000-0008-0000-0500-0000BA4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507" name="Oval 280">
          <a:extLst>
            <a:ext uri="{FF2B5EF4-FFF2-40B4-BE49-F238E27FC236}">
              <a16:creationId xmlns:a16="http://schemas.microsoft.com/office/drawing/2014/main" id="{00000000-0008-0000-0500-0000BB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508" name="Oval 281">
          <a:extLst>
            <a:ext uri="{FF2B5EF4-FFF2-40B4-BE49-F238E27FC236}">
              <a16:creationId xmlns:a16="http://schemas.microsoft.com/office/drawing/2014/main" id="{00000000-0008-0000-0500-0000BC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509" name="Oval 282">
          <a:extLst>
            <a:ext uri="{FF2B5EF4-FFF2-40B4-BE49-F238E27FC236}">
              <a16:creationId xmlns:a16="http://schemas.microsoft.com/office/drawing/2014/main" id="{00000000-0008-0000-0500-0000BD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4510" name="Oval 283">
          <a:extLst>
            <a:ext uri="{FF2B5EF4-FFF2-40B4-BE49-F238E27FC236}">
              <a16:creationId xmlns:a16="http://schemas.microsoft.com/office/drawing/2014/main" id="{00000000-0008-0000-0500-0000BE4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344511" name="Rectangle 285">
          <a:extLst>
            <a:ext uri="{FF2B5EF4-FFF2-40B4-BE49-F238E27FC236}">
              <a16:creationId xmlns:a16="http://schemas.microsoft.com/office/drawing/2014/main" id="{00000000-0008-0000-0500-0000BF41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344512" name="Rectangle 287">
          <a:extLst>
            <a:ext uri="{FF2B5EF4-FFF2-40B4-BE49-F238E27FC236}">
              <a16:creationId xmlns:a16="http://schemas.microsoft.com/office/drawing/2014/main" id="{00000000-0008-0000-0500-0000C041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344513" name="Rectangle 289">
          <a:extLst>
            <a:ext uri="{FF2B5EF4-FFF2-40B4-BE49-F238E27FC236}">
              <a16:creationId xmlns:a16="http://schemas.microsoft.com/office/drawing/2014/main" id="{00000000-0008-0000-0500-0000C141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344514" name="Rectangle 291">
          <a:extLst>
            <a:ext uri="{FF2B5EF4-FFF2-40B4-BE49-F238E27FC236}">
              <a16:creationId xmlns:a16="http://schemas.microsoft.com/office/drawing/2014/main" id="{00000000-0008-0000-0500-0000C241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344515" name="Rectangle 293">
          <a:extLst>
            <a:ext uri="{FF2B5EF4-FFF2-40B4-BE49-F238E27FC236}">
              <a16:creationId xmlns:a16="http://schemas.microsoft.com/office/drawing/2014/main" id="{00000000-0008-0000-0500-0000C341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344516" name="Rectangle 295">
          <a:extLst>
            <a:ext uri="{FF2B5EF4-FFF2-40B4-BE49-F238E27FC236}">
              <a16:creationId xmlns:a16="http://schemas.microsoft.com/office/drawing/2014/main" id="{00000000-0008-0000-0500-0000C441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344517" name="Rectangle 297">
          <a:extLst>
            <a:ext uri="{FF2B5EF4-FFF2-40B4-BE49-F238E27FC236}">
              <a16:creationId xmlns:a16="http://schemas.microsoft.com/office/drawing/2014/main" id="{00000000-0008-0000-0500-0000C541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344518" name="Rectangle 299">
          <a:extLst>
            <a:ext uri="{FF2B5EF4-FFF2-40B4-BE49-F238E27FC236}">
              <a16:creationId xmlns:a16="http://schemas.microsoft.com/office/drawing/2014/main" id="{00000000-0008-0000-0500-0000C641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344519" name="Rectangle 301">
          <a:extLst>
            <a:ext uri="{FF2B5EF4-FFF2-40B4-BE49-F238E27FC236}">
              <a16:creationId xmlns:a16="http://schemas.microsoft.com/office/drawing/2014/main" id="{00000000-0008-0000-0500-0000C741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344520" name="Rectangle 303">
          <a:extLst>
            <a:ext uri="{FF2B5EF4-FFF2-40B4-BE49-F238E27FC236}">
              <a16:creationId xmlns:a16="http://schemas.microsoft.com/office/drawing/2014/main" id="{00000000-0008-0000-0500-0000C841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344521" name="Rectangle 305">
          <a:extLst>
            <a:ext uri="{FF2B5EF4-FFF2-40B4-BE49-F238E27FC236}">
              <a16:creationId xmlns:a16="http://schemas.microsoft.com/office/drawing/2014/main" id="{00000000-0008-0000-0500-0000C941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344522" name="Rectangle 307">
          <a:extLst>
            <a:ext uri="{FF2B5EF4-FFF2-40B4-BE49-F238E27FC236}">
              <a16:creationId xmlns:a16="http://schemas.microsoft.com/office/drawing/2014/main" id="{00000000-0008-0000-0500-0000CA41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textlink="">
      <xdr:nvSpPr>
        <xdr:cNvPr id="344523" name="フリーフォーム 311">
          <a:extLst>
            <a:ext uri="{FF2B5EF4-FFF2-40B4-BE49-F238E27FC236}">
              <a16:creationId xmlns:a16="http://schemas.microsoft.com/office/drawing/2014/main" id="{00000000-0008-0000-0500-0000CB410500}"/>
            </a:ext>
          </a:extLst>
        </xdr:cNvPr>
        <xdr:cNvSpPr>
          <a:spLocks noChangeArrowheads="1"/>
        </xdr:cNvSpPr>
      </xdr:nvSpPr>
      <xdr:spPr bwMode="auto">
        <a:xfrm>
          <a:off x="723900" y="2162175"/>
          <a:ext cx="276225" cy="180975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textlink="">
      <xdr:nvSpPr>
        <xdr:cNvPr id="344524" name="フリーフォーム 312">
          <a:extLst>
            <a:ext uri="{FF2B5EF4-FFF2-40B4-BE49-F238E27FC236}">
              <a16:creationId xmlns:a16="http://schemas.microsoft.com/office/drawing/2014/main" id="{00000000-0008-0000-0500-0000CC410500}"/>
            </a:ext>
          </a:extLst>
        </xdr:cNvPr>
        <xdr:cNvSpPr>
          <a:spLocks noChangeArrowheads="1"/>
        </xdr:cNvSpPr>
      </xdr:nvSpPr>
      <xdr:spPr bwMode="auto">
        <a:xfrm>
          <a:off x="742950" y="2847975"/>
          <a:ext cx="276225" cy="190500"/>
        </a:xfrm>
        <a:custGeom>
          <a:avLst/>
          <a:gdLst>
            <a:gd name="T0" fmla="*/ 0 w 272143"/>
            <a:gd name="T1" fmla="*/ 0 h 185057"/>
            <a:gd name="T2" fmla="*/ 385332 w 272143"/>
            <a:gd name="T3" fmla="*/ 0 h 185057"/>
            <a:gd name="T4" fmla="*/ 544000 w 272143"/>
            <a:gd name="T5" fmla="*/ 279321 h 185057"/>
            <a:gd name="T6" fmla="*/ 566665 w 272143"/>
            <a:gd name="T7" fmla="*/ 319227 h 185057"/>
            <a:gd name="T8" fmla="*/ 385332 w 272143"/>
            <a:gd name="T9" fmla="*/ 678369 h 185057"/>
            <a:gd name="T10" fmla="*/ 11331 w 272143"/>
            <a:gd name="T11" fmla="*/ 678369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textlink="">
      <xdr:nvSpPr>
        <xdr:cNvPr id="344525" name="フリーフォーム 313">
          <a:extLst>
            <a:ext uri="{FF2B5EF4-FFF2-40B4-BE49-F238E27FC236}">
              <a16:creationId xmlns:a16="http://schemas.microsoft.com/office/drawing/2014/main" id="{00000000-0008-0000-0500-0000CD410500}"/>
            </a:ext>
          </a:extLst>
        </xdr:cNvPr>
        <xdr:cNvSpPr>
          <a:spLocks noChangeArrowheads="1"/>
        </xdr:cNvSpPr>
      </xdr:nvSpPr>
      <xdr:spPr bwMode="auto">
        <a:xfrm>
          <a:off x="742950" y="3543300"/>
          <a:ext cx="276225" cy="180975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textlink="">
      <xdr:nvSpPr>
        <xdr:cNvPr id="344526" name="フリーフォーム 314">
          <a:extLst>
            <a:ext uri="{FF2B5EF4-FFF2-40B4-BE49-F238E27FC236}">
              <a16:creationId xmlns:a16="http://schemas.microsoft.com/office/drawing/2014/main" id="{00000000-0008-0000-0500-0000CE410500}"/>
            </a:ext>
          </a:extLst>
        </xdr:cNvPr>
        <xdr:cNvSpPr>
          <a:spLocks noChangeArrowheads="1"/>
        </xdr:cNvSpPr>
      </xdr:nvSpPr>
      <xdr:spPr bwMode="auto">
        <a:xfrm>
          <a:off x="733425" y="42195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textlink="">
      <xdr:nvSpPr>
        <xdr:cNvPr id="344527" name="フリーフォーム 315">
          <a:extLst>
            <a:ext uri="{FF2B5EF4-FFF2-40B4-BE49-F238E27FC236}">
              <a16:creationId xmlns:a16="http://schemas.microsoft.com/office/drawing/2014/main" id="{00000000-0008-0000-0500-0000CF410500}"/>
            </a:ext>
          </a:extLst>
        </xdr:cNvPr>
        <xdr:cNvSpPr>
          <a:spLocks noChangeArrowheads="1"/>
        </xdr:cNvSpPr>
      </xdr:nvSpPr>
      <xdr:spPr bwMode="auto">
        <a:xfrm>
          <a:off x="733425" y="4905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textlink="">
      <xdr:nvSpPr>
        <xdr:cNvPr id="344528" name="フリーフォーム 316">
          <a:extLst>
            <a:ext uri="{FF2B5EF4-FFF2-40B4-BE49-F238E27FC236}">
              <a16:creationId xmlns:a16="http://schemas.microsoft.com/office/drawing/2014/main" id="{00000000-0008-0000-0500-0000D0410500}"/>
            </a:ext>
          </a:extLst>
        </xdr:cNvPr>
        <xdr:cNvSpPr>
          <a:spLocks noChangeArrowheads="1"/>
        </xdr:cNvSpPr>
      </xdr:nvSpPr>
      <xdr:spPr bwMode="auto">
        <a:xfrm>
          <a:off x="733425" y="55816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textlink="">
      <xdr:nvSpPr>
        <xdr:cNvPr id="344529" name="フリーフォーム 317">
          <a:extLst>
            <a:ext uri="{FF2B5EF4-FFF2-40B4-BE49-F238E27FC236}">
              <a16:creationId xmlns:a16="http://schemas.microsoft.com/office/drawing/2014/main" id="{00000000-0008-0000-0500-0000D1410500}"/>
            </a:ext>
          </a:extLst>
        </xdr:cNvPr>
        <xdr:cNvSpPr>
          <a:spLocks noChangeArrowheads="1"/>
        </xdr:cNvSpPr>
      </xdr:nvSpPr>
      <xdr:spPr bwMode="auto">
        <a:xfrm>
          <a:off x="723900" y="6267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textlink="">
      <xdr:nvSpPr>
        <xdr:cNvPr id="344530" name="フリーフォーム 319">
          <a:extLst>
            <a:ext uri="{FF2B5EF4-FFF2-40B4-BE49-F238E27FC236}">
              <a16:creationId xmlns:a16="http://schemas.microsoft.com/office/drawing/2014/main" id="{00000000-0008-0000-0500-0000D2410500}"/>
            </a:ext>
          </a:extLst>
        </xdr:cNvPr>
        <xdr:cNvSpPr>
          <a:spLocks noChangeArrowheads="1"/>
        </xdr:cNvSpPr>
      </xdr:nvSpPr>
      <xdr:spPr bwMode="auto">
        <a:xfrm>
          <a:off x="733425" y="76390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textlink="">
      <xdr:nvSpPr>
        <xdr:cNvPr id="344531" name="フリーフォーム 320">
          <a:extLst>
            <a:ext uri="{FF2B5EF4-FFF2-40B4-BE49-F238E27FC236}">
              <a16:creationId xmlns:a16="http://schemas.microsoft.com/office/drawing/2014/main" id="{00000000-0008-0000-0500-0000D3410500}"/>
            </a:ext>
          </a:extLst>
        </xdr:cNvPr>
        <xdr:cNvSpPr>
          <a:spLocks noChangeArrowheads="1"/>
        </xdr:cNvSpPr>
      </xdr:nvSpPr>
      <xdr:spPr bwMode="auto">
        <a:xfrm>
          <a:off x="723900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344532" name="フリーフォーム 321">
          <a:extLst>
            <a:ext uri="{FF2B5EF4-FFF2-40B4-BE49-F238E27FC236}">
              <a16:creationId xmlns:a16="http://schemas.microsoft.com/office/drawing/2014/main" id="{00000000-0008-0000-0500-0000D441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textlink="">
      <xdr:nvSpPr>
        <xdr:cNvPr id="344533" name="フリーフォーム 322">
          <a:extLst>
            <a:ext uri="{FF2B5EF4-FFF2-40B4-BE49-F238E27FC236}">
              <a16:creationId xmlns:a16="http://schemas.microsoft.com/office/drawing/2014/main" id="{00000000-0008-0000-0500-0000D5410500}"/>
            </a:ext>
          </a:extLst>
        </xdr:cNvPr>
        <xdr:cNvSpPr>
          <a:spLocks noChangeArrowheads="1"/>
        </xdr:cNvSpPr>
      </xdr:nvSpPr>
      <xdr:spPr bwMode="auto">
        <a:xfrm>
          <a:off x="733425" y="9696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344534" name="Rectangle 2">
          <a:extLst>
            <a:ext uri="{FF2B5EF4-FFF2-40B4-BE49-F238E27FC236}">
              <a16:creationId xmlns:a16="http://schemas.microsoft.com/office/drawing/2014/main" id="{00000000-0008-0000-0500-0000D641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344535" name="Rectangle 2">
          <a:extLst>
            <a:ext uri="{FF2B5EF4-FFF2-40B4-BE49-F238E27FC236}">
              <a16:creationId xmlns:a16="http://schemas.microsoft.com/office/drawing/2014/main" id="{00000000-0008-0000-0500-0000D741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344536" name="Rectangle 2">
          <a:extLst>
            <a:ext uri="{FF2B5EF4-FFF2-40B4-BE49-F238E27FC236}">
              <a16:creationId xmlns:a16="http://schemas.microsoft.com/office/drawing/2014/main" id="{00000000-0008-0000-0500-0000D841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344537" name="Rectangle 2">
          <a:extLst>
            <a:ext uri="{FF2B5EF4-FFF2-40B4-BE49-F238E27FC236}">
              <a16:creationId xmlns:a16="http://schemas.microsoft.com/office/drawing/2014/main" id="{00000000-0008-0000-0500-0000D941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344538" name="Rectangle 2">
          <a:extLst>
            <a:ext uri="{FF2B5EF4-FFF2-40B4-BE49-F238E27FC236}">
              <a16:creationId xmlns:a16="http://schemas.microsoft.com/office/drawing/2014/main" id="{00000000-0008-0000-0500-0000DA41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344539" name="Rectangle 293">
          <a:extLst>
            <a:ext uri="{FF2B5EF4-FFF2-40B4-BE49-F238E27FC236}">
              <a16:creationId xmlns:a16="http://schemas.microsoft.com/office/drawing/2014/main" id="{00000000-0008-0000-0500-0000DB41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344540" name="Rectangle 2">
          <a:extLst>
            <a:ext uri="{FF2B5EF4-FFF2-40B4-BE49-F238E27FC236}">
              <a16:creationId xmlns:a16="http://schemas.microsoft.com/office/drawing/2014/main" id="{00000000-0008-0000-0500-0000DC41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344541" name="Rectangle 293">
          <a:extLst>
            <a:ext uri="{FF2B5EF4-FFF2-40B4-BE49-F238E27FC236}">
              <a16:creationId xmlns:a16="http://schemas.microsoft.com/office/drawing/2014/main" id="{00000000-0008-0000-0500-0000DD41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344542" name="Rectangle 2">
          <a:extLst>
            <a:ext uri="{FF2B5EF4-FFF2-40B4-BE49-F238E27FC236}">
              <a16:creationId xmlns:a16="http://schemas.microsoft.com/office/drawing/2014/main" id="{00000000-0008-0000-0500-0000DE41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344543" name="Rectangle 293">
          <a:extLst>
            <a:ext uri="{FF2B5EF4-FFF2-40B4-BE49-F238E27FC236}">
              <a16:creationId xmlns:a16="http://schemas.microsoft.com/office/drawing/2014/main" id="{00000000-0008-0000-0500-0000DF41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4</xdr:col>
      <xdr:colOff>0</xdr:colOff>
      <xdr:row>78</xdr:row>
      <xdr:rowOff>28575</xdr:rowOff>
    </xdr:to>
    <xdr:sp textlink="">
      <xdr:nvSpPr>
        <xdr:cNvPr id="344544" name="フリーフォーム 342">
          <a:extLst>
            <a:ext uri="{FF2B5EF4-FFF2-40B4-BE49-F238E27FC236}">
              <a16:creationId xmlns:a16="http://schemas.microsoft.com/office/drawing/2014/main" id="{00000000-0008-0000-0500-0000E0410500}"/>
            </a:ext>
          </a:extLst>
        </xdr:cNvPr>
        <xdr:cNvSpPr>
          <a:spLocks noChangeArrowheads="1"/>
        </xdr:cNvSpPr>
      </xdr:nvSpPr>
      <xdr:spPr bwMode="auto">
        <a:xfrm>
          <a:off x="733425" y="6962775"/>
          <a:ext cx="276225" cy="190500"/>
        </a:xfrm>
        <a:custGeom>
          <a:avLst/>
          <a:gdLst>
            <a:gd name="T0" fmla="*/ 0 w 272143"/>
            <a:gd name="T1" fmla="*/ 0 h 185057"/>
            <a:gd name="T2" fmla="*/ 383656 w 272143"/>
            <a:gd name="T3" fmla="*/ 0 h 185057"/>
            <a:gd name="T4" fmla="*/ 541634 w 272143"/>
            <a:gd name="T5" fmla="*/ 297802 h 185057"/>
            <a:gd name="T6" fmla="*/ 564201 w 272143"/>
            <a:gd name="T7" fmla="*/ 340334 h 185057"/>
            <a:gd name="T8" fmla="*/ 383656 w 272143"/>
            <a:gd name="T9" fmla="*/ 723228 h 185057"/>
            <a:gd name="T10" fmla="*/ 11283 w 272143"/>
            <a:gd name="T11" fmla="*/ 72322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344545" name="Rectangle 2">
          <a:extLst>
            <a:ext uri="{FF2B5EF4-FFF2-40B4-BE49-F238E27FC236}">
              <a16:creationId xmlns:a16="http://schemas.microsoft.com/office/drawing/2014/main" id="{00000000-0008-0000-0500-0000E141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344546" name="Rectangle 293">
          <a:extLst>
            <a:ext uri="{FF2B5EF4-FFF2-40B4-BE49-F238E27FC236}">
              <a16:creationId xmlns:a16="http://schemas.microsoft.com/office/drawing/2014/main" id="{00000000-0008-0000-0500-0000E241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344547" name="Rectangle 2">
          <a:extLst>
            <a:ext uri="{FF2B5EF4-FFF2-40B4-BE49-F238E27FC236}">
              <a16:creationId xmlns:a16="http://schemas.microsoft.com/office/drawing/2014/main" id="{00000000-0008-0000-0500-0000E341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344548" name="Rectangle 293">
          <a:extLst>
            <a:ext uri="{FF2B5EF4-FFF2-40B4-BE49-F238E27FC236}">
              <a16:creationId xmlns:a16="http://schemas.microsoft.com/office/drawing/2014/main" id="{00000000-0008-0000-0500-0000E441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textlink="">
      <xdr:nvSpPr>
        <xdr:cNvPr id="344549" name="フリーフォーム 350">
          <a:extLst>
            <a:ext uri="{FF2B5EF4-FFF2-40B4-BE49-F238E27FC236}">
              <a16:creationId xmlns:a16="http://schemas.microsoft.com/office/drawing/2014/main" id="{00000000-0008-0000-0500-0000E5410500}"/>
            </a:ext>
          </a:extLst>
        </xdr:cNvPr>
        <xdr:cNvSpPr>
          <a:spLocks noChangeArrowheads="1"/>
        </xdr:cNvSpPr>
      </xdr:nvSpPr>
      <xdr:spPr bwMode="auto">
        <a:xfrm>
          <a:off x="733425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344550" name="Rectangle 2">
          <a:extLst>
            <a:ext uri="{FF2B5EF4-FFF2-40B4-BE49-F238E27FC236}">
              <a16:creationId xmlns:a16="http://schemas.microsoft.com/office/drawing/2014/main" id="{00000000-0008-0000-0500-0000E641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344551" name="Rectangle 293">
          <a:extLst>
            <a:ext uri="{FF2B5EF4-FFF2-40B4-BE49-F238E27FC236}">
              <a16:creationId xmlns:a16="http://schemas.microsoft.com/office/drawing/2014/main" id="{00000000-0008-0000-0500-0000E741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344552" name="フリーフォーム 354">
          <a:extLst>
            <a:ext uri="{FF2B5EF4-FFF2-40B4-BE49-F238E27FC236}">
              <a16:creationId xmlns:a16="http://schemas.microsoft.com/office/drawing/2014/main" id="{00000000-0008-0000-0500-0000E841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344553" name="Rectangle 2">
          <a:extLst>
            <a:ext uri="{FF2B5EF4-FFF2-40B4-BE49-F238E27FC236}">
              <a16:creationId xmlns:a16="http://schemas.microsoft.com/office/drawing/2014/main" id="{00000000-0008-0000-0500-0000E941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344554" name="Rectangle 293">
          <a:extLst>
            <a:ext uri="{FF2B5EF4-FFF2-40B4-BE49-F238E27FC236}">
              <a16:creationId xmlns:a16="http://schemas.microsoft.com/office/drawing/2014/main" id="{00000000-0008-0000-0500-0000EA41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344555" name="Rectangle 2">
          <a:extLst>
            <a:ext uri="{FF2B5EF4-FFF2-40B4-BE49-F238E27FC236}">
              <a16:creationId xmlns:a16="http://schemas.microsoft.com/office/drawing/2014/main" id="{00000000-0008-0000-0500-0000EB41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344556" name="Rectangle 285">
          <a:extLst>
            <a:ext uri="{FF2B5EF4-FFF2-40B4-BE49-F238E27FC236}">
              <a16:creationId xmlns:a16="http://schemas.microsoft.com/office/drawing/2014/main" id="{00000000-0008-0000-0500-0000EC41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textlink="">
      <xdr:nvSpPr>
        <xdr:cNvPr id="344557" name="フリーフォーム 362">
          <a:extLst>
            <a:ext uri="{FF2B5EF4-FFF2-40B4-BE49-F238E27FC236}">
              <a16:creationId xmlns:a16="http://schemas.microsoft.com/office/drawing/2014/main" id="{00000000-0008-0000-0500-0000ED410500}"/>
            </a:ext>
          </a:extLst>
        </xdr:cNvPr>
        <xdr:cNvSpPr>
          <a:spLocks noChangeArrowheads="1"/>
        </xdr:cNvSpPr>
      </xdr:nvSpPr>
      <xdr:spPr bwMode="auto">
        <a:xfrm>
          <a:off x="723900" y="1476375"/>
          <a:ext cx="276225" cy="180975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344558" name="Rectangle 2">
          <a:extLst>
            <a:ext uri="{FF2B5EF4-FFF2-40B4-BE49-F238E27FC236}">
              <a16:creationId xmlns:a16="http://schemas.microsoft.com/office/drawing/2014/main" id="{00000000-0008-0000-0500-0000EE41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44560" name="Oval 51">
          <a:extLst>
            <a:ext uri="{FF2B5EF4-FFF2-40B4-BE49-F238E27FC236}">
              <a16:creationId xmlns:a16="http://schemas.microsoft.com/office/drawing/2014/main" id="{00000000-0008-0000-0500-0000F041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2" name="Oval 5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171450" y="8231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105</xdr:row>
      <xdr:rowOff>85725</xdr:rowOff>
    </xdr:from>
    <xdr:to>
      <xdr:col>1</xdr:col>
      <xdr:colOff>476250</xdr:colOff>
      <xdr:row>110</xdr:row>
      <xdr:rowOff>104775</xdr:rowOff>
    </xdr:to>
    <xdr:sp textlink="">
      <xdr:nvSpPr>
        <xdr:cNvPr id="3" name="Oval 5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171450" y="8231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146584</xdr:colOff>
      <xdr:row>11</xdr:row>
      <xdr:rowOff>35092</xdr:rowOff>
    </xdr:from>
    <xdr:to>
      <xdr:col>7</xdr:col>
      <xdr:colOff>80211</xdr:colOff>
      <xdr:row>12</xdr:row>
      <xdr:rowOff>1905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 bwMode="auto">
        <a:xfrm flipV="1">
          <a:off x="993808" y="1544053"/>
          <a:ext cx="655521" cy="6918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11</xdr:col>
      <xdr:colOff>41672</xdr:colOff>
      <xdr:row>12</xdr:row>
      <xdr:rowOff>4385</xdr:rowOff>
    </xdr:from>
    <xdr:to>
      <xdr:col>14</xdr:col>
      <xdr:colOff>3532</xdr:colOff>
      <xdr:row>12</xdr:row>
      <xdr:rowOff>5953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 bwMode="auto">
        <a:xfrm flipV="1">
          <a:off x="2315766" y="1552198"/>
          <a:ext cx="497641" cy="1568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160420</xdr:colOff>
      <xdr:row>20</xdr:row>
      <xdr:rowOff>1905</xdr:rowOff>
    </xdr:from>
    <xdr:to>
      <xdr:col>7</xdr:col>
      <xdr:colOff>40106</xdr:colOff>
      <xdr:row>20</xdr:row>
      <xdr:rowOff>5013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CxnSpPr/>
      </xdr:nvCxnSpPr>
      <xdr:spPr bwMode="auto">
        <a:xfrm>
          <a:off x="1007644" y="2242787"/>
          <a:ext cx="601580" cy="3108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110289</xdr:colOff>
      <xdr:row>20</xdr:row>
      <xdr:rowOff>5013</xdr:rowOff>
    </xdr:from>
    <xdr:to>
      <xdr:col>14</xdr:col>
      <xdr:colOff>10451</xdr:colOff>
      <xdr:row>20</xdr:row>
      <xdr:rowOff>6918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CxnSpPr/>
      </xdr:nvCxnSpPr>
      <xdr:spPr bwMode="auto">
        <a:xfrm>
          <a:off x="2040355" y="2245895"/>
          <a:ext cx="802530" cy="190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3108</xdr:colOff>
      <xdr:row>27</xdr:row>
      <xdr:rowOff>35092</xdr:rowOff>
    </xdr:from>
    <xdr:to>
      <xdr:col>8</xdr:col>
      <xdr:colOff>5013</xdr:colOff>
      <xdr:row>28</xdr:row>
      <xdr:rowOff>1905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CxnSpPr/>
      </xdr:nvCxnSpPr>
      <xdr:spPr bwMode="auto">
        <a:xfrm flipV="1">
          <a:off x="1030805" y="2927684"/>
          <a:ext cx="723800" cy="6918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115251</xdr:colOff>
      <xdr:row>29</xdr:row>
      <xdr:rowOff>13811</xdr:rowOff>
    </xdr:from>
    <xdr:to>
      <xdr:col>14</xdr:col>
      <xdr:colOff>1914</xdr:colOff>
      <xdr:row>29</xdr:row>
      <xdr:rowOff>16682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CxnSpPr/>
      </xdr:nvCxnSpPr>
      <xdr:spPr bwMode="auto">
        <a:xfrm>
          <a:off x="1853564" y="2954655"/>
          <a:ext cx="958225" cy="287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171651</xdr:colOff>
      <xdr:row>36</xdr:row>
      <xdr:rowOff>0</xdr:rowOff>
    </xdr:from>
    <xdr:to>
      <xdr:col>11</xdr:col>
      <xdr:colOff>95250</xdr:colOff>
      <xdr:row>36</xdr:row>
      <xdr:rowOff>8823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CxnSpPr/>
      </xdr:nvCxnSpPr>
      <xdr:spPr bwMode="auto">
        <a:xfrm flipV="1">
          <a:off x="1016995" y="3583781"/>
          <a:ext cx="1352349" cy="8823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174257</xdr:colOff>
      <xdr:row>43</xdr:row>
      <xdr:rowOff>35718</xdr:rowOff>
    </xdr:from>
    <xdr:to>
      <xdr:col>9</xdr:col>
      <xdr:colOff>113110</xdr:colOff>
      <xdr:row>44</xdr:row>
      <xdr:rowOff>8823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CxnSpPr/>
      </xdr:nvCxnSpPr>
      <xdr:spPr bwMode="auto">
        <a:xfrm flipV="1">
          <a:off x="1019601" y="4262437"/>
          <a:ext cx="1010415" cy="8824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173054</xdr:colOff>
      <xdr:row>52</xdr:row>
      <xdr:rowOff>0</xdr:rowOff>
    </xdr:from>
    <xdr:to>
      <xdr:col>8</xdr:col>
      <xdr:colOff>101203</xdr:colOff>
      <xdr:row>52</xdr:row>
      <xdr:rowOff>1278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CxnSpPr/>
      </xdr:nvCxnSpPr>
      <xdr:spPr bwMode="auto">
        <a:xfrm flipV="1">
          <a:off x="1018398" y="4941094"/>
          <a:ext cx="821118" cy="1278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172352</xdr:colOff>
      <xdr:row>60</xdr:row>
      <xdr:rowOff>0</xdr:rowOff>
    </xdr:from>
    <xdr:to>
      <xdr:col>7</xdr:col>
      <xdr:colOff>136922</xdr:colOff>
      <xdr:row>60</xdr:row>
      <xdr:rowOff>1279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CxnSpPr/>
      </xdr:nvCxnSpPr>
      <xdr:spPr bwMode="auto">
        <a:xfrm flipV="1">
          <a:off x="1017696" y="5619750"/>
          <a:ext cx="678945" cy="1279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173054</xdr:colOff>
      <xdr:row>67</xdr:row>
      <xdr:rowOff>23812</xdr:rowOff>
    </xdr:from>
    <xdr:to>
      <xdr:col>6</xdr:col>
      <xdr:colOff>11906</xdr:colOff>
      <xdr:row>67</xdr:row>
      <xdr:rowOff>28174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CxnSpPr/>
      </xdr:nvCxnSpPr>
      <xdr:spPr bwMode="auto">
        <a:xfrm flipV="1">
          <a:off x="1018398" y="6286500"/>
          <a:ext cx="374633" cy="4362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0</xdr:colOff>
      <xdr:row>69</xdr:row>
      <xdr:rowOff>20491</xdr:rowOff>
    </xdr:from>
    <xdr:to>
      <xdr:col>14</xdr:col>
      <xdr:colOff>12117</xdr:colOff>
      <xdr:row>69</xdr:row>
      <xdr:rowOff>33130</xdr:rowOff>
    </xdr:to>
    <xdr:cxnSp macro="">
      <xdr:nvCxnSpPr>
        <xdr:cNvPr id="344288" name="直線コネクタ 344287">
          <a:extLst>
            <a:ext uri="{FF2B5EF4-FFF2-40B4-BE49-F238E27FC236}">
              <a16:creationId xmlns:a16="http://schemas.microsoft.com/office/drawing/2014/main" id="{00000000-0008-0000-0500-0000E0400500}"/>
            </a:ext>
          </a:extLst>
        </xdr:cNvPr>
        <xdr:cNvCxnSpPr/>
      </xdr:nvCxnSpPr>
      <xdr:spPr bwMode="auto">
        <a:xfrm flipV="1">
          <a:off x="1921565" y="6480926"/>
          <a:ext cx="923204" cy="12639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173555</xdr:colOff>
      <xdr:row>75</xdr:row>
      <xdr:rowOff>35718</xdr:rowOff>
    </xdr:from>
    <xdr:to>
      <xdr:col>10</xdr:col>
      <xdr:colOff>5953</xdr:colOff>
      <xdr:row>76</xdr:row>
      <xdr:rowOff>1906</xdr:rowOff>
    </xdr:to>
    <xdr:cxnSp macro="">
      <xdr:nvCxnSpPr>
        <xdr:cNvPr id="344290" name="直線コネクタ 344289">
          <a:extLst>
            <a:ext uri="{FF2B5EF4-FFF2-40B4-BE49-F238E27FC236}">
              <a16:creationId xmlns:a16="http://schemas.microsoft.com/office/drawing/2014/main" id="{00000000-0008-0000-0500-0000E2400500}"/>
            </a:ext>
          </a:extLst>
        </xdr:cNvPr>
        <xdr:cNvCxnSpPr/>
      </xdr:nvCxnSpPr>
      <xdr:spPr bwMode="auto">
        <a:xfrm flipV="1">
          <a:off x="1018899" y="6977062"/>
          <a:ext cx="1082554" cy="1907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3872</xdr:colOff>
      <xdr:row>60</xdr:row>
      <xdr:rowOff>17861</xdr:rowOff>
    </xdr:from>
    <xdr:to>
      <xdr:col>13</xdr:col>
      <xdr:colOff>178013</xdr:colOff>
      <xdr:row>60</xdr:row>
      <xdr:rowOff>17861</xdr:rowOff>
    </xdr:to>
    <xdr:cxnSp macro="">
      <xdr:nvCxnSpPr>
        <xdr:cNvPr id="344292" name="直線コネクタ 344291">
          <a:extLst>
            <a:ext uri="{FF2B5EF4-FFF2-40B4-BE49-F238E27FC236}">
              <a16:creationId xmlns:a16="http://schemas.microsoft.com/office/drawing/2014/main" id="{00000000-0008-0000-0500-0000E4400500}"/>
            </a:ext>
          </a:extLst>
        </xdr:cNvPr>
        <xdr:cNvCxnSpPr/>
      </xdr:nvCxnSpPr>
      <xdr:spPr bwMode="auto">
        <a:xfrm>
          <a:off x="1753994" y="5709629"/>
          <a:ext cx="1084050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168541</xdr:colOff>
      <xdr:row>84</xdr:row>
      <xdr:rowOff>1904</xdr:rowOff>
    </xdr:from>
    <xdr:to>
      <xdr:col>7</xdr:col>
      <xdr:colOff>35718</xdr:colOff>
      <xdr:row>84</xdr:row>
      <xdr:rowOff>5953</xdr:rowOff>
    </xdr:to>
    <xdr:cxnSp macro="">
      <xdr:nvCxnSpPr>
        <xdr:cNvPr id="344294" name="直線コネクタ 344293">
          <a:extLst>
            <a:ext uri="{FF2B5EF4-FFF2-40B4-BE49-F238E27FC236}">
              <a16:creationId xmlns:a16="http://schemas.microsoft.com/office/drawing/2014/main" id="{00000000-0008-0000-0500-0000E6400500}"/>
            </a:ext>
          </a:extLst>
        </xdr:cNvPr>
        <xdr:cNvCxnSpPr/>
      </xdr:nvCxnSpPr>
      <xdr:spPr bwMode="auto">
        <a:xfrm>
          <a:off x="1013885" y="7657623"/>
          <a:ext cx="581552" cy="4049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165434</xdr:colOff>
      <xdr:row>92</xdr:row>
      <xdr:rowOff>1905</xdr:rowOff>
    </xdr:from>
    <xdr:to>
      <xdr:col>8</xdr:col>
      <xdr:colOff>5953</xdr:colOff>
      <xdr:row>92</xdr:row>
      <xdr:rowOff>5953</xdr:rowOff>
    </xdr:to>
    <xdr:cxnSp macro="">
      <xdr:nvCxnSpPr>
        <xdr:cNvPr id="344296" name="直線コネクタ 344295">
          <a:extLst>
            <a:ext uri="{FF2B5EF4-FFF2-40B4-BE49-F238E27FC236}">
              <a16:creationId xmlns:a16="http://schemas.microsoft.com/office/drawing/2014/main" id="{00000000-0008-0000-0500-0000E8400500}"/>
            </a:ext>
          </a:extLst>
        </xdr:cNvPr>
        <xdr:cNvCxnSpPr/>
      </xdr:nvCxnSpPr>
      <xdr:spPr bwMode="auto">
        <a:xfrm>
          <a:off x="1010778" y="8336280"/>
          <a:ext cx="733488" cy="4048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167840</xdr:colOff>
      <xdr:row>100</xdr:row>
      <xdr:rowOff>5953</xdr:rowOff>
    </xdr:from>
    <xdr:to>
      <xdr:col>10</xdr:col>
      <xdr:colOff>172641</xdr:colOff>
      <xdr:row>100</xdr:row>
      <xdr:rowOff>10728</xdr:rowOff>
    </xdr:to>
    <xdr:cxnSp macro="">
      <xdr:nvCxnSpPr>
        <xdr:cNvPr id="344297" name="直線コネクタ 344296">
          <a:extLst>
            <a:ext uri="{FF2B5EF4-FFF2-40B4-BE49-F238E27FC236}">
              <a16:creationId xmlns:a16="http://schemas.microsoft.com/office/drawing/2014/main" id="{00000000-0008-0000-0500-0000E9400500}"/>
            </a:ext>
          </a:extLst>
        </xdr:cNvPr>
        <xdr:cNvCxnSpPr/>
      </xdr:nvCxnSpPr>
      <xdr:spPr bwMode="auto">
        <a:xfrm flipV="1">
          <a:off x="1013184" y="9018984"/>
          <a:ext cx="1254957" cy="477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168542</xdr:colOff>
      <xdr:row>107</xdr:row>
      <xdr:rowOff>35718</xdr:rowOff>
    </xdr:from>
    <xdr:to>
      <xdr:col>11</xdr:col>
      <xdr:colOff>125015</xdr:colOff>
      <xdr:row>108</xdr:row>
      <xdr:rowOff>1279</xdr:rowOff>
    </xdr:to>
    <xdr:cxnSp macro="">
      <xdr:nvCxnSpPr>
        <xdr:cNvPr id="344299" name="直線コネクタ 344298">
          <a:extLst>
            <a:ext uri="{FF2B5EF4-FFF2-40B4-BE49-F238E27FC236}">
              <a16:creationId xmlns:a16="http://schemas.microsoft.com/office/drawing/2014/main" id="{00000000-0008-0000-0500-0000EB400500}"/>
            </a:ext>
          </a:extLst>
        </xdr:cNvPr>
        <xdr:cNvCxnSpPr/>
      </xdr:nvCxnSpPr>
      <xdr:spPr bwMode="auto">
        <a:xfrm flipV="1">
          <a:off x="1013886" y="9691687"/>
          <a:ext cx="1385223" cy="128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41672</xdr:colOff>
      <xdr:row>84</xdr:row>
      <xdr:rowOff>5953</xdr:rowOff>
    </xdr:from>
    <xdr:to>
      <xdr:col>14</xdr:col>
      <xdr:colOff>16782</xdr:colOff>
      <xdr:row>84</xdr:row>
      <xdr:rowOff>15716</xdr:rowOff>
    </xdr:to>
    <xdr:cxnSp macro="">
      <xdr:nvCxnSpPr>
        <xdr:cNvPr id="344295" name="直線コネクタ 344294">
          <a:extLst>
            <a:ext uri="{FF2B5EF4-FFF2-40B4-BE49-F238E27FC236}">
              <a16:creationId xmlns:a16="http://schemas.microsoft.com/office/drawing/2014/main" id="{00000000-0008-0000-0500-0000E7400500}"/>
            </a:ext>
          </a:extLst>
        </xdr:cNvPr>
        <xdr:cNvCxnSpPr/>
      </xdr:nvCxnSpPr>
      <xdr:spPr bwMode="auto">
        <a:xfrm>
          <a:off x="1958578" y="7661672"/>
          <a:ext cx="868079" cy="9763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11</xdr:col>
      <xdr:colOff>11906</xdr:colOff>
      <xdr:row>92</xdr:row>
      <xdr:rowOff>5953</xdr:rowOff>
    </xdr:from>
    <xdr:to>
      <xdr:col>14</xdr:col>
      <xdr:colOff>7019</xdr:colOff>
      <xdr:row>92</xdr:row>
      <xdr:rowOff>6655</xdr:rowOff>
    </xdr:to>
    <xdr:cxnSp macro="">
      <xdr:nvCxnSpPr>
        <xdr:cNvPr id="344301" name="直線コネクタ 344300">
          <a:extLst>
            <a:ext uri="{FF2B5EF4-FFF2-40B4-BE49-F238E27FC236}">
              <a16:creationId xmlns:a16="http://schemas.microsoft.com/office/drawing/2014/main" id="{00000000-0008-0000-0500-0000ED400500}"/>
            </a:ext>
          </a:extLst>
        </xdr:cNvPr>
        <xdr:cNvCxnSpPr/>
      </xdr:nvCxnSpPr>
      <xdr:spPr bwMode="auto">
        <a:xfrm flipV="1">
          <a:off x="2286000" y="8340328"/>
          <a:ext cx="530894" cy="702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681990" y="1301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textlink="">
      <xdr:nvSpPr>
        <xdr:cNvPr id="3" name="Oval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171450" y="1373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textlink="">
      <xdr:nvSpPr>
        <xdr:cNvPr id="4" name="Oval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171450" y="20593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5" name="Oval 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171450" y="27451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6" name="Oval 8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171450" y="34309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7" name="Oval 12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171450" y="61741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8" name="Oval 13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171450" y="68599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10" name="Oval 30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171450" y="41167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11" name="Oval 3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171450" y="4802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12" name="Oval 5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171450" y="75457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13" name="Oval 81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171450" y="54883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4" name="AutoShape 102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5" name="Rectangle 103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6" name="Oval 104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7" name="AutoShape 105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8" name="Rectangle 106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9" name="Oval 107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20" name="AutoShape 108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21" name="Rectangle 109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22" name="Oval 110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23" name="AutoShape 111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24" name="Rectangle 112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25" name="Oval 113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26" name="AutoShape 114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27" name="Rectangle 115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28" name="Oval 116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29" name="AutoShape 117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30" name="Rectangle 118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31" name="Oval 119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32" name="AutoShape 120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33" name="Rectangle 121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34" name="Oval 122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35" name="AutoShape 123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36" name="Rectangle 124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37" name="Oval 125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38" name="AutoShape 126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39" name="Rectangle 127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40" name="Oval 128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41" name="AutoShape 129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42" name="Rectangle 130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43" name="Oval 131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44" name="AutoShape 132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45" name="Rectangle 133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46" name="Oval 134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47" name="AutoShape 135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48" name="Rectangle 136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49" name="Oval 137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50" name="AutoShape 138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51" name="Rectangle 139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52" name="Oval 140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53" name="Rectangle 141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54" name="AutoShape 142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55" name="Rectangle 143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56" name="Oval 144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57" name="AutoShape 145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58" name="Rectangle 146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59" name="Oval 147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60" name="AutoShape 148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61" name="Rectangle 149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62" name="Oval 150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63" name="Oval 151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64" name="Oval 152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65" name="Oval 153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66" name="AutoShape 154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67" name="Rectangle 155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68" name="Oval 156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69" name="Oval 157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70" name="Oval 158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71" name="Oval 159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72" name="AutoShape 160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73" name="Rectangle 161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74" name="Oval 162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75" name="Oval 163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76" name="Oval 164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77" name="Oval 165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78" name="AutoShape 166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79" name="Rectangle 167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80" name="Oval 168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81" name="Oval 169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82" name="Oval 170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83" name="Oval 171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84" name="AutoShape 172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85" name="Rectangle 173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86" name="Oval 174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87" name="Oval 175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88" name="Oval 176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89" name="Oval 177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90" name="AutoShape 178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91" name="Rectangle 179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92" name="Oval 180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93" name="Oval 181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94" name="Oval 182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95" name="Oval 183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96" name="AutoShape 184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97" name="Rectangle 185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98" name="Oval 186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99" name="Oval 187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00" name="Oval 188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01" name="Oval 189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02" name="AutoShape 190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03" name="Rectangle 191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04" name="Oval 192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05" name="Oval 193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06" name="Oval 194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07" name="Oval 195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08" name="AutoShape 196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09" name="Rectangle 197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10" name="Oval 198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11" name="Oval 199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12" name="Oval 200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13" name="Oval 201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14" name="AutoShape 202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15" name="Rectangle 203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16" name="Oval 204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17" name="Oval 205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18" name="Oval 206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19" name="Oval 207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20" name="AutoShape 208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21" name="Rectangle 209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22" name="Oval 210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23" name="Oval 211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24" name="Oval 212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25" name="Oval 213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26" name="AutoShape 214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27" name="Rectangle 215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28" name="Oval 216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29" name="Oval 217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30" name="Oval 218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31" name="Oval 219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32" name="AutoShape 220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33" name="Rectangle 221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34" name="Oval 222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35" name="Oval 223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36" name="Oval 224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37" name="Oval 225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38" name="AutoShape 226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39" name="Rectangle 227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40" name="Oval 228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41" name="Oval 229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42" name="Oval 230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43" name="Oval 231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44" name="AutoShape 232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45" name="Rectangle 233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46" name="Oval 234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47" name="Oval 235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48" name="Oval 236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49" name="Oval 237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50" name="AutoShape 238"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51" name="Rectangle 239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52" name="Oval 240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53" name="Oval 241"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54" name="Oval 242"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55" name="Oval 243"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56" name="AutoShape 244"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57" name="Rectangle 245"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58" name="Oval 246"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59" name="Oval 247"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60" name="Oval 248"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61" name="Oval 249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62" name="AutoShape 250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63" name="Rectangle 251"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64" name="Oval 252"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65" name="Oval 253"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66" name="Oval 254"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67" name="Oval 255"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68" name="AutoShape 256"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69" name="Rectangle 257"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70" name="Oval 258"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71" name="Oval 259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72" name="Oval 260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73" name="Oval 261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74" name="AutoShape 262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75" name="Rectangle 263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76" name="Oval 264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77" name="Oval 265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78" name="Oval 266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79" name="Oval 267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80" name="AutoShape 268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81" name="Rectangle 269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82" name="Oval 270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83" name="Oval 271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84" name="Oval 272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85" name="Oval 273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86" name="Rectangle 274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87" name="Oval 275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88" name="Oval 276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89" name="Oval 277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90" name="Oval 278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91" name="Rectangle 279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92" name="Oval 280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93" name="Oval 281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94" name="Oval 282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95" name="Oval 283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196" name="Rectangle 285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SpPr>
          <a:spLocks noChangeArrowheads="1"/>
        </xdr:cNvSpPr>
      </xdr:nvSpPr>
      <xdr:spPr bwMode="auto">
        <a:xfrm>
          <a:off x="681990" y="1986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197" name="Rectangle 287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SpPr>
          <a:spLocks noChangeArrowheads="1"/>
        </xdr:cNvSpPr>
      </xdr:nvSpPr>
      <xdr:spPr bwMode="auto">
        <a:xfrm>
          <a:off x="681990" y="2672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198" name="Rectangle 289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SpPr>
          <a:spLocks noChangeArrowheads="1"/>
        </xdr:cNvSpPr>
      </xdr:nvSpPr>
      <xdr:spPr bwMode="auto">
        <a:xfrm>
          <a:off x="681990" y="3358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199" name="Rectangle 291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SpPr>
          <a:spLocks noChangeArrowheads="1"/>
        </xdr:cNvSpPr>
      </xdr:nvSpPr>
      <xdr:spPr bwMode="auto">
        <a:xfrm>
          <a:off x="681990" y="4044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200" name="Rectangle 293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SpPr>
          <a:spLocks noChangeArrowheads="1"/>
        </xdr:cNvSpPr>
      </xdr:nvSpPr>
      <xdr:spPr bwMode="auto">
        <a:xfrm>
          <a:off x="681990" y="4730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01" name="Rectangle 295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SpPr>
          <a:spLocks noChangeArrowheads="1"/>
        </xdr:cNvSpPr>
      </xdr:nvSpPr>
      <xdr:spPr bwMode="auto">
        <a:xfrm>
          <a:off x="681990" y="5415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02" name="Rectangle 297"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SpPr>
          <a:spLocks noChangeArrowheads="1"/>
        </xdr:cNvSpPr>
      </xdr:nvSpPr>
      <xdr:spPr bwMode="auto">
        <a:xfrm>
          <a:off x="681990" y="6101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03" name="Rectangle 299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SpPr>
          <a:spLocks noChangeArrowheads="1"/>
        </xdr:cNvSpPr>
      </xdr:nvSpPr>
      <xdr:spPr bwMode="auto">
        <a:xfrm>
          <a:off x="681990" y="6787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04" name="Rectangle 301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SpPr>
          <a:spLocks noChangeArrowheads="1"/>
        </xdr:cNvSpPr>
      </xdr:nvSpPr>
      <xdr:spPr bwMode="auto">
        <a:xfrm>
          <a:off x="681990" y="7473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05" name="Rectangle 303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SpPr>
          <a:spLocks noChangeArrowheads="1"/>
        </xdr:cNvSpPr>
      </xdr:nvSpPr>
      <xdr:spPr bwMode="auto">
        <a:xfrm>
          <a:off x="681990" y="8159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06" name="Rectangle 305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SpPr>
          <a:spLocks noChangeArrowheads="1"/>
        </xdr:cNvSpPr>
      </xdr:nvSpPr>
      <xdr:spPr bwMode="auto">
        <a:xfrm>
          <a:off x="681990" y="8844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textlink="">
      <xdr:nvSpPr>
        <xdr:cNvPr id="208" name="フリーフォーム 311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SpPr>
          <a:spLocks noChangeArrowheads="1"/>
        </xdr:cNvSpPr>
      </xdr:nvSpPr>
      <xdr:spPr bwMode="auto">
        <a:xfrm>
          <a:off x="742950" y="2150745"/>
          <a:ext cx="272415" cy="179070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textlink="">
      <xdr:nvSpPr>
        <xdr:cNvPr id="209" name="フリーフォーム 312">
          <a:extLst>
            <a:ext uri="{FF2B5EF4-FFF2-40B4-BE49-F238E27FC236}">
              <a16:creationId xmlns:a16="http://schemas.microsoft.com/office/drawing/2014/main" id="{00000000-0008-0000-0600-0000D1000000}"/>
            </a:ext>
          </a:extLst>
        </xdr:cNvPr>
        <xdr:cNvSpPr>
          <a:spLocks noChangeArrowheads="1"/>
        </xdr:cNvSpPr>
      </xdr:nvSpPr>
      <xdr:spPr bwMode="auto">
        <a:xfrm>
          <a:off x="758190" y="2836545"/>
          <a:ext cx="281940" cy="190500"/>
        </a:xfrm>
        <a:custGeom>
          <a:avLst/>
          <a:gdLst>
            <a:gd name="T0" fmla="*/ 0 w 272143"/>
            <a:gd name="T1" fmla="*/ 0 h 185057"/>
            <a:gd name="T2" fmla="*/ 385332 w 272143"/>
            <a:gd name="T3" fmla="*/ 0 h 185057"/>
            <a:gd name="T4" fmla="*/ 544000 w 272143"/>
            <a:gd name="T5" fmla="*/ 279321 h 185057"/>
            <a:gd name="T6" fmla="*/ 566665 w 272143"/>
            <a:gd name="T7" fmla="*/ 319227 h 185057"/>
            <a:gd name="T8" fmla="*/ 385332 w 272143"/>
            <a:gd name="T9" fmla="*/ 678369 h 185057"/>
            <a:gd name="T10" fmla="*/ 11331 w 272143"/>
            <a:gd name="T11" fmla="*/ 678369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textlink="">
      <xdr:nvSpPr>
        <xdr:cNvPr id="210" name="フリーフォーム 313">
          <a:extLst>
            <a:ext uri="{FF2B5EF4-FFF2-40B4-BE49-F238E27FC236}">
              <a16:creationId xmlns:a16="http://schemas.microsoft.com/office/drawing/2014/main" id="{00000000-0008-0000-0600-0000D2000000}"/>
            </a:ext>
          </a:extLst>
        </xdr:cNvPr>
        <xdr:cNvSpPr>
          <a:spLocks noChangeArrowheads="1"/>
        </xdr:cNvSpPr>
      </xdr:nvSpPr>
      <xdr:spPr bwMode="auto">
        <a:xfrm>
          <a:off x="758190" y="3533775"/>
          <a:ext cx="281940" cy="17907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textlink="">
      <xdr:nvSpPr>
        <xdr:cNvPr id="211" name="フリーフォーム 314">
          <a:extLst>
            <a:ext uri="{FF2B5EF4-FFF2-40B4-BE49-F238E27FC236}">
              <a16:creationId xmlns:a16="http://schemas.microsoft.com/office/drawing/2014/main" id="{00000000-0008-0000-0600-0000D3000000}"/>
            </a:ext>
          </a:extLst>
        </xdr:cNvPr>
        <xdr:cNvSpPr>
          <a:spLocks noChangeArrowheads="1"/>
        </xdr:cNvSpPr>
      </xdr:nvSpPr>
      <xdr:spPr bwMode="auto">
        <a:xfrm>
          <a:off x="754380" y="42081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textlink="">
      <xdr:nvSpPr>
        <xdr:cNvPr id="212" name="フリーフォーム 315">
          <a:extLst>
            <a:ext uri="{FF2B5EF4-FFF2-40B4-BE49-F238E27FC236}">
              <a16:creationId xmlns:a16="http://schemas.microsoft.com/office/drawing/2014/main" id="{00000000-0008-0000-0600-0000D4000000}"/>
            </a:ext>
          </a:extLst>
        </xdr:cNvPr>
        <xdr:cNvSpPr>
          <a:spLocks noChangeArrowheads="1"/>
        </xdr:cNvSpPr>
      </xdr:nvSpPr>
      <xdr:spPr bwMode="auto">
        <a:xfrm>
          <a:off x="754380" y="48939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textlink="">
      <xdr:nvSpPr>
        <xdr:cNvPr id="213" name="フリーフォーム 316">
          <a:extLst>
            <a:ext uri="{FF2B5EF4-FFF2-40B4-BE49-F238E27FC236}">
              <a16:creationId xmlns:a16="http://schemas.microsoft.com/office/drawing/2014/main" id="{00000000-0008-0000-0600-0000D5000000}"/>
            </a:ext>
          </a:extLst>
        </xdr:cNvPr>
        <xdr:cNvSpPr>
          <a:spLocks noChangeArrowheads="1"/>
        </xdr:cNvSpPr>
      </xdr:nvSpPr>
      <xdr:spPr bwMode="auto">
        <a:xfrm>
          <a:off x="754380" y="55683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textlink="">
      <xdr:nvSpPr>
        <xdr:cNvPr id="214" name="フリーフォーム 317">
          <a:extLst>
            <a:ext uri="{FF2B5EF4-FFF2-40B4-BE49-F238E27FC236}">
              <a16:creationId xmlns:a16="http://schemas.microsoft.com/office/drawing/2014/main" id="{00000000-0008-0000-0600-0000D6000000}"/>
            </a:ext>
          </a:extLst>
        </xdr:cNvPr>
        <xdr:cNvSpPr>
          <a:spLocks noChangeArrowheads="1"/>
        </xdr:cNvSpPr>
      </xdr:nvSpPr>
      <xdr:spPr bwMode="auto">
        <a:xfrm>
          <a:off x="742950" y="62541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textlink="">
      <xdr:nvSpPr>
        <xdr:cNvPr id="215" name="フリーフォーム 319">
          <a:extLst>
            <a:ext uri="{FF2B5EF4-FFF2-40B4-BE49-F238E27FC236}">
              <a16:creationId xmlns:a16="http://schemas.microsoft.com/office/drawing/2014/main" id="{00000000-0008-0000-0600-0000D7000000}"/>
            </a:ext>
          </a:extLst>
        </xdr:cNvPr>
        <xdr:cNvSpPr>
          <a:spLocks noChangeArrowheads="1"/>
        </xdr:cNvSpPr>
      </xdr:nvSpPr>
      <xdr:spPr bwMode="auto">
        <a:xfrm>
          <a:off x="754380" y="76257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textlink="">
      <xdr:nvSpPr>
        <xdr:cNvPr id="216" name="フリーフォーム 320">
          <a:extLst>
            <a:ext uri="{FF2B5EF4-FFF2-40B4-BE49-F238E27FC236}">
              <a16:creationId xmlns:a16="http://schemas.microsoft.com/office/drawing/2014/main" id="{00000000-0008-0000-0600-0000D8000000}"/>
            </a:ext>
          </a:extLst>
        </xdr:cNvPr>
        <xdr:cNvSpPr>
          <a:spLocks noChangeArrowheads="1"/>
        </xdr:cNvSpPr>
      </xdr:nvSpPr>
      <xdr:spPr bwMode="auto">
        <a:xfrm>
          <a:off x="742950" y="83229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217" name="フリーフォーム 321">
          <a:extLst>
            <a:ext uri="{FF2B5EF4-FFF2-40B4-BE49-F238E27FC236}">
              <a16:creationId xmlns:a16="http://schemas.microsoft.com/office/drawing/2014/main" id="{00000000-0008-0000-0600-0000D9000000}"/>
            </a:ext>
          </a:extLst>
        </xdr:cNvPr>
        <xdr:cNvSpPr>
          <a:spLocks noChangeArrowheads="1"/>
        </xdr:cNvSpPr>
      </xdr:nvSpPr>
      <xdr:spPr bwMode="auto">
        <a:xfrm>
          <a:off x="754380" y="90087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219" name="Rectangle 2">
          <a:extLst>
            <a:ext uri="{FF2B5EF4-FFF2-40B4-BE49-F238E27FC236}">
              <a16:creationId xmlns:a16="http://schemas.microsoft.com/office/drawing/2014/main" id="{00000000-0008-0000-0600-0000DB000000}"/>
            </a:ext>
          </a:extLst>
        </xdr:cNvPr>
        <xdr:cNvSpPr>
          <a:spLocks noChangeArrowheads="1"/>
        </xdr:cNvSpPr>
      </xdr:nvSpPr>
      <xdr:spPr bwMode="auto">
        <a:xfrm>
          <a:off x="681990" y="1986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220" name="Rectangle 2">
          <a:extLst>
            <a:ext uri="{FF2B5EF4-FFF2-40B4-BE49-F238E27FC236}">
              <a16:creationId xmlns:a16="http://schemas.microsoft.com/office/drawing/2014/main" id="{00000000-0008-0000-0600-0000DC000000}"/>
            </a:ext>
          </a:extLst>
        </xdr:cNvPr>
        <xdr:cNvSpPr>
          <a:spLocks noChangeArrowheads="1"/>
        </xdr:cNvSpPr>
      </xdr:nvSpPr>
      <xdr:spPr bwMode="auto">
        <a:xfrm>
          <a:off x="681990" y="2672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221" name="Rectangle 2">
          <a:extLst>
            <a:ext uri="{FF2B5EF4-FFF2-40B4-BE49-F238E27FC236}">
              <a16:creationId xmlns:a16="http://schemas.microsoft.com/office/drawing/2014/main" id="{00000000-0008-0000-0600-0000DD000000}"/>
            </a:ext>
          </a:extLst>
        </xdr:cNvPr>
        <xdr:cNvSpPr>
          <a:spLocks noChangeArrowheads="1"/>
        </xdr:cNvSpPr>
      </xdr:nvSpPr>
      <xdr:spPr bwMode="auto">
        <a:xfrm>
          <a:off x="681990" y="3358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222" name="Rectangle 2">
          <a:extLst>
            <a:ext uri="{FF2B5EF4-FFF2-40B4-BE49-F238E27FC236}">
              <a16:creationId xmlns:a16="http://schemas.microsoft.com/office/drawing/2014/main" id="{00000000-0008-0000-0600-0000DE000000}"/>
            </a:ext>
          </a:extLst>
        </xdr:cNvPr>
        <xdr:cNvSpPr>
          <a:spLocks noChangeArrowheads="1"/>
        </xdr:cNvSpPr>
      </xdr:nvSpPr>
      <xdr:spPr bwMode="auto">
        <a:xfrm>
          <a:off x="681990" y="4044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223" name="Rectangle 2">
          <a:extLst>
            <a:ext uri="{FF2B5EF4-FFF2-40B4-BE49-F238E27FC236}">
              <a16:creationId xmlns:a16="http://schemas.microsoft.com/office/drawing/2014/main" id="{00000000-0008-0000-0600-0000DF000000}"/>
            </a:ext>
          </a:extLst>
        </xdr:cNvPr>
        <xdr:cNvSpPr>
          <a:spLocks noChangeArrowheads="1"/>
        </xdr:cNvSpPr>
      </xdr:nvSpPr>
      <xdr:spPr bwMode="auto">
        <a:xfrm>
          <a:off x="681990" y="4730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24" name="Rectangle 293">
          <a:extLst>
            <a:ext uri="{FF2B5EF4-FFF2-40B4-BE49-F238E27FC236}">
              <a16:creationId xmlns:a16="http://schemas.microsoft.com/office/drawing/2014/main" id="{00000000-0008-0000-0600-0000E0000000}"/>
            </a:ext>
          </a:extLst>
        </xdr:cNvPr>
        <xdr:cNvSpPr>
          <a:spLocks noChangeArrowheads="1"/>
        </xdr:cNvSpPr>
      </xdr:nvSpPr>
      <xdr:spPr bwMode="auto">
        <a:xfrm>
          <a:off x="681990" y="5415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25" name="Rectangle 2">
          <a:extLst>
            <a:ext uri="{FF2B5EF4-FFF2-40B4-BE49-F238E27FC236}">
              <a16:creationId xmlns:a16="http://schemas.microsoft.com/office/drawing/2014/main" id="{00000000-0008-0000-0600-0000E1000000}"/>
            </a:ext>
          </a:extLst>
        </xdr:cNvPr>
        <xdr:cNvSpPr>
          <a:spLocks noChangeArrowheads="1"/>
        </xdr:cNvSpPr>
      </xdr:nvSpPr>
      <xdr:spPr bwMode="auto">
        <a:xfrm>
          <a:off x="681990" y="5415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26" name="Rectangle 293">
          <a:extLst>
            <a:ext uri="{FF2B5EF4-FFF2-40B4-BE49-F238E27FC236}">
              <a16:creationId xmlns:a16="http://schemas.microsoft.com/office/drawing/2014/main" id="{00000000-0008-0000-0600-0000E2000000}"/>
            </a:ext>
          </a:extLst>
        </xdr:cNvPr>
        <xdr:cNvSpPr>
          <a:spLocks noChangeArrowheads="1"/>
        </xdr:cNvSpPr>
      </xdr:nvSpPr>
      <xdr:spPr bwMode="auto">
        <a:xfrm>
          <a:off x="681990" y="6101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27" name="Rectangle 2"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SpPr>
          <a:spLocks noChangeArrowheads="1"/>
        </xdr:cNvSpPr>
      </xdr:nvSpPr>
      <xdr:spPr bwMode="auto">
        <a:xfrm>
          <a:off x="681990" y="6101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28" name="Rectangle 293">
          <a:extLst>
            <a:ext uri="{FF2B5EF4-FFF2-40B4-BE49-F238E27FC236}">
              <a16:creationId xmlns:a16="http://schemas.microsoft.com/office/drawing/2014/main" id="{00000000-0008-0000-0600-0000E4000000}"/>
            </a:ext>
          </a:extLst>
        </xdr:cNvPr>
        <xdr:cNvSpPr>
          <a:spLocks noChangeArrowheads="1"/>
        </xdr:cNvSpPr>
      </xdr:nvSpPr>
      <xdr:spPr bwMode="auto">
        <a:xfrm>
          <a:off x="681990" y="6787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4</xdr:col>
      <xdr:colOff>0</xdr:colOff>
      <xdr:row>78</xdr:row>
      <xdr:rowOff>28575</xdr:rowOff>
    </xdr:to>
    <xdr:sp textlink="">
      <xdr:nvSpPr>
        <xdr:cNvPr id="229" name="フリーフォーム 342">
          <a:extLst>
            <a:ext uri="{FF2B5EF4-FFF2-40B4-BE49-F238E27FC236}">
              <a16:creationId xmlns:a16="http://schemas.microsoft.com/office/drawing/2014/main" id="{00000000-0008-0000-0600-0000E5000000}"/>
            </a:ext>
          </a:extLst>
        </xdr:cNvPr>
        <xdr:cNvSpPr>
          <a:spLocks noChangeArrowheads="1"/>
        </xdr:cNvSpPr>
      </xdr:nvSpPr>
      <xdr:spPr bwMode="auto">
        <a:xfrm>
          <a:off x="754380" y="6951345"/>
          <a:ext cx="274320" cy="190500"/>
        </a:xfrm>
        <a:custGeom>
          <a:avLst/>
          <a:gdLst>
            <a:gd name="T0" fmla="*/ 0 w 272143"/>
            <a:gd name="T1" fmla="*/ 0 h 185057"/>
            <a:gd name="T2" fmla="*/ 383656 w 272143"/>
            <a:gd name="T3" fmla="*/ 0 h 185057"/>
            <a:gd name="T4" fmla="*/ 541634 w 272143"/>
            <a:gd name="T5" fmla="*/ 297802 h 185057"/>
            <a:gd name="T6" fmla="*/ 564201 w 272143"/>
            <a:gd name="T7" fmla="*/ 340334 h 185057"/>
            <a:gd name="T8" fmla="*/ 383656 w 272143"/>
            <a:gd name="T9" fmla="*/ 723228 h 185057"/>
            <a:gd name="T10" fmla="*/ 11283 w 272143"/>
            <a:gd name="T11" fmla="*/ 72322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30" name="Rectangle 2"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SpPr>
          <a:spLocks noChangeArrowheads="1"/>
        </xdr:cNvSpPr>
      </xdr:nvSpPr>
      <xdr:spPr bwMode="auto">
        <a:xfrm>
          <a:off x="681990" y="6787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31" name="Rectangle 293">
          <a:extLst>
            <a:ext uri="{FF2B5EF4-FFF2-40B4-BE49-F238E27FC236}">
              <a16:creationId xmlns:a16="http://schemas.microsoft.com/office/drawing/2014/main" id="{00000000-0008-0000-0600-0000E7000000}"/>
            </a:ext>
          </a:extLst>
        </xdr:cNvPr>
        <xdr:cNvSpPr>
          <a:spLocks noChangeArrowheads="1"/>
        </xdr:cNvSpPr>
      </xdr:nvSpPr>
      <xdr:spPr bwMode="auto">
        <a:xfrm>
          <a:off x="681990" y="7473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32" name="Rectangle 2"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SpPr>
          <a:spLocks noChangeArrowheads="1"/>
        </xdr:cNvSpPr>
      </xdr:nvSpPr>
      <xdr:spPr bwMode="auto">
        <a:xfrm>
          <a:off x="681990" y="7473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33" name="Rectangle 293">
          <a:extLst>
            <a:ext uri="{FF2B5EF4-FFF2-40B4-BE49-F238E27FC236}">
              <a16:creationId xmlns:a16="http://schemas.microsoft.com/office/drawing/2014/main" id="{00000000-0008-0000-0600-0000E9000000}"/>
            </a:ext>
          </a:extLst>
        </xdr:cNvPr>
        <xdr:cNvSpPr>
          <a:spLocks noChangeArrowheads="1"/>
        </xdr:cNvSpPr>
      </xdr:nvSpPr>
      <xdr:spPr bwMode="auto">
        <a:xfrm>
          <a:off x="681990" y="8159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textlink="">
      <xdr:nvSpPr>
        <xdr:cNvPr id="234" name="フリーフォーム 350">
          <a:extLst>
            <a:ext uri="{FF2B5EF4-FFF2-40B4-BE49-F238E27FC236}">
              <a16:creationId xmlns:a16="http://schemas.microsoft.com/office/drawing/2014/main" id="{00000000-0008-0000-0600-0000EA000000}"/>
            </a:ext>
          </a:extLst>
        </xdr:cNvPr>
        <xdr:cNvSpPr>
          <a:spLocks noChangeArrowheads="1"/>
        </xdr:cNvSpPr>
      </xdr:nvSpPr>
      <xdr:spPr bwMode="auto">
        <a:xfrm>
          <a:off x="754380" y="83229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35" name="Rectangle 2">
          <a:extLst>
            <a:ext uri="{FF2B5EF4-FFF2-40B4-BE49-F238E27FC236}">
              <a16:creationId xmlns:a16="http://schemas.microsoft.com/office/drawing/2014/main" id="{00000000-0008-0000-0600-0000EB000000}"/>
            </a:ext>
          </a:extLst>
        </xdr:cNvPr>
        <xdr:cNvSpPr>
          <a:spLocks noChangeArrowheads="1"/>
        </xdr:cNvSpPr>
      </xdr:nvSpPr>
      <xdr:spPr bwMode="auto">
        <a:xfrm>
          <a:off x="681990" y="8159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36" name="Rectangle 293">
          <a:extLst>
            <a:ext uri="{FF2B5EF4-FFF2-40B4-BE49-F238E27FC236}">
              <a16:creationId xmlns:a16="http://schemas.microsoft.com/office/drawing/2014/main" id="{00000000-0008-0000-0600-0000EC000000}"/>
            </a:ext>
          </a:extLst>
        </xdr:cNvPr>
        <xdr:cNvSpPr>
          <a:spLocks noChangeArrowheads="1"/>
        </xdr:cNvSpPr>
      </xdr:nvSpPr>
      <xdr:spPr bwMode="auto">
        <a:xfrm>
          <a:off x="681990" y="8844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237" name="フリーフォーム 354">
          <a:extLst>
            <a:ext uri="{FF2B5EF4-FFF2-40B4-BE49-F238E27FC236}">
              <a16:creationId xmlns:a16="http://schemas.microsoft.com/office/drawing/2014/main" id="{00000000-0008-0000-0600-0000ED000000}"/>
            </a:ext>
          </a:extLst>
        </xdr:cNvPr>
        <xdr:cNvSpPr>
          <a:spLocks noChangeArrowheads="1"/>
        </xdr:cNvSpPr>
      </xdr:nvSpPr>
      <xdr:spPr bwMode="auto">
        <a:xfrm>
          <a:off x="754380" y="90087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38" name="Rectangle 2">
          <a:extLst>
            <a:ext uri="{FF2B5EF4-FFF2-40B4-BE49-F238E27FC236}">
              <a16:creationId xmlns:a16="http://schemas.microsoft.com/office/drawing/2014/main" id="{00000000-0008-0000-0600-0000EE000000}"/>
            </a:ext>
          </a:extLst>
        </xdr:cNvPr>
        <xdr:cNvSpPr>
          <a:spLocks noChangeArrowheads="1"/>
        </xdr:cNvSpPr>
      </xdr:nvSpPr>
      <xdr:spPr bwMode="auto">
        <a:xfrm>
          <a:off x="681990" y="8844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41" name="Rectangle 285">
          <a:extLst>
            <a:ext uri="{FF2B5EF4-FFF2-40B4-BE49-F238E27FC236}">
              <a16:creationId xmlns:a16="http://schemas.microsoft.com/office/drawing/2014/main" id="{00000000-0008-0000-0600-0000F1000000}"/>
            </a:ext>
          </a:extLst>
        </xdr:cNvPr>
        <xdr:cNvSpPr>
          <a:spLocks noChangeArrowheads="1"/>
        </xdr:cNvSpPr>
      </xdr:nvSpPr>
      <xdr:spPr bwMode="auto">
        <a:xfrm>
          <a:off x="681990" y="1301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textlink="">
      <xdr:nvSpPr>
        <xdr:cNvPr id="242" name="フリーフォーム 362">
          <a:extLst>
            <a:ext uri="{FF2B5EF4-FFF2-40B4-BE49-F238E27FC236}">
              <a16:creationId xmlns:a16="http://schemas.microsoft.com/office/drawing/2014/main" id="{00000000-0008-0000-0600-0000F2000000}"/>
            </a:ext>
          </a:extLst>
        </xdr:cNvPr>
        <xdr:cNvSpPr>
          <a:spLocks noChangeArrowheads="1"/>
        </xdr:cNvSpPr>
      </xdr:nvSpPr>
      <xdr:spPr bwMode="auto">
        <a:xfrm>
          <a:off x="742950" y="1464945"/>
          <a:ext cx="272415" cy="179070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43" name="Rectangle 2">
          <a:extLst>
            <a:ext uri="{FF2B5EF4-FFF2-40B4-BE49-F238E27FC236}">
              <a16:creationId xmlns:a16="http://schemas.microsoft.com/office/drawing/2014/main" id="{00000000-0008-0000-0600-0000F3000000}"/>
            </a:ext>
          </a:extLst>
        </xdr:cNvPr>
        <xdr:cNvSpPr>
          <a:spLocks noChangeArrowheads="1"/>
        </xdr:cNvSpPr>
      </xdr:nvSpPr>
      <xdr:spPr bwMode="auto">
        <a:xfrm>
          <a:off x="681990" y="1301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244" name="Oval 51">
          <a:extLst>
            <a:ext uri="{FF2B5EF4-FFF2-40B4-BE49-F238E27FC236}">
              <a16:creationId xmlns:a16="http://schemas.microsoft.com/office/drawing/2014/main" id="{00000000-0008-0000-0600-0000F4000000}"/>
            </a:ext>
          </a:extLst>
        </xdr:cNvPr>
        <xdr:cNvSpPr>
          <a:spLocks noChangeArrowheads="1"/>
        </xdr:cNvSpPr>
      </xdr:nvSpPr>
      <xdr:spPr bwMode="auto">
        <a:xfrm>
          <a:off x="171450" y="8231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153502</xdr:colOff>
      <xdr:row>12</xdr:row>
      <xdr:rowOff>0</xdr:rowOff>
    </xdr:from>
    <xdr:to>
      <xdr:col>12</xdr:col>
      <xdr:colOff>5013</xdr:colOff>
      <xdr:row>12</xdr:row>
      <xdr:rowOff>1905</xdr:rowOff>
    </xdr:to>
    <xdr:cxnSp macro="">
      <xdr:nvCxnSpPr>
        <xdr:cNvPr id="247" name="直線コネクタ 246">
          <a:extLst>
            <a:ext uri="{FF2B5EF4-FFF2-40B4-BE49-F238E27FC236}">
              <a16:creationId xmlns:a16="http://schemas.microsoft.com/office/drawing/2014/main" id="{00000000-0008-0000-0600-0000F7000000}"/>
            </a:ext>
          </a:extLst>
        </xdr:cNvPr>
        <xdr:cNvCxnSpPr/>
      </xdr:nvCxnSpPr>
      <xdr:spPr bwMode="auto">
        <a:xfrm flipV="1">
          <a:off x="1000726" y="1549066"/>
          <a:ext cx="1475774" cy="190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153502</xdr:colOff>
      <xdr:row>20</xdr:row>
      <xdr:rowOff>1905</xdr:rowOff>
    </xdr:from>
    <xdr:to>
      <xdr:col>10</xdr:col>
      <xdr:colOff>75198</xdr:colOff>
      <xdr:row>20</xdr:row>
      <xdr:rowOff>5013</xdr:rowOff>
    </xdr:to>
    <xdr:cxnSp macro="">
      <xdr:nvCxnSpPr>
        <xdr:cNvPr id="249" name="直線コネクタ 248">
          <a:extLst>
            <a:ext uri="{FF2B5EF4-FFF2-40B4-BE49-F238E27FC236}">
              <a16:creationId xmlns:a16="http://schemas.microsoft.com/office/drawing/2014/main" id="{00000000-0008-0000-0600-0000F9000000}"/>
            </a:ext>
          </a:extLst>
        </xdr:cNvPr>
        <xdr:cNvCxnSpPr/>
      </xdr:nvCxnSpPr>
      <xdr:spPr bwMode="auto">
        <a:xfrm>
          <a:off x="1000726" y="2242787"/>
          <a:ext cx="1185011" cy="3108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168541</xdr:colOff>
      <xdr:row>27</xdr:row>
      <xdr:rowOff>40105</xdr:rowOff>
    </xdr:from>
    <xdr:to>
      <xdr:col>6</xdr:col>
      <xdr:colOff>180473</xdr:colOff>
      <xdr:row>28</xdr:row>
      <xdr:rowOff>1906</xdr:rowOff>
    </xdr:to>
    <xdr:cxnSp macro="">
      <xdr:nvCxnSpPr>
        <xdr:cNvPr id="251" name="直線コネクタ 250">
          <a:extLst>
            <a:ext uri="{FF2B5EF4-FFF2-40B4-BE49-F238E27FC236}">
              <a16:creationId xmlns:a16="http://schemas.microsoft.com/office/drawing/2014/main" id="{00000000-0008-0000-0600-0000FB000000}"/>
            </a:ext>
          </a:extLst>
        </xdr:cNvPr>
        <xdr:cNvCxnSpPr/>
      </xdr:nvCxnSpPr>
      <xdr:spPr bwMode="auto">
        <a:xfrm flipV="1">
          <a:off x="1015765" y="2932697"/>
          <a:ext cx="553353" cy="1906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8823</xdr:colOff>
      <xdr:row>36</xdr:row>
      <xdr:rowOff>10729</xdr:rowOff>
    </xdr:from>
    <xdr:to>
      <xdr:col>6</xdr:col>
      <xdr:colOff>114300</xdr:colOff>
      <xdr:row>36</xdr:row>
      <xdr:rowOff>10730</xdr:rowOff>
    </xdr:to>
    <xdr:cxnSp macro="">
      <xdr:nvCxnSpPr>
        <xdr:cNvPr id="253" name="直線コネクタ 252">
          <a:extLst>
            <a:ext uri="{FF2B5EF4-FFF2-40B4-BE49-F238E27FC236}">
              <a16:creationId xmlns:a16="http://schemas.microsoft.com/office/drawing/2014/main" id="{00000000-0008-0000-0600-0000FD000000}"/>
            </a:ext>
          </a:extLst>
        </xdr:cNvPr>
        <xdr:cNvCxnSpPr/>
      </xdr:nvCxnSpPr>
      <xdr:spPr bwMode="auto">
        <a:xfrm flipV="1">
          <a:off x="1018473" y="3630229"/>
          <a:ext cx="467427" cy="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173555</xdr:colOff>
      <xdr:row>44</xdr:row>
      <xdr:rowOff>10728</xdr:rowOff>
    </xdr:from>
    <xdr:to>
      <xdr:col>6</xdr:col>
      <xdr:colOff>133350</xdr:colOff>
      <xdr:row>44</xdr:row>
      <xdr:rowOff>10728</xdr:rowOff>
    </xdr:to>
    <xdr:cxnSp macro="">
      <xdr:nvCxnSpPr>
        <xdr:cNvPr id="255" name="直線コネクタ 254">
          <a:extLst>
            <a:ext uri="{FF2B5EF4-FFF2-40B4-BE49-F238E27FC236}">
              <a16:creationId xmlns:a16="http://schemas.microsoft.com/office/drawing/2014/main" id="{00000000-0008-0000-0600-0000FF000000}"/>
            </a:ext>
          </a:extLst>
        </xdr:cNvPr>
        <xdr:cNvCxnSpPr/>
      </xdr:nvCxnSpPr>
      <xdr:spPr bwMode="auto">
        <a:xfrm>
          <a:off x="1002230" y="4316028"/>
          <a:ext cx="502720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174758</xdr:colOff>
      <xdr:row>52</xdr:row>
      <xdr:rowOff>5013</xdr:rowOff>
    </xdr:from>
    <xdr:to>
      <xdr:col>12</xdr:col>
      <xdr:colOff>70184</xdr:colOff>
      <xdr:row>52</xdr:row>
      <xdr:rowOff>10728</xdr:rowOff>
    </xdr:to>
    <xdr:cxnSp macro="">
      <xdr:nvCxnSpPr>
        <xdr:cNvPr id="257" name="直線コネクタ 256">
          <a:extLst>
            <a:ext uri="{FF2B5EF4-FFF2-40B4-BE49-F238E27FC236}">
              <a16:creationId xmlns:a16="http://schemas.microsoft.com/office/drawing/2014/main" id="{00000000-0008-0000-0600-000001010000}"/>
            </a:ext>
          </a:extLst>
        </xdr:cNvPr>
        <xdr:cNvCxnSpPr/>
      </xdr:nvCxnSpPr>
      <xdr:spPr bwMode="auto">
        <a:xfrm flipV="1">
          <a:off x="1021982" y="5013158"/>
          <a:ext cx="1519689" cy="571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171651</xdr:colOff>
      <xdr:row>59</xdr:row>
      <xdr:rowOff>26269</xdr:rowOff>
    </xdr:from>
    <xdr:to>
      <xdr:col>13</xdr:col>
      <xdr:colOff>30078</xdr:colOff>
      <xdr:row>60</xdr:row>
      <xdr:rowOff>10026</xdr:rowOff>
    </xdr:to>
    <xdr:cxnSp macro="">
      <xdr:nvCxnSpPr>
        <xdr:cNvPr id="259" name="直線コネクタ 258">
          <a:extLst>
            <a:ext uri="{FF2B5EF4-FFF2-40B4-BE49-F238E27FC236}">
              <a16:creationId xmlns:a16="http://schemas.microsoft.com/office/drawing/2014/main" id="{00000000-0008-0000-0600-000003010000}"/>
            </a:ext>
          </a:extLst>
        </xdr:cNvPr>
        <xdr:cNvCxnSpPr/>
      </xdr:nvCxnSpPr>
      <xdr:spPr bwMode="auto">
        <a:xfrm>
          <a:off x="1018875" y="5686124"/>
          <a:ext cx="1663164" cy="23863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162326</xdr:colOff>
      <xdr:row>67</xdr:row>
      <xdr:rowOff>36997</xdr:rowOff>
    </xdr:from>
    <xdr:to>
      <xdr:col>9</xdr:col>
      <xdr:colOff>150395</xdr:colOff>
      <xdr:row>68</xdr:row>
      <xdr:rowOff>5013</xdr:rowOff>
    </xdr:to>
    <xdr:cxnSp macro="">
      <xdr:nvCxnSpPr>
        <xdr:cNvPr id="261" name="直線コネクタ 260">
          <a:extLst>
            <a:ext uri="{FF2B5EF4-FFF2-40B4-BE49-F238E27FC236}">
              <a16:creationId xmlns:a16="http://schemas.microsoft.com/office/drawing/2014/main" id="{00000000-0008-0000-0600-000005010000}"/>
            </a:ext>
          </a:extLst>
        </xdr:cNvPr>
        <xdr:cNvCxnSpPr/>
      </xdr:nvCxnSpPr>
      <xdr:spPr bwMode="auto">
        <a:xfrm>
          <a:off x="1009550" y="6388668"/>
          <a:ext cx="1070911" cy="812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170447</xdr:colOff>
      <xdr:row>76</xdr:row>
      <xdr:rowOff>0</xdr:rowOff>
    </xdr:from>
    <xdr:to>
      <xdr:col>11</xdr:col>
      <xdr:colOff>120316</xdr:colOff>
      <xdr:row>76</xdr:row>
      <xdr:rowOff>1906</xdr:rowOff>
    </xdr:to>
    <xdr:cxnSp macro="">
      <xdr:nvCxnSpPr>
        <xdr:cNvPr id="263" name="直線コネクタ 262">
          <a:extLst>
            <a:ext uri="{FF2B5EF4-FFF2-40B4-BE49-F238E27FC236}">
              <a16:creationId xmlns:a16="http://schemas.microsoft.com/office/drawing/2014/main" id="{00000000-0008-0000-0600-000007010000}"/>
            </a:ext>
          </a:extLst>
        </xdr:cNvPr>
        <xdr:cNvCxnSpPr/>
      </xdr:nvCxnSpPr>
      <xdr:spPr bwMode="auto">
        <a:xfrm flipV="1">
          <a:off x="1017671" y="7083592"/>
          <a:ext cx="1393658" cy="1906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173053</xdr:colOff>
      <xdr:row>83</xdr:row>
      <xdr:rowOff>36996</xdr:rowOff>
    </xdr:from>
    <xdr:to>
      <xdr:col>10</xdr:col>
      <xdr:colOff>65172</xdr:colOff>
      <xdr:row>84</xdr:row>
      <xdr:rowOff>0</xdr:rowOff>
    </xdr:to>
    <xdr:cxnSp macro="">
      <xdr:nvCxnSpPr>
        <xdr:cNvPr id="265" name="直線コネクタ 264">
          <a:extLst>
            <a:ext uri="{FF2B5EF4-FFF2-40B4-BE49-F238E27FC236}">
              <a16:creationId xmlns:a16="http://schemas.microsoft.com/office/drawing/2014/main" id="{00000000-0008-0000-0600-000009010000}"/>
            </a:ext>
          </a:extLst>
        </xdr:cNvPr>
        <xdr:cNvCxnSpPr/>
      </xdr:nvCxnSpPr>
      <xdr:spPr bwMode="auto">
        <a:xfrm>
          <a:off x="1020277" y="7772299"/>
          <a:ext cx="1155434" cy="3109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168041</xdr:colOff>
      <xdr:row>92</xdr:row>
      <xdr:rowOff>1404</xdr:rowOff>
    </xdr:from>
    <xdr:to>
      <xdr:col>5</xdr:col>
      <xdr:colOff>169244</xdr:colOff>
      <xdr:row>92</xdr:row>
      <xdr:rowOff>3810</xdr:rowOff>
    </xdr:to>
    <xdr:cxnSp macro="">
      <xdr:nvCxnSpPr>
        <xdr:cNvPr id="267" name="直線コネクタ 266"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CxnSpPr/>
      </xdr:nvCxnSpPr>
      <xdr:spPr bwMode="auto">
        <a:xfrm>
          <a:off x="1015265" y="8468628"/>
          <a:ext cx="362150" cy="2406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175460</xdr:colOff>
      <xdr:row>37</xdr:row>
      <xdr:rowOff>22659</xdr:rowOff>
    </xdr:from>
    <xdr:to>
      <xdr:col>14</xdr:col>
      <xdr:colOff>22160</xdr:colOff>
      <xdr:row>37</xdr:row>
      <xdr:rowOff>30079</xdr:rowOff>
    </xdr:to>
    <xdr:cxnSp macro="">
      <xdr:nvCxnSpPr>
        <xdr:cNvPr id="273" name="直線コネクタ 272">
          <a:extLst>
            <a:ext uri="{FF2B5EF4-FFF2-40B4-BE49-F238E27FC236}">
              <a16:creationId xmlns:a16="http://schemas.microsoft.com/office/drawing/2014/main" id="{00000000-0008-0000-0600-000011010000}"/>
            </a:ext>
          </a:extLst>
        </xdr:cNvPr>
        <xdr:cNvCxnSpPr/>
      </xdr:nvCxnSpPr>
      <xdr:spPr bwMode="auto">
        <a:xfrm flipV="1">
          <a:off x="1564105" y="3687277"/>
          <a:ext cx="1290489" cy="742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114300</xdr:colOff>
      <xdr:row>45</xdr:row>
      <xdr:rowOff>18850</xdr:rowOff>
    </xdr:from>
    <xdr:to>
      <xdr:col>14</xdr:col>
      <xdr:colOff>18349</xdr:colOff>
      <xdr:row>45</xdr:row>
      <xdr:rowOff>18850</xdr:rowOff>
    </xdr:to>
    <xdr:cxnSp macro="">
      <xdr:nvCxnSpPr>
        <xdr:cNvPr id="276" name="直線コネクタ 275">
          <a:extLst>
            <a:ext uri="{FF2B5EF4-FFF2-40B4-BE49-F238E27FC236}">
              <a16:creationId xmlns:a16="http://schemas.microsoft.com/office/drawing/2014/main" id="{00000000-0008-0000-0600-000014010000}"/>
            </a:ext>
          </a:extLst>
        </xdr:cNvPr>
        <xdr:cNvCxnSpPr/>
      </xdr:nvCxnSpPr>
      <xdr:spPr bwMode="auto">
        <a:xfrm>
          <a:off x="1485900" y="4362250"/>
          <a:ext cx="1351849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65171</xdr:colOff>
      <xdr:row>53</xdr:row>
      <xdr:rowOff>28173</xdr:rowOff>
    </xdr:from>
    <xdr:to>
      <xdr:col>13</xdr:col>
      <xdr:colOff>178067</xdr:colOff>
      <xdr:row>53</xdr:row>
      <xdr:rowOff>30079</xdr:rowOff>
    </xdr:to>
    <xdr:cxnSp macro="">
      <xdr:nvCxnSpPr>
        <xdr:cNvPr id="278" name="直線コネクタ 277"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CxnSpPr/>
      </xdr:nvCxnSpPr>
      <xdr:spPr bwMode="auto">
        <a:xfrm flipV="1">
          <a:off x="2536658" y="5076423"/>
          <a:ext cx="293370" cy="1906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178109</xdr:colOff>
      <xdr:row>28</xdr:row>
      <xdr:rowOff>4010</xdr:rowOff>
    </xdr:from>
    <xdr:to>
      <xdr:col>13</xdr:col>
      <xdr:colOff>176364</xdr:colOff>
      <xdr:row>28</xdr:row>
      <xdr:rowOff>4010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 bwMode="auto">
        <a:xfrm>
          <a:off x="1746250" y="2938949"/>
          <a:ext cx="1090145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164933</xdr:colOff>
      <xdr:row>69</xdr:row>
      <xdr:rowOff>20554</xdr:rowOff>
    </xdr:from>
    <xdr:to>
      <xdr:col>14</xdr:col>
      <xdr:colOff>0</xdr:colOff>
      <xdr:row>69</xdr:row>
      <xdr:rowOff>20554</xdr:rowOff>
    </xdr:to>
    <xdr:cxnSp macro="">
      <xdr:nvCxnSpPr>
        <xdr:cNvPr id="256" name="直線コネクタ 255">
          <a:extLst>
            <a:ext uri="{FF2B5EF4-FFF2-40B4-BE49-F238E27FC236}">
              <a16:creationId xmlns:a16="http://schemas.microsoft.com/office/drawing/2014/main" id="{00000000-0008-0000-0600-000000010000}"/>
            </a:ext>
          </a:extLst>
        </xdr:cNvPr>
        <xdr:cNvCxnSpPr/>
      </xdr:nvCxnSpPr>
      <xdr:spPr bwMode="auto">
        <a:xfrm>
          <a:off x="2079458" y="6421354"/>
          <a:ext cx="739942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342821" name="Rectangle 2">
          <a:extLst>
            <a:ext uri="{FF2B5EF4-FFF2-40B4-BE49-F238E27FC236}">
              <a16:creationId xmlns:a16="http://schemas.microsoft.com/office/drawing/2014/main" id="{00000000-0008-0000-0700-0000253B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textlink="">
      <xdr:nvSpPr>
        <xdr:cNvPr id="342822" name="Oval 3">
          <a:extLst>
            <a:ext uri="{FF2B5EF4-FFF2-40B4-BE49-F238E27FC236}">
              <a16:creationId xmlns:a16="http://schemas.microsoft.com/office/drawing/2014/main" id="{00000000-0008-0000-0700-0000263B05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textlink="">
      <xdr:nvSpPr>
        <xdr:cNvPr id="342823" name="Oval 4">
          <a:extLst>
            <a:ext uri="{FF2B5EF4-FFF2-40B4-BE49-F238E27FC236}">
              <a16:creationId xmlns:a16="http://schemas.microsoft.com/office/drawing/2014/main" id="{00000000-0008-0000-0700-0000273B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2824" name="Oval 5">
          <a:extLst>
            <a:ext uri="{FF2B5EF4-FFF2-40B4-BE49-F238E27FC236}">
              <a16:creationId xmlns:a16="http://schemas.microsoft.com/office/drawing/2014/main" id="{00000000-0008-0000-0700-0000283B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2825" name="Oval 8">
          <a:extLst>
            <a:ext uri="{FF2B5EF4-FFF2-40B4-BE49-F238E27FC236}">
              <a16:creationId xmlns:a16="http://schemas.microsoft.com/office/drawing/2014/main" id="{00000000-0008-0000-0700-0000293B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2826" name="Oval 12">
          <a:extLst>
            <a:ext uri="{FF2B5EF4-FFF2-40B4-BE49-F238E27FC236}">
              <a16:creationId xmlns:a16="http://schemas.microsoft.com/office/drawing/2014/main" id="{00000000-0008-0000-0700-00002A3B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2827" name="Oval 13">
          <a:extLst>
            <a:ext uri="{FF2B5EF4-FFF2-40B4-BE49-F238E27FC236}">
              <a16:creationId xmlns:a16="http://schemas.microsoft.com/office/drawing/2014/main" id="{00000000-0008-0000-0700-00002B3B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342828" name="Rectangle 16">
          <a:extLst>
            <a:ext uri="{FF2B5EF4-FFF2-40B4-BE49-F238E27FC236}">
              <a16:creationId xmlns:a16="http://schemas.microsoft.com/office/drawing/2014/main" id="{00000000-0008-0000-0700-00002C3B05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2829" name="Oval 30">
          <a:extLst>
            <a:ext uri="{FF2B5EF4-FFF2-40B4-BE49-F238E27FC236}">
              <a16:creationId xmlns:a16="http://schemas.microsoft.com/office/drawing/2014/main" id="{00000000-0008-0000-0700-00002D3B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2830" name="Oval 34">
          <a:extLst>
            <a:ext uri="{FF2B5EF4-FFF2-40B4-BE49-F238E27FC236}">
              <a16:creationId xmlns:a16="http://schemas.microsoft.com/office/drawing/2014/main" id="{00000000-0008-0000-0700-00002E3B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2831" name="Oval 51">
          <a:extLst>
            <a:ext uri="{FF2B5EF4-FFF2-40B4-BE49-F238E27FC236}">
              <a16:creationId xmlns:a16="http://schemas.microsoft.com/office/drawing/2014/main" id="{00000000-0008-0000-0700-00002F3B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2832" name="Oval 81">
          <a:extLst>
            <a:ext uri="{FF2B5EF4-FFF2-40B4-BE49-F238E27FC236}">
              <a16:creationId xmlns:a16="http://schemas.microsoft.com/office/drawing/2014/main" id="{00000000-0008-0000-0700-0000303B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833" name="AutoShape 102">
          <a:extLst>
            <a:ext uri="{FF2B5EF4-FFF2-40B4-BE49-F238E27FC236}">
              <a16:creationId xmlns:a16="http://schemas.microsoft.com/office/drawing/2014/main" id="{00000000-0008-0000-0700-000031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834" name="Rectangle 103">
          <a:extLst>
            <a:ext uri="{FF2B5EF4-FFF2-40B4-BE49-F238E27FC236}">
              <a16:creationId xmlns:a16="http://schemas.microsoft.com/office/drawing/2014/main" id="{00000000-0008-0000-0700-000032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35" name="Oval 104">
          <a:extLst>
            <a:ext uri="{FF2B5EF4-FFF2-40B4-BE49-F238E27FC236}">
              <a16:creationId xmlns:a16="http://schemas.microsoft.com/office/drawing/2014/main" id="{00000000-0008-0000-0700-000033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836" name="AutoShape 105">
          <a:extLst>
            <a:ext uri="{FF2B5EF4-FFF2-40B4-BE49-F238E27FC236}">
              <a16:creationId xmlns:a16="http://schemas.microsoft.com/office/drawing/2014/main" id="{00000000-0008-0000-0700-000034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837" name="Rectangle 106">
          <a:extLst>
            <a:ext uri="{FF2B5EF4-FFF2-40B4-BE49-F238E27FC236}">
              <a16:creationId xmlns:a16="http://schemas.microsoft.com/office/drawing/2014/main" id="{00000000-0008-0000-0700-000035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38" name="Oval 107">
          <a:extLst>
            <a:ext uri="{FF2B5EF4-FFF2-40B4-BE49-F238E27FC236}">
              <a16:creationId xmlns:a16="http://schemas.microsoft.com/office/drawing/2014/main" id="{00000000-0008-0000-0700-000036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839" name="AutoShape 108">
          <a:extLst>
            <a:ext uri="{FF2B5EF4-FFF2-40B4-BE49-F238E27FC236}">
              <a16:creationId xmlns:a16="http://schemas.microsoft.com/office/drawing/2014/main" id="{00000000-0008-0000-0700-000037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840" name="Rectangle 109">
          <a:extLst>
            <a:ext uri="{FF2B5EF4-FFF2-40B4-BE49-F238E27FC236}">
              <a16:creationId xmlns:a16="http://schemas.microsoft.com/office/drawing/2014/main" id="{00000000-0008-0000-0700-000038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41" name="Oval 110">
          <a:extLst>
            <a:ext uri="{FF2B5EF4-FFF2-40B4-BE49-F238E27FC236}">
              <a16:creationId xmlns:a16="http://schemas.microsoft.com/office/drawing/2014/main" id="{00000000-0008-0000-0700-000039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842" name="AutoShape 111">
          <a:extLst>
            <a:ext uri="{FF2B5EF4-FFF2-40B4-BE49-F238E27FC236}">
              <a16:creationId xmlns:a16="http://schemas.microsoft.com/office/drawing/2014/main" id="{00000000-0008-0000-0700-00003A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843" name="Rectangle 112">
          <a:extLst>
            <a:ext uri="{FF2B5EF4-FFF2-40B4-BE49-F238E27FC236}">
              <a16:creationId xmlns:a16="http://schemas.microsoft.com/office/drawing/2014/main" id="{00000000-0008-0000-0700-00003B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44" name="Oval 113">
          <a:extLst>
            <a:ext uri="{FF2B5EF4-FFF2-40B4-BE49-F238E27FC236}">
              <a16:creationId xmlns:a16="http://schemas.microsoft.com/office/drawing/2014/main" id="{00000000-0008-0000-0700-00003C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845" name="AutoShape 114">
          <a:extLst>
            <a:ext uri="{FF2B5EF4-FFF2-40B4-BE49-F238E27FC236}">
              <a16:creationId xmlns:a16="http://schemas.microsoft.com/office/drawing/2014/main" id="{00000000-0008-0000-0700-00003D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846" name="Rectangle 115">
          <a:extLst>
            <a:ext uri="{FF2B5EF4-FFF2-40B4-BE49-F238E27FC236}">
              <a16:creationId xmlns:a16="http://schemas.microsoft.com/office/drawing/2014/main" id="{00000000-0008-0000-0700-00003E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47" name="Oval 116">
          <a:extLst>
            <a:ext uri="{FF2B5EF4-FFF2-40B4-BE49-F238E27FC236}">
              <a16:creationId xmlns:a16="http://schemas.microsoft.com/office/drawing/2014/main" id="{00000000-0008-0000-0700-00003F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848" name="AutoShape 117">
          <a:extLst>
            <a:ext uri="{FF2B5EF4-FFF2-40B4-BE49-F238E27FC236}">
              <a16:creationId xmlns:a16="http://schemas.microsoft.com/office/drawing/2014/main" id="{00000000-0008-0000-0700-000040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849" name="Rectangle 118">
          <a:extLst>
            <a:ext uri="{FF2B5EF4-FFF2-40B4-BE49-F238E27FC236}">
              <a16:creationId xmlns:a16="http://schemas.microsoft.com/office/drawing/2014/main" id="{00000000-0008-0000-0700-000041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50" name="Oval 119">
          <a:extLst>
            <a:ext uri="{FF2B5EF4-FFF2-40B4-BE49-F238E27FC236}">
              <a16:creationId xmlns:a16="http://schemas.microsoft.com/office/drawing/2014/main" id="{00000000-0008-0000-0700-000042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851" name="AutoShape 120">
          <a:extLst>
            <a:ext uri="{FF2B5EF4-FFF2-40B4-BE49-F238E27FC236}">
              <a16:creationId xmlns:a16="http://schemas.microsoft.com/office/drawing/2014/main" id="{00000000-0008-0000-0700-000043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852" name="Rectangle 121">
          <a:extLst>
            <a:ext uri="{FF2B5EF4-FFF2-40B4-BE49-F238E27FC236}">
              <a16:creationId xmlns:a16="http://schemas.microsoft.com/office/drawing/2014/main" id="{00000000-0008-0000-0700-000044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53" name="Oval 122">
          <a:extLst>
            <a:ext uri="{FF2B5EF4-FFF2-40B4-BE49-F238E27FC236}">
              <a16:creationId xmlns:a16="http://schemas.microsoft.com/office/drawing/2014/main" id="{00000000-0008-0000-0700-000045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854" name="AutoShape 123">
          <a:extLst>
            <a:ext uri="{FF2B5EF4-FFF2-40B4-BE49-F238E27FC236}">
              <a16:creationId xmlns:a16="http://schemas.microsoft.com/office/drawing/2014/main" id="{00000000-0008-0000-0700-000046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855" name="Rectangle 124">
          <a:extLst>
            <a:ext uri="{FF2B5EF4-FFF2-40B4-BE49-F238E27FC236}">
              <a16:creationId xmlns:a16="http://schemas.microsoft.com/office/drawing/2014/main" id="{00000000-0008-0000-0700-000047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56" name="Oval 125">
          <a:extLst>
            <a:ext uri="{FF2B5EF4-FFF2-40B4-BE49-F238E27FC236}">
              <a16:creationId xmlns:a16="http://schemas.microsoft.com/office/drawing/2014/main" id="{00000000-0008-0000-0700-000048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857" name="AutoShape 126">
          <a:extLst>
            <a:ext uri="{FF2B5EF4-FFF2-40B4-BE49-F238E27FC236}">
              <a16:creationId xmlns:a16="http://schemas.microsoft.com/office/drawing/2014/main" id="{00000000-0008-0000-0700-000049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858" name="Rectangle 127">
          <a:extLst>
            <a:ext uri="{FF2B5EF4-FFF2-40B4-BE49-F238E27FC236}">
              <a16:creationId xmlns:a16="http://schemas.microsoft.com/office/drawing/2014/main" id="{00000000-0008-0000-0700-00004A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59" name="Oval 128">
          <a:extLst>
            <a:ext uri="{FF2B5EF4-FFF2-40B4-BE49-F238E27FC236}">
              <a16:creationId xmlns:a16="http://schemas.microsoft.com/office/drawing/2014/main" id="{00000000-0008-0000-0700-00004B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860" name="AutoShape 129">
          <a:extLst>
            <a:ext uri="{FF2B5EF4-FFF2-40B4-BE49-F238E27FC236}">
              <a16:creationId xmlns:a16="http://schemas.microsoft.com/office/drawing/2014/main" id="{00000000-0008-0000-0700-00004C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861" name="Rectangle 130">
          <a:extLst>
            <a:ext uri="{FF2B5EF4-FFF2-40B4-BE49-F238E27FC236}">
              <a16:creationId xmlns:a16="http://schemas.microsoft.com/office/drawing/2014/main" id="{00000000-0008-0000-0700-00004D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62" name="Oval 131">
          <a:extLst>
            <a:ext uri="{FF2B5EF4-FFF2-40B4-BE49-F238E27FC236}">
              <a16:creationId xmlns:a16="http://schemas.microsoft.com/office/drawing/2014/main" id="{00000000-0008-0000-0700-00004E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863" name="AutoShape 132">
          <a:extLst>
            <a:ext uri="{FF2B5EF4-FFF2-40B4-BE49-F238E27FC236}">
              <a16:creationId xmlns:a16="http://schemas.microsoft.com/office/drawing/2014/main" id="{00000000-0008-0000-0700-00004F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864" name="Rectangle 133">
          <a:extLst>
            <a:ext uri="{FF2B5EF4-FFF2-40B4-BE49-F238E27FC236}">
              <a16:creationId xmlns:a16="http://schemas.microsoft.com/office/drawing/2014/main" id="{00000000-0008-0000-0700-000050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65" name="Oval 134">
          <a:extLst>
            <a:ext uri="{FF2B5EF4-FFF2-40B4-BE49-F238E27FC236}">
              <a16:creationId xmlns:a16="http://schemas.microsoft.com/office/drawing/2014/main" id="{00000000-0008-0000-0700-000051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866" name="AutoShape 135">
          <a:extLst>
            <a:ext uri="{FF2B5EF4-FFF2-40B4-BE49-F238E27FC236}">
              <a16:creationId xmlns:a16="http://schemas.microsoft.com/office/drawing/2014/main" id="{00000000-0008-0000-0700-000052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867" name="Rectangle 136">
          <a:extLst>
            <a:ext uri="{FF2B5EF4-FFF2-40B4-BE49-F238E27FC236}">
              <a16:creationId xmlns:a16="http://schemas.microsoft.com/office/drawing/2014/main" id="{00000000-0008-0000-0700-000053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68" name="Oval 137">
          <a:extLst>
            <a:ext uri="{FF2B5EF4-FFF2-40B4-BE49-F238E27FC236}">
              <a16:creationId xmlns:a16="http://schemas.microsoft.com/office/drawing/2014/main" id="{00000000-0008-0000-0700-000054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869" name="AutoShape 138">
          <a:extLst>
            <a:ext uri="{FF2B5EF4-FFF2-40B4-BE49-F238E27FC236}">
              <a16:creationId xmlns:a16="http://schemas.microsoft.com/office/drawing/2014/main" id="{00000000-0008-0000-0700-000055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870" name="Rectangle 139">
          <a:extLst>
            <a:ext uri="{FF2B5EF4-FFF2-40B4-BE49-F238E27FC236}">
              <a16:creationId xmlns:a16="http://schemas.microsoft.com/office/drawing/2014/main" id="{00000000-0008-0000-0700-000056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71" name="Oval 140">
          <a:extLst>
            <a:ext uri="{FF2B5EF4-FFF2-40B4-BE49-F238E27FC236}">
              <a16:creationId xmlns:a16="http://schemas.microsoft.com/office/drawing/2014/main" id="{00000000-0008-0000-0700-000057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872" name="Rectangle 141">
          <a:extLst>
            <a:ext uri="{FF2B5EF4-FFF2-40B4-BE49-F238E27FC236}">
              <a16:creationId xmlns:a16="http://schemas.microsoft.com/office/drawing/2014/main" id="{00000000-0008-0000-0700-000058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873" name="AutoShape 142">
          <a:extLst>
            <a:ext uri="{FF2B5EF4-FFF2-40B4-BE49-F238E27FC236}">
              <a16:creationId xmlns:a16="http://schemas.microsoft.com/office/drawing/2014/main" id="{00000000-0008-0000-0700-000059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874" name="Rectangle 143">
          <a:extLst>
            <a:ext uri="{FF2B5EF4-FFF2-40B4-BE49-F238E27FC236}">
              <a16:creationId xmlns:a16="http://schemas.microsoft.com/office/drawing/2014/main" id="{00000000-0008-0000-0700-00005A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75" name="Oval 144">
          <a:extLst>
            <a:ext uri="{FF2B5EF4-FFF2-40B4-BE49-F238E27FC236}">
              <a16:creationId xmlns:a16="http://schemas.microsoft.com/office/drawing/2014/main" id="{00000000-0008-0000-0700-00005B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876" name="AutoShape 145">
          <a:extLst>
            <a:ext uri="{FF2B5EF4-FFF2-40B4-BE49-F238E27FC236}">
              <a16:creationId xmlns:a16="http://schemas.microsoft.com/office/drawing/2014/main" id="{00000000-0008-0000-0700-00005C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877" name="Rectangle 146">
          <a:extLst>
            <a:ext uri="{FF2B5EF4-FFF2-40B4-BE49-F238E27FC236}">
              <a16:creationId xmlns:a16="http://schemas.microsoft.com/office/drawing/2014/main" id="{00000000-0008-0000-0700-00005D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78" name="Oval 147">
          <a:extLst>
            <a:ext uri="{FF2B5EF4-FFF2-40B4-BE49-F238E27FC236}">
              <a16:creationId xmlns:a16="http://schemas.microsoft.com/office/drawing/2014/main" id="{00000000-0008-0000-0700-00005E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879" name="AutoShape 148">
          <a:extLst>
            <a:ext uri="{FF2B5EF4-FFF2-40B4-BE49-F238E27FC236}">
              <a16:creationId xmlns:a16="http://schemas.microsoft.com/office/drawing/2014/main" id="{00000000-0008-0000-0700-00005F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880" name="Rectangle 149">
          <a:extLst>
            <a:ext uri="{FF2B5EF4-FFF2-40B4-BE49-F238E27FC236}">
              <a16:creationId xmlns:a16="http://schemas.microsoft.com/office/drawing/2014/main" id="{00000000-0008-0000-0700-000060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81" name="Oval 150">
          <a:extLst>
            <a:ext uri="{FF2B5EF4-FFF2-40B4-BE49-F238E27FC236}">
              <a16:creationId xmlns:a16="http://schemas.microsoft.com/office/drawing/2014/main" id="{00000000-0008-0000-0700-000061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82" name="Oval 151">
          <a:extLst>
            <a:ext uri="{FF2B5EF4-FFF2-40B4-BE49-F238E27FC236}">
              <a16:creationId xmlns:a16="http://schemas.microsoft.com/office/drawing/2014/main" id="{00000000-0008-0000-0700-000062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83" name="Oval 152">
          <a:extLst>
            <a:ext uri="{FF2B5EF4-FFF2-40B4-BE49-F238E27FC236}">
              <a16:creationId xmlns:a16="http://schemas.microsoft.com/office/drawing/2014/main" id="{00000000-0008-0000-0700-000063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84" name="Oval 153">
          <a:extLst>
            <a:ext uri="{FF2B5EF4-FFF2-40B4-BE49-F238E27FC236}">
              <a16:creationId xmlns:a16="http://schemas.microsoft.com/office/drawing/2014/main" id="{00000000-0008-0000-0700-000064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885" name="AutoShape 154">
          <a:extLst>
            <a:ext uri="{FF2B5EF4-FFF2-40B4-BE49-F238E27FC236}">
              <a16:creationId xmlns:a16="http://schemas.microsoft.com/office/drawing/2014/main" id="{00000000-0008-0000-0700-000065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886" name="Rectangle 155">
          <a:extLst>
            <a:ext uri="{FF2B5EF4-FFF2-40B4-BE49-F238E27FC236}">
              <a16:creationId xmlns:a16="http://schemas.microsoft.com/office/drawing/2014/main" id="{00000000-0008-0000-0700-000066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87" name="Oval 156">
          <a:extLst>
            <a:ext uri="{FF2B5EF4-FFF2-40B4-BE49-F238E27FC236}">
              <a16:creationId xmlns:a16="http://schemas.microsoft.com/office/drawing/2014/main" id="{00000000-0008-0000-0700-000067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88" name="Oval 157">
          <a:extLst>
            <a:ext uri="{FF2B5EF4-FFF2-40B4-BE49-F238E27FC236}">
              <a16:creationId xmlns:a16="http://schemas.microsoft.com/office/drawing/2014/main" id="{00000000-0008-0000-0700-000068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89" name="Oval 158">
          <a:extLst>
            <a:ext uri="{FF2B5EF4-FFF2-40B4-BE49-F238E27FC236}">
              <a16:creationId xmlns:a16="http://schemas.microsoft.com/office/drawing/2014/main" id="{00000000-0008-0000-0700-000069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90" name="Oval 159">
          <a:extLst>
            <a:ext uri="{FF2B5EF4-FFF2-40B4-BE49-F238E27FC236}">
              <a16:creationId xmlns:a16="http://schemas.microsoft.com/office/drawing/2014/main" id="{00000000-0008-0000-0700-00006A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891" name="AutoShape 160">
          <a:extLst>
            <a:ext uri="{FF2B5EF4-FFF2-40B4-BE49-F238E27FC236}">
              <a16:creationId xmlns:a16="http://schemas.microsoft.com/office/drawing/2014/main" id="{00000000-0008-0000-0700-00006B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892" name="Rectangle 161">
          <a:extLst>
            <a:ext uri="{FF2B5EF4-FFF2-40B4-BE49-F238E27FC236}">
              <a16:creationId xmlns:a16="http://schemas.microsoft.com/office/drawing/2014/main" id="{00000000-0008-0000-0700-00006C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93" name="Oval 162">
          <a:extLst>
            <a:ext uri="{FF2B5EF4-FFF2-40B4-BE49-F238E27FC236}">
              <a16:creationId xmlns:a16="http://schemas.microsoft.com/office/drawing/2014/main" id="{00000000-0008-0000-0700-00006D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94" name="Oval 163">
          <a:extLst>
            <a:ext uri="{FF2B5EF4-FFF2-40B4-BE49-F238E27FC236}">
              <a16:creationId xmlns:a16="http://schemas.microsoft.com/office/drawing/2014/main" id="{00000000-0008-0000-0700-00006E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95" name="Oval 164">
          <a:extLst>
            <a:ext uri="{FF2B5EF4-FFF2-40B4-BE49-F238E27FC236}">
              <a16:creationId xmlns:a16="http://schemas.microsoft.com/office/drawing/2014/main" id="{00000000-0008-0000-0700-00006F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96" name="Oval 165">
          <a:extLst>
            <a:ext uri="{FF2B5EF4-FFF2-40B4-BE49-F238E27FC236}">
              <a16:creationId xmlns:a16="http://schemas.microsoft.com/office/drawing/2014/main" id="{00000000-0008-0000-0700-000070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897" name="AutoShape 166">
          <a:extLst>
            <a:ext uri="{FF2B5EF4-FFF2-40B4-BE49-F238E27FC236}">
              <a16:creationId xmlns:a16="http://schemas.microsoft.com/office/drawing/2014/main" id="{00000000-0008-0000-0700-000071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898" name="Rectangle 167">
          <a:extLst>
            <a:ext uri="{FF2B5EF4-FFF2-40B4-BE49-F238E27FC236}">
              <a16:creationId xmlns:a16="http://schemas.microsoft.com/office/drawing/2014/main" id="{00000000-0008-0000-0700-000072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899" name="Oval 168">
          <a:extLst>
            <a:ext uri="{FF2B5EF4-FFF2-40B4-BE49-F238E27FC236}">
              <a16:creationId xmlns:a16="http://schemas.microsoft.com/office/drawing/2014/main" id="{00000000-0008-0000-0700-000073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00" name="Oval 169">
          <a:extLst>
            <a:ext uri="{FF2B5EF4-FFF2-40B4-BE49-F238E27FC236}">
              <a16:creationId xmlns:a16="http://schemas.microsoft.com/office/drawing/2014/main" id="{00000000-0008-0000-0700-000074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01" name="Oval 170">
          <a:extLst>
            <a:ext uri="{FF2B5EF4-FFF2-40B4-BE49-F238E27FC236}">
              <a16:creationId xmlns:a16="http://schemas.microsoft.com/office/drawing/2014/main" id="{00000000-0008-0000-0700-000075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02" name="Oval 171">
          <a:extLst>
            <a:ext uri="{FF2B5EF4-FFF2-40B4-BE49-F238E27FC236}">
              <a16:creationId xmlns:a16="http://schemas.microsoft.com/office/drawing/2014/main" id="{00000000-0008-0000-0700-000076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903" name="AutoShape 172">
          <a:extLst>
            <a:ext uri="{FF2B5EF4-FFF2-40B4-BE49-F238E27FC236}">
              <a16:creationId xmlns:a16="http://schemas.microsoft.com/office/drawing/2014/main" id="{00000000-0008-0000-0700-000077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904" name="Rectangle 173">
          <a:extLst>
            <a:ext uri="{FF2B5EF4-FFF2-40B4-BE49-F238E27FC236}">
              <a16:creationId xmlns:a16="http://schemas.microsoft.com/office/drawing/2014/main" id="{00000000-0008-0000-0700-000078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05" name="Oval 174">
          <a:extLst>
            <a:ext uri="{FF2B5EF4-FFF2-40B4-BE49-F238E27FC236}">
              <a16:creationId xmlns:a16="http://schemas.microsoft.com/office/drawing/2014/main" id="{00000000-0008-0000-0700-000079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06" name="Oval 175">
          <a:extLst>
            <a:ext uri="{FF2B5EF4-FFF2-40B4-BE49-F238E27FC236}">
              <a16:creationId xmlns:a16="http://schemas.microsoft.com/office/drawing/2014/main" id="{00000000-0008-0000-0700-00007A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07" name="Oval 176">
          <a:extLst>
            <a:ext uri="{FF2B5EF4-FFF2-40B4-BE49-F238E27FC236}">
              <a16:creationId xmlns:a16="http://schemas.microsoft.com/office/drawing/2014/main" id="{00000000-0008-0000-0700-00007B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08" name="Oval 177">
          <a:extLst>
            <a:ext uri="{FF2B5EF4-FFF2-40B4-BE49-F238E27FC236}">
              <a16:creationId xmlns:a16="http://schemas.microsoft.com/office/drawing/2014/main" id="{00000000-0008-0000-0700-00007C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909" name="AutoShape 178">
          <a:extLst>
            <a:ext uri="{FF2B5EF4-FFF2-40B4-BE49-F238E27FC236}">
              <a16:creationId xmlns:a16="http://schemas.microsoft.com/office/drawing/2014/main" id="{00000000-0008-0000-0700-00007D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910" name="Rectangle 179">
          <a:extLst>
            <a:ext uri="{FF2B5EF4-FFF2-40B4-BE49-F238E27FC236}">
              <a16:creationId xmlns:a16="http://schemas.microsoft.com/office/drawing/2014/main" id="{00000000-0008-0000-0700-00007E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11" name="Oval 180">
          <a:extLst>
            <a:ext uri="{FF2B5EF4-FFF2-40B4-BE49-F238E27FC236}">
              <a16:creationId xmlns:a16="http://schemas.microsoft.com/office/drawing/2014/main" id="{00000000-0008-0000-0700-00007F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12" name="Oval 181">
          <a:extLst>
            <a:ext uri="{FF2B5EF4-FFF2-40B4-BE49-F238E27FC236}">
              <a16:creationId xmlns:a16="http://schemas.microsoft.com/office/drawing/2014/main" id="{00000000-0008-0000-0700-000080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13" name="Oval 182">
          <a:extLst>
            <a:ext uri="{FF2B5EF4-FFF2-40B4-BE49-F238E27FC236}">
              <a16:creationId xmlns:a16="http://schemas.microsoft.com/office/drawing/2014/main" id="{00000000-0008-0000-0700-000081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14" name="Oval 183">
          <a:extLst>
            <a:ext uri="{FF2B5EF4-FFF2-40B4-BE49-F238E27FC236}">
              <a16:creationId xmlns:a16="http://schemas.microsoft.com/office/drawing/2014/main" id="{00000000-0008-0000-0700-000082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915" name="AutoShape 184">
          <a:extLst>
            <a:ext uri="{FF2B5EF4-FFF2-40B4-BE49-F238E27FC236}">
              <a16:creationId xmlns:a16="http://schemas.microsoft.com/office/drawing/2014/main" id="{00000000-0008-0000-0700-000083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916" name="Rectangle 185">
          <a:extLst>
            <a:ext uri="{FF2B5EF4-FFF2-40B4-BE49-F238E27FC236}">
              <a16:creationId xmlns:a16="http://schemas.microsoft.com/office/drawing/2014/main" id="{00000000-0008-0000-0700-000084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17" name="Oval 186">
          <a:extLst>
            <a:ext uri="{FF2B5EF4-FFF2-40B4-BE49-F238E27FC236}">
              <a16:creationId xmlns:a16="http://schemas.microsoft.com/office/drawing/2014/main" id="{00000000-0008-0000-0700-000085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18" name="Oval 187">
          <a:extLst>
            <a:ext uri="{FF2B5EF4-FFF2-40B4-BE49-F238E27FC236}">
              <a16:creationId xmlns:a16="http://schemas.microsoft.com/office/drawing/2014/main" id="{00000000-0008-0000-0700-000086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19" name="Oval 188">
          <a:extLst>
            <a:ext uri="{FF2B5EF4-FFF2-40B4-BE49-F238E27FC236}">
              <a16:creationId xmlns:a16="http://schemas.microsoft.com/office/drawing/2014/main" id="{00000000-0008-0000-0700-000087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20" name="Oval 189">
          <a:extLst>
            <a:ext uri="{FF2B5EF4-FFF2-40B4-BE49-F238E27FC236}">
              <a16:creationId xmlns:a16="http://schemas.microsoft.com/office/drawing/2014/main" id="{00000000-0008-0000-0700-000088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921" name="AutoShape 190">
          <a:extLst>
            <a:ext uri="{FF2B5EF4-FFF2-40B4-BE49-F238E27FC236}">
              <a16:creationId xmlns:a16="http://schemas.microsoft.com/office/drawing/2014/main" id="{00000000-0008-0000-0700-000089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922" name="Rectangle 191">
          <a:extLst>
            <a:ext uri="{FF2B5EF4-FFF2-40B4-BE49-F238E27FC236}">
              <a16:creationId xmlns:a16="http://schemas.microsoft.com/office/drawing/2014/main" id="{00000000-0008-0000-0700-00008A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23" name="Oval 192">
          <a:extLst>
            <a:ext uri="{FF2B5EF4-FFF2-40B4-BE49-F238E27FC236}">
              <a16:creationId xmlns:a16="http://schemas.microsoft.com/office/drawing/2014/main" id="{00000000-0008-0000-0700-00008B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24" name="Oval 193">
          <a:extLst>
            <a:ext uri="{FF2B5EF4-FFF2-40B4-BE49-F238E27FC236}">
              <a16:creationId xmlns:a16="http://schemas.microsoft.com/office/drawing/2014/main" id="{00000000-0008-0000-0700-00008C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25" name="Oval 194">
          <a:extLst>
            <a:ext uri="{FF2B5EF4-FFF2-40B4-BE49-F238E27FC236}">
              <a16:creationId xmlns:a16="http://schemas.microsoft.com/office/drawing/2014/main" id="{00000000-0008-0000-0700-00008D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26" name="Oval 195">
          <a:extLst>
            <a:ext uri="{FF2B5EF4-FFF2-40B4-BE49-F238E27FC236}">
              <a16:creationId xmlns:a16="http://schemas.microsoft.com/office/drawing/2014/main" id="{00000000-0008-0000-0700-00008E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927" name="AutoShape 196">
          <a:extLst>
            <a:ext uri="{FF2B5EF4-FFF2-40B4-BE49-F238E27FC236}">
              <a16:creationId xmlns:a16="http://schemas.microsoft.com/office/drawing/2014/main" id="{00000000-0008-0000-0700-00008F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928" name="Rectangle 197">
          <a:extLst>
            <a:ext uri="{FF2B5EF4-FFF2-40B4-BE49-F238E27FC236}">
              <a16:creationId xmlns:a16="http://schemas.microsoft.com/office/drawing/2014/main" id="{00000000-0008-0000-0700-000090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29" name="Oval 198">
          <a:extLst>
            <a:ext uri="{FF2B5EF4-FFF2-40B4-BE49-F238E27FC236}">
              <a16:creationId xmlns:a16="http://schemas.microsoft.com/office/drawing/2014/main" id="{00000000-0008-0000-0700-000091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30" name="Oval 199">
          <a:extLst>
            <a:ext uri="{FF2B5EF4-FFF2-40B4-BE49-F238E27FC236}">
              <a16:creationId xmlns:a16="http://schemas.microsoft.com/office/drawing/2014/main" id="{00000000-0008-0000-0700-000092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31" name="Oval 200">
          <a:extLst>
            <a:ext uri="{FF2B5EF4-FFF2-40B4-BE49-F238E27FC236}">
              <a16:creationId xmlns:a16="http://schemas.microsoft.com/office/drawing/2014/main" id="{00000000-0008-0000-0700-000093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32" name="Oval 201">
          <a:extLst>
            <a:ext uri="{FF2B5EF4-FFF2-40B4-BE49-F238E27FC236}">
              <a16:creationId xmlns:a16="http://schemas.microsoft.com/office/drawing/2014/main" id="{00000000-0008-0000-0700-000094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933" name="AutoShape 202">
          <a:extLst>
            <a:ext uri="{FF2B5EF4-FFF2-40B4-BE49-F238E27FC236}">
              <a16:creationId xmlns:a16="http://schemas.microsoft.com/office/drawing/2014/main" id="{00000000-0008-0000-0700-000095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934" name="Rectangle 203">
          <a:extLst>
            <a:ext uri="{FF2B5EF4-FFF2-40B4-BE49-F238E27FC236}">
              <a16:creationId xmlns:a16="http://schemas.microsoft.com/office/drawing/2014/main" id="{00000000-0008-0000-0700-000096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35" name="Oval 204">
          <a:extLst>
            <a:ext uri="{FF2B5EF4-FFF2-40B4-BE49-F238E27FC236}">
              <a16:creationId xmlns:a16="http://schemas.microsoft.com/office/drawing/2014/main" id="{00000000-0008-0000-0700-000097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36" name="Oval 205">
          <a:extLst>
            <a:ext uri="{FF2B5EF4-FFF2-40B4-BE49-F238E27FC236}">
              <a16:creationId xmlns:a16="http://schemas.microsoft.com/office/drawing/2014/main" id="{00000000-0008-0000-0700-000098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37" name="Oval 206">
          <a:extLst>
            <a:ext uri="{FF2B5EF4-FFF2-40B4-BE49-F238E27FC236}">
              <a16:creationId xmlns:a16="http://schemas.microsoft.com/office/drawing/2014/main" id="{00000000-0008-0000-0700-000099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38" name="Oval 207">
          <a:extLst>
            <a:ext uri="{FF2B5EF4-FFF2-40B4-BE49-F238E27FC236}">
              <a16:creationId xmlns:a16="http://schemas.microsoft.com/office/drawing/2014/main" id="{00000000-0008-0000-0700-00009A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939" name="AutoShape 208">
          <a:extLst>
            <a:ext uri="{FF2B5EF4-FFF2-40B4-BE49-F238E27FC236}">
              <a16:creationId xmlns:a16="http://schemas.microsoft.com/office/drawing/2014/main" id="{00000000-0008-0000-0700-00009B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940" name="Rectangle 209">
          <a:extLst>
            <a:ext uri="{FF2B5EF4-FFF2-40B4-BE49-F238E27FC236}">
              <a16:creationId xmlns:a16="http://schemas.microsoft.com/office/drawing/2014/main" id="{00000000-0008-0000-0700-00009C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41" name="Oval 210">
          <a:extLst>
            <a:ext uri="{FF2B5EF4-FFF2-40B4-BE49-F238E27FC236}">
              <a16:creationId xmlns:a16="http://schemas.microsoft.com/office/drawing/2014/main" id="{00000000-0008-0000-0700-00009D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42" name="Oval 211">
          <a:extLst>
            <a:ext uri="{FF2B5EF4-FFF2-40B4-BE49-F238E27FC236}">
              <a16:creationId xmlns:a16="http://schemas.microsoft.com/office/drawing/2014/main" id="{00000000-0008-0000-0700-00009E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43" name="Oval 212">
          <a:extLst>
            <a:ext uri="{FF2B5EF4-FFF2-40B4-BE49-F238E27FC236}">
              <a16:creationId xmlns:a16="http://schemas.microsoft.com/office/drawing/2014/main" id="{00000000-0008-0000-0700-00009F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44" name="Oval 213">
          <a:extLst>
            <a:ext uri="{FF2B5EF4-FFF2-40B4-BE49-F238E27FC236}">
              <a16:creationId xmlns:a16="http://schemas.microsoft.com/office/drawing/2014/main" id="{00000000-0008-0000-0700-0000A0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945" name="AutoShape 214">
          <a:extLst>
            <a:ext uri="{FF2B5EF4-FFF2-40B4-BE49-F238E27FC236}">
              <a16:creationId xmlns:a16="http://schemas.microsoft.com/office/drawing/2014/main" id="{00000000-0008-0000-0700-0000A1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946" name="Rectangle 215">
          <a:extLst>
            <a:ext uri="{FF2B5EF4-FFF2-40B4-BE49-F238E27FC236}">
              <a16:creationId xmlns:a16="http://schemas.microsoft.com/office/drawing/2014/main" id="{00000000-0008-0000-0700-0000A2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47" name="Oval 216">
          <a:extLst>
            <a:ext uri="{FF2B5EF4-FFF2-40B4-BE49-F238E27FC236}">
              <a16:creationId xmlns:a16="http://schemas.microsoft.com/office/drawing/2014/main" id="{00000000-0008-0000-0700-0000A3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48" name="Oval 217">
          <a:extLst>
            <a:ext uri="{FF2B5EF4-FFF2-40B4-BE49-F238E27FC236}">
              <a16:creationId xmlns:a16="http://schemas.microsoft.com/office/drawing/2014/main" id="{00000000-0008-0000-0700-0000A4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49" name="Oval 218">
          <a:extLst>
            <a:ext uri="{FF2B5EF4-FFF2-40B4-BE49-F238E27FC236}">
              <a16:creationId xmlns:a16="http://schemas.microsoft.com/office/drawing/2014/main" id="{00000000-0008-0000-0700-0000A5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50" name="Oval 219">
          <a:extLst>
            <a:ext uri="{FF2B5EF4-FFF2-40B4-BE49-F238E27FC236}">
              <a16:creationId xmlns:a16="http://schemas.microsoft.com/office/drawing/2014/main" id="{00000000-0008-0000-0700-0000A6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951" name="AutoShape 220">
          <a:extLst>
            <a:ext uri="{FF2B5EF4-FFF2-40B4-BE49-F238E27FC236}">
              <a16:creationId xmlns:a16="http://schemas.microsoft.com/office/drawing/2014/main" id="{00000000-0008-0000-0700-0000A7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952" name="Rectangle 221">
          <a:extLst>
            <a:ext uri="{FF2B5EF4-FFF2-40B4-BE49-F238E27FC236}">
              <a16:creationId xmlns:a16="http://schemas.microsoft.com/office/drawing/2014/main" id="{00000000-0008-0000-0700-0000A8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53" name="Oval 222">
          <a:extLst>
            <a:ext uri="{FF2B5EF4-FFF2-40B4-BE49-F238E27FC236}">
              <a16:creationId xmlns:a16="http://schemas.microsoft.com/office/drawing/2014/main" id="{00000000-0008-0000-0700-0000A9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54" name="Oval 223">
          <a:extLst>
            <a:ext uri="{FF2B5EF4-FFF2-40B4-BE49-F238E27FC236}">
              <a16:creationId xmlns:a16="http://schemas.microsoft.com/office/drawing/2014/main" id="{00000000-0008-0000-0700-0000AA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55" name="Oval 224">
          <a:extLst>
            <a:ext uri="{FF2B5EF4-FFF2-40B4-BE49-F238E27FC236}">
              <a16:creationId xmlns:a16="http://schemas.microsoft.com/office/drawing/2014/main" id="{00000000-0008-0000-0700-0000AB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56" name="Oval 225">
          <a:extLst>
            <a:ext uri="{FF2B5EF4-FFF2-40B4-BE49-F238E27FC236}">
              <a16:creationId xmlns:a16="http://schemas.microsoft.com/office/drawing/2014/main" id="{00000000-0008-0000-0700-0000AC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957" name="AutoShape 226">
          <a:extLst>
            <a:ext uri="{FF2B5EF4-FFF2-40B4-BE49-F238E27FC236}">
              <a16:creationId xmlns:a16="http://schemas.microsoft.com/office/drawing/2014/main" id="{00000000-0008-0000-0700-0000AD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958" name="Rectangle 227">
          <a:extLst>
            <a:ext uri="{FF2B5EF4-FFF2-40B4-BE49-F238E27FC236}">
              <a16:creationId xmlns:a16="http://schemas.microsoft.com/office/drawing/2014/main" id="{00000000-0008-0000-0700-0000AE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59" name="Oval 228">
          <a:extLst>
            <a:ext uri="{FF2B5EF4-FFF2-40B4-BE49-F238E27FC236}">
              <a16:creationId xmlns:a16="http://schemas.microsoft.com/office/drawing/2014/main" id="{00000000-0008-0000-0700-0000AF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60" name="Oval 229">
          <a:extLst>
            <a:ext uri="{FF2B5EF4-FFF2-40B4-BE49-F238E27FC236}">
              <a16:creationId xmlns:a16="http://schemas.microsoft.com/office/drawing/2014/main" id="{00000000-0008-0000-0700-0000B0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61" name="Oval 230">
          <a:extLst>
            <a:ext uri="{FF2B5EF4-FFF2-40B4-BE49-F238E27FC236}">
              <a16:creationId xmlns:a16="http://schemas.microsoft.com/office/drawing/2014/main" id="{00000000-0008-0000-0700-0000B1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62" name="Oval 231">
          <a:extLst>
            <a:ext uri="{FF2B5EF4-FFF2-40B4-BE49-F238E27FC236}">
              <a16:creationId xmlns:a16="http://schemas.microsoft.com/office/drawing/2014/main" id="{00000000-0008-0000-0700-0000B2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963" name="AutoShape 232">
          <a:extLst>
            <a:ext uri="{FF2B5EF4-FFF2-40B4-BE49-F238E27FC236}">
              <a16:creationId xmlns:a16="http://schemas.microsoft.com/office/drawing/2014/main" id="{00000000-0008-0000-0700-0000B3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964" name="Rectangle 233">
          <a:extLst>
            <a:ext uri="{FF2B5EF4-FFF2-40B4-BE49-F238E27FC236}">
              <a16:creationId xmlns:a16="http://schemas.microsoft.com/office/drawing/2014/main" id="{00000000-0008-0000-0700-0000B4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65" name="Oval 234">
          <a:extLst>
            <a:ext uri="{FF2B5EF4-FFF2-40B4-BE49-F238E27FC236}">
              <a16:creationId xmlns:a16="http://schemas.microsoft.com/office/drawing/2014/main" id="{00000000-0008-0000-0700-0000B5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66" name="Oval 235">
          <a:extLst>
            <a:ext uri="{FF2B5EF4-FFF2-40B4-BE49-F238E27FC236}">
              <a16:creationId xmlns:a16="http://schemas.microsoft.com/office/drawing/2014/main" id="{00000000-0008-0000-0700-0000B6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67" name="Oval 236">
          <a:extLst>
            <a:ext uri="{FF2B5EF4-FFF2-40B4-BE49-F238E27FC236}">
              <a16:creationId xmlns:a16="http://schemas.microsoft.com/office/drawing/2014/main" id="{00000000-0008-0000-0700-0000B7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68" name="Oval 237">
          <a:extLst>
            <a:ext uri="{FF2B5EF4-FFF2-40B4-BE49-F238E27FC236}">
              <a16:creationId xmlns:a16="http://schemas.microsoft.com/office/drawing/2014/main" id="{00000000-0008-0000-0700-0000B8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969" name="AutoShape 238">
          <a:extLst>
            <a:ext uri="{FF2B5EF4-FFF2-40B4-BE49-F238E27FC236}">
              <a16:creationId xmlns:a16="http://schemas.microsoft.com/office/drawing/2014/main" id="{00000000-0008-0000-0700-0000B9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970" name="Rectangle 239">
          <a:extLst>
            <a:ext uri="{FF2B5EF4-FFF2-40B4-BE49-F238E27FC236}">
              <a16:creationId xmlns:a16="http://schemas.microsoft.com/office/drawing/2014/main" id="{00000000-0008-0000-0700-0000BA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71" name="Oval 240">
          <a:extLst>
            <a:ext uri="{FF2B5EF4-FFF2-40B4-BE49-F238E27FC236}">
              <a16:creationId xmlns:a16="http://schemas.microsoft.com/office/drawing/2014/main" id="{00000000-0008-0000-0700-0000BB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72" name="Oval 241">
          <a:extLst>
            <a:ext uri="{FF2B5EF4-FFF2-40B4-BE49-F238E27FC236}">
              <a16:creationId xmlns:a16="http://schemas.microsoft.com/office/drawing/2014/main" id="{00000000-0008-0000-0700-0000BC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73" name="Oval 242">
          <a:extLst>
            <a:ext uri="{FF2B5EF4-FFF2-40B4-BE49-F238E27FC236}">
              <a16:creationId xmlns:a16="http://schemas.microsoft.com/office/drawing/2014/main" id="{00000000-0008-0000-0700-0000BD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74" name="Oval 243">
          <a:extLst>
            <a:ext uri="{FF2B5EF4-FFF2-40B4-BE49-F238E27FC236}">
              <a16:creationId xmlns:a16="http://schemas.microsoft.com/office/drawing/2014/main" id="{00000000-0008-0000-0700-0000BE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975" name="AutoShape 244">
          <a:extLst>
            <a:ext uri="{FF2B5EF4-FFF2-40B4-BE49-F238E27FC236}">
              <a16:creationId xmlns:a16="http://schemas.microsoft.com/office/drawing/2014/main" id="{00000000-0008-0000-0700-0000BF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976" name="Rectangle 245">
          <a:extLst>
            <a:ext uri="{FF2B5EF4-FFF2-40B4-BE49-F238E27FC236}">
              <a16:creationId xmlns:a16="http://schemas.microsoft.com/office/drawing/2014/main" id="{00000000-0008-0000-0700-0000C0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77" name="Oval 246">
          <a:extLst>
            <a:ext uri="{FF2B5EF4-FFF2-40B4-BE49-F238E27FC236}">
              <a16:creationId xmlns:a16="http://schemas.microsoft.com/office/drawing/2014/main" id="{00000000-0008-0000-0700-0000C1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78" name="Oval 247">
          <a:extLst>
            <a:ext uri="{FF2B5EF4-FFF2-40B4-BE49-F238E27FC236}">
              <a16:creationId xmlns:a16="http://schemas.microsoft.com/office/drawing/2014/main" id="{00000000-0008-0000-0700-0000C2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79" name="Oval 248">
          <a:extLst>
            <a:ext uri="{FF2B5EF4-FFF2-40B4-BE49-F238E27FC236}">
              <a16:creationId xmlns:a16="http://schemas.microsoft.com/office/drawing/2014/main" id="{00000000-0008-0000-0700-0000C3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80" name="Oval 249">
          <a:extLst>
            <a:ext uri="{FF2B5EF4-FFF2-40B4-BE49-F238E27FC236}">
              <a16:creationId xmlns:a16="http://schemas.microsoft.com/office/drawing/2014/main" id="{00000000-0008-0000-0700-0000C4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981" name="AutoShape 250">
          <a:extLst>
            <a:ext uri="{FF2B5EF4-FFF2-40B4-BE49-F238E27FC236}">
              <a16:creationId xmlns:a16="http://schemas.microsoft.com/office/drawing/2014/main" id="{00000000-0008-0000-0700-0000C5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982" name="Rectangle 251">
          <a:extLst>
            <a:ext uri="{FF2B5EF4-FFF2-40B4-BE49-F238E27FC236}">
              <a16:creationId xmlns:a16="http://schemas.microsoft.com/office/drawing/2014/main" id="{00000000-0008-0000-0700-0000C6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83" name="Oval 252">
          <a:extLst>
            <a:ext uri="{FF2B5EF4-FFF2-40B4-BE49-F238E27FC236}">
              <a16:creationId xmlns:a16="http://schemas.microsoft.com/office/drawing/2014/main" id="{00000000-0008-0000-0700-0000C7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84" name="Oval 253">
          <a:extLst>
            <a:ext uri="{FF2B5EF4-FFF2-40B4-BE49-F238E27FC236}">
              <a16:creationId xmlns:a16="http://schemas.microsoft.com/office/drawing/2014/main" id="{00000000-0008-0000-0700-0000C8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85" name="Oval 254">
          <a:extLst>
            <a:ext uri="{FF2B5EF4-FFF2-40B4-BE49-F238E27FC236}">
              <a16:creationId xmlns:a16="http://schemas.microsoft.com/office/drawing/2014/main" id="{00000000-0008-0000-0700-0000C9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86" name="Oval 255">
          <a:extLst>
            <a:ext uri="{FF2B5EF4-FFF2-40B4-BE49-F238E27FC236}">
              <a16:creationId xmlns:a16="http://schemas.microsoft.com/office/drawing/2014/main" id="{00000000-0008-0000-0700-0000CA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987" name="AutoShape 256">
          <a:extLst>
            <a:ext uri="{FF2B5EF4-FFF2-40B4-BE49-F238E27FC236}">
              <a16:creationId xmlns:a16="http://schemas.microsoft.com/office/drawing/2014/main" id="{00000000-0008-0000-0700-0000CB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988" name="Rectangle 257">
          <a:extLst>
            <a:ext uri="{FF2B5EF4-FFF2-40B4-BE49-F238E27FC236}">
              <a16:creationId xmlns:a16="http://schemas.microsoft.com/office/drawing/2014/main" id="{00000000-0008-0000-0700-0000CC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89" name="Oval 258">
          <a:extLst>
            <a:ext uri="{FF2B5EF4-FFF2-40B4-BE49-F238E27FC236}">
              <a16:creationId xmlns:a16="http://schemas.microsoft.com/office/drawing/2014/main" id="{00000000-0008-0000-0700-0000CD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90" name="Oval 259">
          <a:extLst>
            <a:ext uri="{FF2B5EF4-FFF2-40B4-BE49-F238E27FC236}">
              <a16:creationId xmlns:a16="http://schemas.microsoft.com/office/drawing/2014/main" id="{00000000-0008-0000-0700-0000CE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91" name="Oval 260">
          <a:extLst>
            <a:ext uri="{FF2B5EF4-FFF2-40B4-BE49-F238E27FC236}">
              <a16:creationId xmlns:a16="http://schemas.microsoft.com/office/drawing/2014/main" id="{00000000-0008-0000-0700-0000CF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92" name="Oval 261">
          <a:extLst>
            <a:ext uri="{FF2B5EF4-FFF2-40B4-BE49-F238E27FC236}">
              <a16:creationId xmlns:a16="http://schemas.microsoft.com/office/drawing/2014/main" id="{00000000-0008-0000-0700-0000D0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993" name="AutoShape 262">
          <a:extLst>
            <a:ext uri="{FF2B5EF4-FFF2-40B4-BE49-F238E27FC236}">
              <a16:creationId xmlns:a16="http://schemas.microsoft.com/office/drawing/2014/main" id="{00000000-0008-0000-0700-0000D1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2994" name="Rectangle 263">
          <a:extLst>
            <a:ext uri="{FF2B5EF4-FFF2-40B4-BE49-F238E27FC236}">
              <a16:creationId xmlns:a16="http://schemas.microsoft.com/office/drawing/2014/main" id="{00000000-0008-0000-0700-0000D2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95" name="Oval 264">
          <a:extLst>
            <a:ext uri="{FF2B5EF4-FFF2-40B4-BE49-F238E27FC236}">
              <a16:creationId xmlns:a16="http://schemas.microsoft.com/office/drawing/2014/main" id="{00000000-0008-0000-0700-0000D3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96" name="Oval 265">
          <a:extLst>
            <a:ext uri="{FF2B5EF4-FFF2-40B4-BE49-F238E27FC236}">
              <a16:creationId xmlns:a16="http://schemas.microsoft.com/office/drawing/2014/main" id="{00000000-0008-0000-0700-0000D4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97" name="Oval 266">
          <a:extLst>
            <a:ext uri="{FF2B5EF4-FFF2-40B4-BE49-F238E27FC236}">
              <a16:creationId xmlns:a16="http://schemas.microsoft.com/office/drawing/2014/main" id="{00000000-0008-0000-0700-0000D5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2998" name="Oval 267">
          <a:extLst>
            <a:ext uri="{FF2B5EF4-FFF2-40B4-BE49-F238E27FC236}">
              <a16:creationId xmlns:a16="http://schemas.microsoft.com/office/drawing/2014/main" id="{00000000-0008-0000-0700-0000D6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2999" name="AutoShape 268">
          <a:extLst>
            <a:ext uri="{FF2B5EF4-FFF2-40B4-BE49-F238E27FC236}">
              <a16:creationId xmlns:a16="http://schemas.microsoft.com/office/drawing/2014/main" id="{00000000-0008-0000-0700-0000D73B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3000" name="Rectangle 269">
          <a:extLst>
            <a:ext uri="{FF2B5EF4-FFF2-40B4-BE49-F238E27FC236}">
              <a16:creationId xmlns:a16="http://schemas.microsoft.com/office/drawing/2014/main" id="{00000000-0008-0000-0700-0000D8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3001" name="Oval 270">
          <a:extLst>
            <a:ext uri="{FF2B5EF4-FFF2-40B4-BE49-F238E27FC236}">
              <a16:creationId xmlns:a16="http://schemas.microsoft.com/office/drawing/2014/main" id="{00000000-0008-0000-0700-0000D9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3002" name="Oval 271">
          <a:extLst>
            <a:ext uri="{FF2B5EF4-FFF2-40B4-BE49-F238E27FC236}">
              <a16:creationId xmlns:a16="http://schemas.microsoft.com/office/drawing/2014/main" id="{00000000-0008-0000-0700-0000DA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3003" name="Oval 272">
          <a:extLst>
            <a:ext uri="{FF2B5EF4-FFF2-40B4-BE49-F238E27FC236}">
              <a16:creationId xmlns:a16="http://schemas.microsoft.com/office/drawing/2014/main" id="{00000000-0008-0000-0700-0000DB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3004" name="Oval 273">
          <a:extLst>
            <a:ext uri="{FF2B5EF4-FFF2-40B4-BE49-F238E27FC236}">
              <a16:creationId xmlns:a16="http://schemas.microsoft.com/office/drawing/2014/main" id="{00000000-0008-0000-0700-0000DC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3005" name="Rectangle 274">
          <a:extLst>
            <a:ext uri="{FF2B5EF4-FFF2-40B4-BE49-F238E27FC236}">
              <a16:creationId xmlns:a16="http://schemas.microsoft.com/office/drawing/2014/main" id="{00000000-0008-0000-0700-0000DD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3006" name="Oval 275">
          <a:extLst>
            <a:ext uri="{FF2B5EF4-FFF2-40B4-BE49-F238E27FC236}">
              <a16:creationId xmlns:a16="http://schemas.microsoft.com/office/drawing/2014/main" id="{00000000-0008-0000-0700-0000DE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3007" name="Oval 276">
          <a:extLst>
            <a:ext uri="{FF2B5EF4-FFF2-40B4-BE49-F238E27FC236}">
              <a16:creationId xmlns:a16="http://schemas.microsoft.com/office/drawing/2014/main" id="{00000000-0008-0000-0700-0000DF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3008" name="Oval 277">
          <a:extLst>
            <a:ext uri="{FF2B5EF4-FFF2-40B4-BE49-F238E27FC236}">
              <a16:creationId xmlns:a16="http://schemas.microsoft.com/office/drawing/2014/main" id="{00000000-0008-0000-0700-0000E0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3009" name="Oval 278">
          <a:extLst>
            <a:ext uri="{FF2B5EF4-FFF2-40B4-BE49-F238E27FC236}">
              <a16:creationId xmlns:a16="http://schemas.microsoft.com/office/drawing/2014/main" id="{00000000-0008-0000-0700-0000E1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3010" name="Rectangle 279">
          <a:extLst>
            <a:ext uri="{FF2B5EF4-FFF2-40B4-BE49-F238E27FC236}">
              <a16:creationId xmlns:a16="http://schemas.microsoft.com/office/drawing/2014/main" id="{00000000-0008-0000-0700-0000E23B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3011" name="Oval 280">
          <a:extLst>
            <a:ext uri="{FF2B5EF4-FFF2-40B4-BE49-F238E27FC236}">
              <a16:creationId xmlns:a16="http://schemas.microsoft.com/office/drawing/2014/main" id="{00000000-0008-0000-0700-0000E3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3012" name="Oval 281">
          <a:extLst>
            <a:ext uri="{FF2B5EF4-FFF2-40B4-BE49-F238E27FC236}">
              <a16:creationId xmlns:a16="http://schemas.microsoft.com/office/drawing/2014/main" id="{00000000-0008-0000-0700-0000E4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3013" name="Oval 282">
          <a:extLst>
            <a:ext uri="{FF2B5EF4-FFF2-40B4-BE49-F238E27FC236}">
              <a16:creationId xmlns:a16="http://schemas.microsoft.com/office/drawing/2014/main" id="{00000000-0008-0000-0700-0000E5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3014" name="Oval 283">
          <a:extLst>
            <a:ext uri="{FF2B5EF4-FFF2-40B4-BE49-F238E27FC236}">
              <a16:creationId xmlns:a16="http://schemas.microsoft.com/office/drawing/2014/main" id="{00000000-0008-0000-0700-0000E63B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343015" name="Rectangle 285">
          <a:extLst>
            <a:ext uri="{FF2B5EF4-FFF2-40B4-BE49-F238E27FC236}">
              <a16:creationId xmlns:a16="http://schemas.microsoft.com/office/drawing/2014/main" id="{00000000-0008-0000-0700-0000E73B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343016" name="Rectangle 287">
          <a:extLst>
            <a:ext uri="{FF2B5EF4-FFF2-40B4-BE49-F238E27FC236}">
              <a16:creationId xmlns:a16="http://schemas.microsoft.com/office/drawing/2014/main" id="{00000000-0008-0000-0700-0000E83B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343017" name="Rectangle 289">
          <a:extLst>
            <a:ext uri="{FF2B5EF4-FFF2-40B4-BE49-F238E27FC236}">
              <a16:creationId xmlns:a16="http://schemas.microsoft.com/office/drawing/2014/main" id="{00000000-0008-0000-0700-0000E93B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343018" name="Rectangle 291">
          <a:extLst>
            <a:ext uri="{FF2B5EF4-FFF2-40B4-BE49-F238E27FC236}">
              <a16:creationId xmlns:a16="http://schemas.microsoft.com/office/drawing/2014/main" id="{00000000-0008-0000-0700-0000EA3B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343019" name="Rectangle 293">
          <a:extLst>
            <a:ext uri="{FF2B5EF4-FFF2-40B4-BE49-F238E27FC236}">
              <a16:creationId xmlns:a16="http://schemas.microsoft.com/office/drawing/2014/main" id="{00000000-0008-0000-0700-0000EB3B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343020" name="Rectangle 295">
          <a:extLst>
            <a:ext uri="{FF2B5EF4-FFF2-40B4-BE49-F238E27FC236}">
              <a16:creationId xmlns:a16="http://schemas.microsoft.com/office/drawing/2014/main" id="{00000000-0008-0000-0700-0000EC3B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343021" name="Rectangle 297">
          <a:extLst>
            <a:ext uri="{FF2B5EF4-FFF2-40B4-BE49-F238E27FC236}">
              <a16:creationId xmlns:a16="http://schemas.microsoft.com/office/drawing/2014/main" id="{00000000-0008-0000-0700-0000ED3B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343022" name="Rectangle 299">
          <a:extLst>
            <a:ext uri="{FF2B5EF4-FFF2-40B4-BE49-F238E27FC236}">
              <a16:creationId xmlns:a16="http://schemas.microsoft.com/office/drawing/2014/main" id="{00000000-0008-0000-0700-0000EE3B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343023" name="Rectangle 301">
          <a:extLst>
            <a:ext uri="{FF2B5EF4-FFF2-40B4-BE49-F238E27FC236}">
              <a16:creationId xmlns:a16="http://schemas.microsoft.com/office/drawing/2014/main" id="{00000000-0008-0000-0700-0000EF3B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343024" name="Rectangle 303">
          <a:extLst>
            <a:ext uri="{FF2B5EF4-FFF2-40B4-BE49-F238E27FC236}">
              <a16:creationId xmlns:a16="http://schemas.microsoft.com/office/drawing/2014/main" id="{00000000-0008-0000-0700-0000F03B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343025" name="Rectangle 305">
          <a:extLst>
            <a:ext uri="{FF2B5EF4-FFF2-40B4-BE49-F238E27FC236}">
              <a16:creationId xmlns:a16="http://schemas.microsoft.com/office/drawing/2014/main" id="{00000000-0008-0000-0700-0000F13B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343026" name="Rectangle 307">
          <a:extLst>
            <a:ext uri="{FF2B5EF4-FFF2-40B4-BE49-F238E27FC236}">
              <a16:creationId xmlns:a16="http://schemas.microsoft.com/office/drawing/2014/main" id="{00000000-0008-0000-0700-0000F23B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textlink="">
      <xdr:nvSpPr>
        <xdr:cNvPr id="343027" name="フリーフォーム 311">
          <a:extLst>
            <a:ext uri="{FF2B5EF4-FFF2-40B4-BE49-F238E27FC236}">
              <a16:creationId xmlns:a16="http://schemas.microsoft.com/office/drawing/2014/main" id="{00000000-0008-0000-0700-0000F33B0500}"/>
            </a:ext>
          </a:extLst>
        </xdr:cNvPr>
        <xdr:cNvSpPr>
          <a:spLocks noChangeArrowheads="1"/>
        </xdr:cNvSpPr>
      </xdr:nvSpPr>
      <xdr:spPr bwMode="auto">
        <a:xfrm>
          <a:off x="723900" y="2162175"/>
          <a:ext cx="276225" cy="180975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textlink="">
      <xdr:nvSpPr>
        <xdr:cNvPr id="343028" name="フリーフォーム 312">
          <a:extLst>
            <a:ext uri="{FF2B5EF4-FFF2-40B4-BE49-F238E27FC236}">
              <a16:creationId xmlns:a16="http://schemas.microsoft.com/office/drawing/2014/main" id="{00000000-0008-0000-0700-0000F43B0500}"/>
            </a:ext>
          </a:extLst>
        </xdr:cNvPr>
        <xdr:cNvSpPr>
          <a:spLocks noChangeArrowheads="1"/>
        </xdr:cNvSpPr>
      </xdr:nvSpPr>
      <xdr:spPr bwMode="auto">
        <a:xfrm>
          <a:off x="742950" y="2847975"/>
          <a:ext cx="276225" cy="190500"/>
        </a:xfrm>
        <a:custGeom>
          <a:avLst/>
          <a:gdLst>
            <a:gd name="T0" fmla="*/ 0 w 272143"/>
            <a:gd name="T1" fmla="*/ 0 h 185057"/>
            <a:gd name="T2" fmla="*/ 389763 w 272143"/>
            <a:gd name="T3" fmla="*/ 0 h 185057"/>
            <a:gd name="T4" fmla="*/ 550255 w 272143"/>
            <a:gd name="T5" fmla="*/ 288631 h 185057"/>
            <a:gd name="T6" fmla="*/ 573181 w 272143"/>
            <a:gd name="T7" fmla="*/ 329868 h 185057"/>
            <a:gd name="T8" fmla="*/ 389763 w 272143"/>
            <a:gd name="T9" fmla="*/ 700980 h 185057"/>
            <a:gd name="T10" fmla="*/ 11462 w 272143"/>
            <a:gd name="T11" fmla="*/ 700980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textlink="">
      <xdr:nvSpPr>
        <xdr:cNvPr id="343029" name="フリーフォーム 313">
          <a:extLst>
            <a:ext uri="{FF2B5EF4-FFF2-40B4-BE49-F238E27FC236}">
              <a16:creationId xmlns:a16="http://schemas.microsoft.com/office/drawing/2014/main" id="{00000000-0008-0000-0700-0000F53B0500}"/>
            </a:ext>
          </a:extLst>
        </xdr:cNvPr>
        <xdr:cNvSpPr>
          <a:spLocks noChangeArrowheads="1"/>
        </xdr:cNvSpPr>
      </xdr:nvSpPr>
      <xdr:spPr bwMode="auto">
        <a:xfrm>
          <a:off x="742950" y="3543300"/>
          <a:ext cx="276225" cy="180975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textlink="">
      <xdr:nvSpPr>
        <xdr:cNvPr id="343030" name="フリーフォーム 314">
          <a:extLst>
            <a:ext uri="{FF2B5EF4-FFF2-40B4-BE49-F238E27FC236}">
              <a16:creationId xmlns:a16="http://schemas.microsoft.com/office/drawing/2014/main" id="{00000000-0008-0000-0700-0000F63B0500}"/>
            </a:ext>
          </a:extLst>
        </xdr:cNvPr>
        <xdr:cNvSpPr>
          <a:spLocks noChangeArrowheads="1"/>
        </xdr:cNvSpPr>
      </xdr:nvSpPr>
      <xdr:spPr bwMode="auto">
        <a:xfrm>
          <a:off x="733425" y="42195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textlink="">
      <xdr:nvSpPr>
        <xdr:cNvPr id="343031" name="フリーフォーム 315">
          <a:extLst>
            <a:ext uri="{FF2B5EF4-FFF2-40B4-BE49-F238E27FC236}">
              <a16:creationId xmlns:a16="http://schemas.microsoft.com/office/drawing/2014/main" id="{00000000-0008-0000-0700-0000F73B0500}"/>
            </a:ext>
          </a:extLst>
        </xdr:cNvPr>
        <xdr:cNvSpPr>
          <a:spLocks noChangeArrowheads="1"/>
        </xdr:cNvSpPr>
      </xdr:nvSpPr>
      <xdr:spPr bwMode="auto">
        <a:xfrm>
          <a:off x="733425" y="4905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textlink="">
      <xdr:nvSpPr>
        <xdr:cNvPr id="343032" name="フリーフォーム 316">
          <a:extLst>
            <a:ext uri="{FF2B5EF4-FFF2-40B4-BE49-F238E27FC236}">
              <a16:creationId xmlns:a16="http://schemas.microsoft.com/office/drawing/2014/main" id="{00000000-0008-0000-0700-0000F83B0500}"/>
            </a:ext>
          </a:extLst>
        </xdr:cNvPr>
        <xdr:cNvSpPr>
          <a:spLocks noChangeArrowheads="1"/>
        </xdr:cNvSpPr>
      </xdr:nvSpPr>
      <xdr:spPr bwMode="auto">
        <a:xfrm>
          <a:off x="733425" y="55816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textlink="">
      <xdr:nvSpPr>
        <xdr:cNvPr id="343033" name="フリーフォーム 317">
          <a:extLst>
            <a:ext uri="{FF2B5EF4-FFF2-40B4-BE49-F238E27FC236}">
              <a16:creationId xmlns:a16="http://schemas.microsoft.com/office/drawing/2014/main" id="{00000000-0008-0000-0700-0000F93B0500}"/>
            </a:ext>
          </a:extLst>
        </xdr:cNvPr>
        <xdr:cNvSpPr>
          <a:spLocks noChangeArrowheads="1"/>
        </xdr:cNvSpPr>
      </xdr:nvSpPr>
      <xdr:spPr bwMode="auto">
        <a:xfrm>
          <a:off x="723900" y="6267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textlink="">
      <xdr:nvSpPr>
        <xdr:cNvPr id="343034" name="フリーフォーム 319">
          <a:extLst>
            <a:ext uri="{FF2B5EF4-FFF2-40B4-BE49-F238E27FC236}">
              <a16:creationId xmlns:a16="http://schemas.microsoft.com/office/drawing/2014/main" id="{00000000-0008-0000-0700-0000FA3B0500}"/>
            </a:ext>
          </a:extLst>
        </xdr:cNvPr>
        <xdr:cNvSpPr>
          <a:spLocks noChangeArrowheads="1"/>
        </xdr:cNvSpPr>
      </xdr:nvSpPr>
      <xdr:spPr bwMode="auto">
        <a:xfrm>
          <a:off x="733425" y="76390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textlink="">
      <xdr:nvSpPr>
        <xdr:cNvPr id="343035" name="フリーフォーム 320">
          <a:extLst>
            <a:ext uri="{FF2B5EF4-FFF2-40B4-BE49-F238E27FC236}">
              <a16:creationId xmlns:a16="http://schemas.microsoft.com/office/drawing/2014/main" id="{00000000-0008-0000-0700-0000FB3B0500}"/>
            </a:ext>
          </a:extLst>
        </xdr:cNvPr>
        <xdr:cNvSpPr>
          <a:spLocks noChangeArrowheads="1"/>
        </xdr:cNvSpPr>
      </xdr:nvSpPr>
      <xdr:spPr bwMode="auto">
        <a:xfrm>
          <a:off x="723900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343036" name="フリーフォーム 321">
          <a:extLst>
            <a:ext uri="{FF2B5EF4-FFF2-40B4-BE49-F238E27FC236}">
              <a16:creationId xmlns:a16="http://schemas.microsoft.com/office/drawing/2014/main" id="{00000000-0008-0000-0700-0000FC3B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textlink="">
      <xdr:nvSpPr>
        <xdr:cNvPr id="343037" name="フリーフォーム 322">
          <a:extLst>
            <a:ext uri="{FF2B5EF4-FFF2-40B4-BE49-F238E27FC236}">
              <a16:creationId xmlns:a16="http://schemas.microsoft.com/office/drawing/2014/main" id="{00000000-0008-0000-0700-0000FD3B0500}"/>
            </a:ext>
          </a:extLst>
        </xdr:cNvPr>
        <xdr:cNvSpPr>
          <a:spLocks noChangeArrowheads="1"/>
        </xdr:cNvSpPr>
      </xdr:nvSpPr>
      <xdr:spPr bwMode="auto">
        <a:xfrm>
          <a:off x="733425" y="9696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343038" name="Rectangle 2">
          <a:extLst>
            <a:ext uri="{FF2B5EF4-FFF2-40B4-BE49-F238E27FC236}">
              <a16:creationId xmlns:a16="http://schemas.microsoft.com/office/drawing/2014/main" id="{00000000-0008-0000-0700-0000FE3B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343039" name="Rectangle 2">
          <a:extLst>
            <a:ext uri="{FF2B5EF4-FFF2-40B4-BE49-F238E27FC236}">
              <a16:creationId xmlns:a16="http://schemas.microsoft.com/office/drawing/2014/main" id="{00000000-0008-0000-0700-0000FF3B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356352" name="Rectangle 2">
          <a:extLst>
            <a:ext uri="{FF2B5EF4-FFF2-40B4-BE49-F238E27FC236}">
              <a16:creationId xmlns:a16="http://schemas.microsoft.com/office/drawing/2014/main" id="{00000000-0008-0000-0700-00000070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356353" name="Rectangle 2">
          <a:extLst>
            <a:ext uri="{FF2B5EF4-FFF2-40B4-BE49-F238E27FC236}">
              <a16:creationId xmlns:a16="http://schemas.microsoft.com/office/drawing/2014/main" id="{00000000-0008-0000-0700-00000170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356354" name="Rectangle 2">
          <a:extLst>
            <a:ext uri="{FF2B5EF4-FFF2-40B4-BE49-F238E27FC236}">
              <a16:creationId xmlns:a16="http://schemas.microsoft.com/office/drawing/2014/main" id="{00000000-0008-0000-0700-00000270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356355" name="Rectangle 293">
          <a:extLst>
            <a:ext uri="{FF2B5EF4-FFF2-40B4-BE49-F238E27FC236}">
              <a16:creationId xmlns:a16="http://schemas.microsoft.com/office/drawing/2014/main" id="{00000000-0008-0000-0700-00000370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356356" name="Rectangle 2">
          <a:extLst>
            <a:ext uri="{FF2B5EF4-FFF2-40B4-BE49-F238E27FC236}">
              <a16:creationId xmlns:a16="http://schemas.microsoft.com/office/drawing/2014/main" id="{00000000-0008-0000-0700-00000470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356357" name="Rectangle 293">
          <a:extLst>
            <a:ext uri="{FF2B5EF4-FFF2-40B4-BE49-F238E27FC236}">
              <a16:creationId xmlns:a16="http://schemas.microsoft.com/office/drawing/2014/main" id="{00000000-0008-0000-0700-00000570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356358" name="Rectangle 2">
          <a:extLst>
            <a:ext uri="{FF2B5EF4-FFF2-40B4-BE49-F238E27FC236}">
              <a16:creationId xmlns:a16="http://schemas.microsoft.com/office/drawing/2014/main" id="{00000000-0008-0000-0700-00000670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356359" name="Rectangle 293">
          <a:extLst>
            <a:ext uri="{FF2B5EF4-FFF2-40B4-BE49-F238E27FC236}">
              <a16:creationId xmlns:a16="http://schemas.microsoft.com/office/drawing/2014/main" id="{00000000-0008-0000-0700-00000770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4</xdr:col>
      <xdr:colOff>0</xdr:colOff>
      <xdr:row>78</xdr:row>
      <xdr:rowOff>28575</xdr:rowOff>
    </xdr:to>
    <xdr:sp textlink="">
      <xdr:nvSpPr>
        <xdr:cNvPr id="356360" name="フリーフォーム 342">
          <a:extLst>
            <a:ext uri="{FF2B5EF4-FFF2-40B4-BE49-F238E27FC236}">
              <a16:creationId xmlns:a16="http://schemas.microsoft.com/office/drawing/2014/main" id="{00000000-0008-0000-0700-000008700500}"/>
            </a:ext>
          </a:extLst>
        </xdr:cNvPr>
        <xdr:cNvSpPr>
          <a:spLocks noChangeArrowheads="1"/>
        </xdr:cNvSpPr>
      </xdr:nvSpPr>
      <xdr:spPr bwMode="auto">
        <a:xfrm>
          <a:off x="733425" y="69627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356361" name="Rectangle 2">
          <a:extLst>
            <a:ext uri="{FF2B5EF4-FFF2-40B4-BE49-F238E27FC236}">
              <a16:creationId xmlns:a16="http://schemas.microsoft.com/office/drawing/2014/main" id="{00000000-0008-0000-0700-00000970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356362" name="Rectangle 293">
          <a:extLst>
            <a:ext uri="{FF2B5EF4-FFF2-40B4-BE49-F238E27FC236}">
              <a16:creationId xmlns:a16="http://schemas.microsoft.com/office/drawing/2014/main" id="{00000000-0008-0000-0700-00000A70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356363" name="Rectangle 2">
          <a:extLst>
            <a:ext uri="{FF2B5EF4-FFF2-40B4-BE49-F238E27FC236}">
              <a16:creationId xmlns:a16="http://schemas.microsoft.com/office/drawing/2014/main" id="{00000000-0008-0000-0700-00000B70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356364" name="Rectangle 293">
          <a:extLst>
            <a:ext uri="{FF2B5EF4-FFF2-40B4-BE49-F238E27FC236}">
              <a16:creationId xmlns:a16="http://schemas.microsoft.com/office/drawing/2014/main" id="{00000000-0008-0000-0700-00000C70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textlink="">
      <xdr:nvSpPr>
        <xdr:cNvPr id="356365" name="フリーフォーム 350">
          <a:extLst>
            <a:ext uri="{FF2B5EF4-FFF2-40B4-BE49-F238E27FC236}">
              <a16:creationId xmlns:a16="http://schemas.microsoft.com/office/drawing/2014/main" id="{00000000-0008-0000-0700-00000D700500}"/>
            </a:ext>
          </a:extLst>
        </xdr:cNvPr>
        <xdr:cNvSpPr>
          <a:spLocks noChangeArrowheads="1"/>
        </xdr:cNvSpPr>
      </xdr:nvSpPr>
      <xdr:spPr bwMode="auto">
        <a:xfrm>
          <a:off x="733425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356366" name="Rectangle 2">
          <a:extLst>
            <a:ext uri="{FF2B5EF4-FFF2-40B4-BE49-F238E27FC236}">
              <a16:creationId xmlns:a16="http://schemas.microsoft.com/office/drawing/2014/main" id="{00000000-0008-0000-0700-00000E70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356367" name="Rectangle 293">
          <a:extLst>
            <a:ext uri="{FF2B5EF4-FFF2-40B4-BE49-F238E27FC236}">
              <a16:creationId xmlns:a16="http://schemas.microsoft.com/office/drawing/2014/main" id="{00000000-0008-0000-0700-00000F70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356368" name="フリーフォーム 354">
          <a:extLst>
            <a:ext uri="{FF2B5EF4-FFF2-40B4-BE49-F238E27FC236}">
              <a16:creationId xmlns:a16="http://schemas.microsoft.com/office/drawing/2014/main" id="{00000000-0008-0000-0700-00001070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356369" name="Rectangle 2">
          <a:extLst>
            <a:ext uri="{FF2B5EF4-FFF2-40B4-BE49-F238E27FC236}">
              <a16:creationId xmlns:a16="http://schemas.microsoft.com/office/drawing/2014/main" id="{00000000-0008-0000-0700-00001170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356370" name="Rectangle 293">
          <a:extLst>
            <a:ext uri="{FF2B5EF4-FFF2-40B4-BE49-F238E27FC236}">
              <a16:creationId xmlns:a16="http://schemas.microsoft.com/office/drawing/2014/main" id="{00000000-0008-0000-0700-00001270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356371" name="Rectangle 2">
          <a:extLst>
            <a:ext uri="{FF2B5EF4-FFF2-40B4-BE49-F238E27FC236}">
              <a16:creationId xmlns:a16="http://schemas.microsoft.com/office/drawing/2014/main" id="{00000000-0008-0000-0700-00001370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356372" name="Rectangle 285">
          <a:extLst>
            <a:ext uri="{FF2B5EF4-FFF2-40B4-BE49-F238E27FC236}">
              <a16:creationId xmlns:a16="http://schemas.microsoft.com/office/drawing/2014/main" id="{00000000-0008-0000-0700-00001470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textlink="">
      <xdr:nvSpPr>
        <xdr:cNvPr id="356373" name="フリーフォーム 362">
          <a:extLst>
            <a:ext uri="{FF2B5EF4-FFF2-40B4-BE49-F238E27FC236}">
              <a16:creationId xmlns:a16="http://schemas.microsoft.com/office/drawing/2014/main" id="{00000000-0008-0000-0700-000015700500}"/>
            </a:ext>
          </a:extLst>
        </xdr:cNvPr>
        <xdr:cNvSpPr>
          <a:spLocks noChangeArrowheads="1"/>
        </xdr:cNvSpPr>
      </xdr:nvSpPr>
      <xdr:spPr bwMode="auto">
        <a:xfrm>
          <a:off x="723900" y="1476375"/>
          <a:ext cx="276225" cy="180975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356374" name="Rectangle 2">
          <a:extLst>
            <a:ext uri="{FF2B5EF4-FFF2-40B4-BE49-F238E27FC236}">
              <a16:creationId xmlns:a16="http://schemas.microsoft.com/office/drawing/2014/main" id="{00000000-0008-0000-0700-00001670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104775</xdr:colOff>
      <xdr:row>97</xdr:row>
      <xdr:rowOff>104775</xdr:rowOff>
    </xdr:from>
    <xdr:to>
      <xdr:col>1</xdr:col>
      <xdr:colOff>466725</xdr:colOff>
      <xdr:row>102</xdr:row>
      <xdr:rowOff>123825</xdr:rowOff>
    </xdr:to>
    <xdr:sp textlink="">
      <xdr:nvSpPr>
        <xdr:cNvPr id="356375" name="Oval 18">
          <a:extLst>
            <a:ext uri="{FF2B5EF4-FFF2-40B4-BE49-F238E27FC236}">
              <a16:creationId xmlns:a16="http://schemas.microsoft.com/office/drawing/2014/main" id="{00000000-0008-0000-0700-000017700500}"/>
            </a:ext>
          </a:extLst>
        </xdr:cNvPr>
        <xdr:cNvSpPr>
          <a:spLocks noChangeArrowheads="1"/>
        </xdr:cNvSpPr>
      </xdr:nvSpPr>
      <xdr:spPr bwMode="auto">
        <a:xfrm>
          <a:off x="161925" y="894397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56376" name="Oval 51">
          <a:extLst>
            <a:ext uri="{FF2B5EF4-FFF2-40B4-BE49-F238E27FC236}">
              <a16:creationId xmlns:a16="http://schemas.microsoft.com/office/drawing/2014/main" id="{00000000-0008-0000-0700-00001870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104775</xdr:colOff>
      <xdr:row>105</xdr:row>
      <xdr:rowOff>104775</xdr:rowOff>
    </xdr:from>
    <xdr:to>
      <xdr:col>1</xdr:col>
      <xdr:colOff>466725</xdr:colOff>
      <xdr:row>110</xdr:row>
      <xdr:rowOff>123825</xdr:rowOff>
    </xdr:to>
    <xdr:sp textlink="">
      <xdr:nvSpPr>
        <xdr:cNvPr id="356377" name="Oval 18">
          <a:extLst>
            <a:ext uri="{FF2B5EF4-FFF2-40B4-BE49-F238E27FC236}">
              <a16:creationId xmlns:a16="http://schemas.microsoft.com/office/drawing/2014/main" id="{00000000-0008-0000-0700-000019700500}"/>
            </a:ext>
          </a:extLst>
        </xdr:cNvPr>
        <xdr:cNvSpPr>
          <a:spLocks noChangeArrowheads="1"/>
        </xdr:cNvSpPr>
      </xdr:nvSpPr>
      <xdr:spPr bwMode="auto">
        <a:xfrm>
          <a:off x="161925" y="962977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143476</xdr:colOff>
      <xdr:row>11</xdr:row>
      <xdr:rowOff>35092</xdr:rowOff>
    </xdr:from>
    <xdr:to>
      <xdr:col>7</xdr:col>
      <xdr:colOff>125329</xdr:colOff>
      <xdr:row>12</xdr:row>
      <xdr:rowOff>1905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 bwMode="auto">
        <a:xfrm flipV="1">
          <a:off x="990700" y="1544053"/>
          <a:ext cx="703747" cy="6918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11906</xdr:colOff>
      <xdr:row>12</xdr:row>
      <xdr:rowOff>5953</xdr:rowOff>
    </xdr:from>
    <xdr:to>
      <xdr:col>16</xdr:col>
      <xdr:colOff>3804</xdr:colOff>
      <xdr:row>12</xdr:row>
      <xdr:rowOff>8822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 bwMode="auto">
        <a:xfrm>
          <a:off x="1928812" y="1553766"/>
          <a:ext cx="1242055" cy="2869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158515</xdr:colOff>
      <xdr:row>20</xdr:row>
      <xdr:rowOff>0</xdr:rowOff>
    </xdr:from>
    <xdr:to>
      <xdr:col>5</xdr:col>
      <xdr:colOff>179264</xdr:colOff>
      <xdr:row>20</xdr:row>
      <xdr:rowOff>1905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CxnSpPr/>
      </xdr:nvCxnSpPr>
      <xdr:spPr bwMode="auto">
        <a:xfrm flipV="1">
          <a:off x="1005739" y="2240882"/>
          <a:ext cx="381696" cy="190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178568</xdr:colOff>
      <xdr:row>28</xdr:row>
      <xdr:rowOff>5014</xdr:rowOff>
    </xdr:from>
    <xdr:to>
      <xdr:col>6</xdr:col>
      <xdr:colOff>18843</xdr:colOff>
      <xdr:row>28</xdr:row>
      <xdr:rowOff>6919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CxnSpPr/>
      </xdr:nvCxnSpPr>
      <xdr:spPr bwMode="auto">
        <a:xfrm flipV="1">
          <a:off x="1025792" y="2937711"/>
          <a:ext cx="381696" cy="190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11</xdr:col>
      <xdr:colOff>178593</xdr:colOff>
      <xdr:row>28</xdr:row>
      <xdr:rowOff>4386</xdr:rowOff>
    </xdr:from>
    <xdr:to>
      <xdr:col>16</xdr:col>
      <xdr:colOff>12627</xdr:colOff>
      <xdr:row>28</xdr:row>
      <xdr:rowOff>5953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CxnSpPr/>
      </xdr:nvCxnSpPr>
      <xdr:spPr bwMode="auto">
        <a:xfrm flipV="1">
          <a:off x="2452687" y="2909511"/>
          <a:ext cx="727003" cy="1567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3108</xdr:colOff>
      <xdr:row>36</xdr:row>
      <xdr:rowOff>5014</xdr:rowOff>
    </xdr:from>
    <xdr:to>
      <xdr:col>6</xdr:col>
      <xdr:colOff>23856</xdr:colOff>
      <xdr:row>36</xdr:row>
      <xdr:rowOff>6919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CxnSpPr/>
      </xdr:nvCxnSpPr>
      <xdr:spPr bwMode="auto">
        <a:xfrm flipV="1">
          <a:off x="1030805" y="3629527"/>
          <a:ext cx="381696" cy="190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10</xdr:col>
      <xdr:colOff>5014</xdr:colOff>
      <xdr:row>36</xdr:row>
      <xdr:rowOff>10026</xdr:rowOff>
    </xdr:from>
    <xdr:to>
      <xdr:col>16</xdr:col>
      <xdr:colOff>3804</xdr:colOff>
      <xdr:row>36</xdr:row>
      <xdr:rowOff>11932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CxnSpPr/>
      </xdr:nvCxnSpPr>
      <xdr:spPr bwMode="auto">
        <a:xfrm>
          <a:off x="2115553" y="3634539"/>
          <a:ext cx="1081633" cy="1906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169243</xdr:colOff>
      <xdr:row>44</xdr:row>
      <xdr:rowOff>1905</xdr:rowOff>
    </xdr:from>
    <xdr:to>
      <xdr:col>12</xdr:col>
      <xdr:colOff>5013</xdr:colOff>
      <xdr:row>44</xdr:row>
      <xdr:rowOff>10026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CxnSpPr/>
      </xdr:nvCxnSpPr>
      <xdr:spPr bwMode="auto">
        <a:xfrm>
          <a:off x="1016467" y="4318234"/>
          <a:ext cx="1460033" cy="812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169745</xdr:colOff>
      <xdr:row>52</xdr:row>
      <xdr:rowOff>5013</xdr:rowOff>
    </xdr:from>
    <xdr:to>
      <xdr:col>9</xdr:col>
      <xdr:colOff>40105</xdr:colOff>
      <xdr:row>52</xdr:row>
      <xdr:rowOff>15740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CxnSpPr/>
      </xdr:nvCxnSpPr>
      <xdr:spPr bwMode="auto">
        <a:xfrm flipV="1">
          <a:off x="1016969" y="5013158"/>
          <a:ext cx="953202" cy="10727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173555</xdr:colOff>
      <xdr:row>60</xdr:row>
      <xdr:rowOff>1202</xdr:rowOff>
    </xdr:from>
    <xdr:to>
      <xdr:col>8</xdr:col>
      <xdr:colOff>103371</xdr:colOff>
      <xdr:row>60</xdr:row>
      <xdr:rowOff>1202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CxnSpPr/>
      </xdr:nvCxnSpPr>
      <xdr:spPr bwMode="auto">
        <a:xfrm>
          <a:off x="1020779" y="5701163"/>
          <a:ext cx="832184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99392</xdr:colOff>
      <xdr:row>60</xdr:row>
      <xdr:rowOff>40048</xdr:rowOff>
    </xdr:from>
    <xdr:to>
      <xdr:col>16</xdr:col>
      <xdr:colOff>5047</xdr:colOff>
      <xdr:row>60</xdr:row>
      <xdr:rowOff>40049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CxnSpPr/>
      </xdr:nvCxnSpPr>
      <xdr:spPr bwMode="auto">
        <a:xfrm>
          <a:off x="1838740" y="5763331"/>
          <a:ext cx="1363394" cy="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160420</xdr:colOff>
      <xdr:row>67</xdr:row>
      <xdr:rowOff>30781</xdr:rowOff>
    </xdr:from>
    <xdr:to>
      <xdr:col>10</xdr:col>
      <xdr:colOff>155408</xdr:colOff>
      <xdr:row>67</xdr:row>
      <xdr:rowOff>35092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CxnSpPr/>
      </xdr:nvCxnSpPr>
      <xdr:spPr bwMode="auto">
        <a:xfrm>
          <a:off x="1007644" y="6382452"/>
          <a:ext cx="1258303" cy="431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10</xdr:col>
      <xdr:colOff>151597</xdr:colOff>
      <xdr:row>69</xdr:row>
      <xdr:rowOff>29139</xdr:rowOff>
    </xdr:from>
    <xdr:to>
      <xdr:col>13</xdr:col>
      <xdr:colOff>110986</xdr:colOff>
      <xdr:row>69</xdr:row>
      <xdr:rowOff>29139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CxnSpPr/>
      </xdr:nvCxnSpPr>
      <xdr:spPr bwMode="auto">
        <a:xfrm>
          <a:off x="2247097" y="6363264"/>
          <a:ext cx="495170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14</xdr:col>
      <xdr:colOff>23812</xdr:colOff>
      <xdr:row>77</xdr:row>
      <xdr:rowOff>17860</xdr:rowOff>
    </xdr:from>
    <xdr:to>
      <xdr:col>15</xdr:col>
      <xdr:colOff>178061</xdr:colOff>
      <xdr:row>77</xdr:row>
      <xdr:rowOff>20053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CxnSpPr/>
      </xdr:nvCxnSpPr>
      <xdr:spPr bwMode="auto">
        <a:xfrm>
          <a:off x="2833687" y="7030641"/>
          <a:ext cx="332843" cy="2193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171650</xdr:colOff>
      <xdr:row>76</xdr:row>
      <xdr:rowOff>2608</xdr:rowOff>
    </xdr:from>
    <xdr:to>
      <xdr:col>13</xdr:col>
      <xdr:colOff>10026</xdr:colOff>
      <xdr:row>76</xdr:row>
      <xdr:rowOff>10026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CxnSpPr/>
      </xdr:nvCxnSpPr>
      <xdr:spPr bwMode="auto">
        <a:xfrm>
          <a:off x="1018874" y="7086200"/>
          <a:ext cx="1643113" cy="7418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168541</xdr:colOff>
      <xdr:row>84</xdr:row>
      <xdr:rowOff>0</xdr:rowOff>
    </xdr:from>
    <xdr:to>
      <xdr:col>11</xdr:col>
      <xdr:colOff>35092</xdr:colOff>
      <xdr:row>84</xdr:row>
      <xdr:rowOff>702</xdr:rowOff>
    </xdr:to>
    <xdr:cxnSp macro="">
      <xdr:nvCxnSpPr>
        <xdr:cNvPr id="342817" name="直線コネクタ 342816">
          <a:extLst>
            <a:ext uri="{FF2B5EF4-FFF2-40B4-BE49-F238E27FC236}">
              <a16:creationId xmlns:a16="http://schemas.microsoft.com/office/drawing/2014/main" id="{00000000-0008-0000-0700-0000213B0500}"/>
            </a:ext>
          </a:extLst>
        </xdr:cNvPr>
        <xdr:cNvCxnSpPr/>
      </xdr:nvCxnSpPr>
      <xdr:spPr bwMode="auto">
        <a:xfrm flipV="1">
          <a:off x="1015765" y="7775408"/>
          <a:ext cx="1310340" cy="702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57978</xdr:colOff>
      <xdr:row>84</xdr:row>
      <xdr:rowOff>12633</xdr:rowOff>
    </xdr:from>
    <xdr:to>
      <xdr:col>16</xdr:col>
      <xdr:colOff>15735</xdr:colOff>
      <xdr:row>84</xdr:row>
      <xdr:rowOff>12633</xdr:rowOff>
    </xdr:to>
    <xdr:cxnSp macro="">
      <xdr:nvCxnSpPr>
        <xdr:cNvPr id="342819" name="直線コネクタ 342818">
          <a:extLst>
            <a:ext uri="{FF2B5EF4-FFF2-40B4-BE49-F238E27FC236}">
              <a16:creationId xmlns:a16="http://schemas.microsoft.com/office/drawing/2014/main" id="{00000000-0008-0000-0700-0000233B0500}"/>
            </a:ext>
          </a:extLst>
        </xdr:cNvPr>
        <xdr:cNvCxnSpPr/>
      </xdr:nvCxnSpPr>
      <xdr:spPr bwMode="auto">
        <a:xfrm>
          <a:off x="2708413" y="7823133"/>
          <a:ext cx="504409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165433</xdr:colOff>
      <xdr:row>92</xdr:row>
      <xdr:rowOff>5013</xdr:rowOff>
    </xdr:from>
    <xdr:to>
      <xdr:col>10</xdr:col>
      <xdr:colOff>15040</xdr:colOff>
      <xdr:row>92</xdr:row>
      <xdr:rowOff>16443</xdr:rowOff>
    </xdr:to>
    <xdr:cxnSp macro="">
      <xdr:nvCxnSpPr>
        <xdr:cNvPr id="356378" name="直線コネクタ 356377">
          <a:extLst>
            <a:ext uri="{FF2B5EF4-FFF2-40B4-BE49-F238E27FC236}">
              <a16:creationId xmlns:a16="http://schemas.microsoft.com/office/drawing/2014/main" id="{00000000-0008-0000-0700-00001A700500}"/>
            </a:ext>
          </a:extLst>
        </xdr:cNvPr>
        <xdr:cNvCxnSpPr/>
      </xdr:nvCxnSpPr>
      <xdr:spPr bwMode="auto">
        <a:xfrm flipV="1">
          <a:off x="1012657" y="8472237"/>
          <a:ext cx="1112922" cy="1143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170447</xdr:colOff>
      <xdr:row>92</xdr:row>
      <xdr:rowOff>0</xdr:rowOff>
    </xdr:from>
    <xdr:to>
      <xdr:col>16</xdr:col>
      <xdr:colOff>696</xdr:colOff>
      <xdr:row>92</xdr:row>
      <xdr:rowOff>0</xdr:rowOff>
    </xdr:to>
    <xdr:cxnSp macro="">
      <xdr:nvCxnSpPr>
        <xdr:cNvPr id="356380" name="直線コネクタ 356379">
          <a:extLst>
            <a:ext uri="{FF2B5EF4-FFF2-40B4-BE49-F238E27FC236}">
              <a16:creationId xmlns:a16="http://schemas.microsoft.com/office/drawing/2014/main" id="{00000000-0008-0000-0700-00001C700500}"/>
            </a:ext>
          </a:extLst>
        </xdr:cNvPr>
        <xdr:cNvCxnSpPr/>
      </xdr:nvCxnSpPr>
      <xdr:spPr bwMode="auto">
        <a:xfrm>
          <a:off x="2641934" y="8467224"/>
          <a:ext cx="552144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165433</xdr:colOff>
      <xdr:row>100</xdr:row>
      <xdr:rowOff>2607</xdr:rowOff>
    </xdr:from>
    <xdr:to>
      <xdr:col>9</xdr:col>
      <xdr:colOff>175460</xdr:colOff>
      <xdr:row>100</xdr:row>
      <xdr:rowOff>5014</xdr:rowOff>
    </xdr:to>
    <xdr:cxnSp macro="">
      <xdr:nvCxnSpPr>
        <xdr:cNvPr id="356382" name="直線コネクタ 356381">
          <a:extLst>
            <a:ext uri="{FF2B5EF4-FFF2-40B4-BE49-F238E27FC236}">
              <a16:creationId xmlns:a16="http://schemas.microsoft.com/office/drawing/2014/main" id="{00000000-0008-0000-0700-00001E700500}"/>
            </a:ext>
          </a:extLst>
        </xdr:cNvPr>
        <xdr:cNvCxnSpPr/>
      </xdr:nvCxnSpPr>
      <xdr:spPr bwMode="auto">
        <a:xfrm>
          <a:off x="1012657" y="9161646"/>
          <a:ext cx="1092869" cy="2407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160420</xdr:colOff>
      <xdr:row>107</xdr:row>
      <xdr:rowOff>37699</xdr:rowOff>
    </xdr:from>
    <xdr:to>
      <xdr:col>9</xdr:col>
      <xdr:colOff>180473</xdr:colOff>
      <xdr:row>108</xdr:row>
      <xdr:rowOff>0</xdr:rowOff>
    </xdr:to>
    <xdr:cxnSp macro="">
      <xdr:nvCxnSpPr>
        <xdr:cNvPr id="356384" name="直線コネクタ 356383">
          <a:extLst>
            <a:ext uri="{FF2B5EF4-FFF2-40B4-BE49-F238E27FC236}">
              <a16:creationId xmlns:a16="http://schemas.microsoft.com/office/drawing/2014/main" id="{00000000-0008-0000-0700-000020700500}"/>
            </a:ext>
          </a:extLst>
        </xdr:cNvPr>
        <xdr:cNvCxnSpPr/>
      </xdr:nvCxnSpPr>
      <xdr:spPr bwMode="auto">
        <a:xfrm>
          <a:off x="1007644" y="9848449"/>
          <a:ext cx="1102895" cy="2406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681990" y="1301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textlink="">
      <xdr:nvSpPr>
        <xdr:cNvPr id="3" name="Oval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171450" y="1373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textlink="">
      <xdr:nvSpPr>
        <xdr:cNvPr id="4" name="Oval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Arrowheads="1"/>
        </xdr:cNvSpPr>
      </xdr:nvSpPr>
      <xdr:spPr bwMode="auto">
        <a:xfrm>
          <a:off x="171450" y="20593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5" name="Oval 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Arrowheads="1"/>
        </xdr:cNvSpPr>
      </xdr:nvSpPr>
      <xdr:spPr bwMode="auto">
        <a:xfrm>
          <a:off x="171450" y="27451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6" name="Oval 8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 noChangeArrowheads="1"/>
        </xdr:cNvSpPr>
      </xdr:nvSpPr>
      <xdr:spPr bwMode="auto">
        <a:xfrm>
          <a:off x="171450" y="34309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7" name="Oval 12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>
          <a:spLocks noChangeArrowheads="1"/>
        </xdr:cNvSpPr>
      </xdr:nvSpPr>
      <xdr:spPr bwMode="auto">
        <a:xfrm>
          <a:off x="171450" y="61741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8" name="Oval 13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ChangeArrowheads="1"/>
        </xdr:cNvSpPr>
      </xdr:nvSpPr>
      <xdr:spPr bwMode="auto">
        <a:xfrm>
          <a:off x="171450" y="68599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10" name="Oval 30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Arrowheads="1"/>
        </xdr:cNvSpPr>
      </xdr:nvSpPr>
      <xdr:spPr bwMode="auto">
        <a:xfrm>
          <a:off x="171450" y="41167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11" name="Oval 34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 noChangeArrowheads="1"/>
        </xdr:cNvSpPr>
      </xdr:nvSpPr>
      <xdr:spPr bwMode="auto">
        <a:xfrm>
          <a:off x="171450" y="4802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12" name="Oval 5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 noChangeArrowheads="1"/>
        </xdr:cNvSpPr>
      </xdr:nvSpPr>
      <xdr:spPr bwMode="auto">
        <a:xfrm>
          <a:off x="171450" y="75457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13" name="Oval 8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>
          <a:spLocks noChangeArrowheads="1"/>
        </xdr:cNvSpPr>
      </xdr:nvSpPr>
      <xdr:spPr bwMode="auto">
        <a:xfrm>
          <a:off x="171450" y="54883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4" name="AutoShape 10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5" name="Rectangle 103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6" name="Oval 104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7" name="AutoShape 105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8" name="Rectangle 106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9" name="Oval 107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20" name="AutoShape 108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21" name="Rectangle 109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22" name="Oval 110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23" name="AutoShape 111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24" name="Rectangle 112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25" name="Oval 113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26" name="AutoShape 114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27" name="Rectangle 115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28" name="Oval 116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29" name="AutoShape 117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30" name="Rectangle 118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31" name="Oval 119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32" name="AutoShape 120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33" name="Rectangle 121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34" name="Oval 122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35" name="AutoShape 123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36" name="Rectangle 124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37" name="Oval 125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38" name="AutoShape 126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39" name="Rectangle 127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40" name="Oval 128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41" name="AutoShape 129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42" name="Rectangle 130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43" name="Oval 131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44" name="AutoShape 132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45" name="Rectangle 133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46" name="Oval 134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47" name="AutoShape 135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48" name="Rectangle 136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49" name="Oval 137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50" name="AutoShape 138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51" name="Rectangle 139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52" name="Oval 140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53" name="Rectangle 141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54" name="AutoShape 142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55" name="Rectangle 143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56" name="Oval 144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57" name="AutoShape 145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58" name="Rectangle 146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59" name="Oval 147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60" name="AutoShape 148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61" name="Rectangle 149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62" name="Oval 150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63" name="Oval 151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64" name="Oval 152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65" name="Oval 153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66" name="AutoShape 154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67" name="Rectangle 155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68" name="Oval 156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69" name="Oval 157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70" name="Oval 158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71" name="Oval 159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72" name="AutoShape 160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73" name="Rectangle 161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74" name="Oval 162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75" name="Oval 163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76" name="Oval 164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77" name="Oval 165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78" name="AutoShape 166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79" name="Rectangle 167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80" name="Oval 168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81" name="Oval 169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82" name="Oval 170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83" name="Oval 171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84" name="AutoShape 172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85" name="Rectangle 173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86" name="Oval 174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87" name="Oval 175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88" name="Oval 176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89" name="Oval 177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90" name="AutoShape 178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91" name="Rectangle 179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92" name="Oval 180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93" name="Oval 181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94" name="Oval 182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95" name="Oval 183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96" name="AutoShape 184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97" name="Rectangle 185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98" name="Oval 186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99" name="Oval 187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00" name="Oval 188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01" name="Oval 189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02" name="AutoShape 190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03" name="Rectangle 191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04" name="Oval 192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05" name="Oval 193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06" name="Oval 194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07" name="Oval 195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08" name="AutoShape 196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09" name="Rectangle 197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10" name="Oval 198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11" name="Oval 199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12" name="Oval 200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13" name="Oval 201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14" name="AutoShape 202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15" name="Rectangle 203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16" name="Oval 204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17" name="Oval 205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18" name="Oval 206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19" name="Oval 207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20" name="AutoShape 208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21" name="Rectangle 209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22" name="Oval 210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23" name="Oval 211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24" name="Oval 212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25" name="Oval 213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26" name="AutoShape 214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27" name="Rectangle 215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28" name="Oval 216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29" name="Oval 217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30" name="Oval 218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31" name="Oval 219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32" name="AutoShape 220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33" name="Rectangle 221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34" name="Oval 222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35" name="Oval 223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36" name="Oval 224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37" name="Oval 225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38" name="AutoShape 226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39" name="Rectangle 227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40" name="Oval 228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41" name="Oval 229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42" name="Oval 230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43" name="Oval 231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44" name="AutoShape 232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45" name="Rectangle 233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46" name="Oval 234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47" name="Oval 235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48" name="Oval 236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49" name="Oval 237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50" name="AutoShape 238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51" name="Rectangle 239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52" name="Oval 240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53" name="Oval 241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54" name="Oval 242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55" name="Oval 243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56" name="AutoShape 244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57" name="Rectangle 245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58" name="Oval 246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59" name="Oval 247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60" name="Oval 248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61" name="Oval 249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62" name="AutoShape 250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63" name="Rectangle 251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64" name="Oval 252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65" name="Oval 253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66" name="Oval 254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67" name="Oval 255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68" name="AutoShape 256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69" name="Rectangle 257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70" name="Oval 258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71" name="Oval 259"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72" name="Oval 260"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73" name="Oval 261"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74" name="AutoShape 262"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75" name="Rectangle 263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76" name="Oval 264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77" name="Oval 265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78" name="Oval 266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79" name="Oval 267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106</xdr:row>
      <xdr:rowOff>0</xdr:rowOff>
    </xdr:from>
    <xdr:to>
      <xdr:col>4</xdr:col>
      <xdr:colOff>9525</xdr:colOff>
      <xdr:row>106</xdr:row>
      <xdr:rowOff>0</xdr:rowOff>
    </xdr:to>
    <xdr:sp textlink="">
      <xdr:nvSpPr>
        <xdr:cNvPr id="180" name="AutoShape 268"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81" name="Rectangle 269"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82" name="Oval 270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83" name="Oval 271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84" name="Oval 272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85" name="Oval 273">
          <a:extLst>
            <a:ext uri="{FF2B5EF4-FFF2-40B4-BE49-F238E27FC236}">
              <a16:creationId xmlns:a16="http://schemas.microsoft.com/office/drawing/2014/main" id="{00000000-0008-0000-0800-0000B9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86" name="Rectangle 274">
          <a:extLst>
            <a:ext uri="{FF2B5EF4-FFF2-40B4-BE49-F238E27FC236}">
              <a16:creationId xmlns:a16="http://schemas.microsoft.com/office/drawing/2014/main" id="{00000000-0008-0000-0800-0000BA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87" name="Oval 275">
          <a:extLst>
            <a:ext uri="{FF2B5EF4-FFF2-40B4-BE49-F238E27FC236}">
              <a16:creationId xmlns:a16="http://schemas.microsoft.com/office/drawing/2014/main" id="{00000000-0008-0000-0800-0000B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88" name="Oval 276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89" name="Oval 277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90" name="Oval 278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91" name="Rectangle 279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92" name="Oval 280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93" name="Oval 281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94" name="Oval 282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106</xdr:row>
      <xdr:rowOff>0</xdr:rowOff>
    </xdr:from>
    <xdr:to>
      <xdr:col>1</xdr:col>
      <xdr:colOff>476250</xdr:colOff>
      <xdr:row>106</xdr:row>
      <xdr:rowOff>0</xdr:rowOff>
    </xdr:to>
    <xdr:sp textlink="">
      <xdr:nvSpPr>
        <xdr:cNvPr id="195" name="Oval 283">
          <a:extLst>
            <a:ext uri="{FF2B5EF4-FFF2-40B4-BE49-F238E27FC236}">
              <a16:creationId xmlns:a16="http://schemas.microsoft.com/office/drawing/2014/main" id="{00000000-0008-0000-0800-0000C3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196" name="Rectangle 285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>
          <a:spLocks noChangeArrowheads="1"/>
        </xdr:cNvSpPr>
      </xdr:nvSpPr>
      <xdr:spPr bwMode="auto">
        <a:xfrm>
          <a:off x="681990" y="1986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197" name="Rectangle 287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>
          <a:spLocks noChangeArrowheads="1"/>
        </xdr:cNvSpPr>
      </xdr:nvSpPr>
      <xdr:spPr bwMode="auto">
        <a:xfrm>
          <a:off x="681990" y="2672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198" name="Rectangle 289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>
          <a:spLocks noChangeArrowheads="1"/>
        </xdr:cNvSpPr>
      </xdr:nvSpPr>
      <xdr:spPr bwMode="auto">
        <a:xfrm>
          <a:off x="681990" y="3358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199" name="Rectangle 291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>
          <a:spLocks noChangeArrowheads="1"/>
        </xdr:cNvSpPr>
      </xdr:nvSpPr>
      <xdr:spPr bwMode="auto">
        <a:xfrm>
          <a:off x="681990" y="4044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200" name="Rectangle 293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SpPr>
          <a:spLocks noChangeArrowheads="1"/>
        </xdr:cNvSpPr>
      </xdr:nvSpPr>
      <xdr:spPr bwMode="auto">
        <a:xfrm>
          <a:off x="681990" y="4730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01" name="Rectangle 295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>
          <a:spLocks noChangeArrowheads="1"/>
        </xdr:cNvSpPr>
      </xdr:nvSpPr>
      <xdr:spPr bwMode="auto">
        <a:xfrm>
          <a:off x="681990" y="5415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02" name="Rectangle 297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>
          <a:spLocks noChangeArrowheads="1"/>
        </xdr:cNvSpPr>
      </xdr:nvSpPr>
      <xdr:spPr bwMode="auto">
        <a:xfrm>
          <a:off x="681990" y="6101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03" name="Rectangle 299">
          <a:extLst>
            <a:ext uri="{FF2B5EF4-FFF2-40B4-BE49-F238E27FC236}">
              <a16:creationId xmlns:a16="http://schemas.microsoft.com/office/drawing/2014/main" id="{00000000-0008-0000-0800-0000CB000000}"/>
            </a:ext>
          </a:extLst>
        </xdr:cNvPr>
        <xdr:cNvSpPr>
          <a:spLocks noChangeArrowheads="1"/>
        </xdr:cNvSpPr>
      </xdr:nvSpPr>
      <xdr:spPr bwMode="auto">
        <a:xfrm>
          <a:off x="681990" y="6787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04" name="Rectangle 301">
          <a:extLst>
            <a:ext uri="{FF2B5EF4-FFF2-40B4-BE49-F238E27FC236}">
              <a16:creationId xmlns:a16="http://schemas.microsoft.com/office/drawing/2014/main" id="{00000000-0008-0000-0800-0000CC000000}"/>
            </a:ext>
          </a:extLst>
        </xdr:cNvPr>
        <xdr:cNvSpPr>
          <a:spLocks noChangeArrowheads="1"/>
        </xdr:cNvSpPr>
      </xdr:nvSpPr>
      <xdr:spPr bwMode="auto">
        <a:xfrm>
          <a:off x="681990" y="7473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05" name="Rectangle 303">
          <a:extLst>
            <a:ext uri="{FF2B5EF4-FFF2-40B4-BE49-F238E27FC236}">
              <a16:creationId xmlns:a16="http://schemas.microsoft.com/office/drawing/2014/main" id="{00000000-0008-0000-0800-0000CD000000}"/>
            </a:ext>
          </a:extLst>
        </xdr:cNvPr>
        <xdr:cNvSpPr>
          <a:spLocks noChangeArrowheads="1"/>
        </xdr:cNvSpPr>
      </xdr:nvSpPr>
      <xdr:spPr bwMode="auto">
        <a:xfrm>
          <a:off x="681990" y="8159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06" name="Rectangle 305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>
          <a:spLocks noChangeArrowheads="1"/>
        </xdr:cNvSpPr>
      </xdr:nvSpPr>
      <xdr:spPr bwMode="auto">
        <a:xfrm>
          <a:off x="681990" y="8844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textlink="">
      <xdr:nvSpPr>
        <xdr:cNvPr id="208" name="フリーフォーム 311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>
          <a:spLocks noChangeArrowheads="1"/>
        </xdr:cNvSpPr>
      </xdr:nvSpPr>
      <xdr:spPr bwMode="auto">
        <a:xfrm>
          <a:off x="742950" y="2150745"/>
          <a:ext cx="272415" cy="179070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textlink="">
      <xdr:nvSpPr>
        <xdr:cNvPr id="209" name="フリーフォーム 312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SpPr>
          <a:spLocks noChangeArrowheads="1"/>
        </xdr:cNvSpPr>
      </xdr:nvSpPr>
      <xdr:spPr bwMode="auto">
        <a:xfrm>
          <a:off x="758190" y="2836545"/>
          <a:ext cx="281940" cy="190500"/>
        </a:xfrm>
        <a:custGeom>
          <a:avLst/>
          <a:gdLst>
            <a:gd name="T0" fmla="*/ 0 w 272143"/>
            <a:gd name="T1" fmla="*/ 0 h 185057"/>
            <a:gd name="T2" fmla="*/ 389763 w 272143"/>
            <a:gd name="T3" fmla="*/ 0 h 185057"/>
            <a:gd name="T4" fmla="*/ 550255 w 272143"/>
            <a:gd name="T5" fmla="*/ 288631 h 185057"/>
            <a:gd name="T6" fmla="*/ 573181 w 272143"/>
            <a:gd name="T7" fmla="*/ 329868 h 185057"/>
            <a:gd name="T8" fmla="*/ 389763 w 272143"/>
            <a:gd name="T9" fmla="*/ 700980 h 185057"/>
            <a:gd name="T10" fmla="*/ 11462 w 272143"/>
            <a:gd name="T11" fmla="*/ 700980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textlink="">
      <xdr:nvSpPr>
        <xdr:cNvPr id="210" name="フリーフォーム 313"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SpPr>
          <a:spLocks noChangeArrowheads="1"/>
        </xdr:cNvSpPr>
      </xdr:nvSpPr>
      <xdr:spPr bwMode="auto">
        <a:xfrm>
          <a:off x="758190" y="3533775"/>
          <a:ext cx="281940" cy="17907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textlink="">
      <xdr:nvSpPr>
        <xdr:cNvPr id="211" name="フリーフォーム 314">
          <a:extLst>
            <a:ext uri="{FF2B5EF4-FFF2-40B4-BE49-F238E27FC236}">
              <a16:creationId xmlns:a16="http://schemas.microsoft.com/office/drawing/2014/main" id="{00000000-0008-0000-0800-0000D3000000}"/>
            </a:ext>
          </a:extLst>
        </xdr:cNvPr>
        <xdr:cNvSpPr>
          <a:spLocks noChangeArrowheads="1"/>
        </xdr:cNvSpPr>
      </xdr:nvSpPr>
      <xdr:spPr bwMode="auto">
        <a:xfrm>
          <a:off x="754380" y="42081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textlink="">
      <xdr:nvSpPr>
        <xdr:cNvPr id="212" name="フリーフォーム 315"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SpPr>
          <a:spLocks noChangeArrowheads="1"/>
        </xdr:cNvSpPr>
      </xdr:nvSpPr>
      <xdr:spPr bwMode="auto">
        <a:xfrm>
          <a:off x="754380" y="48939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textlink="">
      <xdr:nvSpPr>
        <xdr:cNvPr id="213" name="フリーフォーム 316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>
          <a:spLocks noChangeArrowheads="1"/>
        </xdr:cNvSpPr>
      </xdr:nvSpPr>
      <xdr:spPr bwMode="auto">
        <a:xfrm>
          <a:off x="754380" y="55683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textlink="">
      <xdr:nvSpPr>
        <xdr:cNvPr id="214" name="フリーフォーム 317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>
          <a:spLocks noChangeArrowheads="1"/>
        </xdr:cNvSpPr>
      </xdr:nvSpPr>
      <xdr:spPr bwMode="auto">
        <a:xfrm>
          <a:off x="742950" y="62541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textlink="">
      <xdr:nvSpPr>
        <xdr:cNvPr id="215" name="フリーフォーム 319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>
          <a:spLocks noChangeArrowheads="1"/>
        </xdr:cNvSpPr>
      </xdr:nvSpPr>
      <xdr:spPr bwMode="auto">
        <a:xfrm>
          <a:off x="754380" y="76257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textlink="">
      <xdr:nvSpPr>
        <xdr:cNvPr id="216" name="フリーフォーム 320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SpPr>
          <a:spLocks noChangeArrowheads="1"/>
        </xdr:cNvSpPr>
      </xdr:nvSpPr>
      <xdr:spPr bwMode="auto">
        <a:xfrm>
          <a:off x="742950" y="83229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217" name="フリーフォーム 321">
          <a:extLst>
            <a:ext uri="{FF2B5EF4-FFF2-40B4-BE49-F238E27FC236}">
              <a16:creationId xmlns:a16="http://schemas.microsoft.com/office/drawing/2014/main" id="{00000000-0008-0000-0800-0000D9000000}"/>
            </a:ext>
          </a:extLst>
        </xdr:cNvPr>
        <xdr:cNvSpPr>
          <a:spLocks noChangeArrowheads="1"/>
        </xdr:cNvSpPr>
      </xdr:nvSpPr>
      <xdr:spPr bwMode="auto">
        <a:xfrm>
          <a:off x="754380" y="90087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219" name="Rectangle 2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>
          <a:spLocks noChangeArrowheads="1"/>
        </xdr:cNvSpPr>
      </xdr:nvSpPr>
      <xdr:spPr bwMode="auto">
        <a:xfrm>
          <a:off x="681990" y="1986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220" name="Rectangle 2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>
          <a:spLocks noChangeArrowheads="1"/>
        </xdr:cNvSpPr>
      </xdr:nvSpPr>
      <xdr:spPr bwMode="auto">
        <a:xfrm>
          <a:off x="681990" y="2672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221" name="Rectangle 2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>
          <a:spLocks noChangeArrowheads="1"/>
        </xdr:cNvSpPr>
      </xdr:nvSpPr>
      <xdr:spPr bwMode="auto">
        <a:xfrm>
          <a:off x="681990" y="3358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222" name="Rectangle 2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SpPr>
          <a:spLocks noChangeArrowheads="1"/>
        </xdr:cNvSpPr>
      </xdr:nvSpPr>
      <xdr:spPr bwMode="auto">
        <a:xfrm>
          <a:off x="681990" y="4044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223" name="Rectangle 2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>
          <a:spLocks noChangeArrowheads="1"/>
        </xdr:cNvSpPr>
      </xdr:nvSpPr>
      <xdr:spPr bwMode="auto">
        <a:xfrm>
          <a:off x="681990" y="4730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24" name="Rectangle 293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>
          <a:spLocks noChangeArrowheads="1"/>
        </xdr:cNvSpPr>
      </xdr:nvSpPr>
      <xdr:spPr bwMode="auto">
        <a:xfrm>
          <a:off x="681990" y="5415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25" name="Rectangle 2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>
          <a:spLocks noChangeArrowheads="1"/>
        </xdr:cNvSpPr>
      </xdr:nvSpPr>
      <xdr:spPr bwMode="auto">
        <a:xfrm>
          <a:off x="681990" y="5415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26" name="Rectangle 293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>
          <a:spLocks noChangeArrowheads="1"/>
        </xdr:cNvSpPr>
      </xdr:nvSpPr>
      <xdr:spPr bwMode="auto">
        <a:xfrm>
          <a:off x="681990" y="6101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27" name="Rectangle 2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SpPr>
          <a:spLocks noChangeArrowheads="1"/>
        </xdr:cNvSpPr>
      </xdr:nvSpPr>
      <xdr:spPr bwMode="auto">
        <a:xfrm>
          <a:off x="681990" y="6101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28" name="Rectangle 293">
          <a:extLst>
            <a:ext uri="{FF2B5EF4-FFF2-40B4-BE49-F238E27FC236}">
              <a16:creationId xmlns:a16="http://schemas.microsoft.com/office/drawing/2014/main" id="{00000000-0008-0000-0800-0000E4000000}"/>
            </a:ext>
          </a:extLst>
        </xdr:cNvPr>
        <xdr:cNvSpPr>
          <a:spLocks noChangeArrowheads="1"/>
        </xdr:cNvSpPr>
      </xdr:nvSpPr>
      <xdr:spPr bwMode="auto">
        <a:xfrm>
          <a:off x="681990" y="6787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4</xdr:col>
      <xdr:colOff>0</xdr:colOff>
      <xdr:row>78</xdr:row>
      <xdr:rowOff>28575</xdr:rowOff>
    </xdr:to>
    <xdr:sp textlink="">
      <xdr:nvSpPr>
        <xdr:cNvPr id="229" name="フリーフォーム 342">
          <a:extLst>
            <a:ext uri="{FF2B5EF4-FFF2-40B4-BE49-F238E27FC236}">
              <a16:creationId xmlns:a16="http://schemas.microsoft.com/office/drawing/2014/main" id="{00000000-0008-0000-0800-0000E5000000}"/>
            </a:ext>
          </a:extLst>
        </xdr:cNvPr>
        <xdr:cNvSpPr>
          <a:spLocks noChangeArrowheads="1"/>
        </xdr:cNvSpPr>
      </xdr:nvSpPr>
      <xdr:spPr bwMode="auto">
        <a:xfrm>
          <a:off x="754380" y="6951345"/>
          <a:ext cx="274320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30" name="Rectangle 2">
          <a:extLst>
            <a:ext uri="{FF2B5EF4-FFF2-40B4-BE49-F238E27FC236}">
              <a16:creationId xmlns:a16="http://schemas.microsoft.com/office/drawing/2014/main" id="{00000000-0008-0000-0800-0000E6000000}"/>
            </a:ext>
          </a:extLst>
        </xdr:cNvPr>
        <xdr:cNvSpPr>
          <a:spLocks noChangeArrowheads="1"/>
        </xdr:cNvSpPr>
      </xdr:nvSpPr>
      <xdr:spPr bwMode="auto">
        <a:xfrm>
          <a:off x="681990" y="6787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31" name="Rectangle 293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>
          <a:spLocks noChangeArrowheads="1"/>
        </xdr:cNvSpPr>
      </xdr:nvSpPr>
      <xdr:spPr bwMode="auto">
        <a:xfrm>
          <a:off x="681990" y="7473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32" name="Rectangle 2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>
          <a:spLocks noChangeArrowheads="1"/>
        </xdr:cNvSpPr>
      </xdr:nvSpPr>
      <xdr:spPr bwMode="auto">
        <a:xfrm>
          <a:off x="681990" y="7473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33" name="Rectangle 293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SpPr>
          <a:spLocks noChangeArrowheads="1"/>
        </xdr:cNvSpPr>
      </xdr:nvSpPr>
      <xdr:spPr bwMode="auto">
        <a:xfrm>
          <a:off x="681990" y="8159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textlink="">
      <xdr:nvSpPr>
        <xdr:cNvPr id="234" name="フリーフォーム 350">
          <a:extLst>
            <a:ext uri="{FF2B5EF4-FFF2-40B4-BE49-F238E27FC236}">
              <a16:creationId xmlns:a16="http://schemas.microsoft.com/office/drawing/2014/main" id="{00000000-0008-0000-0800-0000EA000000}"/>
            </a:ext>
          </a:extLst>
        </xdr:cNvPr>
        <xdr:cNvSpPr>
          <a:spLocks noChangeArrowheads="1"/>
        </xdr:cNvSpPr>
      </xdr:nvSpPr>
      <xdr:spPr bwMode="auto">
        <a:xfrm>
          <a:off x="754380" y="83229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35" name="Rectangle 2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>
          <a:spLocks noChangeArrowheads="1"/>
        </xdr:cNvSpPr>
      </xdr:nvSpPr>
      <xdr:spPr bwMode="auto">
        <a:xfrm>
          <a:off x="681990" y="8159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36" name="Rectangle 293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>
          <a:spLocks noChangeArrowheads="1"/>
        </xdr:cNvSpPr>
      </xdr:nvSpPr>
      <xdr:spPr bwMode="auto">
        <a:xfrm>
          <a:off x="681990" y="8844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237" name="フリーフォーム 354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>
          <a:spLocks noChangeArrowheads="1"/>
        </xdr:cNvSpPr>
      </xdr:nvSpPr>
      <xdr:spPr bwMode="auto">
        <a:xfrm>
          <a:off x="754380" y="90087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38" name="Rectangle 2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>
          <a:spLocks noChangeArrowheads="1"/>
        </xdr:cNvSpPr>
      </xdr:nvSpPr>
      <xdr:spPr bwMode="auto">
        <a:xfrm>
          <a:off x="681990" y="8844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41" name="Rectangle 285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>
          <a:spLocks noChangeArrowheads="1"/>
        </xdr:cNvSpPr>
      </xdr:nvSpPr>
      <xdr:spPr bwMode="auto">
        <a:xfrm>
          <a:off x="681990" y="1301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textlink="">
      <xdr:nvSpPr>
        <xdr:cNvPr id="242" name="フリーフォーム 362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>
          <a:spLocks noChangeArrowheads="1"/>
        </xdr:cNvSpPr>
      </xdr:nvSpPr>
      <xdr:spPr bwMode="auto">
        <a:xfrm>
          <a:off x="742950" y="1464945"/>
          <a:ext cx="272415" cy="179070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43" name="Rectangle 2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>
          <a:spLocks noChangeArrowheads="1"/>
        </xdr:cNvSpPr>
      </xdr:nvSpPr>
      <xdr:spPr bwMode="auto">
        <a:xfrm>
          <a:off x="681990" y="1301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104775</xdr:colOff>
      <xdr:row>97</xdr:row>
      <xdr:rowOff>104775</xdr:rowOff>
    </xdr:from>
    <xdr:to>
      <xdr:col>1</xdr:col>
      <xdr:colOff>466725</xdr:colOff>
      <xdr:row>102</xdr:row>
      <xdr:rowOff>123825</xdr:rowOff>
    </xdr:to>
    <xdr:sp textlink="">
      <xdr:nvSpPr>
        <xdr:cNvPr id="244" name="Oval 18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SpPr>
          <a:spLocks noChangeArrowheads="1"/>
        </xdr:cNvSpPr>
      </xdr:nvSpPr>
      <xdr:spPr bwMode="auto">
        <a:xfrm>
          <a:off x="160020" y="8932545"/>
          <a:ext cx="365760" cy="36576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245" name="Oval 51">
          <a:extLst>
            <a:ext uri="{FF2B5EF4-FFF2-40B4-BE49-F238E27FC236}">
              <a16:creationId xmlns:a16="http://schemas.microsoft.com/office/drawing/2014/main" id="{00000000-0008-0000-0800-0000F5000000}"/>
            </a:ext>
          </a:extLst>
        </xdr:cNvPr>
        <xdr:cNvSpPr>
          <a:spLocks noChangeArrowheads="1"/>
        </xdr:cNvSpPr>
      </xdr:nvSpPr>
      <xdr:spPr bwMode="auto">
        <a:xfrm>
          <a:off x="171450" y="8231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145052</xdr:colOff>
      <xdr:row>11</xdr:row>
      <xdr:rowOff>34834</xdr:rowOff>
    </xdr:from>
    <xdr:to>
      <xdr:col>10</xdr:col>
      <xdr:colOff>5443</xdr:colOff>
      <xdr:row>12</xdr:row>
      <xdr:rowOff>0</xdr:rowOff>
    </xdr:to>
    <xdr:cxnSp macro="">
      <xdr:nvCxnSpPr>
        <xdr:cNvPr id="247" name="直線コネクタ 246">
          <a:extLst>
            <a:ext uri="{FF2B5EF4-FFF2-40B4-BE49-F238E27FC236}">
              <a16:creationId xmlns:a16="http://schemas.microsoft.com/office/drawing/2014/main" id="{00000000-0008-0000-0800-0000F7000000}"/>
            </a:ext>
          </a:extLst>
        </xdr:cNvPr>
        <xdr:cNvCxnSpPr/>
      </xdr:nvCxnSpPr>
      <xdr:spPr bwMode="auto">
        <a:xfrm>
          <a:off x="994138" y="1558834"/>
          <a:ext cx="1117691" cy="3266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145051</xdr:colOff>
      <xdr:row>19</xdr:row>
      <xdr:rowOff>34834</xdr:rowOff>
    </xdr:from>
    <xdr:to>
      <xdr:col>10</xdr:col>
      <xdr:colOff>0</xdr:colOff>
      <xdr:row>20</xdr:row>
      <xdr:rowOff>0</xdr:rowOff>
    </xdr:to>
    <xdr:cxnSp macro="">
      <xdr:nvCxnSpPr>
        <xdr:cNvPr id="249" name="直線コネクタ 248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CxnSpPr/>
      </xdr:nvCxnSpPr>
      <xdr:spPr bwMode="auto">
        <a:xfrm>
          <a:off x="994137" y="2244634"/>
          <a:ext cx="1112249" cy="3266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172538</xdr:colOff>
      <xdr:row>27</xdr:row>
      <xdr:rowOff>32657</xdr:rowOff>
    </xdr:from>
    <xdr:to>
      <xdr:col>10</xdr:col>
      <xdr:colOff>0</xdr:colOff>
      <xdr:row>28</xdr:row>
      <xdr:rowOff>2177</xdr:rowOff>
    </xdr:to>
    <xdr:cxnSp macro="">
      <xdr:nvCxnSpPr>
        <xdr:cNvPr id="251" name="直線コネクタ 250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CxnSpPr/>
      </xdr:nvCxnSpPr>
      <xdr:spPr bwMode="auto">
        <a:xfrm flipV="1">
          <a:off x="1021624" y="2928257"/>
          <a:ext cx="1084762" cy="762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172538</xdr:colOff>
      <xdr:row>35</xdr:row>
      <xdr:rowOff>32657</xdr:rowOff>
    </xdr:from>
    <xdr:to>
      <xdr:col>12</xdr:col>
      <xdr:colOff>141515</xdr:colOff>
      <xdr:row>36</xdr:row>
      <xdr:rowOff>9525</xdr:rowOff>
    </xdr:to>
    <xdr:cxnSp macro="">
      <xdr:nvCxnSpPr>
        <xdr:cNvPr id="253" name="直線コネクタ 252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CxnSpPr/>
      </xdr:nvCxnSpPr>
      <xdr:spPr bwMode="auto">
        <a:xfrm flipV="1">
          <a:off x="1021624" y="3614057"/>
          <a:ext cx="1585505" cy="14968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172538</xdr:colOff>
      <xdr:row>44</xdr:row>
      <xdr:rowOff>0</xdr:rowOff>
    </xdr:from>
    <xdr:to>
      <xdr:col>10</xdr:col>
      <xdr:colOff>92528</xdr:colOff>
      <xdr:row>44</xdr:row>
      <xdr:rowOff>9525</xdr:rowOff>
    </xdr:to>
    <xdr:cxnSp macro="">
      <xdr:nvCxnSpPr>
        <xdr:cNvPr id="255" name="直線コネクタ 254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CxnSpPr/>
      </xdr:nvCxnSpPr>
      <xdr:spPr bwMode="auto">
        <a:xfrm flipV="1">
          <a:off x="1021624" y="4305300"/>
          <a:ext cx="1177290" cy="952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174171</xdr:colOff>
      <xdr:row>51</xdr:row>
      <xdr:rowOff>25409</xdr:rowOff>
    </xdr:from>
    <xdr:to>
      <xdr:col>5</xdr:col>
      <xdr:colOff>146957</xdr:colOff>
      <xdr:row>51</xdr:row>
      <xdr:rowOff>28675</xdr:rowOff>
    </xdr:to>
    <xdr:cxnSp macro="">
      <xdr:nvCxnSpPr>
        <xdr:cNvPr id="257" name="直線コネクタ 256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CxnSpPr/>
      </xdr:nvCxnSpPr>
      <xdr:spPr bwMode="auto">
        <a:xfrm>
          <a:off x="1014385" y="4989250"/>
          <a:ext cx="336749" cy="3266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168728</xdr:colOff>
      <xdr:row>59</xdr:row>
      <xdr:rowOff>32657</xdr:rowOff>
    </xdr:from>
    <xdr:to>
      <xdr:col>5</xdr:col>
      <xdr:colOff>141515</xdr:colOff>
      <xdr:row>59</xdr:row>
      <xdr:rowOff>34834</xdr:rowOff>
    </xdr:to>
    <xdr:cxnSp macro="">
      <xdr:nvCxnSpPr>
        <xdr:cNvPr id="259" name="直線コネクタ 258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CxnSpPr/>
      </xdr:nvCxnSpPr>
      <xdr:spPr bwMode="auto">
        <a:xfrm flipV="1">
          <a:off x="1017814" y="5671457"/>
          <a:ext cx="332015" cy="2177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152399</xdr:colOff>
      <xdr:row>67</xdr:row>
      <xdr:rowOff>25581</xdr:rowOff>
    </xdr:from>
    <xdr:to>
      <xdr:col>13</xdr:col>
      <xdr:colOff>108857</xdr:colOff>
      <xdr:row>67</xdr:row>
      <xdr:rowOff>32657</xdr:rowOff>
    </xdr:to>
    <xdr:cxnSp macro="">
      <xdr:nvCxnSpPr>
        <xdr:cNvPr id="261" name="直線コネクタ 260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CxnSpPr/>
      </xdr:nvCxnSpPr>
      <xdr:spPr bwMode="auto">
        <a:xfrm>
          <a:off x="1001485" y="6350181"/>
          <a:ext cx="1752601" cy="7076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170360</xdr:colOff>
      <xdr:row>76</xdr:row>
      <xdr:rowOff>0</xdr:rowOff>
    </xdr:from>
    <xdr:to>
      <xdr:col>5</xdr:col>
      <xdr:colOff>174172</xdr:colOff>
      <xdr:row>76</xdr:row>
      <xdr:rowOff>2177</xdr:rowOff>
    </xdr:to>
    <xdr:cxnSp macro="">
      <xdr:nvCxnSpPr>
        <xdr:cNvPr id="265" name="直線コネクタ 264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CxnSpPr/>
      </xdr:nvCxnSpPr>
      <xdr:spPr bwMode="auto">
        <a:xfrm flipV="1">
          <a:off x="1019446" y="7048500"/>
          <a:ext cx="363040" cy="2177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161652</xdr:colOff>
      <xdr:row>83</xdr:row>
      <xdr:rowOff>34834</xdr:rowOff>
    </xdr:from>
    <xdr:to>
      <xdr:col>12</xdr:col>
      <xdr:colOff>125186</xdr:colOff>
      <xdr:row>84</xdr:row>
      <xdr:rowOff>0</xdr:rowOff>
    </xdr:to>
    <xdr:cxnSp macro="">
      <xdr:nvCxnSpPr>
        <xdr:cNvPr id="267" name="直線コネクタ 266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CxnSpPr/>
      </xdr:nvCxnSpPr>
      <xdr:spPr bwMode="auto">
        <a:xfrm>
          <a:off x="1010738" y="7731034"/>
          <a:ext cx="1580062" cy="3266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170361</xdr:colOff>
      <xdr:row>91</xdr:row>
      <xdr:rowOff>32657</xdr:rowOff>
    </xdr:from>
    <xdr:to>
      <xdr:col>12</xdr:col>
      <xdr:colOff>10886</xdr:colOff>
      <xdr:row>92</xdr:row>
      <xdr:rowOff>9525</xdr:rowOff>
    </xdr:to>
    <xdr:cxnSp macro="">
      <xdr:nvCxnSpPr>
        <xdr:cNvPr id="269" name="直線コネクタ 268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CxnSpPr/>
      </xdr:nvCxnSpPr>
      <xdr:spPr bwMode="auto">
        <a:xfrm flipV="1">
          <a:off x="1019447" y="8414657"/>
          <a:ext cx="1457053" cy="14968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104775</xdr:colOff>
      <xdr:row>60</xdr:row>
      <xdr:rowOff>7348</xdr:rowOff>
    </xdr:from>
    <xdr:to>
      <xdr:col>16</xdr:col>
      <xdr:colOff>3266</xdr:colOff>
      <xdr:row>60</xdr:row>
      <xdr:rowOff>7348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CxnSpPr/>
      </xdr:nvCxnSpPr>
      <xdr:spPr bwMode="auto">
        <a:xfrm>
          <a:off x="1657350" y="5684248"/>
          <a:ext cx="1527266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10</xdr:col>
      <xdr:colOff>48985</xdr:colOff>
      <xdr:row>13</xdr:row>
      <xdr:rowOff>10886</xdr:rowOff>
    </xdr:from>
    <xdr:to>
      <xdr:col>16</xdr:col>
      <xdr:colOff>17963</xdr:colOff>
      <xdr:row>13</xdr:row>
      <xdr:rowOff>20139</xdr:rowOff>
    </xdr:to>
    <xdr:cxnSp macro="">
      <xdr:nvCxnSpPr>
        <xdr:cNvPr id="240" name="直線コネクタ 239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CxnSpPr/>
      </xdr:nvCxnSpPr>
      <xdr:spPr bwMode="auto">
        <a:xfrm>
          <a:off x="2155371" y="1611086"/>
          <a:ext cx="1046663" cy="9253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105046</xdr:colOff>
      <xdr:row>85</xdr:row>
      <xdr:rowOff>21228</xdr:rowOff>
    </xdr:from>
    <xdr:to>
      <xdr:col>16</xdr:col>
      <xdr:colOff>47625</xdr:colOff>
      <xdr:row>85</xdr:row>
      <xdr:rowOff>21229</xdr:rowOff>
    </xdr:to>
    <xdr:cxnSp macro="">
      <xdr:nvCxnSpPr>
        <xdr:cNvPr id="256" name="直線コネクタ 255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CxnSpPr/>
      </xdr:nvCxnSpPr>
      <xdr:spPr bwMode="auto">
        <a:xfrm flipV="1">
          <a:off x="2562496" y="7793628"/>
          <a:ext cx="666479" cy="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271</xdr:colOff>
      <xdr:row>93</xdr:row>
      <xdr:rowOff>11704</xdr:rowOff>
    </xdr:from>
    <xdr:to>
      <xdr:col>16</xdr:col>
      <xdr:colOff>57150</xdr:colOff>
      <xdr:row>93</xdr:row>
      <xdr:rowOff>11705</xdr:rowOff>
    </xdr:to>
    <xdr:cxnSp macro="">
      <xdr:nvCxnSpPr>
        <xdr:cNvPr id="258" name="直線コネクタ 257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CxnSpPr/>
      </xdr:nvCxnSpPr>
      <xdr:spPr bwMode="auto">
        <a:xfrm flipV="1">
          <a:off x="2457721" y="8469904"/>
          <a:ext cx="780779" cy="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143262</xdr:colOff>
      <xdr:row>52</xdr:row>
      <xdr:rowOff>23455</xdr:rowOff>
    </xdr:from>
    <xdr:to>
      <xdr:col>15</xdr:col>
      <xdr:colOff>169682</xdr:colOff>
      <xdr:row>52</xdr:row>
      <xdr:rowOff>23455</xdr:rowOff>
    </xdr:to>
    <xdr:cxnSp macro="">
      <xdr:nvCxnSpPr>
        <xdr:cNvPr id="207" name="直線コネクタ 206">
          <a:extLst>
            <a:ext uri="{FF2B5EF4-FFF2-40B4-BE49-F238E27FC236}">
              <a16:creationId xmlns:a16="http://schemas.microsoft.com/office/drawing/2014/main" id="{C67E7D2B-3C52-4DF5-A143-7C79435C3F95}"/>
            </a:ext>
          </a:extLst>
        </xdr:cNvPr>
        <xdr:cNvCxnSpPr/>
      </xdr:nvCxnSpPr>
      <xdr:spPr bwMode="auto">
        <a:xfrm>
          <a:off x="1347439" y="5026016"/>
          <a:ext cx="1846237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681990" y="1301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textlink="">
      <xdr:nvSpPr>
        <xdr:cNvPr id="3" name="Oval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171450" y="1373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4" name="Oval 8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 noChangeArrowheads="1"/>
        </xdr:cNvSpPr>
      </xdr:nvSpPr>
      <xdr:spPr bwMode="auto">
        <a:xfrm>
          <a:off x="171450" y="34309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5" name="Oval 9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 noChangeArrowheads="1"/>
        </xdr:cNvSpPr>
      </xdr:nvSpPr>
      <xdr:spPr bwMode="auto">
        <a:xfrm>
          <a:off x="171450" y="41167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6" name="Oval 10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 noChangeArrowheads="1"/>
        </xdr:cNvSpPr>
      </xdr:nvSpPr>
      <xdr:spPr bwMode="auto">
        <a:xfrm>
          <a:off x="171450" y="4802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7" name="Oval 1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 noChangeArrowheads="1"/>
        </xdr:cNvSpPr>
      </xdr:nvSpPr>
      <xdr:spPr bwMode="auto">
        <a:xfrm>
          <a:off x="171450" y="61741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8" name="Oval 13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 noChangeArrowheads="1"/>
        </xdr:cNvSpPr>
      </xdr:nvSpPr>
      <xdr:spPr bwMode="auto">
        <a:xfrm>
          <a:off x="171450" y="68599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9" name="Oval 14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>
          <a:spLocks noChangeArrowheads="1"/>
        </xdr:cNvSpPr>
      </xdr:nvSpPr>
      <xdr:spPr bwMode="auto">
        <a:xfrm>
          <a:off x="171450" y="75457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10" name="Oval 15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>
          <a:spLocks noChangeArrowheads="1"/>
        </xdr:cNvSpPr>
      </xdr:nvSpPr>
      <xdr:spPr bwMode="auto">
        <a:xfrm>
          <a:off x="171450" y="82315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1" name="Rectangle 16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>
          <a:spLocks noChangeArrowheads="1"/>
        </xdr:cNvSpPr>
      </xdr:nvSpPr>
      <xdr:spPr bwMode="auto">
        <a:xfrm>
          <a:off x="681990" y="97059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12" name="Oval 17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>
          <a:spLocks noChangeArrowheads="1"/>
        </xdr:cNvSpPr>
      </xdr:nvSpPr>
      <xdr:spPr bwMode="auto">
        <a:xfrm>
          <a:off x="171450" y="89173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105</xdr:row>
      <xdr:rowOff>85725</xdr:rowOff>
    </xdr:from>
    <xdr:to>
      <xdr:col>1</xdr:col>
      <xdr:colOff>476250</xdr:colOff>
      <xdr:row>110</xdr:row>
      <xdr:rowOff>104775</xdr:rowOff>
    </xdr:to>
    <xdr:sp textlink="">
      <xdr:nvSpPr>
        <xdr:cNvPr id="13" name="Oval 18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>
          <a:spLocks noChangeArrowheads="1"/>
        </xdr:cNvSpPr>
      </xdr:nvSpPr>
      <xdr:spPr bwMode="auto">
        <a:xfrm>
          <a:off x="171450" y="96031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textlink="">
      <xdr:nvSpPr>
        <xdr:cNvPr id="14" name="Oval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>
          <a:spLocks noChangeArrowheads="1"/>
        </xdr:cNvSpPr>
      </xdr:nvSpPr>
      <xdr:spPr bwMode="auto">
        <a:xfrm>
          <a:off x="171450" y="20593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15" name="Oval 65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>
          <a:spLocks noChangeArrowheads="1"/>
        </xdr:cNvSpPr>
      </xdr:nvSpPr>
      <xdr:spPr bwMode="auto">
        <a:xfrm>
          <a:off x="171450" y="27451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16" name="Oval 80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>
          <a:spLocks noChangeArrowheads="1"/>
        </xdr:cNvSpPr>
      </xdr:nvSpPr>
      <xdr:spPr bwMode="auto">
        <a:xfrm>
          <a:off x="171450" y="5488305"/>
          <a:ext cx="358140" cy="35814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7" name="AutoShape 102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8" name="Rectangle 103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" name="Oval 104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20" name="AutoShape 105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21" name="Rectangle 106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22" name="Oval 107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23" name="AutoShape 108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24" name="Rectangle 109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25" name="Oval 110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26" name="AutoShape 11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27" name="Rectangle 112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28" name="Oval 113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29" name="AutoShape 114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0" name="Rectangle 115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1" name="Oval 116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2" name="AutoShape 117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" name="Rectangle 118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" name="Oval 119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" name="AutoShape 120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6" name="Rectangle 12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7" name="Oval 122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8" name="AutoShape 123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9" name="Rectangle 124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40" name="Oval 125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41" name="AutoShape 126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42" name="Rectangle 127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43" name="Oval 128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44" name="AutoShape 129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45" name="Rectangle 130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46" name="Oval 13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47" name="AutoShape 13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48" name="Rectangle 133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49" name="Oval 134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50" name="AutoShape 135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51" name="Rectangle 136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52" name="Oval 137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53" name="AutoShape 13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54" name="Rectangle 139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55" name="Oval 140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56" name="Rectangle 14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57" name="AutoShape 142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58" name="Rectangle 143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59" name="Oval 144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60" name="AutoShape 145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61" name="Rectangle 146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2" name="Oval 147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63" name="AutoShape 148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64" name="Rectangle 149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5" name="Oval 150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6" name="Oval 15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7" name="Oval 152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8" name="Oval 153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69" name="AutoShape 154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70" name="Rectangle 155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1" name="Oval 156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2" name="Oval 157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3" name="Oval 158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4" name="Oval 159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75" name="AutoShape 160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76" name="Rectangle 16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7" name="Oval 16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8" name="Oval 163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9" name="Oval 164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0" name="Oval 165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81" name="AutoShape 166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82" name="Rectangle 167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3" name="Oval 16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4" name="Oval 169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5" name="Oval 170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6" name="Oval 17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87" name="AutoShape 172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88" name="Rectangle 173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9" name="Oval 17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0" name="Oval 175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1" name="Oval 176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2" name="Oval 177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93" name="AutoShape 178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94" name="Rectangle 179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5" name="Oval 180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6" name="Oval 18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7" name="Oval 182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8" name="Oval 183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99" name="AutoShape 184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00" name="Rectangle 185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1" name="Oval 186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2" name="Oval 187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3" name="Oval 188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4" name="Oval 189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05" name="AutoShape 190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06" name="Rectangle 19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7" name="Oval 19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8" name="Oval 193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9" name="Oval 194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0" name="Oval 195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11" name="AutoShape 196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12" name="Rectangle 197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3" name="Oval 19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4" name="Oval 199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5" name="Oval 200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6" name="Oval 20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17" name="AutoShape 202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18" name="Rectangle 203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9" name="Oval 204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0" name="Oval 205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1" name="Oval 206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2" name="Oval 207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23" name="AutoShape 208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24" name="Rectangle 209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5" name="Oval 210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6" name="Oval 21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7" name="Oval 212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8" name="Oval 213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29" name="AutoShape 214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30" name="Rectangle 215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1" name="Oval 216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2" name="Oval 217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3" name="Oval 218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4" name="Oval 219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35" name="AutoShape 220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36" name="Rectangle 22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7" name="Oval 222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8" name="Oval 223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9" name="Oval 224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0" name="Oval 225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41" name="AutoShape 226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42" name="Rectangle 227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3" name="Oval 228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4" name="Oval 229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5" name="Oval 230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6" name="Oval 23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47" name="AutoShape 23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48" name="Rectangle 233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9" name="Oval 234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0" name="Oval 235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1" name="Oval 236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2" name="Oval 237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53" name="AutoShape 23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54" name="Rectangle 239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5" name="Oval 240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6" name="Oval 24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7" name="Oval 242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8" name="Oval 243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59" name="AutoShape 24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60" name="Rectangle 245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1" name="Oval 246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2" name="Oval 247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3" name="Oval 248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4" name="Oval 249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65" name="AutoShape 250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66" name="Rectangle 25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7" name="Oval 252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8" name="Oval 253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9" name="Oval 254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0" name="Oval 255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71" name="AutoShape 256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72" name="Rectangle 257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3" name="Oval 258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4" name="Oval 259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5" name="Oval 260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6" name="Oval 26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77" name="AutoShape 26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78" name="Rectangle 263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9" name="Oval 264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0" name="Oval 265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1" name="Oval 266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2" name="Oval 267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83" name="AutoShape 26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>
          <a:spLocks noChangeArrowheads="1"/>
        </xdr:cNvSpPr>
      </xdr:nvSpPr>
      <xdr:spPr bwMode="auto">
        <a:xfrm>
          <a:off x="693420" y="10696575"/>
          <a:ext cx="34671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84" name="Rectangle 269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5" name="Oval 270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6" name="Oval 27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7" name="Oval 272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8" name="Oval 273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89" name="Rectangle 274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0" name="Oval 275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1" name="Oval 276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2" name="Oval 277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3" name="Oval 278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94" name="Rectangle 279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rrowheads="1"/>
        </xdr:cNvSpPr>
      </xdr:nvSpPr>
      <xdr:spPr bwMode="auto">
        <a:xfrm>
          <a:off x="681990" y="10696575"/>
          <a:ext cx="14859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5" name="Oval 280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6" name="Oval 28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7" name="Oval 282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8" name="Oval 283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>
          <a:spLocks noChangeArrowheads="1"/>
        </xdr:cNvSpPr>
      </xdr:nvSpPr>
      <xdr:spPr bwMode="auto">
        <a:xfrm>
          <a:off x="171450" y="10696575"/>
          <a:ext cx="35814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199" name="Rectangle 285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rrowheads="1"/>
        </xdr:cNvSpPr>
      </xdr:nvSpPr>
      <xdr:spPr bwMode="auto">
        <a:xfrm>
          <a:off x="681990" y="1986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200" name="Rectangle 287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rrowheads="1"/>
        </xdr:cNvSpPr>
      </xdr:nvSpPr>
      <xdr:spPr bwMode="auto">
        <a:xfrm>
          <a:off x="681990" y="2672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201" name="Rectangle 289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rrowheads="1"/>
        </xdr:cNvSpPr>
      </xdr:nvSpPr>
      <xdr:spPr bwMode="auto">
        <a:xfrm>
          <a:off x="681990" y="3358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202" name="Rectangle 29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>
          <a:spLocks noChangeArrowheads="1"/>
        </xdr:cNvSpPr>
      </xdr:nvSpPr>
      <xdr:spPr bwMode="auto">
        <a:xfrm>
          <a:off x="681990" y="4044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203" name="Rectangle 293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>
          <a:spLocks noChangeArrowheads="1"/>
        </xdr:cNvSpPr>
      </xdr:nvSpPr>
      <xdr:spPr bwMode="auto">
        <a:xfrm>
          <a:off x="681990" y="4730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04" name="Rectangle 295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>
          <a:spLocks noChangeArrowheads="1"/>
        </xdr:cNvSpPr>
      </xdr:nvSpPr>
      <xdr:spPr bwMode="auto">
        <a:xfrm>
          <a:off x="681990" y="5415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05" name="Rectangle 297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>
          <a:spLocks noChangeArrowheads="1"/>
        </xdr:cNvSpPr>
      </xdr:nvSpPr>
      <xdr:spPr bwMode="auto">
        <a:xfrm>
          <a:off x="681990" y="6101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06" name="Rectangle 299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rrowheads="1"/>
        </xdr:cNvSpPr>
      </xdr:nvSpPr>
      <xdr:spPr bwMode="auto">
        <a:xfrm>
          <a:off x="681990" y="6787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07" name="Rectangle 30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rrowheads="1"/>
        </xdr:cNvSpPr>
      </xdr:nvSpPr>
      <xdr:spPr bwMode="auto">
        <a:xfrm>
          <a:off x="681990" y="7473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08" name="Rectangle 303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rrowheads="1"/>
        </xdr:cNvSpPr>
      </xdr:nvSpPr>
      <xdr:spPr bwMode="auto">
        <a:xfrm>
          <a:off x="681990" y="8159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09" name="Rectangle 305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>
          <a:spLocks noChangeArrowheads="1"/>
        </xdr:cNvSpPr>
      </xdr:nvSpPr>
      <xdr:spPr bwMode="auto">
        <a:xfrm>
          <a:off x="681990" y="8844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210" name="Rectangle 307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>
          <a:spLocks noChangeArrowheads="1"/>
        </xdr:cNvSpPr>
      </xdr:nvSpPr>
      <xdr:spPr bwMode="auto">
        <a:xfrm>
          <a:off x="681990" y="9530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textlink="">
      <xdr:nvSpPr>
        <xdr:cNvPr id="211" name="フリーフォーム 31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>
          <a:spLocks noChangeArrowheads="1"/>
        </xdr:cNvSpPr>
      </xdr:nvSpPr>
      <xdr:spPr bwMode="auto">
        <a:xfrm>
          <a:off x="742950" y="2150745"/>
          <a:ext cx="272415" cy="179070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textlink="">
      <xdr:nvSpPr>
        <xdr:cNvPr id="212" name="フリーフォーム 31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>
          <a:spLocks noChangeArrowheads="1"/>
        </xdr:cNvSpPr>
      </xdr:nvSpPr>
      <xdr:spPr bwMode="auto">
        <a:xfrm>
          <a:off x="758190" y="2836545"/>
          <a:ext cx="281940" cy="190500"/>
        </a:xfrm>
        <a:custGeom>
          <a:avLst/>
          <a:gdLst>
            <a:gd name="T0" fmla="*/ 0 w 272143"/>
            <a:gd name="T1" fmla="*/ 0 h 185057"/>
            <a:gd name="T2" fmla="*/ 385332 w 272143"/>
            <a:gd name="T3" fmla="*/ 0 h 185057"/>
            <a:gd name="T4" fmla="*/ 544000 w 272143"/>
            <a:gd name="T5" fmla="*/ 279321 h 185057"/>
            <a:gd name="T6" fmla="*/ 566665 w 272143"/>
            <a:gd name="T7" fmla="*/ 319227 h 185057"/>
            <a:gd name="T8" fmla="*/ 385332 w 272143"/>
            <a:gd name="T9" fmla="*/ 678369 h 185057"/>
            <a:gd name="T10" fmla="*/ 11331 w 272143"/>
            <a:gd name="T11" fmla="*/ 678369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textlink="">
      <xdr:nvSpPr>
        <xdr:cNvPr id="213" name="フリーフォーム 313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rrowheads="1"/>
        </xdr:cNvSpPr>
      </xdr:nvSpPr>
      <xdr:spPr bwMode="auto">
        <a:xfrm>
          <a:off x="758190" y="3533775"/>
          <a:ext cx="281940" cy="17907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textlink="">
      <xdr:nvSpPr>
        <xdr:cNvPr id="214" name="フリーフォーム 314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rrowheads="1"/>
        </xdr:cNvSpPr>
      </xdr:nvSpPr>
      <xdr:spPr bwMode="auto">
        <a:xfrm>
          <a:off x="754380" y="42081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textlink="">
      <xdr:nvSpPr>
        <xdr:cNvPr id="215" name="フリーフォーム 315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rrowheads="1"/>
        </xdr:cNvSpPr>
      </xdr:nvSpPr>
      <xdr:spPr bwMode="auto">
        <a:xfrm>
          <a:off x="754380" y="48939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textlink="">
      <xdr:nvSpPr>
        <xdr:cNvPr id="216" name="フリーフォーム 316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>
          <a:spLocks noChangeArrowheads="1"/>
        </xdr:cNvSpPr>
      </xdr:nvSpPr>
      <xdr:spPr bwMode="auto">
        <a:xfrm>
          <a:off x="754380" y="55683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textlink="">
      <xdr:nvSpPr>
        <xdr:cNvPr id="217" name="フリーフォーム 317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>
          <a:spLocks noChangeArrowheads="1"/>
        </xdr:cNvSpPr>
      </xdr:nvSpPr>
      <xdr:spPr bwMode="auto">
        <a:xfrm>
          <a:off x="742950" y="62541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textlink="">
      <xdr:nvSpPr>
        <xdr:cNvPr id="218" name="フリーフォーム 319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>
          <a:spLocks noChangeArrowheads="1"/>
        </xdr:cNvSpPr>
      </xdr:nvSpPr>
      <xdr:spPr bwMode="auto">
        <a:xfrm>
          <a:off x="754380" y="76257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textlink="">
      <xdr:nvSpPr>
        <xdr:cNvPr id="219" name="フリーフォーム 320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>
          <a:spLocks noChangeArrowheads="1"/>
        </xdr:cNvSpPr>
      </xdr:nvSpPr>
      <xdr:spPr bwMode="auto">
        <a:xfrm>
          <a:off x="742950" y="83229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220" name="フリーフォーム 32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rrowheads="1"/>
        </xdr:cNvSpPr>
      </xdr:nvSpPr>
      <xdr:spPr bwMode="auto">
        <a:xfrm>
          <a:off x="754380" y="90087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textlink="">
      <xdr:nvSpPr>
        <xdr:cNvPr id="221" name="フリーフォーム 322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rrowheads="1"/>
        </xdr:cNvSpPr>
      </xdr:nvSpPr>
      <xdr:spPr bwMode="auto">
        <a:xfrm>
          <a:off x="754380" y="968311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222" name="Rectangle 2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rrowheads="1"/>
        </xdr:cNvSpPr>
      </xdr:nvSpPr>
      <xdr:spPr bwMode="auto">
        <a:xfrm>
          <a:off x="681990" y="1986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223" name="Rectangle 2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>
          <a:spLocks noChangeArrowheads="1"/>
        </xdr:cNvSpPr>
      </xdr:nvSpPr>
      <xdr:spPr bwMode="auto">
        <a:xfrm>
          <a:off x="681990" y="2672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224" name="Rectangle 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>
          <a:spLocks noChangeArrowheads="1"/>
        </xdr:cNvSpPr>
      </xdr:nvSpPr>
      <xdr:spPr bwMode="auto">
        <a:xfrm>
          <a:off x="681990" y="3358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225" name="Rectangle 2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>
          <a:spLocks noChangeArrowheads="1"/>
        </xdr:cNvSpPr>
      </xdr:nvSpPr>
      <xdr:spPr bwMode="auto">
        <a:xfrm>
          <a:off x="681990" y="4044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226" name="Rectangle 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>
          <a:spLocks noChangeArrowheads="1"/>
        </xdr:cNvSpPr>
      </xdr:nvSpPr>
      <xdr:spPr bwMode="auto">
        <a:xfrm>
          <a:off x="681990" y="4730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27" name="Rectangle 293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rrowheads="1"/>
        </xdr:cNvSpPr>
      </xdr:nvSpPr>
      <xdr:spPr bwMode="auto">
        <a:xfrm>
          <a:off x="681990" y="5415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28" name="Rectangle 2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rrowheads="1"/>
        </xdr:cNvSpPr>
      </xdr:nvSpPr>
      <xdr:spPr bwMode="auto">
        <a:xfrm>
          <a:off x="681990" y="5415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29" name="Rectangle 293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rrowheads="1"/>
        </xdr:cNvSpPr>
      </xdr:nvSpPr>
      <xdr:spPr bwMode="auto">
        <a:xfrm>
          <a:off x="681990" y="6101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30" name="Rectangle 2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rrowheads="1"/>
        </xdr:cNvSpPr>
      </xdr:nvSpPr>
      <xdr:spPr bwMode="auto">
        <a:xfrm>
          <a:off x="681990" y="6101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31" name="Rectangle 293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rrowheads="1"/>
        </xdr:cNvSpPr>
      </xdr:nvSpPr>
      <xdr:spPr bwMode="auto">
        <a:xfrm>
          <a:off x="681990" y="6787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3</xdr:col>
      <xdr:colOff>180975</xdr:colOff>
      <xdr:row>78</xdr:row>
      <xdr:rowOff>28575</xdr:rowOff>
    </xdr:to>
    <xdr:sp textlink="">
      <xdr:nvSpPr>
        <xdr:cNvPr id="232" name="フリーフォーム 342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rrowheads="1"/>
        </xdr:cNvSpPr>
      </xdr:nvSpPr>
      <xdr:spPr bwMode="auto">
        <a:xfrm>
          <a:off x="754380" y="69513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33" name="Rectangle 2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>
          <a:spLocks noChangeArrowheads="1"/>
        </xdr:cNvSpPr>
      </xdr:nvSpPr>
      <xdr:spPr bwMode="auto">
        <a:xfrm>
          <a:off x="681990" y="67875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34" name="Rectangle 293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>
          <a:spLocks noChangeArrowheads="1"/>
        </xdr:cNvSpPr>
      </xdr:nvSpPr>
      <xdr:spPr bwMode="auto">
        <a:xfrm>
          <a:off x="681990" y="7473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35" name="Rectangle 2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>
          <a:spLocks noChangeArrowheads="1"/>
        </xdr:cNvSpPr>
      </xdr:nvSpPr>
      <xdr:spPr bwMode="auto">
        <a:xfrm>
          <a:off x="681990" y="74733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36" name="Rectangle 293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>
          <a:spLocks noChangeArrowheads="1"/>
        </xdr:cNvSpPr>
      </xdr:nvSpPr>
      <xdr:spPr bwMode="auto">
        <a:xfrm>
          <a:off x="681990" y="8159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textlink="">
      <xdr:nvSpPr>
        <xdr:cNvPr id="237" name="フリーフォーム 350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rrowheads="1"/>
        </xdr:cNvSpPr>
      </xdr:nvSpPr>
      <xdr:spPr bwMode="auto">
        <a:xfrm>
          <a:off x="754380" y="83229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38" name="Rectangle 2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rrowheads="1"/>
        </xdr:cNvSpPr>
      </xdr:nvSpPr>
      <xdr:spPr bwMode="auto">
        <a:xfrm>
          <a:off x="681990" y="8159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39" name="Rectangle 293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rrowheads="1"/>
        </xdr:cNvSpPr>
      </xdr:nvSpPr>
      <xdr:spPr bwMode="auto">
        <a:xfrm>
          <a:off x="681990" y="8844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240" name="フリーフォーム 35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rrowheads="1"/>
        </xdr:cNvSpPr>
      </xdr:nvSpPr>
      <xdr:spPr bwMode="auto">
        <a:xfrm>
          <a:off x="754380" y="9008745"/>
          <a:ext cx="27241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41" name="Rectangle 2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rrowheads="1"/>
        </xdr:cNvSpPr>
      </xdr:nvSpPr>
      <xdr:spPr bwMode="auto">
        <a:xfrm>
          <a:off x="681990" y="88449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242" name="Rectangle 293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rrowheads="1"/>
        </xdr:cNvSpPr>
      </xdr:nvSpPr>
      <xdr:spPr bwMode="auto">
        <a:xfrm>
          <a:off x="681990" y="9530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243" name="Rectangle 2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rrowheads="1"/>
        </xdr:cNvSpPr>
      </xdr:nvSpPr>
      <xdr:spPr bwMode="auto">
        <a:xfrm>
          <a:off x="681990" y="95307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44" name="Rectangle 285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rrowheads="1"/>
        </xdr:cNvSpPr>
      </xdr:nvSpPr>
      <xdr:spPr bwMode="auto">
        <a:xfrm>
          <a:off x="681990" y="1301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textlink="">
      <xdr:nvSpPr>
        <xdr:cNvPr id="245" name="フリーフォーム 362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rrowheads="1"/>
        </xdr:cNvSpPr>
      </xdr:nvSpPr>
      <xdr:spPr bwMode="auto">
        <a:xfrm>
          <a:off x="742950" y="1464945"/>
          <a:ext cx="272415" cy="179070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46" name="Rectangle 2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rrowheads="1"/>
        </xdr:cNvSpPr>
      </xdr:nvSpPr>
      <xdr:spPr bwMode="auto">
        <a:xfrm>
          <a:off x="681990" y="1301115"/>
          <a:ext cx="14859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177362</xdr:colOff>
      <xdr:row>12</xdr:row>
      <xdr:rowOff>6569</xdr:rowOff>
    </xdr:from>
    <xdr:to>
      <xdr:col>14</xdr:col>
      <xdr:colOff>5064</xdr:colOff>
      <xdr:row>12</xdr:row>
      <xdr:rowOff>8474</xdr:rowOff>
    </xdr:to>
    <xdr:cxnSp macro="">
      <xdr:nvCxnSpPr>
        <xdr:cNvPr id="247" name="直線コネクタ 246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CxnSpPr/>
      </xdr:nvCxnSpPr>
      <xdr:spPr bwMode="auto">
        <a:xfrm flipV="1">
          <a:off x="2469077" y="1561049"/>
          <a:ext cx="376342" cy="190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172538</xdr:colOff>
      <xdr:row>11</xdr:row>
      <xdr:rowOff>34563</xdr:rowOff>
    </xdr:from>
    <xdr:to>
      <xdr:col>8</xdr:col>
      <xdr:colOff>54429</xdr:colOff>
      <xdr:row>12</xdr:row>
      <xdr:rowOff>5443</xdr:rowOff>
    </xdr:to>
    <xdr:cxnSp macro="">
      <xdr:nvCxnSpPr>
        <xdr:cNvPr id="248" name="直線コネクタ 247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CxnSpPr/>
      </xdr:nvCxnSpPr>
      <xdr:spPr bwMode="auto">
        <a:xfrm>
          <a:off x="1021624" y="1558563"/>
          <a:ext cx="779962" cy="898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345447" name="Rectangle 2">
          <a:extLst>
            <a:ext uri="{FF2B5EF4-FFF2-40B4-BE49-F238E27FC236}">
              <a16:creationId xmlns:a16="http://schemas.microsoft.com/office/drawing/2014/main" id="{00000000-0008-0000-0A00-00006745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textlink="">
      <xdr:nvSpPr>
        <xdr:cNvPr id="345448" name="Oval 3">
          <a:extLst>
            <a:ext uri="{FF2B5EF4-FFF2-40B4-BE49-F238E27FC236}">
              <a16:creationId xmlns:a16="http://schemas.microsoft.com/office/drawing/2014/main" id="{00000000-0008-0000-0A00-0000684505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5449" name="Oval 8">
          <a:extLst>
            <a:ext uri="{FF2B5EF4-FFF2-40B4-BE49-F238E27FC236}">
              <a16:creationId xmlns:a16="http://schemas.microsoft.com/office/drawing/2014/main" id="{00000000-0008-0000-0A00-00006945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5450" name="Oval 9">
          <a:extLst>
            <a:ext uri="{FF2B5EF4-FFF2-40B4-BE49-F238E27FC236}">
              <a16:creationId xmlns:a16="http://schemas.microsoft.com/office/drawing/2014/main" id="{00000000-0008-0000-0A00-00006A45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5451" name="Oval 10">
          <a:extLst>
            <a:ext uri="{FF2B5EF4-FFF2-40B4-BE49-F238E27FC236}">
              <a16:creationId xmlns:a16="http://schemas.microsoft.com/office/drawing/2014/main" id="{00000000-0008-0000-0A00-00006B45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5452" name="Oval 12">
          <a:extLst>
            <a:ext uri="{FF2B5EF4-FFF2-40B4-BE49-F238E27FC236}">
              <a16:creationId xmlns:a16="http://schemas.microsoft.com/office/drawing/2014/main" id="{00000000-0008-0000-0A00-00006C45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5453" name="Oval 13">
          <a:extLst>
            <a:ext uri="{FF2B5EF4-FFF2-40B4-BE49-F238E27FC236}">
              <a16:creationId xmlns:a16="http://schemas.microsoft.com/office/drawing/2014/main" id="{00000000-0008-0000-0A00-00006D45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5454" name="Oval 14">
          <a:extLst>
            <a:ext uri="{FF2B5EF4-FFF2-40B4-BE49-F238E27FC236}">
              <a16:creationId xmlns:a16="http://schemas.microsoft.com/office/drawing/2014/main" id="{00000000-0008-0000-0A00-00006E45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45455" name="Oval 15">
          <a:extLst>
            <a:ext uri="{FF2B5EF4-FFF2-40B4-BE49-F238E27FC236}">
              <a16:creationId xmlns:a16="http://schemas.microsoft.com/office/drawing/2014/main" id="{00000000-0008-0000-0A00-00006F45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345456" name="Rectangle 16">
          <a:extLst>
            <a:ext uri="{FF2B5EF4-FFF2-40B4-BE49-F238E27FC236}">
              <a16:creationId xmlns:a16="http://schemas.microsoft.com/office/drawing/2014/main" id="{00000000-0008-0000-0A00-0000704505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345457" name="Oval 17">
          <a:extLst>
            <a:ext uri="{FF2B5EF4-FFF2-40B4-BE49-F238E27FC236}">
              <a16:creationId xmlns:a16="http://schemas.microsoft.com/office/drawing/2014/main" id="{00000000-0008-0000-0A00-00007145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105</xdr:row>
      <xdr:rowOff>85725</xdr:rowOff>
    </xdr:from>
    <xdr:to>
      <xdr:col>1</xdr:col>
      <xdr:colOff>476250</xdr:colOff>
      <xdr:row>110</xdr:row>
      <xdr:rowOff>104775</xdr:rowOff>
    </xdr:to>
    <xdr:sp textlink="">
      <xdr:nvSpPr>
        <xdr:cNvPr id="345458" name="Oval 18">
          <a:extLst>
            <a:ext uri="{FF2B5EF4-FFF2-40B4-BE49-F238E27FC236}">
              <a16:creationId xmlns:a16="http://schemas.microsoft.com/office/drawing/2014/main" id="{00000000-0008-0000-0A00-000072450500}"/>
            </a:ext>
          </a:extLst>
        </xdr:cNvPr>
        <xdr:cNvSpPr>
          <a:spLocks noChangeArrowheads="1"/>
        </xdr:cNvSpPr>
      </xdr:nvSpPr>
      <xdr:spPr bwMode="auto">
        <a:xfrm>
          <a:off x="171450" y="9610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textlink="">
      <xdr:nvSpPr>
        <xdr:cNvPr id="345459" name="Oval 21">
          <a:extLst>
            <a:ext uri="{FF2B5EF4-FFF2-40B4-BE49-F238E27FC236}">
              <a16:creationId xmlns:a16="http://schemas.microsoft.com/office/drawing/2014/main" id="{00000000-0008-0000-0A00-00007345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5460" name="Oval 65">
          <a:extLst>
            <a:ext uri="{FF2B5EF4-FFF2-40B4-BE49-F238E27FC236}">
              <a16:creationId xmlns:a16="http://schemas.microsoft.com/office/drawing/2014/main" id="{00000000-0008-0000-0A00-00007445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5461" name="Oval 80">
          <a:extLst>
            <a:ext uri="{FF2B5EF4-FFF2-40B4-BE49-F238E27FC236}">
              <a16:creationId xmlns:a16="http://schemas.microsoft.com/office/drawing/2014/main" id="{00000000-0008-0000-0A00-00007545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462" name="AutoShape 102">
          <a:extLst>
            <a:ext uri="{FF2B5EF4-FFF2-40B4-BE49-F238E27FC236}">
              <a16:creationId xmlns:a16="http://schemas.microsoft.com/office/drawing/2014/main" id="{00000000-0008-0000-0A00-000076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463" name="Rectangle 103">
          <a:extLst>
            <a:ext uri="{FF2B5EF4-FFF2-40B4-BE49-F238E27FC236}">
              <a16:creationId xmlns:a16="http://schemas.microsoft.com/office/drawing/2014/main" id="{00000000-0008-0000-0A00-000077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464" name="Oval 104">
          <a:extLst>
            <a:ext uri="{FF2B5EF4-FFF2-40B4-BE49-F238E27FC236}">
              <a16:creationId xmlns:a16="http://schemas.microsoft.com/office/drawing/2014/main" id="{00000000-0008-0000-0A00-000078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465" name="AutoShape 105">
          <a:extLst>
            <a:ext uri="{FF2B5EF4-FFF2-40B4-BE49-F238E27FC236}">
              <a16:creationId xmlns:a16="http://schemas.microsoft.com/office/drawing/2014/main" id="{00000000-0008-0000-0A00-000079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466" name="Rectangle 106">
          <a:extLst>
            <a:ext uri="{FF2B5EF4-FFF2-40B4-BE49-F238E27FC236}">
              <a16:creationId xmlns:a16="http://schemas.microsoft.com/office/drawing/2014/main" id="{00000000-0008-0000-0A00-00007A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467" name="Oval 107">
          <a:extLst>
            <a:ext uri="{FF2B5EF4-FFF2-40B4-BE49-F238E27FC236}">
              <a16:creationId xmlns:a16="http://schemas.microsoft.com/office/drawing/2014/main" id="{00000000-0008-0000-0A00-00007B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468" name="AutoShape 108">
          <a:extLst>
            <a:ext uri="{FF2B5EF4-FFF2-40B4-BE49-F238E27FC236}">
              <a16:creationId xmlns:a16="http://schemas.microsoft.com/office/drawing/2014/main" id="{00000000-0008-0000-0A00-00007C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469" name="Rectangle 109">
          <a:extLst>
            <a:ext uri="{FF2B5EF4-FFF2-40B4-BE49-F238E27FC236}">
              <a16:creationId xmlns:a16="http://schemas.microsoft.com/office/drawing/2014/main" id="{00000000-0008-0000-0A00-00007D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470" name="Oval 110">
          <a:extLst>
            <a:ext uri="{FF2B5EF4-FFF2-40B4-BE49-F238E27FC236}">
              <a16:creationId xmlns:a16="http://schemas.microsoft.com/office/drawing/2014/main" id="{00000000-0008-0000-0A00-00007E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471" name="AutoShape 111">
          <a:extLst>
            <a:ext uri="{FF2B5EF4-FFF2-40B4-BE49-F238E27FC236}">
              <a16:creationId xmlns:a16="http://schemas.microsoft.com/office/drawing/2014/main" id="{00000000-0008-0000-0A00-00007F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472" name="Rectangle 112">
          <a:extLst>
            <a:ext uri="{FF2B5EF4-FFF2-40B4-BE49-F238E27FC236}">
              <a16:creationId xmlns:a16="http://schemas.microsoft.com/office/drawing/2014/main" id="{00000000-0008-0000-0A00-000080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473" name="Oval 113">
          <a:extLst>
            <a:ext uri="{FF2B5EF4-FFF2-40B4-BE49-F238E27FC236}">
              <a16:creationId xmlns:a16="http://schemas.microsoft.com/office/drawing/2014/main" id="{00000000-0008-0000-0A00-000081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474" name="AutoShape 114">
          <a:extLst>
            <a:ext uri="{FF2B5EF4-FFF2-40B4-BE49-F238E27FC236}">
              <a16:creationId xmlns:a16="http://schemas.microsoft.com/office/drawing/2014/main" id="{00000000-0008-0000-0A00-000082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475" name="Rectangle 115">
          <a:extLst>
            <a:ext uri="{FF2B5EF4-FFF2-40B4-BE49-F238E27FC236}">
              <a16:creationId xmlns:a16="http://schemas.microsoft.com/office/drawing/2014/main" id="{00000000-0008-0000-0A00-000083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476" name="Oval 116">
          <a:extLst>
            <a:ext uri="{FF2B5EF4-FFF2-40B4-BE49-F238E27FC236}">
              <a16:creationId xmlns:a16="http://schemas.microsoft.com/office/drawing/2014/main" id="{00000000-0008-0000-0A00-000084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477" name="AutoShape 117">
          <a:extLst>
            <a:ext uri="{FF2B5EF4-FFF2-40B4-BE49-F238E27FC236}">
              <a16:creationId xmlns:a16="http://schemas.microsoft.com/office/drawing/2014/main" id="{00000000-0008-0000-0A00-000085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478" name="Rectangle 118">
          <a:extLst>
            <a:ext uri="{FF2B5EF4-FFF2-40B4-BE49-F238E27FC236}">
              <a16:creationId xmlns:a16="http://schemas.microsoft.com/office/drawing/2014/main" id="{00000000-0008-0000-0A00-000086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479" name="Oval 119">
          <a:extLst>
            <a:ext uri="{FF2B5EF4-FFF2-40B4-BE49-F238E27FC236}">
              <a16:creationId xmlns:a16="http://schemas.microsoft.com/office/drawing/2014/main" id="{00000000-0008-0000-0A00-000087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480" name="AutoShape 120">
          <a:extLst>
            <a:ext uri="{FF2B5EF4-FFF2-40B4-BE49-F238E27FC236}">
              <a16:creationId xmlns:a16="http://schemas.microsoft.com/office/drawing/2014/main" id="{00000000-0008-0000-0A00-000088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481" name="Rectangle 121">
          <a:extLst>
            <a:ext uri="{FF2B5EF4-FFF2-40B4-BE49-F238E27FC236}">
              <a16:creationId xmlns:a16="http://schemas.microsoft.com/office/drawing/2014/main" id="{00000000-0008-0000-0A00-000089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482" name="Oval 122">
          <a:extLst>
            <a:ext uri="{FF2B5EF4-FFF2-40B4-BE49-F238E27FC236}">
              <a16:creationId xmlns:a16="http://schemas.microsoft.com/office/drawing/2014/main" id="{00000000-0008-0000-0A00-00008A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483" name="AutoShape 123">
          <a:extLst>
            <a:ext uri="{FF2B5EF4-FFF2-40B4-BE49-F238E27FC236}">
              <a16:creationId xmlns:a16="http://schemas.microsoft.com/office/drawing/2014/main" id="{00000000-0008-0000-0A00-00008B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484" name="Rectangle 124">
          <a:extLst>
            <a:ext uri="{FF2B5EF4-FFF2-40B4-BE49-F238E27FC236}">
              <a16:creationId xmlns:a16="http://schemas.microsoft.com/office/drawing/2014/main" id="{00000000-0008-0000-0A00-00008C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485" name="Oval 125">
          <a:extLst>
            <a:ext uri="{FF2B5EF4-FFF2-40B4-BE49-F238E27FC236}">
              <a16:creationId xmlns:a16="http://schemas.microsoft.com/office/drawing/2014/main" id="{00000000-0008-0000-0A00-00008D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486" name="AutoShape 126">
          <a:extLst>
            <a:ext uri="{FF2B5EF4-FFF2-40B4-BE49-F238E27FC236}">
              <a16:creationId xmlns:a16="http://schemas.microsoft.com/office/drawing/2014/main" id="{00000000-0008-0000-0A00-00008E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487" name="Rectangle 127">
          <a:extLst>
            <a:ext uri="{FF2B5EF4-FFF2-40B4-BE49-F238E27FC236}">
              <a16:creationId xmlns:a16="http://schemas.microsoft.com/office/drawing/2014/main" id="{00000000-0008-0000-0A00-00008F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488" name="Oval 128">
          <a:extLst>
            <a:ext uri="{FF2B5EF4-FFF2-40B4-BE49-F238E27FC236}">
              <a16:creationId xmlns:a16="http://schemas.microsoft.com/office/drawing/2014/main" id="{00000000-0008-0000-0A00-000090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489" name="AutoShape 129">
          <a:extLst>
            <a:ext uri="{FF2B5EF4-FFF2-40B4-BE49-F238E27FC236}">
              <a16:creationId xmlns:a16="http://schemas.microsoft.com/office/drawing/2014/main" id="{00000000-0008-0000-0A00-000091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490" name="Rectangle 130">
          <a:extLst>
            <a:ext uri="{FF2B5EF4-FFF2-40B4-BE49-F238E27FC236}">
              <a16:creationId xmlns:a16="http://schemas.microsoft.com/office/drawing/2014/main" id="{00000000-0008-0000-0A00-000092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491" name="Oval 131">
          <a:extLst>
            <a:ext uri="{FF2B5EF4-FFF2-40B4-BE49-F238E27FC236}">
              <a16:creationId xmlns:a16="http://schemas.microsoft.com/office/drawing/2014/main" id="{00000000-0008-0000-0A00-000093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492" name="AutoShape 132">
          <a:extLst>
            <a:ext uri="{FF2B5EF4-FFF2-40B4-BE49-F238E27FC236}">
              <a16:creationId xmlns:a16="http://schemas.microsoft.com/office/drawing/2014/main" id="{00000000-0008-0000-0A00-000094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493" name="Rectangle 133">
          <a:extLst>
            <a:ext uri="{FF2B5EF4-FFF2-40B4-BE49-F238E27FC236}">
              <a16:creationId xmlns:a16="http://schemas.microsoft.com/office/drawing/2014/main" id="{00000000-0008-0000-0A00-000095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494" name="Oval 134">
          <a:extLst>
            <a:ext uri="{FF2B5EF4-FFF2-40B4-BE49-F238E27FC236}">
              <a16:creationId xmlns:a16="http://schemas.microsoft.com/office/drawing/2014/main" id="{00000000-0008-0000-0A00-000096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495" name="AutoShape 135">
          <a:extLst>
            <a:ext uri="{FF2B5EF4-FFF2-40B4-BE49-F238E27FC236}">
              <a16:creationId xmlns:a16="http://schemas.microsoft.com/office/drawing/2014/main" id="{00000000-0008-0000-0A00-000097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496" name="Rectangle 136">
          <a:extLst>
            <a:ext uri="{FF2B5EF4-FFF2-40B4-BE49-F238E27FC236}">
              <a16:creationId xmlns:a16="http://schemas.microsoft.com/office/drawing/2014/main" id="{00000000-0008-0000-0A00-000098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497" name="Oval 137">
          <a:extLst>
            <a:ext uri="{FF2B5EF4-FFF2-40B4-BE49-F238E27FC236}">
              <a16:creationId xmlns:a16="http://schemas.microsoft.com/office/drawing/2014/main" id="{00000000-0008-0000-0A00-000099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498" name="AutoShape 138">
          <a:extLst>
            <a:ext uri="{FF2B5EF4-FFF2-40B4-BE49-F238E27FC236}">
              <a16:creationId xmlns:a16="http://schemas.microsoft.com/office/drawing/2014/main" id="{00000000-0008-0000-0A00-00009A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499" name="Rectangle 139">
          <a:extLst>
            <a:ext uri="{FF2B5EF4-FFF2-40B4-BE49-F238E27FC236}">
              <a16:creationId xmlns:a16="http://schemas.microsoft.com/office/drawing/2014/main" id="{00000000-0008-0000-0A00-00009B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00" name="Oval 140">
          <a:extLst>
            <a:ext uri="{FF2B5EF4-FFF2-40B4-BE49-F238E27FC236}">
              <a16:creationId xmlns:a16="http://schemas.microsoft.com/office/drawing/2014/main" id="{00000000-0008-0000-0A00-00009C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501" name="Rectangle 141">
          <a:extLst>
            <a:ext uri="{FF2B5EF4-FFF2-40B4-BE49-F238E27FC236}">
              <a16:creationId xmlns:a16="http://schemas.microsoft.com/office/drawing/2014/main" id="{00000000-0008-0000-0A00-00009D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502" name="AutoShape 142">
          <a:extLst>
            <a:ext uri="{FF2B5EF4-FFF2-40B4-BE49-F238E27FC236}">
              <a16:creationId xmlns:a16="http://schemas.microsoft.com/office/drawing/2014/main" id="{00000000-0008-0000-0A00-00009E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503" name="Rectangle 143">
          <a:extLst>
            <a:ext uri="{FF2B5EF4-FFF2-40B4-BE49-F238E27FC236}">
              <a16:creationId xmlns:a16="http://schemas.microsoft.com/office/drawing/2014/main" id="{00000000-0008-0000-0A00-00009F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04" name="Oval 144">
          <a:extLst>
            <a:ext uri="{FF2B5EF4-FFF2-40B4-BE49-F238E27FC236}">
              <a16:creationId xmlns:a16="http://schemas.microsoft.com/office/drawing/2014/main" id="{00000000-0008-0000-0A00-0000A0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505" name="AutoShape 145">
          <a:extLst>
            <a:ext uri="{FF2B5EF4-FFF2-40B4-BE49-F238E27FC236}">
              <a16:creationId xmlns:a16="http://schemas.microsoft.com/office/drawing/2014/main" id="{00000000-0008-0000-0A00-0000A1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506" name="Rectangle 146">
          <a:extLst>
            <a:ext uri="{FF2B5EF4-FFF2-40B4-BE49-F238E27FC236}">
              <a16:creationId xmlns:a16="http://schemas.microsoft.com/office/drawing/2014/main" id="{00000000-0008-0000-0A00-0000A2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07" name="Oval 147">
          <a:extLst>
            <a:ext uri="{FF2B5EF4-FFF2-40B4-BE49-F238E27FC236}">
              <a16:creationId xmlns:a16="http://schemas.microsoft.com/office/drawing/2014/main" id="{00000000-0008-0000-0A00-0000A3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508" name="AutoShape 148">
          <a:extLst>
            <a:ext uri="{FF2B5EF4-FFF2-40B4-BE49-F238E27FC236}">
              <a16:creationId xmlns:a16="http://schemas.microsoft.com/office/drawing/2014/main" id="{00000000-0008-0000-0A00-0000A4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509" name="Rectangle 149">
          <a:extLst>
            <a:ext uri="{FF2B5EF4-FFF2-40B4-BE49-F238E27FC236}">
              <a16:creationId xmlns:a16="http://schemas.microsoft.com/office/drawing/2014/main" id="{00000000-0008-0000-0A00-0000A5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10" name="Oval 150">
          <a:extLst>
            <a:ext uri="{FF2B5EF4-FFF2-40B4-BE49-F238E27FC236}">
              <a16:creationId xmlns:a16="http://schemas.microsoft.com/office/drawing/2014/main" id="{00000000-0008-0000-0A00-0000A6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11" name="Oval 151">
          <a:extLst>
            <a:ext uri="{FF2B5EF4-FFF2-40B4-BE49-F238E27FC236}">
              <a16:creationId xmlns:a16="http://schemas.microsoft.com/office/drawing/2014/main" id="{00000000-0008-0000-0A00-0000A7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12" name="Oval 152">
          <a:extLst>
            <a:ext uri="{FF2B5EF4-FFF2-40B4-BE49-F238E27FC236}">
              <a16:creationId xmlns:a16="http://schemas.microsoft.com/office/drawing/2014/main" id="{00000000-0008-0000-0A00-0000A8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13" name="Oval 153">
          <a:extLst>
            <a:ext uri="{FF2B5EF4-FFF2-40B4-BE49-F238E27FC236}">
              <a16:creationId xmlns:a16="http://schemas.microsoft.com/office/drawing/2014/main" id="{00000000-0008-0000-0A00-0000A9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514" name="AutoShape 154">
          <a:extLst>
            <a:ext uri="{FF2B5EF4-FFF2-40B4-BE49-F238E27FC236}">
              <a16:creationId xmlns:a16="http://schemas.microsoft.com/office/drawing/2014/main" id="{00000000-0008-0000-0A00-0000AA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515" name="Rectangle 155">
          <a:extLst>
            <a:ext uri="{FF2B5EF4-FFF2-40B4-BE49-F238E27FC236}">
              <a16:creationId xmlns:a16="http://schemas.microsoft.com/office/drawing/2014/main" id="{00000000-0008-0000-0A00-0000AB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16" name="Oval 156">
          <a:extLst>
            <a:ext uri="{FF2B5EF4-FFF2-40B4-BE49-F238E27FC236}">
              <a16:creationId xmlns:a16="http://schemas.microsoft.com/office/drawing/2014/main" id="{00000000-0008-0000-0A00-0000AC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17" name="Oval 157">
          <a:extLst>
            <a:ext uri="{FF2B5EF4-FFF2-40B4-BE49-F238E27FC236}">
              <a16:creationId xmlns:a16="http://schemas.microsoft.com/office/drawing/2014/main" id="{00000000-0008-0000-0A00-0000AD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18" name="Oval 158">
          <a:extLst>
            <a:ext uri="{FF2B5EF4-FFF2-40B4-BE49-F238E27FC236}">
              <a16:creationId xmlns:a16="http://schemas.microsoft.com/office/drawing/2014/main" id="{00000000-0008-0000-0A00-0000AE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19" name="Oval 159">
          <a:extLst>
            <a:ext uri="{FF2B5EF4-FFF2-40B4-BE49-F238E27FC236}">
              <a16:creationId xmlns:a16="http://schemas.microsoft.com/office/drawing/2014/main" id="{00000000-0008-0000-0A00-0000AF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520" name="AutoShape 160">
          <a:extLst>
            <a:ext uri="{FF2B5EF4-FFF2-40B4-BE49-F238E27FC236}">
              <a16:creationId xmlns:a16="http://schemas.microsoft.com/office/drawing/2014/main" id="{00000000-0008-0000-0A00-0000B0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521" name="Rectangle 161">
          <a:extLst>
            <a:ext uri="{FF2B5EF4-FFF2-40B4-BE49-F238E27FC236}">
              <a16:creationId xmlns:a16="http://schemas.microsoft.com/office/drawing/2014/main" id="{00000000-0008-0000-0A00-0000B1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22" name="Oval 162">
          <a:extLst>
            <a:ext uri="{FF2B5EF4-FFF2-40B4-BE49-F238E27FC236}">
              <a16:creationId xmlns:a16="http://schemas.microsoft.com/office/drawing/2014/main" id="{00000000-0008-0000-0A00-0000B2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23" name="Oval 163">
          <a:extLst>
            <a:ext uri="{FF2B5EF4-FFF2-40B4-BE49-F238E27FC236}">
              <a16:creationId xmlns:a16="http://schemas.microsoft.com/office/drawing/2014/main" id="{00000000-0008-0000-0A00-0000B3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24" name="Oval 164">
          <a:extLst>
            <a:ext uri="{FF2B5EF4-FFF2-40B4-BE49-F238E27FC236}">
              <a16:creationId xmlns:a16="http://schemas.microsoft.com/office/drawing/2014/main" id="{00000000-0008-0000-0A00-0000B4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25" name="Oval 165">
          <a:extLst>
            <a:ext uri="{FF2B5EF4-FFF2-40B4-BE49-F238E27FC236}">
              <a16:creationId xmlns:a16="http://schemas.microsoft.com/office/drawing/2014/main" id="{00000000-0008-0000-0A00-0000B5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526" name="AutoShape 166">
          <a:extLst>
            <a:ext uri="{FF2B5EF4-FFF2-40B4-BE49-F238E27FC236}">
              <a16:creationId xmlns:a16="http://schemas.microsoft.com/office/drawing/2014/main" id="{00000000-0008-0000-0A00-0000B6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527" name="Rectangle 167">
          <a:extLst>
            <a:ext uri="{FF2B5EF4-FFF2-40B4-BE49-F238E27FC236}">
              <a16:creationId xmlns:a16="http://schemas.microsoft.com/office/drawing/2014/main" id="{00000000-0008-0000-0A00-0000B7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28" name="Oval 168">
          <a:extLst>
            <a:ext uri="{FF2B5EF4-FFF2-40B4-BE49-F238E27FC236}">
              <a16:creationId xmlns:a16="http://schemas.microsoft.com/office/drawing/2014/main" id="{00000000-0008-0000-0A00-0000B8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29" name="Oval 169">
          <a:extLst>
            <a:ext uri="{FF2B5EF4-FFF2-40B4-BE49-F238E27FC236}">
              <a16:creationId xmlns:a16="http://schemas.microsoft.com/office/drawing/2014/main" id="{00000000-0008-0000-0A00-0000B9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30" name="Oval 170">
          <a:extLst>
            <a:ext uri="{FF2B5EF4-FFF2-40B4-BE49-F238E27FC236}">
              <a16:creationId xmlns:a16="http://schemas.microsoft.com/office/drawing/2014/main" id="{00000000-0008-0000-0A00-0000BA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31" name="Oval 171">
          <a:extLst>
            <a:ext uri="{FF2B5EF4-FFF2-40B4-BE49-F238E27FC236}">
              <a16:creationId xmlns:a16="http://schemas.microsoft.com/office/drawing/2014/main" id="{00000000-0008-0000-0A00-0000BB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532" name="AutoShape 172">
          <a:extLst>
            <a:ext uri="{FF2B5EF4-FFF2-40B4-BE49-F238E27FC236}">
              <a16:creationId xmlns:a16="http://schemas.microsoft.com/office/drawing/2014/main" id="{00000000-0008-0000-0A00-0000BC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533" name="Rectangle 173">
          <a:extLst>
            <a:ext uri="{FF2B5EF4-FFF2-40B4-BE49-F238E27FC236}">
              <a16:creationId xmlns:a16="http://schemas.microsoft.com/office/drawing/2014/main" id="{00000000-0008-0000-0A00-0000BD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34" name="Oval 174">
          <a:extLst>
            <a:ext uri="{FF2B5EF4-FFF2-40B4-BE49-F238E27FC236}">
              <a16:creationId xmlns:a16="http://schemas.microsoft.com/office/drawing/2014/main" id="{00000000-0008-0000-0A00-0000BE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35" name="Oval 175">
          <a:extLst>
            <a:ext uri="{FF2B5EF4-FFF2-40B4-BE49-F238E27FC236}">
              <a16:creationId xmlns:a16="http://schemas.microsoft.com/office/drawing/2014/main" id="{00000000-0008-0000-0A00-0000BF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36" name="Oval 176">
          <a:extLst>
            <a:ext uri="{FF2B5EF4-FFF2-40B4-BE49-F238E27FC236}">
              <a16:creationId xmlns:a16="http://schemas.microsoft.com/office/drawing/2014/main" id="{00000000-0008-0000-0A00-0000C0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37" name="Oval 177">
          <a:extLst>
            <a:ext uri="{FF2B5EF4-FFF2-40B4-BE49-F238E27FC236}">
              <a16:creationId xmlns:a16="http://schemas.microsoft.com/office/drawing/2014/main" id="{00000000-0008-0000-0A00-0000C1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538" name="AutoShape 178">
          <a:extLst>
            <a:ext uri="{FF2B5EF4-FFF2-40B4-BE49-F238E27FC236}">
              <a16:creationId xmlns:a16="http://schemas.microsoft.com/office/drawing/2014/main" id="{00000000-0008-0000-0A00-0000C2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539" name="Rectangle 179">
          <a:extLst>
            <a:ext uri="{FF2B5EF4-FFF2-40B4-BE49-F238E27FC236}">
              <a16:creationId xmlns:a16="http://schemas.microsoft.com/office/drawing/2014/main" id="{00000000-0008-0000-0A00-0000C3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40" name="Oval 180">
          <a:extLst>
            <a:ext uri="{FF2B5EF4-FFF2-40B4-BE49-F238E27FC236}">
              <a16:creationId xmlns:a16="http://schemas.microsoft.com/office/drawing/2014/main" id="{00000000-0008-0000-0A00-0000C4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41" name="Oval 181">
          <a:extLst>
            <a:ext uri="{FF2B5EF4-FFF2-40B4-BE49-F238E27FC236}">
              <a16:creationId xmlns:a16="http://schemas.microsoft.com/office/drawing/2014/main" id="{00000000-0008-0000-0A00-0000C5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42" name="Oval 182">
          <a:extLst>
            <a:ext uri="{FF2B5EF4-FFF2-40B4-BE49-F238E27FC236}">
              <a16:creationId xmlns:a16="http://schemas.microsoft.com/office/drawing/2014/main" id="{00000000-0008-0000-0A00-0000C6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43" name="Oval 183">
          <a:extLst>
            <a:ext uri="{FF2B5EF4-FFF2-40B4-BE49-F238E27FC236}">
              <a16:creationId xmlns:a16="http://schemas.microsoft.com/office/drawing/2014/main" id="{00000000-0008-0000-0A00-0000C7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544" name="AutoShape 184">
          <a:extLst>
            <a:ext uri="{FF2B5EF4-FFF2-40B4-BE49-F238E27FC236}">
              <a16:creationId xmlns:a16="http://schemas.microsoft.com/office/drawing/2014/main" id="{00000000-0008-0000-0A00-0000C8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545" name="Rectangle 185">
          <a:extLst>
            <a:ext uri="{FF2B5EF4-FFF2-40B4-BE49-F238E27FC236}">
              <a16:creationId xmlns:a16="http://schemas.microsoft.com/office/drawing/2014/main" id="{00000000-0008-0000-0A00-0000C9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46" name="Oval 186">
          <a:extLst>
            <a:ext uri="{FF2B5EF4-FFF2-40B4-BE49-F238E27FC236}">
              <a16:creationId xmlns:a16="http://schemas.microsoft.com/office/drawing/2014/main" id="{00000000-0008-0000-0A00-0000CA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47" name="Oval 187">
          <a:extLst>
            <a:ext uri="{FF2B5EF4-FFF2-40B4-BE49-F238E27FC236}">
              <a16:creationId xmlns:a16="http://schemas.microsoft.com/office/drawing/2014/main" id="{00000000-0008-0000-0A00-0000CB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48" name="Oval 188">
          <a:extLst>
            <a:ext uri="{FF2B5EF4-FFF2-40B4-BE49-F238E27FC236}">
              <a16:creationId xmlns:a16="http://schemas.microsoft.com/office/drawing/2014/main" id="{00000000-0008-0000-0A00-0000CC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49" name="Oval 189">
          <a:extLst>
            <a:ext uri="{FF2B5EF4-FFF2-40B4-BE49-F238E27FC236}">
              <a16:creationId xmlns:a16="http://schemas.microsoft.com/office/drawing/2014/main" id="{00000000-0008-0000-0A00-0000CD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550" name="AutoShape 190">
          <a:extLst>
            <a:ext uri="{FF2B5EF4-FFF2-40B4-BE49-F238E27FC236}">
              <a16:creationId xmlns:a16="http://schemas.microsoft.com/office/drawing/2014/main" id="{00000000-0008-0000-0A00-0000CE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551" name="Rectangle 191">
          <a:extLst>
            <a:ext uri="{FF2B5EF4-FFF2-40B4-BE49-F238E27FC236}">
              <a16:creationId xmlns:a16="http://schemas.microsoft.com/office/drawing/2014/main" id="{00000000-0008-0000-0A00-0000CF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52" name="Oval 192">
          <a:extLst>
            <a:ext uri="{FF2B5EF4-FFF2-40B4-BE49-F238E27FC236}">
              <a16:creationId xmlns:a16="http://schemas.microsoft.com/office/drawing/2014/main" id="{00000000-0008-0000-0A00-0000D0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53" name="Oval 193">
          <a:extLst>
            <a:ext uri="{FF2B5EF4-FFF2-40B4-BE49-F238E27FC236}">
              <a16:creationId xmlns:a16="http://schemas.microsoft.com/office/drawing/2014/main" id="{00000000-0008-0000-0A00-0000D1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54" name="Oval 194">
          <a:extLst>
            <a:ext uri="{FF2B5EF4-FFF2-40B4-BE49-F238E27FC236}">
              <a16:creationId xmlns:a16="http://schemas.microsoft.com/office/drawing/2014/main" id="{00000000-0008-0000-0A00-0000D2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55" name="Oval 195">
          <a:extLst>
            <a:ext uri="{FF2B5EF4-FFF2-40B4-BE49-F238E27FC236}">
              <a16:creationId xmlns:a16="http://schemas.microsoft.com/office/drawing/2014/main" id="{00000000-0008-0000-0A00-0000D3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556" name="AutoShape 196">
          <a:extLst>
            <a:ext uri="{FF2B5EF4-FFF2-40B4-BE49-F238E27FC236}">
              <a16:creationId xmlns:a16="http://schemas.microsoft.com/office/drawing/2014/main" id="{00000000-0008-0000-0A00-0000D4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557" name="Rectangle 197">
          <a:extLst>
            <a:ext uri="{FF2B5EF4-FFF2-40B4-BE49-F238E27FC236}">
              <a16:creationId xmlns:a16="http://schemas.microsoft.com/office/drawing/2014/main" id="{00000000-0008-0000-0A00-0000D5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58" name="Oval 198">
          <a:extLst>
            <a:ext uri="{FF2B5EF4-FFF2-40B4-BE49-F238E27FC236}">
              <a16:creationId xmlns:a16="http://schemas.microsoft.com/office/drawing/2014/main" id="{00000000-0008-0000-0A00-0000D6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59" name="Oval 199">
          <a:extLst>
            <a:ext uri="{FF2B5EF4-FFF2-40B4-BE49-F238E27FC236}">
              <a16:creationId xmlns:a16="http://schemas.microsoft.com/office/drawing/2014/main" id="{00000000-0008-0000-0A00-0000D7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60" name="Oval 200">
          <a:extLst>
            <a:ext uri="{FF2B5EF4-FFF2-40B4-BE49-F238E27FC236}">
              <a16:creationId xmlns:a16="http://schemas.microsoft.com/office/drawing/2014/main" id="{00000000-0008-0000-0A00-0000D8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61" name="Oval 201">
          <a:extLst>
            <a:ext uri="{FF2B5EF4-FFF2-40B4-BE49-F238E27FC236}">
              <a16:creationId xmlns:a16="http://schemas.microsoft.com/office/drawing/2014/main" id="{00000000-0008-0000-0A00-0000D9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562" name="AutoShape 202">
          <a:extLst>
            <a:ext uri="{FF2B5EF4-FFF2-40B4-BE49-F238E27FC236}">
              <a16:creationId xmlns:a16="http://schemas.microsoft.com/office/drawing/2014/main" id="{00000000-0008-0000-0A00-0000DA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563" name="Rectangle 203">
          <a:extLst>
            <a:ext uri="{FF2B5EF4-FFF2-40B4-BE49-F238E27FC236}">
              <a16:creationId xmlns:a16="http://schemas.microsoft.com/office/drawing/2014/main" id="{00000000-0008-0000-0A00-0000DB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64" name="Oval 204">
          <a:extLst>
            <a:ext uri="{FF2B5EF4-FFF2-40B4-BE49-F238E27FC236}">
              <a16:creationId xmlns:a16="http://schemas.microsoft.com/office/drawing/2014/main" id="{00000000-0008-0000-0A00-0000DC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65" name="Oval 205">
          <a:extLst>
            <a:ext uri="{FF2B5EF4-FFF2-40B4-BE49-F238E27FC236}">
              <a16:creationId xmlns:a16="http://schemas.microsoft.com/office/drawing/2014/main" id="{00000000-0008-0000-0A00-0000DD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66" name="Oval 206">
          <a:extLst>
            <a:ext uri="{FF2B5EF4-FFF2-40B4-BE49-F238E27FC236}">
              <a16:creationId xmlns:a16="http://schemas.microsoft.com/office/drawing/2014/main" id="{00000000-0008-0000-0A00-0000DE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67" name="Oval 207">
          <a:extLst>
            <a:ext uri="{FF2B5EF4-FFF2-40B4-BE49-F238E27FC236}">
              <a16:creationId xmlns:a16="http://schemas.microsoft.com/office/drawing/2014/main" id="{00000000-0008-0000-0A00-0000DF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568" name="AutoShape 208">
          <a:extLst>
            <a:ext uri="{FF2B5EF4-FFF2-40B4-BE49-F238E27FC236}">
              <a16:creationId xmlns:a16="http://schemas.microsoft.com/office/drawing/2014/main" id="{00000000-0008-0000-0A00-0000E0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569" name="Rectangle 209">
          <a:extLst>
            <a:ext uri="{FF2B5EF4-FFF2-40B4-BE49-F238E27FC236}">
              <a16:creationId xmlns:a16="http://schemas.microsoft.com/office/drawing/2014/main" id="{00000000-0008-0000-0A00-0000E1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70" name="Oval 210">
          <a:extLst>
            <a:ext uri="{FF2B5EF4-FFF2-40B4-BE49-F238E27FC236}">
              <a16:creationId xmlns:a16="http://schemas.microsoft.com/office/drawing/2014/main" id="{00000000-0008-0000-0A00-0000E2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71" name="Oval 211">
          <a:extLst>
            <a:ext uri="{FF2B5EF4-FFF2-40B4-BE49-F238E27FC236}">
              <a16:creationId xmlns:a16="http://schemas.microsoft.com/office/drawing/2014/main" id="{00000000-0008-0000-0A00-0000E3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72" name="Oval 212">
          <a:extLst>
            <a:ext uri="{FF2B5EF4-FFF2-40B4-BE49-F238E27FC236}">
              <a16:creationId xmlns:a16="http://schemas.microsoft.com/office/drawing/2014/main" id="{00000000-0008-0000-0A00-0000E4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73" name="Oval 213">
          <a:extLst>
            <a:ext uri="{FF2B5EF4-FFF2-40B4-BE49-F238E27FC236}">
              <a16:creationId xmlns:a16="http://schemas.microsoft.com/office/drawing/2014/main" id="{00000000-0008-0000-0A00-0000E5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574" name="AutoShape 214">
          <a:extLst>
            <a:ext uri="{FF2B5EF4-FFF2-40B4-BE49-F238E27FC236}">
              <a16:creationId xmlns:a16="http://schemas.microsoft.com/office/drawing/2014/main" id="{00000000-0008-0000-0A00-0000E6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575" name="Rectangle 215">
          <a:extLst>
            <a:ext uri="{FF2B5EF4-FFF2-40B4-BE49-F238E27FC236}">
              <a16:creationId xmlns:a16="http://schemas.microsoft.com/office/drawing/2014/main" id="{00000000-0008-0000-0A00-0000E7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76" name="Oval 216">
          <a:extLst>
            <a:ext uri="{FF2B5EF4-FFF2-40B4-BE49-F238E27FC236}">
              <a16:creationId xmlns:a16="http://schemas.microsoft.com/office/drawing/2014/main" id="{00000000-0008-0000-0A00-0000E8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77" name="Oval 217">
          <a:extLst>
            <a:ext uri="{FF2B5EF4-FFF2-40B4-BE49-F238E27FC236}">
              <a16:creationId xmlns:a16="http://schemas.microsoft.com/office/drawing/2014/main" id="{00000000-0008-0000-0A00-0000E9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78" name="Oval 218">
          <a:extLst>
            <a:ext uri="{FF2B5EF4-FFF2-40B4-BE49-F238E27FC236}">
              <a16:creationId xmlns:a16="http://schemas.microsoft.com/office/drawing/2014/main" id="{00000000-0008-0000-0A00-0000EA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79" name="Oval 219">
          <a:extLst>
            <a:ext uri="{FF2B5EF4-FFF2-40B4-BE49-F238E27FC236}">
              <a16:creationId xmlns:a16="http://schemas.microsoft.com/office/drawing/2014/main" id="{00000000-0008-0000-0A00-0000EB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580" name="AutoShape 220">
          <a:extLst>
            <a:ext uri="{FF2B5EF4-FFF2-40B4-BE49-F238E27FC236}">
              <a16:creationId xmlns:a16="http://schemas.microsoft.com/office/drawing/2014/main" id="{00000000-0008-0000-0A00-0000EC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581" name="Rectangle 221">
          <a:extLst>
            <a:ext uri="{FF2B5EF4-FFF2-40B4-BE49-F238E27FC236}">
              <a16:creationId xmlns:a16="http://schemas.microsoft.com/office/drawing/2014/main" id="{00000000-0008-0000-0A00-0000ED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82" name="Oval 222">
          <a:extLst>
            <a:ext uri="{FF2B5EF4-FFF2-40B4-BE49-F238E27FC236}">
              <a16:creationId xmlns:a16="http://schemas.microsoft.com/office/drawing/2014/main" id="{00000000-0008-0000-0A00-0000EE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83" name="Oval 223">
          <a:extLst>
            <a:ext uri="{FF2B5EF4-FFF2-40B4-BE49-F238E27FC236}">
              <a16:creationId xmlns:a16="http://schemas.microsoft.com/office/drawing/2014/main" id="{00000000-0008-0000-0A00-0000EF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84" name="Oval 224">
          <a:extLst>
            <a:ext uri="{FF2B5EF4-FFF2-40B4-BE49-F238E27FC236}">
              <a16:creationId xmlns:a16="http://schemas.microsoft.com/office/drawing/2014/main" id="{00000000-0008-0000-0A00-0000F0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85" name="Oval 225">
          <a:extLst>
            <a:ext uri="{FF2B5EF4-FFF2-40B4-BE49-F238E27FC236}">
              <a16:creationId xmlns:a16="http://schemas.microsoft.com/office/drawing/2014/main" id="{00000000-0008-0000-0A00-0000F1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586" name="AutoShape 226">
          <a:extLst>
            <a:ext uri="{FF2B5EF4-FFF2-40B4-BE49-F238E27FC236}">
              <a16:creationId xmlns:a16="http://schemas.microsoft.com/office/drawing/2014/main" id="{00000000-0008-0000-0A00-0000F2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587" name="Rectangle 227">
          <a:extLst>
            <a:ext uri="{FF2B5EF4-FFF2-40B4-BE49-F238E27FC236}">
              <a16:creationId xmlns:a16="http://schemas.microsoft.com/office/drawing/2014/main" id="{00000000-0008-0000-0A00-0000F3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88" name="Oval 228">
          <a:extLst>
            <a:ext uri="{FF2B5EF4-FFF2-40B4-BE49-F238E27FC236}">
              <a16:creationId xmlns:a16="http://schemas.microsoft.com/office/drawing/2014/main" id="{00000000-0008-0000-0A00-0000F4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89" name="Oval 229">
          <a:extLst>
            <a:ext uri="{FF2B5EF4-FFF2-40B4-BE49-F238E27FC236}">
              <a16:creationId xmlns:a16="http://schemas.microsoft.com/office/drawing/2014/main" id="{00000000-0008-0000-0A00-0000F5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90" name="Oval 230">
          <a:extLst>
            <a:ext uri="{FF2B5EF4-FFF2-40B4-BE49-F238E27FC236}">
              <a16:creationId xmlns:a16="http://schemas.microsoft.com/office/drawing/2014/main" id="{00000000-0008-0000-0A00-0000F6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91" name="Oval 231">
          <a:extLst>
            <a:ext uri="{FF2B5EF4-FFF2-40B4-BE49-F238E27FC236}">
              <a16:creationId xmlns:a16="http://schemas.microsoft.com/office/drawing/2014/main" id="{00000000-0008-0000-0A00-0000F7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592" name="AutoShape 232">
          <a:extLst>
            <a:ext uri="{FF2B5EF4-FFF2-40B4-BE49-F238E27FC236}">
              <a16:creationId xmlns:a16="http://schemas.microsoft.com/office/drawing/2014/main" id="{00000000-0008-0000-0A00-0000F8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593" name="Rectangle 233">
          <a:extLst>
            <a:ext uri="{FF2B5EF4-FFF2-40B4-BE49-F238E27FC236}">
              <a16:creationId xmlns:a16="http://schemas.microsoft.com/office/drawing/2014/main" id="{00000000-0008-0000-0A00-0000F9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94" name="Oval 234">
          <a:extLst>
            <a:ext uri="{FF2B5EF4-FFF2-40B4-BE49-F238E27FC236}">
              <a16:creationId xmlns:a16="http://schemas.microsoft.com/office/drawing/2014/main" id="{00000000-0008-0000-0A00-0000FA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95" name="Oval 235">
          <a:extLst>
            <a:ext uri="{FF2B5EF4-FFF2-40B4-BE49-F238E27FC236}">
              <a16:creationId xmlns:a16="http://schemas.microsoft.com/office/drawing/2014/main" id="{00000000-0008-0000-0A00-0000FB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96" name="Oval 236">
          <a:extLst>
            <a:ext uri="{FF2B5EF4-FFF2-40B4-BE49-F238E27FC236}">
              <a16:creationId xmlns:a16="http://schemas.microsoft.com/office/drawing/2014/main" id="{00000000-0008-0000-0A00-0000FC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597" name="Oval 237">
          <a:extLst>
            <a:ext uri="{FF2B5EF4-FFF2-40B4-BE49-F238E27FC236}">
              <a16:creationId xmlns:a16="http://schemas.microsoft.com/office/drawing/2014/main" id="{00000000-0008-0000-0A00-0000FD45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598" name="AutoShape 238">
          <a:extLst>
            <a:ext uri="{FF2B5EF4-FFF2-40B4-BE49-F238E27FC236}">
              <a16:creationId xmlns:a16="http://schemas.microsoft.com/office/drawing/2014/main" id="{00000000-0008-0000-0A00-0000FE45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599" name="Rectangle 239">
          <a:extLst>
            <a:ext uri="{FF2B5EF4-FFF2-40B4-BE49-F238E27FC236}">
              <a16:creationId xmlns:a16="http://schemas.microsoft.com/office/drawing/2014/main" id="{00000000-0008-0000-0A00-0000FF45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00" name="Oval 240">
          <a:extLst>
            <a:ext uri="{FF2B5EF4-FFF2-40B4-BE49-F238E27FC236}">
              <a16:creationId xmlns:a16="http://schemas.microsoft.com/office/drawing/2014/main" id="{00000000-0008-0000-0A00-000000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01" name="Oval 241">
          <a:extLst>
            <a:ext uri="{FF2B5EF4-FFF2-40B4-BE49-F238E27FC236}">
              <a16:creationId xmlns:a16="http://schemas.microsoft.com/office/drawing/2014/main" id="{00000000-0008-0000-0A00-000001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02" name="Oval 242">
          <a:extLst>
            <a:ext uri="{FF2B5EF4-FFF2-40B4-BE49-F238E27FC236}">
              <a16:creationId xmlns:a16="http://schemas.microsoft.com/office/drawing/2014/main" id="{00000000-0008-0000-0A00-000002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03" name="Oval 243">
          <a:extLst>
            <a:ext uri="{FF2B5EF4-FFF2-40B4-BE49-F238E27FC236}">
              <a16:creationId xmlns:a16="http://schemas.microsoft.com/office/drawing/2014/main" id="{00000000-0008-0000-0A00-000003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604" name="AutoShape 244">
          <a:extLst>
            <a:ext uri="{FF2B5EF4-FFF2-40B4-BE49-F238E27FC236}">
              <a16:creationId xmlns:a16="http://schemas.microsoft.com/office/drawing/2014/main" id="{00000000-0008-0000-0A00-00000446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605" name="Rectangle 245">
          <a:extLst>
            <a:ext uri="{FF2B5EF4-FFF2-40B4-BE49-F238E27FC236}">
              <a16:creationId xmlns:a16="http://schemas.microsoft.com/office/drawing/2014/main" id="{00000000-0008-0000-0A00-00000546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06" name="Oval 246">
          <a:extLst>
            <a:ext uri="{FF2B5EF4-FFF2-40B4-BE49-F238E27FC236}">
              <a16:creationId xmlns:a16="http://schemas.microsoft.com/office/drawing/2014/main" id="{00000000-0008-0000-0A00-000006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07" name="Oval 247">
          <a:extLst>
            <a:ext uri="{FF2B5EF4-FFF2-40B4-BE49-F238E27FC236}">
              <a16:creationId xmlns:a16="http://schemas.microsoft.com/office/drawing/2014/main" id="{00000000-0008-0000-0A00-000007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08" name="Oval 248">
          <a:extLst>
            <a:ext uri="{FF2B5EF4-FFF2-40B4-BE49-F238E27FC236}">
              <a16:creationId xmlns:a16="http://schemas.microsoft.com/office/drawing/2014/main" id="{00000000-0008-0000-0A00-000008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09" name="Oval 249">
          <a:extLst>
            <a:ext uri="{FF2B5EF4-FFF2-40B4-BE49-F238E27FC236}">
              <a16:creationId xmlns:a16="http://schemas.microsoft.com/office/drawing/2014/main" id="{00000000-0008-0000-0A00-000009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610" name="AutoShape 250">
          <a:extLst>
            <a:ext uri="{FF2B5EF4-FFF2-40B4-BE49-F238E27FC236}">
              <a16:creationId xmlns:a16="http://schemas.microsoft.com/office/drawing/2014/main" id="{00000000-0008-0000-0A00-00000A46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611" name="Rectangle 251">
          <a:extLst>
            <a:ext uri="{FF2B5EF4-FFF2-40B4-BE49-F238E27FC236}">
              <a16:creationId xmlns:a16="http://schemas.microsoft.com/office/drawing/2014/main" id="{00000000-0008-0000-0A00-00000B46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12" name="Oval 252">
          <a:extLst>
            <a:ext uri="{FF2B5EF4-FFF2-40B4-BE49-F238E27FC236}">
              <a16:creationId xmlns:a16="http://schemas.microsoft.com/office/drawing/2014/main" id="{00000000-0008-0000-0A00-00000C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13" name="Oval 253">
          <a:extLst>
            <a:ext uri="{FF2B5EF4-FFF2-40B4-BE49-F238E27FC236}">
              <a16:creationId xmlns:a16="http://schemas.microsoft.com/office/drawing/2014/main" id="{00000000-0008-0000-0A00-00000D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14" name="Oval 254">
          <a:extLst>
            <a:ext uri="{FF2B5EF4-FFF2-40B4-BE49-F238E27FC236}">
              <a16:creationId xmlns:a16="http://schemas.microsoft.com/office/drawing/2014/main" id="{00000000-0008-0000-0A00-00000E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15" name="Oval 255">
          <a:extLst>
            <a:ext uri="{FF2B5EF4-FFF2-40B4-BE49-F238E27FC236}">
              <a16:creationId xmlns:a16="http://schemas.microsoft.com/office/drawing/2014/main" id="{00000000-0008-0000-0A00-00000F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616" name="AutoShape 256">
          <a:extLst>
            <a:ext uri="{FF2B5EF4-FFF2-40B4-BE49-F238E27FC236}">
              <a16:creationId xmlns:a16="http://schemas.microsoft.com/office/drawing/2014/main" id="{00000000-0008-0000-0A00-00001046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617" name="Rectangle 257">
          <a:extLst>
            <a:ext uri="{FF2B5EF4-FFF2-40B4-BE49-F238E27FC236}">
              <a16:creationId xmlns:a16="http://schemas.microsoft.com/office/drawing/2014/main" id="{00000000-0008-0000-0A00-00001146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18" name="Oval 258">
          <a:extLst>
            <a:ext uri="{FF2B5EF4-FFF2-40B4-BE49-F238E27FC236}">
              <a16:creationId xmlns:a16="http://schemas.microsoft.com/office/drawing/2014/main" id="{00000000-0008-0000-0A00-000012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19" name="Oval 259">
          <a:extLst>
            <a:ext uri="{FF2B5EF4-FFF2-40B4-BE49-F238E27FC236}">
              <a16:creationId xmlns:a16="http://schemas.microsoft.com/office/drawing/2014/main" id="{00000000-0008-0000-0A00-000013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20" name="Oval 260">
          <a:extLst>
            <a:ext uri="{FF2B5EF4-FFF2-40B4-BE49-F238E27FC236}">
              <a16:creationId xmlns:a16="http://schemas.microsoft.com/office/drawing/2014/main" id="{00000000-0008-0000-0A00-000014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21" name="Oval 261">
          <a:extLst>
            <a:ext uri="{FF2B5EF4-FFF2-40B4-BE49-F238E27FC236}">
              <a16:creationId xmlns:a16="http://schemas.microsoft.com/office/drawing/2014/main" id="{00000000-0008-0000-0A00-000015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622" name="AutoShape 262">
          <a:extLst>
            <a:ext uri="{FF2B5EF4-FFF2-40B4-BE49-F238E27FC236}">
              <a16:creationId xmlns:a16="http://schemas.microsoft.com/office/drawing/2014/main" id="{00000000-0008-0000-0A00-00001646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623" name="Rectangle 263">
          <a:extLst>
            <a:ext uri="{FF2B5EF4-FFF2-40B4-BE49-F238E27FC236}">
              <a16:creationId xmlns:a16="http://schemas.microsoft.com/office/drawing/2014/main" id="{00000000-0008-0000-0A00-00001746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24" name="Oval 264">
          <a:extLst>
            <a:ext uri="{FF2B5EF4-FFF2-40B4-BE49-F238E27FC236}">
              <a16:creationId xmlns:a16="http://schemas.microsoft.com/office/drawing/2014/main" id="{00000000-0008-0000-0A00-000018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25" name="Oval 265">
          <a:extLst>
            <a:ext uri="{FF2B5EF4-FFF2-40B4-BE49-F238E27FC236}">
              <a16:creationId xmlns:a16="http://schemas.microsoft.com/office/drawing/2014/main" id="{00000000-0008-0000-0A00-000019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26" name="Oval 266">
          <a:extLst>
            <a:ext uri="{FF2B5EF4-FFF2-40B4-BE49-F238E27FC236}">
              <a16:creationId xmlns:a16="http://schemas.microsoft.com/office/drawing/2014/main" id="{00000000-0008-0000-0A00-00001A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27" name="Oval 267">
          <a:extLst>
            <a:ext uri="{FF2B5EF4-FFF2-40B4-BE49-F238E27FC236}">
              <a16:creationId xmlns:a16="http://schemas.microsoft.com/office/drawing/2014/main" id="{00000000-0008-0000-0A00-00001B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5628" name="AutoShape 268">
          <a:extLst>
            <a:ext uri="{FF2B5EF4-FFF2-40B4-BE49-F238E27FC236}">
              <a16:creationId xmlns:a16="http://schemas.microsoft.com/office/drawing/2014/main" id="{00000000-0008-0000-0A00-00001C46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629" name="Rectangle 269">
          <a:extLst>
            <a:ext uri="{FF2B5EF4-FFF2-40B4-BE49-F238E27FC236}">
              <a16:creationId xmlns:a16="http://schemas.microsoft.com/office/drawing/2014/main" id="{00000000-0008-0000-0A00-00001D46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30" name="Oval 270">
          <a:extLst>
            <a:ext uri="{FF2B5EF4-FFF2-40B4-BE49-F238E27FC236}">
              <a16:creationId xmlns:a16="http://schemas.microsoft.com/office/drawing/2014/main" id="{00000000-0008-0000-0A00-00001E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31" name="Oval 271">
          <a:extLst>
            <a:ext uri="{FF2B5EF4-FFF2-40B4-BE49-F238E27FC236}">
              <a16:creationId xmlns:a16="http://schemas.microsoft.com/office/drawing/2014/main" id="{00000000-0008-0000-0A00-00001F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32" name="Oval 272">
          <a:extLst>
            <a:ext uri="{FF2B5EF4-FFF2-40B4-BE49-F238E27FC236}">
              <a16:creationId xmlns:a16="http://schemas.microsoft.com/office/drawing/2014/main" id="{00000000-0008-0000-0A00-000020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33" name="Oval 273">
          <a:extLst>
            <a:ext uri="{FF2B5EF4-FFF2-40B4-BE49-F238E27FC236}">
              <a16:creationId xmlns:a16="http://schemas.microsoft.com/office/drawing/2014/main" id="{00000000-0008-0000-0A00-000021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634" name="Rectangle 274">
          <a:extLst>
            <a:ext uri="{FF2B5EF4-FFF2-40B4-BE49-F238E27FC236}">
              <a16:creationId xmlns:a16="http://schemas.microsoft.com/office/drawing/2014/main" id="{00000000-0008-0000-0A00-00002246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35" name="Oval 275">
          <a:extLst>
            <a:ext uri="{FF2B5EF4-FFF2-40B4-BE49-F238E27FC236}">
              <a16:creationId xmlns:a16="http://schemas.microsoft.com/office/drawing/2014/main" id="{00000000-0008-0000-0A00-000023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36" name="Oval 276">
          <a:extLst>
            <a:ext uri="{FF2B5EF4-FFF2-40B4-BE49-F238E27FC236}">
              <a16:creationId xmlns:a16="http://schemas.microsoft.com/office/drawing/2014/main" id="{00000000-0008-0000-0A00-000024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37" name="Oval 277">
          <a:extLst>
            <a:ext uri="{FF2B5EF4-FFF2-40B4-BE49-F238E27FC236}">
              <a16:creationId xmlns:a16="http://schemas.microsoft.com/office/drawing/2014/main" id="{00000000-0008-0000-0A00-000025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38" name="Oval 278">
          <a:extLst>
            <a:ext uri="{FF2B5EF4-FFF2-40B4-BE49-F238E27FC236}">
              <a16:creationId xmlns:a16="http://schemas.microsoft.com/office/drawing/2014/main" id="{00000000-0008-0000-0A00-000026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5639" name="Rectangle 279">
          <a:extLst>
            <a:ext uri="{FF2B5EF4-FFF2-40B4-BE49-F238E27FC236}">
              <a16:creationId xmlns:a16="http://schemas.microsoft.com/office/drawing/2014/main" id="{00000000-0008-0000-0A00-00002746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40" name="Oval 280">
          <a:extLst>
            <a:ext uri="{FF2B5EF4-FFF2-40B4-BE49-F238E27FC236}">
              <a16:creationId xmlns:a16="http://schemas.microsoft.com/office/drawing/2014/main" id="{00000000-0008-0000-0A00-000028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41" name="Oval 281">
          <a:extLst>
            <a:ext uri="{FF2B5EF4-FFF2-40B4-BE49-F238E27FC236}">
              <a16:creationId xmlns:a16="http://schemas.microsoft.com/office/drawing/2014/main" id="{00000000-0008-0000-0A00-000029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42" name="Oval 282">
          <a:extLst>
            <a:ext uri="{FF2B5EF4-FFF2-40B4-BE49-F238E27FC236}">
              <a16:creationId xmlns:a16="http://schemas.microsoft.com/office/drawing/2014/main" id="{00000000-0008-0000-0A00-00002A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5643" name="Oval 283">
          <a:extLst>
            <a:ext uri="{FF2B5EF4-FFF2-40B4-BE49-F238E27FC236}">
              <a16:creationId xmlns:a16="http://schemas.microsoft.com/office/drawing/2014/main" id="{00000000-0008-0000-0A00-00002B46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345644" name="Rectangle 285">
          <a:extLst>
            <a:ext uri="{FF2B5EF4-FFF2-40B4-BE49-F238E27FC236}">
              <a16:creationId xmlns:a16="http://schemas.microsoft.com/office/drawing/2014/main" id="{00000000-0008-0000-0A00-00002C46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345645" name="Rectangle 287">
          <a:extLst>
            <a:ext uri="{FF2B5EF4-FFF2-40B4-BE49-F238E27FC236}">
              <a16:creationId xmlns:a16="http://schemas.microsoft.com/office/drawing/2014/main" id="{00000000-0008-0000-0A00-00002D46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345646" name="Rectangle 289">
          <a:extLst>
            <a:ext uri="{FF2B5EF4-FFF2-40B4-BE49-F238E27FC236}">
              <a16:creationId xmlns:a16="http://schemas.microsoft.com/office/drawing/2014/main" id="{00000000-0008-0000-0A00-00002E46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345647" name="Rectangle 291">
          <a:extLst>
            <a:ext uri="{FF2B5EF4-FFF2-40B4-BE49-F238E27FC236}">
              <a16:creationId xmlns:a16="http://schemas.microsoft.com/office/drawing/2014/main" id="{00000000-0008-0000-0A00-00002F46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345648" name="Rectangle 293">
          <a:extLst>
            <a:ext uri="{FF2B5EF4-FFF2-40B4-BE49-F238E27FC236}">
              <a16:creationId xmlns:a16="http://schemas.microsoft.com/office/drawing/2014/main" id="{00000000-0008-0000-0A00-00003046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345649" name="Rectangle 295">
          <a:extLst>
            <a:ext uri="{FF2B5EF4-FFF2-40B4-BE49-F238E27FC236}">
              <a16:creationId xmlns:a16="http://schemas.microsoft.com/office/drawing/2014/main" id="{00000000-0008-0000-0A00-00003146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345650" name="Rectangle 297">
          <a:extLst>
            <a:ext uri="{FF2B5EF4-FFF2-40B4-BE49-F238E27FC236}">
              <a16:creationId xmlns:a16="http://schemas.microsoft.com/office/drawing/2014/main" id="{00000000-0008-0000-0A00-00003246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345651" name="Rectangle 299">
          <a:extLst>
            <a:ext uri="{FF2B5EF4-FFF2-40B4-BE49-F238E27FC236}">
              <a16:creationId xmlns:a16="http://schemas.microsoft.com/office/drawing/2014/main" id="{00000000-0008-0000-0A00-00003346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345652" name="Rectangle 301">
          <a:extLst>
            <a:ext uri="{FF2B5EF4-FFF2-40B4-BE49-F238E27FC236}">
              <a16:creationId xmlns:a16="http://schemas.microsoft.com/office/drawing/2014/main" id="{00000000-0008-0000-0A00-00003446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345653" name="Rectangle 303">
          <a:extLst>
            <a:ext uri="{FF2B5EF4-FFF2-40B4-BE49-F238E27FC236}">
              <a16:creationId xmlns:a16="http://schemas.microsoft.com/office/drawing/2014/main" id="{00000000-0008-0000-0A00-00003546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345654" name="Rectangle 305">
          <a:extLst>
            <a:ext uri="{FF2B5EF4-FFF2-40B4-BE49-F238E27FC236}">
              <a16:creationId xmlns:a16="http://schemas.microsoft.com/office/drawing/2014/main" id="{00000000-0008-0000-0A00-00003646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345655" name="Rectangle 307">
          <a:extLst>
            <a:ext uri="{FF2B5EF4-FFF2-40B4-BE49-F238E27FC236}">
              <a16:creationId xmlns:a16="http://schemas.microsoft.com/office/drawing/2014/main" id="{00000000-0008-0000-0A00-00003746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textlink="">
      <xdr:nvSpPr>
        <xdr:cNvPr id="345656" name="フリーフォーム 311">
          <a:extLst>
            <a:ext uri="{FF2B5EF4-FFF2-40B4-BE49-F238E27FC236}">
              <a16:creationId xmlns:a16="http://schemas.microsoft.com/office/drawing/2014/main" id="{00000000-0008-0000-0A00-000038460500}"/>
            </a:ext>
          </a:extLst>
        </xdr:cNvPr>
        <xdr:cNvSpPr>
          <a:spLocks noChangeArrowheads="1"/>
        </xdr:cNvSpPr>
      </xdr:nvSpPr>
      <xdr:spPr bwMode="auto">
        <a:xfrm>
          <a:off x="723900" y="2162175"/>
          <a:ext cx="276225" cy="180975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textlink="">
      <xdr:nvSpPr>
        <xdr:cNvPr id="345657" name="フリーフォーム 312">
          <a:extLst>
            <a:ext uri="{FF2B5EF4-FFF2-40B4-BE49-F238E27FC236}">
              <a16:creationId xmlns:a16="http://schemas.microsoft.com/office/drawing/2014/main" id="{00000000-0008-0000-0A00-000039460500}"/>
            </a:ext>
          </a:extLst>
        </xdr:cNvPr>
        <xdr:cNvSpPr>
          <a:spLocks noChangeArrowheads="1"/>
        </xdr:cNvSpPr>
      </xdr:nvSpPr>
      <xdr:spPr bwMode="auto">
        <a:xfrm>
          <a:off x="742950" y="2847975"/>
          <a:ext cx="276225" cy="190500"/>
        </a:xfrm>
        <a:custGeom>
          <a:avLst/>
          <a:gdLst>
            <a:gd name="T0" fmla="*/ 0 w 272143"/>
            <a:gd name="T1" fmla="*/ 0 h 185057"/>
            <a:gd name="T2" fmla="*/ 385332 w 272143"/>
            <a:gd name="T3" fmla="*/ 0 h 185057"/>
            <a:gd name="T4" fmla="*/ 544000 w 272143"/>
            <a:gd name="T5" fmla="*/ 279321 h 185057"/>
            <a:gd name="T6" fmla="*/ 566665 w 272143"/>
            <a:gd name="T7" fmla="*/ 319227 h 185057"/>
            <a:gd name="T8" fmla="*/ 385332 w 272143"/>
            <a:gd name="T9" fmla="*/ 678369 h 185057"/>
            <a:gd name="T10" fmla="*/ 11331 w 272143"/>
            <a:gd name="T11" fmla="*/ 678369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textlink="">
      <xdr:nvSpPr>
        <xdr:cNvPr id="345658" name="フリーフォーム 313">
          <a:extLst>
            <a:ext uri="{FF2B5EF4-FFF2-40B4-BE49-F238E27FC236}">
              <a16:creationId xmlns:a16="http://schemas.microsoft.com/office/drawing/2014/main" id="{00000000-0008-0000-0A00-00003A460500}"/>
            </a:ext>
          </a:extLst>
        </xdr:cNvPr>
        <xdr:cNvSpPr>
          <a:spLocks noChangeArrowheads="1"/>
        </xdr:cNvSpPr>
      </xdr:nvSpPr>
      <xdr:spPr bwMode="auto">
        <a:xfrm>
          <a:off x="742950" y="3543300"/>
          <a:ext cx="276225" cy="180975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textlink="">
      <xdr:nvSpPr>
        <xdr:cNvPr id="345659" name="フリーフォーム 314">
          <a:extLst>
            <a:ext uri="{FF2B5EF4-FFF2-40B4-BE49-F238E27FC236}">
              <a16:creationId xmlns:a16="http://schemas.microsoft.com/office/drawing/2014/main" id="{00000000-0008-0000-0A00-00003B460500}"/>
            </a:ext>
          </a:extLst>
        </xdr:cNvPr>
        <xdr:cNvSpPr>
          <a:spLocks noChangeArrowheads="1"/>
        </xdr:cNvSpPr>
      </xdr:nvSpPr>
      <xdr:spPr bwMode="auto">
        <a:xfrm>
          <a:off x="733425" y="42195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textlink="">
      <xdr:nvSpPr>
        <xdr:cNvPr id="345660" name="フリーフォーム 315">
          <a:extLst>
            <a:ext uri="{FF2B5EF4-FFF2-40B4-BE49-F238E27FC236}">
              <a16:creationId xmlns:a16="http://schemas.microsoft.com/office/drawing/2014/main" id="{00000000-0008-0000-0A00-00003C460500}"/>
            </a:ext>
          </a:extLst>
        </xdr:cNvPr>
        <xdr:cNvSpPr>
          <a:spLocks noChangeArrowheads="1"/>
        </xdr:cNvSpPr>
      </xdr:nvSpPr>
      <xdr:spPr bwMode="auto">
        <a:xfrm>
          <a:off x="733425" y="4905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textlink="">
      <xdr:nvSpPr>
        <xdr:cNvPr id="345661" name="フリーフォーム 316">
          <a:extLst>
            <a:ext uri="{FF2B5EF4-FFF2-40B4-BE49-F238E27FC236}">
              <a16:creationId xmlns:a16="http://schemas.microsoft.com/office/drawing/2014/main" id="{00000000-0008-0000-0A00-00003D460500}"/>
            </a:ext>
          </a:extLst>
        </xdr:cNvPr>
        <xdr:cNvSpPr>
          <a:spLocks noChangeArrowheads="1"/>
        </xdr:cNvSpPr>
      </xdr:nvSpPr>
      <xdr:spPr bwMode="auto">
        <a:xfrm>
          <a:off x="733425" y="55816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textlink="">
      <xdr:nvSpPr>
        <xdr:cNvPr id="345662" name="フリーフォーム 317">
          <a:extLst>
            <a:ext uri="{FF2B5EF4-FFF2-40B4-BE49-F238E27FC236}">
              <a16:creationId xmlns:a16="http://schemas.microsoft.com/office/drawing/2014/main" id="{00000000-0008-0000-0A00-00003E460500}"/>
            </a:ext>
          </a:extLst>
        </xdr:cNvPr>
        <xdr:cNvSpPr>
          <a:spLocks noChangeArrowheads="1"/>
        </xdr:cNvSpPr>
      </xdr:nvSpPr>
      <xdr:spPr bwMode="auto">
        <a:xfrm>
          <a:off x="723900" y="6267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textlink="">
      <xdr:nvSpPr>
        <xdr:cNvPr id="345663" name="フリーフォーム 319">
          <a:extLst>
            <a:ext uri="{FF2B5EF4-FFF2-40B4-BE49-F238E27FC236}">
              <a16:creationId xmlns:a16="http://schemas.microsoft.com/office/drawing/2014/main" id="{00000000-0008-0000-0A00-00003F460500}"/>
            </a:ext>
          </a:extLst>
        </xdr:cNvPr>
        <xdr:cNvSpPr>
          <a:spLocks noChangeArrowheads="1"/>
        </xdr:cNvSpPr>
      </xdr:nvSpPr>
      <xdr:spPr bwMode="auto">
        <a:xfrm>
          <a:off x="733425" y="76390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textlink="">
      <xdr:nvSpPr>
        <xdr:cNvPr id="345664" name="フリーフォーム 320">
          <a:extLst>
            <a:ext uri="{FF2B5EF4-FFF2-40B4-BE49-F238E27FC236}">
              <a16:creationId xmlns:a16="http://schemas.microsoft.com/office/drawing/2014/main" id="{00000000-0008-0000-0A00-000040460500}"/>
            </a:ext>
          </a:extLst>
        </xdr:cNvPr>
        <xdr:cNvSpPr>
          <a:spLocks noChangeArrowheads="1"/>
        </xdr:cNvSpPr>
      </xdr:nvSpPr>
      <xdr:spPr bwMode="auto">
        <a:xfrm>
          <a:off x="723900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345665" name="フリーフォーム 321">
          <a:extLst>
            <a:ext uri="{FF2B5EF4-FFF2-40B4-BE49-F238E27FC236}">
              <a16:creationId xmlns:a16="http://schemas.microsoft.com/office/drawing/2014/main" id="{00000000-0008-0000-0A00-00004146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textlink="">
      <xdr:nvSpPr>
        <xdr:cNvPr id="345666" name="フリーフォーム 322">
          <a:extLst>
            <a:ext uri="{FF2B5EF4-FFF2-40B4-BE49-F238E27FC236}">
              <a16:creationId xmlns:a16="http://schemas.microsoft.com/office/drawing/2014/main" id="{00000000-0008-0000-0A00-000042460500}"/>
            </a:ext>
          </a:extLst>
        </xdr:cNvPr>
        <xdr:cNvSpPr>
          <a:spLocks noChangeArrowheads="1"/>
        </xdr:cNvSpPr>
      </xdr:nvSpPr>
      <xdr:spPr bwMode="auto">
        <a:xfrm>
          <a:off x="733425" y="9696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345667" name="Rectangle 2">
          <a:extLst>
            <a:ext uri="{FF2B5EF4-FFF2-40B4-BE49-F238E27FC236}">
              <a16:creationId xmlns:a16="http://schemas.microsoft.com/office/drawing/2014/main" id="{00000000-0008-0000-0A00-00004346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345668" name="Rectangle 2">
          <a:extLst>
            <a:ext uri="{FF2B5EF4-FFF2-40B4-BE49-F238E27FC236}">
              <a16:creationId xmlns:a16="http://schemas.microsoft.com/office/drawing/2014/main" id="{00000000-0008-0000-0A00-00004446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345669" name="Rectangle 2">
          <a:extLst>
            <a:ext uri="{FF2B5EF4-FFF2-40B4-BE49-F238E27FC236}">
              <a16:creationId xmlns:a16="http://schemas.microsoft.com/office/drawing/2014/main" id="{00000000-0008-0000-0A00-00004546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345670" name="Rectangle 2">
          <a:extLst>
            <a:ext uri="{FF2B5EF4-FFF2-40B4-BE49-F238E27FC236}">
              <a16:creationId xmlns:a16="http://schemas.microsoft.com/office/drawing/2014/main" id="{00000000-0008-0000-0A00-00004646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345671" name="Rectangle 2">
          <a:extLst>
            <a:ext uri="{FF2B5EF4-FFF2-40B4-BE49-F238E27FC236}">
              <a16:creationId xmlns:a16="http://schemas.microsoft.com/office/drawing/2014/main" id="{00000000-0008-0000-0A00-00004746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345672" name="Rectangle 293">
          <a:extLst>
            <a:ext uri="{FF2B5EF4-FFF2-40B4-BE49-F238E27FC236}">
              <a16:creationId xmlns:a16="http://schemas.microsoft.com/office/drawing/2014/main" id="{00000000-0008-0000-0A00-00004846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345673" name="Rectangle 2">
          <a:extLst>
            <a:ext uri="{FF2B5EF4-FFF2-40B4-BE49-F238E27FC236}">
              <a16:creationId xmlns:a16="http://schemas.microsoft.com/office/drawing/2014/main" id="{00000000-0008-0000-0A00-00004946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345674" name="Rectangle 293">
          <a:extLst>
            <a:ext uri="{FF2B5EF4-FFF2-40B4-BE49-F238E27FC236}">
              <a16:creationId xmlns:a16="http://schemas.microsoft.com/office/drawing/2014/main" id="{00000000-0008-0000-0A00-00004A46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345675" name="Rectangle 2">
          <a:extLst>
            <a:ext uri="{FF2B5EF4-FFF2-40B4-BE49-F238E27FC236}">
              <a16:creationId xmlns:a16="http://schemas.microsoft.com/office/drawing/2014/main" id="{00000000-0008-0000-0A00-00004B46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345676" name="Rectangle 293">
          <a:extLst>
            <a:ext uri="{FF2B5EF4-FFF2-40B4-BE49-F238E27FC236}">
              <a16:creationId xmlns:a16="http://schemas.microsoft.com/office/drawing/2014/main" id="{00000000-0008-0000-0A00-00004C46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3</xdr:col>
      <xdr:colOff>180975</xdr:colOff>
      <xdr:row>78</xdr:row>
      <xdr:rowOff>28575</xdr:rowOff>
    </xdr:to>
    <xdr:sp textlink="">
      <xdr:nvSpPr>
        <xdr:cNvPr id="345677" name="フリーフォーム 342">
          <a:extLst>
            <a:ext uri="{FF2B5EF4-FFF2-40B4-BE49-F238E27FC236}">
              <a16:creationId xmlns:a16="http://schemas.microsoft.com/office/drawing/2014/main" id="{00000000-0008-0000-0A00-00004D460500}"/>
            </a:ext>
          </a:extLst>
        </xdr:cNvPr>
        <xdr:cNvSpPr>
          <a:spLocks noChangeArrowheads="1"/>
        </xdr:cNvSpPr>
      </xdr:nvSpPr>
      <xdr:spPr bwMode="auto">
        <a:xfrm>
          <a:off x="733425" y="69627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345678" name="Rectangle 2">
          <a:extLst>
            <a:ext uri="{FF2B5EF4-FFF2-40B4-BE49-F238E27FC236}">
              <a16:creationId xmlns:a16="http://schemas.microsoft.com/office/drawing/2014/main" id="{00000000-0008-0000-0A00-00004E46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345679" name="Rectangle 293">
          <a:extLst>
            <a:ext uri="{FF2B5EF4-FFF2-40B4-BE49-F238E27FC236}">
              <a16:creationId xmlns:a16="http://schemas.microsoft.com/office/drawing/2014/main" id="{00000000-0008-0000-0A00-00004F46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345680" name="Rectangle 2">
          <a:extLst>
            <a:ext uri="{FF2B5EF4-FFF2-40B4-BE49-F238E27FC236}">
              <a16:creationId xmlns:a16="http://schemas.microsoft.com/office/drawing/2014/main" id="{00000000-0008-0000-0A00-00005046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345681" name="Rectangle 293">
          <a:extLst>
            <a:ext uri="{FF2B5EF4-FFF2-40B4-BE49-F238E27FC236}">
              <a16:creationId xmlns:a16="http://schemas.microsoft.com/office/drawing/2014/main" id="{00000000-0008-0000-0A00-00005146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textlink="">
      <xdr:nvSpPr>
        <xdr:cNvPr id="345682" name="フリーフォーム 350">
          <a:extLst>
            <a:ext uri="{FF2B5EF4-FFF2-40B4-BE49-F238E27FC236}">
              <a16:creationId xmlns:a16="http://schemas.microsoft.com/office/drawing/2014/main" id="{00000000-0008-0000-0A00-000052460500}"/>
            </a:ext>
          </a:extLst>
        </xdr:cNvPr>
        <xdr:cNvSpPr>
          <a:spLocks noChangeArrowheads="1"/>
        </xdr:cNvSpPr>
      </xdr:nvSpPr>
      <xdr:spPr bwMode="auto">
        <a:xfrm>
          <a:off x="733425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345683" name="Rectangle 2">
          <a:extLst>
            <a:ext uri="{FF2B5EF4-FFF2-40B4-BE49-F238E27FC236}">
              <a16:creationId xmlns:a16="http://schemas.microsoft.com/office/drawing/2014/main" id="{00000000-0008-0000-0A00-00005346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345684" name="Rectangle 293">
          <a:extLst>
            <a:ext uri="{FF2B5EF4-FFF2-40B4-BE49-F238E27FC236}">
              <a16:creationId xmlns:a16="http://schemas.microsoft.com/office/drawing/2014/main" id="{00000000-0008-0000-0A00-00005446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345685" name="フリーフォーム 354">
          <a:extLst>
            <a:ext uri="{FF2B5EF4-FFF2-40B4-BE49-F238E27FC236}">
              <a16:creationId xmlns:a16="http://schemas.microsoft.com/office/drawing/2014/main" id="{00000000-0008-0000-0A00-0000554605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345686" name="Rectangle 2">
          <a:extLst>
            <a:ext uri="{FF2B5EF4-FFF2-40B4-BE49-F238E27FC236}">
              <a16:creationId xmlns:a16="http://schemas.microsoft.com/office/drawing/2014/main" id="{00000000-0008-0000-0A00-00005646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345687" name="Rectangle 293">
          <a:extLst>
            <a:ext uri="{FF2B5EF4-FFF2-40B4-BE49-F238E27FC236}">
              <a16:creationId xmlns:a16="http://schemas.microsoft.com/office/drawing/2014/main" id="{00000000-0008-0000-0A00-00005746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345688" name="Rectangle 2">
          <a:extLst>
            <a:ext uri="{FF2B5EF4-FFF2-40B4-BE49-F238E27FC236}">
              <a16:creationId xmlns:a16="http://schemas.microsoft.com/office/drawing/2014/main" id="{00000000-0008-0000-0A00-00005846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345689" name="Rectangle 285">
          <a:extLst>
            <a:ext uri="{FF2B5EF4-FFF2-40B4-BE49-F238E27FC236}">
              <a16:creationId xmlns:a16="http://schemas.microsoft.com/office/drawing/2014/main" id="{00000000-0008-0000-0A00-00005946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textlink="">
      <xdr:nvSpPr>
        <xdr:cNvPr id="345690" name="フリーフォーム 362">
          <a:extLst>
            <a:ext uri="{FF2B5EF4-FFF2-40B4-BE49-F238E27FC236}">
              <a16:creationId xmlns:a16="http://schemas.microsoft.com/office/drawing/2014/main" id="{00000000-0008-0000-0A00-00005A460500}"/>
            </a:ext>
          </a:extLst>
        </xdr:cNvPr>
        <xdr:cNvSpPr>
          <a:spLocks noChangeArrowheads="1"/>
        </xdr:cNvSpPr>
      </xdr:nvSpPr>
      <xdr:spPr bwMode="auto">
        <a:xfrm>
          <a:off x="723900" y="1476375"/>
          <a:ext cx="276225" cy="180975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345691" name="Rectangle 2">
          <a:extLst>
            <a:ext uri="{FF2B5EF4-FFF2-40B4-BE49-F238E27FC236}">
              <a16:creationId xmlns:a16="http://schemas.microsoft.com/office/drawing/2014/main" id="{00000000-0008-0000-0A00-00005B46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177362</xdr:colOff>
      <xdr:row>12</xdr:row>
      <xdr:rowOff>6569</xdr:rowOff>
    </xdr:from>
    <xdr:to>
      <xdr:col>14</xdr:col>
      <xdr:colOff>5064</xdr:colOff>
      <xdr:row>12</xdr:row>
      <xdr:rowOff>8474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 bwMode="auto">
        <a:xfrm flipV="1">
          <a:off x="2502776" y="1556845"/>
          <a:ext cx="379495" cy="190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textlink="">
      <xdr:nvSpPr>
        <xdr:cNvPr id="3" name="Oval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4" name="Oval 8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5" name="Oval 9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6" name="Oval 10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7" name="Oval 12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8" name="Oval 13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9" name="Oval 14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10" name="Oval 15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11" name="Rectangle 16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12" name="Oval 17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105</xdr:row>
      <xdr:rowOff>85725</xdr:rowOff>
    </xdr:from>
    <xdr:to>
      <xdr:col>1</xdr:col>
      <xdr:colOff>476250</xdr:colOff>
      <xdr:row>110</xdr:row>
      <xdr:rowOff>104775</xdr:rowOff>
    </xdr:to>
    <xdr:sp textlink="">
      <xdr:nvSpPr>
        <xdr:cNvPr id="13" name="Oval 18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>
          <a:spLocks noChangeArrowheads="1"/>
        </xdr:cNvSpPr>
      </xdr:nvSpPr>
      <xdr:spPr bwMode="auto">
        <a:xfrm>
          <a:off x="171450" y="9610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15" name="Oval 65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16" name="Oval 80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7" name="AutoShape 102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8" name="Rectangle 103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" name="Oval 104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20" name="AutoShape 105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21" name="Rectangle 106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22" name="Oval 107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23" name="AutoShape 108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24" name="Rectangle 109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25" name="Oval 110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26" name="AutoShape 111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27" name="Rectangle 112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28" name="Oval 113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29" name="AutoShape 114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0" name="Rectangle 115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1" name="Oval 116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2" name="AutoShape 117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" name="Rectangle 118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" name="Oval 119"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" name="AutoShape 120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6" name="Rectangle 121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7" name="Oval 122"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8" name="AutoShape 123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9" name="Rectangle 124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40" name="Oval 125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41" name="AutoShape 126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42" name="Rectangle 127"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43" name="Oval 128"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44" name="AutoShape 129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45" name="Rectangle 130">
          <a:extLst>
            <a:ext uri="{FF2B5EF4-FFF2-40B4-BE49-F238E27FC236}">
              <a16:creationId xmlns:a16="http://schemas.microsoft.com/office/drawing/2014/main" id="{00000000-0008-0000-0C00-00002D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46" name="Oval 131">
          <a:extLst>
            <a:ext uri="{FF2B5EF4-FFF2-40B4-BE49-F238E27FC236}">
              <a16:creationId xmlns:a16="http://schemas.microsoft.com/office/drawing/2014/main" id="{00000000-0008-0000-0C00-00002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47" name="AutoShape 132">
          <a:extLst>
            <a:ext uri="{FF2B5EF4-FFF2-40B4-BE49-F238E27FC236}">
              <a16:creationId xmlns:a16="http://schemas.microsoft.com/office/drawing/2014/main" id="{00000000-0008-0000-0C00-00002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48" name="Rectangle 133">
          <a:extLst>
            <a:ext uri="{FF2B5EF4-FFF2-40B4-BE49-F238E27FC236}">
              <a16:creationId xmlns:a16="http://schemas.microsoft.com/office/drawing/2014/main" id="{00000000-0008-0000-0C00-00003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49" name="Oval 134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50" name="AutoShape 135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51" name="Rectangle 136">
          <a:extLst>
            <a:ext uri="{FF2B5EF4-FFF2-40B4-BE49-F238E27FC236}">
              <a16:creationId xmlns:a16="http://schemas.microsoft.com/office/drawing/2014/main" id="{00000000-0008-0000-0C00-000033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52" name="Oval 137">
          <a:extLst>
            <a:ext uri="{FF2B5EF4-FFF2-40B4-BE49-F238E27FC236}">
              <a16:creationId xmlns:a16="http://schemas.microsoft.com/office/drawing/2014/main" id="{00000000-0008-0000-0C00-00003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53" name="AutoShape 138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54" name="Rectangle 139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55" name="Oval 140">
          <a:extLst>
            <a:ext uri="{FF2B5EF4-FFF2-40B4-BE49-F238E27FC236}">
              <a16:creationId xmlns:a16="http://schemas.microsoft.com/office/drawing/2014/main" id="{00000000-0008-0000-0C00-00003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56" name="Rectangle 141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57" name="AutoShape 142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58" name="Rectangle 143">
          <a:extLst>
            <a:ext uri="{FF2B5EF4-FFF2-40B4-BE49-F238E27FC236}">
              <a16:creationId xmlns:a16="http://schemas.microsoft.com/office/drawing/2014/main" id="{00000000-0008-0000-0C00-00003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59" name="Oval 144">
          <a:extLst>
            <a:ext uri="{FF2B5EF4-FFF2-40B4-BE49-F238E27FC236}">
              <a16:creationId xmlns:a16="http://schemas.microsoft.com/office/drawing/2014/main" id="{00000000-0008-0000-0C00-00003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60" name="AutoShape 145">
          <a:extLst>
            <a:ext uri="{FF2B5EF4-FFF2-40B4-BE49-F238E27FC236}">
              <a16:creationId xmlns:a16="http://schemas.microsoft.com/office/drawing/2014/main" id="{00000000-0008-0000-0C00-00003C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61" name="Rectangle 146">
          <a:extLst>
            <a:ext uri="{FF2B5EF4-FFF2-40B4-BE49-F238E27FC236}">
              <a16:creationId xmlns:a16="http://schemas.microsoft.com/office/drawing/2014/main" id="{00000000-0008-0000-0C00-00003D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2" name="Oval 147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63" name="AutoShape 148">
          <a:extLst>
            <a:ext uri="{FF2B5EF4-FFF2-40B4-BE49-F238E27FC236}">
              <a16:creationId xmlns:a16="http://schemas.microsoft.com/office/drawing/2014/main" id="{00000000-0008-0000-0C00-00003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64" name="Rectangle 149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5" name="Oval 150">
          <a:extLst>
            <a:ext uri="{FF2B5EF4-FFF2-40B4-BE49-F238E27FC236}">
              <a16:creationId xmlns:a16="http://schemas.microsoft.com/office/drawing/2014/main" id="{00000000-0008-0000-0C00-00004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6" name="Oval 151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7" name="Oval 152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8" name="Oval 153">
          <a:extLst>
            <a:ext uri="{FF2B5EF4-FFF2-40B4-BE49-F238E27FC236}">
              <a16:creationId xmlns:a16="http://schemas.microsoft.com/office/drawing/2014/main" id="{00000000-0008-0000-0C00-00004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69" name="AutoShape 154">
          <a:extLst>
            <a:ext uri="{FF2B5EF4-FFF2-40B4-BE49-F238E27FC236}">
              <a16:creationId xmlns:a16="http://schemas.microsoft.com/office/drawing/2014/main" id="{00000000-0008-0000-0C00-00004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70" name="Rectangle 155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1" name="Oval 156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2" name="Oval 157">
          <a:extLst>
            <a:ext uri="{FF2B5EF4-FFF2-40B4-BE49-F238E27FC236}">
              <a16:creationId xmlns:a16="http://schemas.microsoft.com/office/drawing/2014/main" id="{00000000-0008-0000-0C00-00004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3" name="Oval 158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4" name="Oval 159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75" name="AutoShape 160">
          <a:extLst>
            <a:ext uri="{FF2B5EF4-FFF2-40B4-BE49-F238E27FC236}">
              <a16:creationId xmlns:a16="http://schemas.microsoft.com/office/drawing/2014/main" id="{00000000-0008-0000-0C00-00004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76" name="Rectangle 161">
          <a:extLst>
            <a:ext uri="{FF2B5EF4-FFF2-40B4-BE49-F238E27FC236}">
              <a16:creationId xmlns:a16="http://schemas.microsoft.com/office/drawing/2014/main" id="{00000000-0008-0000-0C00-00004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7" name="Oval 162">
          <a:extLst>
            <a:ext uri="{FF2B5EF4-FFF2-40B4-BE49-F238E27FC236}">
              <a16:creationId xmlns:a16="http://schemas.microsoft.com/office/drawing/2014/main" id="{00000000-0008-0000-0C00-00004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8" name="Oval 163">
          <a:extLst>
            <a:ext uri="{FF2B5EF4-FFF2-40B4-BE49-F238E27FC236}">
              <a16:creationId xmlns:a16="http://schemas.microsoft.com/office/drawing/2014/main" id="{00000000-0008-0000-0C00-00004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9" name="Oval 164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0" name="Oval 165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81" name="AutoShape 166">
          <a:extLst>
            <a:ext uri="{FF2B5EF4-FFF2-40B4-BE49-F238E27FC236}">
              <a16:creationId xmlns:a16="http://schemas.microsoft.com/office/drawing/2014/main" id="{00000000-0008-0000-0C00-00005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82" name="Rectangle 167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3" name="Oval 168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4" name="Oval 169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5" name="Oval 170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6" name="Oval 171">
          <a:extLst>
            <a:ext uri="{FF2B5EF4-FFF2-40B4-BE49-F238E27FC236}">
              <a16:creationId xmlns:a16="http://schemas.microsoft.com/office/drawing/2014/main" id="{00000000-0008-0000-0C00-00005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87" name="AutoShape 172">
          <a:extLst>
            <a:ext uri="{FF2B5EF4-FFF2-40B4-BE49-F238E27FC236}">
              <a16:creationId xmlns:a16="http://schemas.microsoft.com/office/drawing/2014/main" id="{00000000-0008-0000-0C00-00005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88" name="Rectangle 173">
          <a:extLst>
            <a:ext uri="{FF2B5EF4-FFF2-40B4-BE49-F238E27FC236}">
              <a16:creationId xmlns:a16="http://schemas.microsoft.com/office/drawing/2014/main" id="{00000000-0008-0000-0C00-00005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9" name="Oval 174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0" name="Oval 175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1" name="Oval 176">
          <a:extLst>
            <a:ext uri="{FF2B5EF4-FFF2-40B4-BE49-F238E27FC236}">
              <a16:creationId xmlns:a16="http://schemas.microsoft.com/office/drawing/2014/main" id="{00000000-0008-0000-0C00-00005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2" name="Oval 177">
          <a:extLst>
            <a:ext uri="{FF2B5EF4-FFF2-40B4-BE49-F238E27FC236}">
              <a16:creationId xmlns:a16="http://schemas.microsoft.com/office/drawing/2014/main" id="{00000000-0008-0000-0C00-00005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93" name="AutoShape 178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94" name="Rectangle 179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5" name="Oval 180">
          <a:extLst>
            <a:ext uri="{FF2B5EF4-FFF2-40B4-BE49-F238E27FC236}">
              <a16:creationId xmlns:a16="http://schemas.microsoft.com/office/drawing/2014/main" id="{00000000-0008-0000-0C00-00005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6" name="Oval 181">
          <a:extLst>
            <a:ext uri="{FF2B5EF4-FFF2-40B4-BE49-F238E27FC236}">
              <a16:creationId xmlns:a16="http://schemas.microsoft.com/office/drawing/2014/main" id="{00000000-0008-0000-0C00-00006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7" name="Oval 182">
          <a:extLst>
            <a:ext uri="{FF2B5EF4-FFF2-40B4-BE49-F238E27FC236}">
              <a16:creationId xmlns:a16="http://schemas.microsoft.com/office/drawing/2014/main" id="{00000000-0008-0000-0C00-00006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8" name="Oval 183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99" name="AutoShape 184">
          <a:extLst>
            <a:ext uri="{FF2B5EF4-FFF2-40B4-BE49-F238E27FC236}">
              <a16:creationId xmlns:a16="http://schemas.microsoft.com/office/drawing/2014/main" id="{00000000-0008-0000-0C00-00006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00" name="Rectangle 185">
          <a:extLst>
            <a:ext uri="{FF2B5EF4-FFF2-40B4-BE49-F238E27FC236}">
              <a16:creationId xmlns:a16="http://schemas.microsoft.com/office/drawing/2014/main" id="{00000000-0008-0000-0C00-00006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1" name="Oval 186">
          <a:extLst>
            <a:ext uri="{FF2B5EF4-FFF2-40B4-BE49-F238E27FC236}">
              <a16:creationId xmlns:a16="http://schemas.microsoft.com/office/drawing/2014/main" id="{00000000-0008-0000-0C00-00006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2" name="Oval 187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3" name="Oval 188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4" name="Oval 189">
          <a:extLst>
            <a:ext uri="{FF2B5EF4-FFF2-40B4-BE49-F238E27FC236}">
              <a16:creationId xmlns:a16="http://schemas.microsoft.com/office/drawing/2014/main" id="{00000000-0008-0000-0C00-00006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05" name="AutoShape 190">
          <a:extLst>
            <a:ext uri="{FF2B5EF4-FFF2-40B4-BE49-F238E27FC236}">
              <a16:creationId xmlns:a16="http://schemas.microsoft.com/office/drawing/2014/main" id="{00000000-0008-0000-0C00-00006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06" name="Rectangle 191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7" name="Oval 192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8" name="Oval 193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9" name="Oval 194">
          <a:extLst>
            <a:ext uri="{FF2B5EF4-FFF2-40B4-BE49-F238E27FC236}">
              <a16:creationId xmlns:a16="http://schemas.microsoft.com/office/drawing/2014/main" id="{00000000-0008-0000-0C00-00006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0" name="Oval 195">
          <a:extLst>
            <a:ext uri="{FF2B5EF4-FFF2-40B4-BE49-F238E27FC236}">
              <a16:creationId xmlns:a16="http://schemas.microsoft.com/office/drawing/2014/main" id="{00000000-0008-0000-0C00-00006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11" name="AutoShape 196">
          <a:extLst>
            <a:ext uri="{FF2B5EF4-FFF2-40B4-BE49-F238E27FC236}">
              <a16:creationId xmlns:a16="http://schemas.microsoft.com/office/drawing/2014/main" id="{00000000-0008-0000-0C00-00006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12" name="Rectangle 197">
          <a:extLst>
            <a:ext uri="{FF2B5EF4-FFF2-40B4-BE49-F238E27FC236}">
              <a16:creationId xmlns:a16="http://schemas.microsoft.com/office/drawing/2014/main" id="{00000000-0008-0000-0C00-00007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3" name="Oval 198">
          <a:extLst>
            <a:ext uri="{FF2B5EF4-FFF2-40B4-BE49-F238E27FC236}">
              <a16:creationId xmlns:a16="http://schemas.microsoft.com/office/drawing/2014/main" id="{00000000-0008-0000-0C00-00007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4" name="Oval 199">
          <a:extLst>
            <a:ext uri="{FF2B5EF4-FFF2-40B4-BE49-F238E27FC236}">
              <a16:creationId xmlns:a16="http://schemas.microsoft.com/office/drawing/2014/main" id="{00000000-0008-0000-0C00-00007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5" name="Oval 200">
          <a:extLst>
            <a:ext uri="{FF2B5EF4-FFF2-40B4-BE49-F238E27FC236}">
              <a16:creationId xmlns:a16="http://schemas.microsoft.com/office/drawing/2014/main" id="{00000000-0008-0000-0C00-00007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6" name="Oval 201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17" name="AutoShape 202">
          <a:extLst>
            <a:ext uri="{FF2B5EF4-FFF2-40B4-BE49-F238E27FC236}">
              <a16:creationId xmlns:a16="http://schemas.microsoft.com/office/drawing/2014/main" id="{00000000-0008-0000-0C00-00007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18" name="Rectangle 203">
          <a:extLst>
            <a:ext uri="{FF2B5EF4-FFF2-40B4-BE49-F238E27FC236}">
              <a16:creationId xmlns:a16="http://schemas.microsoft.com/office/drawing/2014/main" id="{00000000-0008-0000-0C00-00007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9" name="Oval 204">
          <a:extLst>
            <a:ext uri="{FF2B5EF4-FFF2-40B4-BE49-F238E27FC236}">
              <a16:creationId xmlns:a16="http://schemas.microsoft.com/office/drawing/2014/main" id="{00000000-0008-0000-0C00-00007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0" name="Oval 205">
          <a:extLst>
            <a:ext uri="{FF2B5EF4-FFF2-40B4-BE49-F238E27FC236}">
              <a16:creationId xmlns:a16="http://schemas.microsoft.com/office/drawing/2014/main" id="{00000000-0008-0000-0C00-00007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1" name="Oval 206">
          <a:extLst>
            <a:ext uri="{FF2B5EF4-FFF2-40B4-BE49-F238E27FC236}">
              <a16:creationId xmlns:a16="http://schemas.microsoft.com/office/drawing/2014/main" id="{00000000-0008-0000-0C00-00007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2" name="Oval 207">
          <a:extLst>
            <a:ext uri="{FF2B5EF4-FFF2-40B4-BE49-F238E27FC236}">
              <a16:creationId xmlns:a16="http://schemas.microsoft.com/office/drawing/2014/main" id="{00000000-0008-0000-0C00-00007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23" name="AutoShape 208">
          <a:extLst>
            <a:ext uri="{FF2B5EF4-FFF2-40B4-BE49-F238E27FC236}">
              <a16:creationId xmlns:a16="http://schemas.microsoft.com/office/drawing/2014/main" id="{00000000-0008-0000-0C00-00007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24" name="Rectangle 209">
          <a:extLst>
            <a:ext uri="{FF2B5EF4-FFF2-40B4-BE49-F238E27FC236}">
              <a16:creationId xmlns:a16="http://schemas.microsoft.com/office/drawing/2014/main" id="{00000000-0008-0000-0C00-00007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5" name="Oval 210">
          <a:extLst>
            <a:ext uri="{FF2B5EF4-FFF2-40B4-BE49-F238E27FC236}">
              <a16:creationId xmlns:a16="http://schemas.microsoft.com/office/drawing/2014/main" id="{00000000-0008-0000-0C00-00007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6" name="Oval 211">
          <a:extLst>
            <a:ext uri="{FF2B5EF4-FFF2-40B4-BE49-F238E27FC236}">
              <a16:creationId xmlns:a16="http://schemas.microsoft.com/office/drawing/2014/main" id="{00000000-0008-0000-0C00-00007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7" name="Oval 212">
          <a:extLst>
            <a:ext uri="{FF2B5EF4-FFF2-40B4-BE49-F238E27FC236}">
              <a16:creationId xmlns:a16="http://schemas.microsoft.com/office/drawing/2014/main" id="{00000000-0008-0000-0C00-00007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8" name="Oval 213">
          <a:extLst>
            <a:ext uri="{FF2B5EF4-FFF2-40B4-BE49-F238E27FC236}">
              <a16:creationId xmlns:a16="http://schemas.microsoft.com/office/drawing/2014/main" id="{00000000-0008-0000-0C00-00008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29" name="AutoShape 214">
          <a:extLst>
            <a:ext uri="{FF2B5EF4-FFF2-40B4-BE49-F238E27FC236}">
              <a16:creationId xmlns:a16="http://schemas.microsoft.com/office/drawing/2014/main" id="{00000000-0008-0000-0C00-00008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30" name="Rectangle 215">
          <a:extLst>
            <a:ext uri="{FF2B5EF4-FFF2-40B4-BE49-F238E27FC236}">
              <a16:creationId xmlns:a16="http://schemas.microsoft.com/office/drawing/2014/main" id="{00000000-0008-0000-0C00-00008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1" name="Oval 216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2" name="Oval 217">
          <a:extLst>
            <a:ext uri="{FF2B5EF4-FFF2-40B4-BE49-F238E27FC236}">
              <a16:creationId xmlns:a16="http://schemas.microsoft.com/office/drawing/2014/main" id="{00000000-0008-0000-0C00-00008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3" name="Oval 218">
          <a:extLst>
            <a:ext uri="{FF2B5EF4-FFF2-40B4-BE49-F238E27FC236}">
              <a16:creationId xmlns:a16="http://schemas.microsoft.com/office/drawing/2014/main" id="{00000000-0008-0000-0C00-00008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4" name="Oval 219">
          <a:extLst>
            <a:ext uri="{FF2B5EF4-FFF2-40B4-BE49-F238E27FC236}">
              <a16:creationId xmlns:a16="http://schemas.microsoft.com/office/drawing/2014/main" id="{00000000-0008-0000-0C00-00008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35" name="AutoShape 220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36" name="Rectangle 221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7" name="Oval 222">
          <a:extLst>
            <a:ext uri="{FF2B5EF4-FFF2-40B4-BE49-F238E27FC236}">
              <a16:creationId xmlns:a16="http://schemas.microsoft.com/office/drawing/2014/main" id="{00000000-0008-0000-0C00-00008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8" name="Oval 223">
          <a:extLst>
            <a:ext uri="{FF2B5EF4-FFF2-40B4-BE49-F238E27FC236}">
              <a16:creationId xmlns:a16="http://schemas.microsoft.com/office/drawing/2014/main" id="{00000000-0008-0000-0C00-00008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9" name="Oval 224">
          <a:extLst>
            <a:ext uri="{FF2B5EF4-FFF2-40B4-BE49-F238E27FC236}">
              <a16:creationId xmlns:a16="http://schemas.microsoft.com/office/drawing/2014/main" id="{00000000-0008-0000-0C00-00008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0" name="Oval 225">
          <a:extLst>
            <a:ext uri="{FF2B5EF4-FFF2-40B4-BE49-F238E27FC236}">
              <a16:creationId xmlns:a16="http://schemas.microsoft.com/office/drawing/2014/main" id="{00000000-0008-0000-0C00-00008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41" name="AutoShape 226">
          <a:extLst>
            <a:ext uri="{FF2B5EF4-FFF2-40B4-BE49-F238E27FC236}">
              <a16:creationId xmlns:a16="http://schemas.microsoft.com/office/drawing/2014/main" id="{00000000-0008-0000-0C00-00008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42" name="Rectangle 227">
          <a:extLst>
            <a:ext uri="{FF2B5EF4-FFF2-40B4-BE49-F238E27FC236}">
              <a16:creationId xmlns:a16="http://schemas.microsoft.com/office/drawing/2014/main" id="{00000000-0008-0000-0C00-00008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3" name="Oval 228">
          <a:extLst>
            <a:ext uri="{FF2B5EF4-FFF2-40B4-BE49-F238E27FC236}">
              <a16:creationId xmlns:a16="http://schemas.microsoft.com/office/drawing/2014/main" id="{00000000-0008-0000-0C00-00008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4" name="Oval 229">
          <a:extLst>
            <a:ext uri="{FF2B5EF4-FFF2-40B4-BE49-F238E27FC236}">
              <a16:creationId xmlns:a16="http://schemas.microsoft.com/office/drawing/2014/main" id="{00000000-0008-0000-0C00-00009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5" name="Oval 230">
          <a:extLst>
            <a:ext uri="{FF2B5EF4-FFF2-40B4-BE49-F238E27FC236}">
              <a16:creationId xmlns:a16="http://schemas.microsoft.com/office/drawing/2014/main" id="{00000000-0008-0000-0C00-00009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6" name="Oval 231">
          <a:extLst>
            <a:ext uri="{FF2B5EF4-FFF2-40B4-BE49-F238E27FC236}">
              <a16:creationId xmlns:a16="http://schemas.microsoft.com/office/drawing/2014/main" id="{00000000-0008-0000-0C00-00009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47" name="AutoShape 232">
          <a:extLst>
            <a:ext uri="{FF2B5EF4-FFF2-40B4-BE49-F238E27FC236}">
              <a16:creationId xmlns:a16="http://schemas.microsoft.com/office/drawing/2014/main" id="{00000000-0008-0000-0C00-00009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48" name="Rectangle 233">
          <a:extLst>
            <a:ext uri="{FF2B5EF4-FFF2-40B4-BE49-F238E27FC236}">
              <a16:creationId xmlns:a16="http://schemas.microsoft.com/office/drawing/2014/main" id="{00000000-0008-0000-0C00-00009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9" name="Oval 234">
          <a:extLst>
            <a:ext uri="{FF2B5EF4-FFF2-40B4-BE49-F238E27FC236}">
              <a16:creationId xmlns:a16="http://schemas.microsoft.com/office/drawing/2014/main" id="{00000000-0008-0000-0C00-00009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0" name="Oval 235">
          <a:extLst>
            <a:ext uri="{FF2B5EF4-FFF2-40B4-BE49-F238E27FC236}">
              <a16:creationId xmlns:a16="http://schemas.microsoft.com/office/drawing/2014/main" id="{00000000-0008-0000-0C00-00009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1" name="Oval 236">
          <a:extLst>
            <a:ext uri="{FF2B5EF4-FFF2-40B4-BE49-F238E27FC236}">
              <a16:creationId xmlns:a16="http://schemas.microsoft.com/office/drawing/2014/main" id="{00000000-0008-0000-0C00-00009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2" name="Oval 237">
          <a:extLst>
            <a:ext uri="{FF2B5EF4-FFF2-40B4-BE49-F238E27FC236}">
              <a16:creationId xmlns:a16="http://schemas.microsoft.com/office/drawing/2014/main" id="{00000000-0008-0000-0C00-00009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53" name="AutoShape 238">
          <a:extLst>
            <a:ext uri="{FF2B5EF4-FFF2-40B4-BE49-F238E27FC236}">
              <a16:creationId xmlns:a16="http://schemas.microsoft.com/office/drawing/2014/main" id="{00000000-0008-0000-0C00-00009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54" name="Rectangle 239">
          <a:extLst>
            <a:ext uri="{FF2B5EF4-FFF2-40B4-BE49-F238E27FC236}">
              <a16:creationId xmlns:a16="http://schemas.microsoft.com/office/drawing/2014/main" id="{00000000-0008-0000-0C00-00009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5" name="Oval 240">
          <a:extLst>
            <a:ext uri="{FF2B5EF4-FFF2-40B4-BE49-F238E27FC236}">
              <a16:creationId xmlns:a16="http://schemas.microsoft.com/office/drawing/2014/main" id="{00000000-0008-0000-0C00-00009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6" name="Oval 241">
          <a:extLst>
            <a:ext uri="{FF2B5EF4-FFF2-40B4-BE49-F238E27FC236}">
              <a16:creationId xmlns:a16="http://schemas.microsoft.com/office/drawing/2014/main" id="{00000000-0008-0000-0C00-00009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7" name="Oval 242">
          <a:extLst>
            <a:ext uri="{FF2B5EF4-FFF2-40B4-BE49-F238E27FC236}">
              <a16:creationId xmlns:a16="http://schemas.microsoft.com/office/drawing/2014/main" id="{00000000-0008-0000-0C00-00009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8" name="Oval 243">
          <a:extLst>
            <a:ext uri="{FF2B5EF4-FFF2-40B4-BE49-F238E27FC236}">
              <a16:creationId xmlns:a16="http://schemas.microsoft.com/office/drawing/2014/main" id="{00000000-0008-0000-0C00-00009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59" name="AutoShape 244">
          <a:extLst>
            <a:ext uri="{FF2B5EF4-FFF2-40B4-BE49-F238E27FC236}">
              <a16:creationId xmlns:a16="http://schemas.microsoft.com/office/drawing/2014/main" id="{00000000-0008-0000-0C00-00009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60" name="Rectangle 245">
          <a:extLst>
            <a:ext uri="{FF2B5EF4-FFF2-40B4-BE49-F238E27FC236}">
              <a16:creationId xmlns:a16="http://schemas.microsoft.com/office/drawing/2014/main" id="{00000000-0008-0000-0C00-0000A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1" name="Oval 246">
          <a:extLst>
            <a:ext uri="{FF2B5EF4-FFF2-40B4-BE49-F238E27FC236}">
              <a16:creationId xmlns:a16="http://schemas.microsoft.com/office/drawing/2014/main" id="{00000000-0008-0000-0C00-0000A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2" name="Oval 247">
          <a:extLst>
            <a:ext uri="{FF2B5EF4-FFF2-40B4-BE49-F238E27FC236}">
              <a16:creationId xmlns:a16="http://schemas.microsoft.com/office/drawing/2014/main" id="{00000000-0008-0000-0C00-0000A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3" name="Oval 248">
          <a:extLst>
            <a:ext uri="{FF2B5EF4-FFF2-40B4-BE49-F238E27FC236}">
              <a16:creationId xmlns:a16="http://schemas.microsoft.com/office/drawing/2014/main" id="{00000000-0008-0000-0C00-0000A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4" name="Oval 249">
          <a:extLst>
            <a:ext uri="{FF2B5EF4-FFF2-40B4-BE49-F238E27FC236}">
              <a16:creationId xmlns:a16="http://schemas.microsoft.com/office/drawing/2014/main" id="{00000000-0008-0000-0C00-0000A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65" name="AutoShape 250">
          <a:extLst>
            <a:ext uri="{FF2B5EF4-FFF2-40B4-BE49-F238E27FC236}">
              <a16:creationId xmlns:a16="http://schemas.microsoft.com/office/drawing/2014/main" id="{00000000-0008-0000-0C00-0000A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66" name="Rectangle 251">
          <a:extLst>
            <a:ext uri="{FF2B5EF4-FFF2-40B4-BE49-F238E27FC236}">
              <a16:creationId xmlns:a16="http://schemas.microsoft.com/office/drawing/2014/main" id="{00000000-0008-0000-0C00-0000A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7" name="Oval 252">
          <a:extLst>
            <a:ext uri="{FF2B5EF4-FFF2-40B4-BE49-F238E27FC236}">
              <a16:creationId xmlns:a16="http://schemas.microsoft.com/office/drawing/2014/main" id="{00000000-0008-0000-0C00-0000A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8" name="Oval 253">
          <a:extLst>
            <a:ext uri="{FF2B5EF4-FFF2-40B4-BE49-F238E27FC236}">
              <a16:creationId xmlns:a16="http://schemas.microsoft.com/office/drawing/2014/main" id="{00000000-0008-0000-0C00-0000A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9" name="Oval 254">
          <a:extLst>
            <a:ext uri="{FF2B5EF4-FFF2-40B4-BE49-F238E27FC236}">
              <a16:creationId xmlns:a16="http://schemas.microsoft.com/office/drawing/2014/main" id="{00000000-0008-0000-0C00-0000A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0" name="Oval 255">
          <a:extLst>
            <a:ext uri="{FF2B5EF4-FFF2-40B4-BE49-F238E27FC236}">
              <a16:creationId xmlns:a16="http://schemas.microsoft.com/office/drawing/2014/main" id="{00000000-0008-0000-0C00-0000A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71" name="AutoShape 256">
          <a:extLst>
            <a:ext uri="{FF2B5EF4-FFF2-40B4-BE49-F238E27FC236}">
              <a16:creationId xmlns:a16="http://schemas.microsoft.com/office/drawing/2014/main" id="{00000000-0008-0000-0C00-0000A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72" name="Rectangle 257">
          <a:extLst>
            <a:ext uri="{FF2B5EF4-FFF2-40B4-BE49-F238E27FC236}">
              <a16:creationId xmlns:a16="http://schemas.microsoft.com/office/drawing/2014/main" id="{00000000-0008-0000-0C00-0000A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3" name="Oval 258">
          <a:extLst>
            <a:ext uri="{FF2B5EF4-FFF2-40B4-BE49-F238E27FC236}">
              <a16:creationId xmlns:a16="http://schemas.microsoft.com/office/drawing/2014/main" id="{00000000-0008-0000-0C00-0000A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4" name="Oval 259">
          <a:extLst>
            <a:ext uri="{FF2B5EF4-FFF2-40B4-BE49-F238E27FC236}">
              <a16:creationId xmlns:a16="http://schemas.microsoft.com/office/drawing/2014/main" id="{00000000-0008-0000-0C00-0000A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5" name="Oval 260">
          <a:extLst>
            <a:ext uri="{FF2B5EF4-FFF2-40B4-BE49-F238E27FC236}">
              <a16:creationId xmlns:a16="http://schemas.microsoft.com/office/drawing/2014/main" id="{00000000-0008-0000-0C00-0000A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6" name="Oval 261">
          <a:extLst>
            <a:ext uri="{FF2B5EF4-FFF2-40B4-BE49-F238E27FC236}">
              <a16:creationId xmlns:a16="http://schemas.microsoft.com/office/drawing/2014/main" id="{00000000-0008-0000-0C00-0000B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77" name="AutoShape 262">
          <a:extLst>
            <a:ext uri="{FF2B5EF4-FFF2-40B4-BE49-F238E27FC236}">
              <a16:creationId xmlns:a16="http://schemas.microsoft.com/office/drawing/2014/main" id="{00000000-0008-0000-0C00-0000B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78" name="Rectangle 263">
          <a:extLst>
            <a:ext uri="{FF2B5EF4-FFF2-40B4-BE49-F238E27FC236}">
              <a16:creationId xmlns:a16="http://schemas.microsoft.com/office/drawing/2014/main" id="{00000000-0008-0000-0C00-0000B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9" name="Oval 264">
          <a:extLst>
            <a:ext uri="{FF2B5EF4-FFF2-40B4-BE49-F238E27FC236}">
              <a16:creationId xmlns:a16="http://schemas.microsoft.com/office/drawing/2014/main" id="{00000000-0008-0000-0C00-0000B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0" name="Oval 265">
          <a:extLst>
            <a:ext uri="{FF2B5EF4-FFF2-40B4-BE49-F238E27FC236}">
              <a16:creationId xmlns:a16="http://schemas.microsoft.com/office/drawing/2014/main" id="{00000000-0008-0000-0C00-0000B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1" name="Oval 266">
          <a:extLst>
            <a:ext uri="{FF2B5EF4-FFF2-40B4-BE49-F238E27FC236}">
              <a16:creationId xmlns:a16="http://schemas.microsoft.com/office/drawing/2014/main" id="{00000000-0008-0000-0C00-0000B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2" name="Oval 267">
          <a:extLst>
            <a:ext uri="{FF2B5EF4-FFF2-40B4-BE49-F238E27FC236}">
              <a16:creationId xmlns:a16="http://schemas.microsoft.com/office/drawing/2014/main" id="{00000000-0008-0000-0C00-0000B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83" name="AutoShape 268">
          <a:extLst>
            <a:ext uri="{FF2B5EF4-FFF2-40B4-BE49-F238E27FC236}">
              <a16:creationId xmlns:a16="http://schemas.microsoft.com/office/drawing/2014/main" id="{00000000-0008-0000-0C00-0000B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84" name="Rectangle 269">
          <a:extLst>
            <a:ext uri="{FF2B5EF4-FFF2-40B4-BE49-F238E27FC236}">
              <a16:creationId xmlns:a16="http://schemas.microsoft.com/office/drawing/2014/main" id="{00000000-0008-0000-0C00-0000B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5" name="Oval 270">
          <a:extLst>
            <a:ext uri="{FF2B5EF4-FFF2-40B4-BE49-F238E27FC236}">
              <a16:creationId xmlns:a16="http://schemas.microsoft.com/office/drawing/2014/main" id="{00000000-0008-0000-0C00-0000B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6" name="Oval 271">
          <a:extLst>
            <a:ext uri="{FF2B5EF4-FFF2-40B4-BE49-F238E27FC236}">
              <a16:creationId xmlns:a16="http://schemas.microsoft.com/office/drawing/2014/main" id="{00000000-0008-0000-0C00-0000B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7" name="Oval 272">
          <a:extLst>
            <a:ext uri="{FF2B5EF4-FFF2-40B4-BE49-F238E27FC236}">
              <a16:creationId xmlns:a16="http://schemas.microsoft.com/office/drawing/2014/main" id="{00000000-0008-0000-0C00-0000B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8" name="Oval 273">
          <a:extLst>
            <a:ext uri="{FF2B5EF4-FFF2-40B4-BE49-F238E27FC236}">
              <a16:creationId xmlns:a16="http://schemas.microsoft.com/office/drawing/2014/main" id="{00000000-0008-0000-0C00-0000B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89" name="Rectangle 274">
          <a:extLst>
            <a:ext uri="{FF2B5EF4-FFF2-40B4-BE49-F238E27FC236}">
              <a16:creationId xmlns:a16="http://schemas.microsoft.com/office/drawing/2014/main" id="{00000000-0008-0000-0C00-0000BD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0" name="Oval 275">
          <a:extLst>
            <a:ext uri="{FF2B5EF4-FFF2-40B4-BE49-F238E27FC236}">
              <a16:creationId xmlns:a16="http://schemas.microsoft.com/office/drawing/2014/main" id="{00000000-0008-0000-0C00-0000B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1" name="Oval 276">
          <a:extLst>
            <a:ext uri="{FF2B5EF4-FFF2-40B4-BE49-F238E27FC236}">
              <a16:creationId xmlns:a16="http://schemas.microsoft.com/office/drawing/2014/main" id="{00000000-0008-0000-0C00-0000B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2" name="Oval 277">
          <a:extLst>
            <a:ext uri="{FF2B5EF4-FFF2-40B4-BE49-F238E27FC236}">
              <a16:creationId xmlns:a16="http://schemas.microsoft.com/office/drawing/2014/main" id="{00000000-0008-0000-0C00-0000C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3" name="Oval 278">
          <a:extLst>
            <a:ext uri="{FF2B5EF4-FFF2-40B4-BE49-F238E27FC236}">
              <a16:creationId xmlns:a16="http://schemas.microsoft.com/office/drawing/2014/main" id="{00000000-0008-0000-0C00-0000C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94" name="Rectangle 279">
          <a:extLst>
            <a:ext uri="{FF2B5EF4-FFF2-40B4-BE49-F238E27FC236}">
              <a16:creationId xmlns:a16="http://schemas.microsoft.com/office/drawing/2014/main" id="{00000000-0008-0000-0C00-0000C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5" name="Oval 280">
          <a:extLst>
            <a:ext uri="{FF2B5EF4-FFF2-40B4-BE49-F238E27FC236}">
              <a16:creationId xmlns:a16="http://schemas.microsoft.com/office/drawing/2014/main" id="{00000000-0008-0000-0C00-0000C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6" name="Oval 281">
          <a:extLst>
            <a:ext uri="{FF2B5EF4-FFF2-40B4-BE49-F238E27FC236}">
              <a16:creationId xmlns:a16="http://schemas.microsoft.com/office/drawing/2014/main" id="{00000000-0008-0000-0C00-0000C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7" name="Oval 282">
          <a:extLst>
            <a:ext uri="{FF2B5EF4-FFF2-40B4-BE49-F238E27FC236}">
              <a16:creationId xmlns:a16="http://schemas.microsoft.com/office/drawing/2014/main" id="{00000000-0008-0000-0C00-0000C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8" name="Oval 283">
          <a:extLst>
            <a:ext uri="{FF2B5EF4-FFF2-40B4-BE49-F238E27FC236}">
              <a16:creationId xmlns:a16="http://schemas.microsoft.com/office/drawing/2014/main" id="{00000000-0008-0000-0C00-0000C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199" name="Rectangle 285">
          <a:extLst>
            <a:ext uri="{FF2B5EF4-FFF2-40B4-BE49-F238E27FC236}">
              <a16:creationId xmlns:a16="http://schemas.microsoft.com/office/drawing/2014/main" id="{00000000-0008-0000-0C00-0000C70000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200" name="Rectangle 287">
          <a:extLst>
            <a:ext uri="{FF2B5EF4-FFF2-40B4-BE49-F238E27FC236}">
              <a16:creationId xmlns:a16="http://schemas.microsoft.com/office/drawing/2014/main" id="{00000000-0008-0000-0C00-0000C80000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201" name="Rectangle 289">
          <a:extLst>
            <a:ext uri="{FF2B5EF4-FFF2-40B4-BE49-F238E27FC236}">
              <a16:creationId xmlns:a16="http://schemas.microsoft.com/office/drawing/2014/main" id="{00000000-0008-0000-0C00-0000C90000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202" name="Rectangle 291">
          <a:extLst>
            <a:ext uri="{FF2B5EF4-FFF2-40B4-BE49-F238E27FC236}">
              <a16:creationId xmlns:a16="http://schemas.microsoft.com/office/drawing/2014/main" id="{00000000-0008-0000-0C00-0000CA0000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203" name="Rectangle 293">
          <a:extLst>
            <a:ext uri="{FF2B5EF4-FFF2-40B4-BE49-F238E27FC236}">
              <a16:creationId xmlns:a16="http://schemas.microsoft.com/office/drawing/2014/main" id="{00000000-0008-0000-0C00-0000CB0000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04" name="Rectangle 295">
          <a:extLst>
            <a:ext uri="{FF2B5EF4-FFF2-40B4-BE49-F238E27FC236}">
              <a16:creationId xmlns:a16="http://schemas.microsoft.com/office/drawing/2014/main" id="{00000000-0008-0000-0C00-0000CC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05" name="Rectangle 297">
          <a:extLst>
            <a:ext uri="{FF2B5EF4-FFF2-40B4-BE49-F238E27FC236}">
              <a16:creationId xmlns:a16="http://schemas.microsoft.com/office/drawing/2014/main" id="{00000000-0008-0000-0C00-0000CD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06" name="Rectangle 299">
          <a:extLst>
            <a:ext uri="{FF2B5EF4-FFF2-40B4-BE49-F238E27FC236}">
              <a16:creationId xmlns:a16="http://schemas.microsoft.com/office/drawing/2014/main" id="{00000000-0008-0000-0C00-0000CE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07" name="Rectangle 301">
          <a:extLst>
            <a:ext uri="{FF2B5EF4-FFF2-40B4-BE49-F238E27FC236}">
              <a16:creationId xmlns:a16="http://schemas.microsoft.com/office/drawing/2014/main" id="{00000000-0008-0000-0C00-0000CF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08" name="Rectangle 303">
          <a:extLst>
            <a:ext uri="{FF2B5EF4-FFF2-40B4-BE49-F238E27FC236}">
              <a16:creationId xmlns:a16="http://schemas.microsoft.com/office/drawing/2014/main" id="{00000000-0008-0000-0C00-0000D0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09" name="Rectangle 305">
          <a:extLst>
            <a:ext uri="{FF2B5EF4-FFF2-40B4-BE49-F238E27FC236}">
              <a16:creationId xmlns:a16="http://schemas.microsoft.com/office/drawing/2014/main" id="{00000000-0008-0000-0C00-0000D1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210" name="Rectangle 307">
          <a:extLst>
            <a:ext uri="{FF2B5EF4-FFF2-40B4-BE49-F238E27FC236}">
              <a16:creationId xmlns:a16="http://schemas.microsoft.com/office/drawing/2014/main" id="{00000000-0008-0000-0C00-0000D2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222" name="Rectangle 2">
          <a:extLst>
            <a:ext uri="{FF2B5EF4-FFF2-40B4-BE49-F238E27FC236}">
              <a16:creationId xmlns:a16="http://schemas.microsoft.com/office/drawing/2014/main" id="{00000000-0008-0000-0C00-0000DE0000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223" name="Rectangle 2">
          <a:extLst>
            <a:ext uri="{FF2B5EF4-FFF2-40B4-BE49-F238E27FC236}">
              <a16:creationId xmlns:a16="http://schemas.microsoft.com/office/drawing/2014/main" id="{00000000-0008-0000-0C00-0000DF0000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224" name="Rectangle 2">
          <a:extLst>
            <a:ext uri="{FF2B5EF4-FFF2-40B4-BE49-F238E27FC236}">
              <a16:creationId xmlns:a16="http://schemas.microsoft.com/office/drawing/2014/main" id="{00000000-0008-0000-0C00-0000E00000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225" name="Rectangle 2">
          <a:extLst>
            <a:ext uri="{FF2B5EF4-FFF2-40B4-BE49-F238E27FC236}">
              <a16:creationId xmlns:a16="http://schemas.microsoft.com/office/drawing/2014/main" id="{00000000-0008-0000-0C00-0000E10000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226" name="Rectangle 2">
          <a:extLst>
            <a:ext uri="{FF2B5EF4-FFF2-40B4-BE49-F238E27FC236}">
              <a16:creationId xmlns:a16="http://schemas.microsoft.com/office/drawing/2014/main" id="{00000000-0008-0000-0C00-0000E20000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27" name="Rectangle 293">
          <a:extLst>
            <a:ext uri="{FF2B5EF4-FFF2-40B4-BE49-F238E27FC236}">
              <a16:creationId xmlns:a16="http://schemas.microsoft.com/office/drawing/2014/main" id="{00000000-0008-0000-0C00-0000E3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28" name="Rectangle 2">
          <a:extLst>
            <a:ext uri="{FF2B5EF4-FFF2-40B4-BE49-F238E27FC236}">
              <a16:creationId xmlns:a16="http://schemas.microsoft.com/office/drawing/2014/main" id="{00000000-0008-0000-0C00-0000E4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29" name="Rectangle 293">
          <a:extLst>
            <a:ext uri="{FF2B5EF4-FFF2-40B4-BE49-F238E27FC236}">
              <a16:creationId xmlns:a16="http://schemas.microsoft.com/office/drawing/2014/main" id="{00000000-0008-0000-0C00-0000E5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30" name="Rectangle 2">
          <a:extLst>
            <a:ext uri="{FF2B5EF4-FFF2-40B4-BE49-F238E27FC236}">
              <a16:creationId xmlns:a16="http://schemas.microsoft.com/office/drawing/2014/main" id="{00000000-0008-0000-0C00-0000E6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31" name="Rectangle 293">
          <a:extLst>
            <a:ext uri="{FF2B5EF4-FFF2-40B4-BE49-F238E27FC236}">
              <a16:creationId xmlns:a16="http://schemas.microsoft.com/office/drawing/2014/main" id="{00000000-0008-0000-0C00-0000E7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33" name="Rectangle 2">
          <a:extLst>
            <a:ext uri="{FF2B5EF4-FFF2-40B4-BE49-F238E27FC236}">
              <a16:creationId xmlns:a16="http://schemas.microsoft.com/office/drawing/2014/main" id="{00000000-0008-0000-0C00-0000E9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34" name="Rectangle 293">
          <a:extLst>
            <a:ext uri="{FF2B5EF4-FFF2-40B4-BE49-F238E27FC236}">
              <a16:creationId xmlns:a16="http://schemas.microsoft.com/office/drawing/2014/main" id="{00000000-0008-0000-0C00-0000EA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35" name="Rectangle 2">
          <a:extLst>
            <a:ext uri="{FF2B5EF4-FFF2-40B4-BE49-F238E27FC236}">
              <a16:creationId xmlns:a16="http://schemas.microsoft.com/office/drawing/2014/main" id="{00000000-0008-0000-0C00-0000EB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36" name="Rectangle 293">
          <a:extLst>
            <a:ext uri="{FF2B5EF4-FFF2-40B4-BE49-F238E27FC236}">
              <a16:creationId xmlns:a16="http://schemas.microsoft.com/office/drawing/2014/main" id="{00000000-0008-0000-0C00-0000EC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38" name="Rectangle 2">
          <a:extLst>
            <a:ext uri="{FF2B5EF4-FFF2-40B4-BE49-F238E27FC236}">
              <a16:creationId xmlns:a16="http://schemas.microsoft.com/office/drawing/2014/main" id="{00000000-0008-0000-0C00-0000EE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39" name="Rectangle 293">
          <a:extLst>
            <a:ext uri="{FF2B5EF4-FFF2-40B4-BE49-F238E27FC236}">
              <a16:creationId xmlns:a16="http://schemas.microsoft.com/office/drawing/2014/main" id="{00000000-0008-0000-0C00-0000EF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41" name="Rectangle 2">
          <a:extLst>
            <a:ext uri="{FF2B5EF4-FFF2-40B4-BE49-F238E27FC236}">
              <a16:creationId xmlns:a16="http://schemas.microsoft.com/office/drawing/2014/main" id="{00000000-0008-0000-0C00-0000F1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242" name="Rectangle 293">
          <a:extLst>
            <a:ext uri="{FF2B5EF4-FFF2-40B4-BE49-F238E27FC236}">
              <a16:creationId xmlns:a16="http://schemas.microsoft.com/office/drawing/2014/main" id="{00000000-0008-0000-0C00-0000F2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243" name="Rectangle 2">
          <a:extLst>
            <a:ext uri="{FF2B5EF4-FFF2-40B4-BE49-F238E27FC236}">
              <a16:creationId xmlns:a16="http://schemas.microsoft.com/office/drawing/2014/main" id="{00000000-0008-0000-0C00-0000F3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44" name="Rectangle 285">
          <a:extLst>
            <a:ext uri="{FF2B5EF4-FFF2-40B4-BE49-F238E27FC236}">
              <a16:creationId xmlns:a16="http://schemas.microsoft.com/office/drawing/2014/main" id="{00000000-0008-0000-0C00-0000F4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46" name="Rectangle 2">
          <a:extLst>
            <a:ext uri="{FF2B5EF4-FFF2-40B4-BE49-F238E27FC236}">
              <a16:creationId xmlns:a16="http://schemas.microsoft.com/office/drawing/2014/main" id="{00000000-0008-0000-0C00-0000F6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textlink="">
      <xdr:nvSpPr>
        <xdr:cNvPr id="232" name="Oval 65">
          <a:extLst>
            <a:ext uri="{FF2B5EF4-FFF2-40B4-BE49-F238E27FC236}">
              <a16:creationId xmlns:a16="http://schemas.microsoft.com/office/drawing/2014/main" id="{00000000-0008-0000-0C00-0000E8000000}"/>
            </a:ext>
          </a:extLst>
        </xdr:cNvPr>
        <xdr:cNvSpPr>
          <a:spLocks noChangeArrowheads="1"/>
        </xdr:cNvSpPr>
      </xdr:nvSpPr>
      <xdr:spPr bwMode="auto">
        <a:xfrm>
          <a:off x="169863" y="2784475"/>
          <a:ext cx="361950" cy="36830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textlink="">
      <xdr:nvSpPr>
        <xdr:cNvPr id="3" name="Oval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textlink="">
      <xdr:nvSpPr>
        <xdr:cNvPr id="4" name="Oval 4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5" name="Oval 5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6" name="Oval 8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7" name="Oval 12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8" name="Oval 13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9" name="Rectangle 16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105</xdr:row>
      <xdr:rowOff>85725</xdr:rowOff>
    </xdr:from>
    <xdr:to>
      <xdr:col>1</xdr:col>
      <xdr:colOff>476250</xdr:colOff>
      <xdr:row>110</xdr:row>
      <xdr:rowOff>104775</xdr:rowOff>
    </xdr:to>
    <xdr:sp textlink="">
      <xdr:nvSpPr>
        <xdr:cNvPr id="10" name="Oval 18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>
          <a:spLocks noChangeArrowheads="1"/>
        </xdr:cNvSpPr>
      </xdr:nvSpPr>
      <xdr:spPr bwMode="auto">
        <a:xfrm>
          <a:off x="171450" y="9610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11" name="Oval 3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12" name="Oval 34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13" name="Oval 51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14" name="Oval 81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5" name="AutoShape 102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6" name="Rectangle 103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" name="Oval 104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8" name="AutoShape 105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9" name="Rectangle 106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20" name="Oval 107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21" name="AutoShape 108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22" name="Rectangle 109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23" name="Oval 110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24" name="AutoShape 111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25" name="Rectangle 11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26" name="Oval 113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27" name="AutoShape 114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28" name="Rectangle 115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29" name="Oval 116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0" name="AutoShape 117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1" name="Rectangle 118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2" name="Oval 119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3" name="AutoShape 120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" name="Rectangle 121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5" name="Oval 122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6" name="AutoShape 123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7" name="Rectangle 124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8" name="Oval 125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9" name="AutoShape 126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40" name="Rectangle 127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41" name="Oval 128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42" name="AutoShape 129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43" name="Rectangle 130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44" name="Oval 131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45" name="AutoShape 132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46" name="Rectangle 133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47" name="Oval 134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48" name="AutoShape 135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49" name="Rectangle 136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50" name="Oval 137"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51" name="AutoShape 138">
          <a:extLst>
            <a:ext uri="{FF2B5EF4-FFF2-40B4-BE49-F238E27FC236}">
              <a16:creationId xmlns:a16="http://schemas.microsoft.com/office/drawing/2014/main" id="{00000000-0008-0000-0D00-00003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52" name="Rectangle 139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53" name="Oval 140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54" name="Rectangle 141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55" name="AutoShape 142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56" name="Rectangle 143">
          <a:extLst>
            <a:ext uri="{FF2B5EF4-FFF2-40B4-BE49-F238E27FC236}">
              <a16:creationId xmlns:a16="http://schemas.microsoft.com/office/drawing/2014/main" id="{00000000-0008-0000-0D00-00003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57" name="Oval 144">
          <a:extLst>
            <a:ext uri="{FF2B5EF4-FFF2-40B4-BE49-F238E27FC236}">
              <a16:creationId xmlns:a16="http://schemas.microsoft.com/office/drawing/2014/main" id="{00000000-0008-0000-0D00-00003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58" name="AutoShape 145">
          <a:extLst>
            <a:ext uri="{FF2B5EF4-FFF2-40B4-BE49-F238E27FC236}">
              <a16:creationId xmlns:a16="http://schemas.microsoft.com/office/drawing/2014/main" id="{00000000-0008-0000-0D00-00003A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59" name="Rectangle 146">
          <a:extLst>
            <a:ext uri="{FF2B5EF4-FFF2-40B4-BE49-F238E27FC236}">
              <a16:creationId xmlns:a16="http://schemas.microsoft.com/office/drawing/2014/main" id="{00000000-0008-0000-0D00-00003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0" name="Oval 147">
          <a:extLst>
            <a:ext uri="{FF2B5EF4-FFF2-40B4-BE49-F238E27FC236}">
              <a16:creationId xmlns:a16="http://schemas.microsoft.com/office/drawing/2014/main" id="{00000000-0008-0000-0D00-00003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61" name="AutoShape 148">
          <a:extLst>
            <a:ext uri="{FF2B5EF4-FFF2-40B4-BE49-F238E27FC236}">
              <a16:creationId xmlns:a16="http://schemas.microsoft.com/office/drawing/2014/main" id="{00000000-0008-0000-0D00-00003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62" name="Rectangle 149">
          <a:extLst>
            <a:ext uri="{FF2B5EF4-FFF2-40B4-BE49-F238E27FC236}">
              <a16:creationId xmlns:a16="http://schemas.microsoft.com/office/drawing/2014/main" id="{00000000-0008-0000-0D00-00003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3" name="Oval 150">
          <a:extLst>
            <a:ext uri="{FF2B5EF4-FFF2-40B4-BE49-F238E27FC236}">
              <a16:creationId xmlns:a16="http://schemas.microsoft.com/office/drawing/2014/main" id="{00000000-0008-0000-0D00-00003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4" name="Oval 151">
          <a:extLst>
            <a:ext uri="{FF2B5EF4-FFF2-40B4-BE49-F238E27FC236}">
              <a16:creationId xmlns:a16="http://schemas.microsoft.com/office/drawing/2014/main" id="{00000000-0008-0000-0D00-00004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5" name="Oval 152">
          <a:extLst>
            <a:ext uri="{FF2B5EF4-FFF2-40B4-BE49-F238E27FC236}">
              <a16:creationId xmlns:a16="http://schemas.microsoft.com/office/drawing/2014/main" id="{00000000-0008-0000-0D00-00004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6" name="Oval 153">
          <a:extLst>
            <a:ext uri="{FF2B5EF4-FFF2-40B4-BE49-F238E27FC236}">
              <a16:creationId xmlns:a16="http://schemas.microsoft.com/office/drawing/2014/main" id="{00000000-0008-0000-0D00-00004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67" name="AutoShape 154">
          <a:extLst>
            <a:ext uri="{FF2B5EF4-FFF2-40B4-BE49-F238E27FC236}">
              <a16:creationId xmlns:a16="http://schemas.microsoft.com/office/drawing/2014/main" id="{00000000-0008-0000-0D00-00004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68" name="Rectangle 155">
          <a:extLst>
            <a:ext uri="{FF2B5EF4-FFF2-40B4-BE49-F238E27FC236}">
              <a16:creationId xmlns:a16="http://schemas.microsoft.com/office/drawing/2014/main" id="{00000000-0008-0000-0D00-00004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9" name="Oval 156">
          <a:extLst>
            <a:ext uri="{FF2B5EF4-FFF2-40B4-BE49-F238E27FC236}">
              <a16:creationId xmlns:a16="http://schemas.microsoft.com/office/drawing/2014/main" id="{00000000-0008-0000-0D00-00004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0" name="Oval 157">
          <a:extLst>
            <a:ext uri="{FF2B5EF4-FFF2-40B4-BE49-F238E27FC236}">
              <a16:creationId xmlns:a16="http://schemas.microsoft.com/office/drawing/2014/main" id="{00000000-0008-0000-0D00-00004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1" name="Oval 158">
          <a:extLst>
            <a:ext uri="{FF2B5EF4-FFF2-40B4-BE49-F238E27FC236}">
              <a16:creationId xmlns:a16="http://schemas.microsoft.com/office/drawing/2014/main" id="{00000000-0008-0000-0D00-00004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2" name="Oval 159">
          <a:extLst>
            <a:ext uri="{FF2B5EF4-FFF2-40B4-BE49-F238E27FC236}">
              <a16:creationId xmlns:a16="http://schemas.microsoft.com/office/drawing/2014/main" id="{00000000-0008-0000-0D00-00004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73" name="AutoShape 160">
          <a:extLst>
            <a:ext uri="{FF2B5EF4-FFF2-40B4-BE49-F238E27FC236}">
              <a16:creationId xmlns:a16="http://schemas.microsoft.com/office/drawing/2014/main" id="{00000000-0008-0000-0D00-00004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74" name="Rectangle 161">
          <a:extLst>
            <a:ext uri="{FF2B5EF4-FFF2-40B4-BE49-F238E27FC236}">
              <a16:creationId xmlns:a16="http://schemas.microsoft.com/office/drawing/2014/main" id="{00000000-0008-0000-0D00-00004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5" name="Oval 162">
          <a:extLst>
            <a:ext uri="{FF2B5EF4-FFF2-40B4-BE49-F238E27FC236}">
              <a16:creationId xmlns:a16="http://schemas.microsoft.com/office/drawing/2014/main" id="{00000000-0008-0000-0D00-00004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6" name="Oval 163">
          <a:extLst>
            <a:ext uri="{FF2B5EF4-FFF2-40B4-BE49-F238E27FC236}">
              <a16:creationId xmlns:a16="http://schemas.microsoft.com/office/drawing/2014/main" id="{00000000-0008-0000-0D00-00004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7" name="Oval 164">
          <a:extLst>
            <a:ext uri="{FF2B5EF4-FFF2-40B4-BE49-F238E27FC236}">
              <a16:creationId xmlns:a16="http://schemas.microsoft.com/office/drawing/2014/main" id="{00000000-0008-0000-0D00-00004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8" name="Oval 165">
          <a:extLst>
            <a:ext uri="{FF2B5EF4-FFF2-40B4-BE49-F238E27FC236}">
              <a16:creationId xmlns:a16="http://schemas.microsoft.com/office/drawing/2014/main" id="{00000000-0008-0000-0D00-00004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79" name="AutoShape 166">
          <a:extLst>
            <a:ext uri="{FF2B5EF4-FFF2-40B4-BE49-F238E27FC236}">
              <a16:creationId xmlns:a16="http://schemas.microsoft.com/office/drawing/2014/main" id="{00000000-0008-0000-0D00-00004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80" name="Rectangle 167">
          <a:extLst>
            <a:ext uri="{FF2B5EF4-FFF2-40B4-BE49-F238E27FC236}">
              <a16:creationId xmlns:a16="http://schemas.microsoft.com/office/drawing/2014/main" id="{00000000-0008-0000-0D00-00005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1" name="Oval 168">
          <a:extLst>
            <a:ext uri="{FF2B5EF4-FFF2-40B4-BE49-F238E27FC236}">
              <a16:creationId xmlns:a16="http://schemas.microsoft.com/office/drawing/2014/main" id="{00000000-0008-0000-0D00-00005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2" name="Oval 169">
          <a:extLst>
            <a:ext uri="{FF2B5EF4-FFF2-40B4-BE49-F238E27FC236}">
              <a16:creationId xmlns:a16="http://schemas.microsoft.com/office/drawing/2014/main" id="{00000000-0008-0000-0D00-00005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3" name="Oval 170">
          <a:extLst>
            <a:ext uri="{FF2B5EF4-FFF2-40B4-BE49-F238E27FC236}">
              <a16:creationId xmlns:a16="http://schemas.microsoft.com/office/drawing/2014/main" id="{00000000-0008-0000-0D00-00005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4" name="Oval 171">
          <a:extLst>
            <a:ext uri="{FF2B5EF4-FFF2-40B4-BE49-F238E27FC236}">
              <a16:creationId xmlns:a16="http://schemas.microsoft.com/office/drawing/2014/main" id="{00000000-0008-0000-0D00-00005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85" name="AutoShape 172">
          <a:extLst>
            <a:ext uri="{FF2B5EF4-FFF2-40B4-BE49-F238E27FC236}">
              <a16:creationId xmlns:a16="http://schemas.microsoft.com/office/drawing/2014/main" id="{00000000-0008-0000-0D00-00005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86" name="Rectangle 173">
          <a:extLst>
            <a:ext uri="{FF2B5EF4-FFF2-40B4-BE49-F238E27FC236}">
              <a16:creationId xmlns:a16="http://schemas.microsoft.com/office/drawing/2014/main" id="{00000000-0008-0000-0D00-00005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7" name="Oval 174">
          <a:extLst>
            <a:ext uri="{FF2B5EF4-FFF2-40B4-BE49-F238E27FC236}">
              <a16:creationId xmlns:a16="http://schemas.microsoft.com/office/drawing/2014/main" id="{00000000-0008-0000-0D00-00005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8" name="Oval 175">
          <a:extLst>
            <a:ext uri="{FF2B5EF4-FFF2-40B4-BE49-F238E27FC236}">
              <a16:creationId xmlns:a16="http://schemas.microsoft.com/office/drawing/2014/main" id="{00000000-0008-0000-0D00-00005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9" name="Oval 176">
          <a:extLst>
            <a:ext uri="{FF2B5EF4-FFF2-40B4-BE49-F238E27FC236}">
              <a16:creationId xmlns:a16="http://schemas.microsoft.com/office/drawing/2014/main" id="{00000000-0008-0000-0D00-00005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0" name="Oval 177">
          <a:extLst>
            <a:ext uri="{FF2B5EF4-FFF2-40B4-BE49-F238E27FC236}">
              <a16:creationId xmlns:a16="http://schemas.microsoft.com/office/drawing/2014/main" id="{00000000-0008-0000-0D00-00005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91" name="AutoShape 178">
          <a:extLst>
            <a:ext uri="{FF2B5EF4-FFF2-40B4-BE49-F238E27FC236}">
              <a16:creationId xmlns:a16="http://schemas.microsoft.com/office/drawing/2014/main" id="{00000000-0008-0000-0D00-00005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92" name="Rectangle 179">
          <a:extLst>
            <a:ext uri="{FF2B5EF4-FFF2-40B4-BE49-F238E27FC236}">
              <a16:creationId xmlns:a16="http://schemas.microsoft.com/office/drawing/2014/main" id="{00000000-0008-0000-0D00-00005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3" name="Oval 180">
          <a:extLst>
            <a:ext uri="{FF2B5EF4-FFF2-40B4-BE49-F238E27FC236}">
              <a16:creationId xmlns:a16="http://schemas.microsoft.com/office/drawing/2014/main" id="{00000000-0008-0000-0D00-00005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4" name="Oval 181">
          <a:extLst>
            <a:ext uri="{FF2B5EF4-FFF2-40B4-BE49-F238E27FC236}">
              <a16:creationId xmlns:a16="http://schemas.microsoft.com/office/drawing/2014/main" id="{00000000-0008-0000-0D00-00005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5" name="Oval 182">
          <a:extLst>
            <a:ext uri="{FF2B5EF4-FFF2-40B4-BE49-F238E27FC236}">
              <a16:creationId xmlns:a16="http://schemas.microsoft.com/office/drawing/2014/main" id="{00000000-0008-0000-0D00-00005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6" name="Oval 183">
          <a:extLst>
            <a:ext uri="{FF2B5EF4-FFF2-40B4-BE49-F238E27FC236}">
              <a16:creationId xmlns:a16="http://schemas.microsoft.com/office/drawing/2014/main" id="{00000000-0008-0000-0D00-00006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97" name="AutoShape 184">
          <a:extLst>
            <a:ext uri="{FF2B5EF4-FFF2-40B4-BE49-F238E27FC236}">
              <a16:creationId xmlns:a16="http://schemas.microsoft.com/office/drawing/2014/main" id="{00000000-0008-0000-0D00-00006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98" name="Rectangle 185">
          <a:extLst>
            <a:ext uri="{FF2B5EF4-FFF2-40B4-BE49-F238E27FC236}">
              <a16:creationId xmlns:a16="http://schemas.microsoft.com/office/drawing/2014/main" id="{00000000-0008-0000-0D00-00006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9" name="Oval 186">
          <a:extLst>
            <a:ext uri="{FF2B5EF4-FFF2-40B4-BE49-F238E27FC236}">
              <a16:creationId xmlns:a16="http://schemas.microsoft.com/office/drawing/2014/main" id="{00000000-0008-0000-0D00-00006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0" name="Oval 187">
          <a:extLst>
            <a:ext uri="{FF2B5EF4-FFF2-40B4-BE49-F238E27FC236}">
              <a16:creationId xmlns:a16="http://schemas.microsoft.com/office/drawing/2014/main" id="{00000000-0008-0000-0D00-00006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1" name="Oval 188">
          <a:extLst>
            <a:ext uri="{FF2B5EF4-FFF2-40B4-BE49-F238E27FC236}">
              <a16:creationId xmlns:a16="http://schemas.microsoft.com/office/drawing/2014/main" id="{00000000-0008-0000-0D00-00006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2" name="Oval 189">
          <a:extLst>
            <a:ext uri="{FF2B5EF4-FFF2-40B4-BE49-F238E27FC236}">
              <a16:creationId xmlns:a16="http://schemas.microsoft.com/office/drawing/2014/main" id="{00000000-0008-0000-0D00-00006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03" name="AutoShape 190">
          <a:extLst>
            <a:ext uri="{FF2B5EF4-FFF2-40B4-BE49-F238E27FC236}">
              <a16:creationId xmlns:a16="http://schemas.microsoft.com/office/drawing/2014/main" id="{00000000-0008-0000-0D00-00006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04" name="Rectangle 191">
          <a:extLst>
            <a:ext uri="{FF2B5EF4-FFF2-40B4-BE49-F238E27FC236}">
              <a16:creationId xmlns:a16="http://schemas.microsoft.com/office/drawing/2014/main" id="{00000000-0008-0000-0D00-00006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5" name="Oval 192">
          <a:extLst>
            <a:ext uri="{FF2B5EF4-FFF2-40B4-BE49-F238E27FC236}">
              <a16:creationId xmlns:a16="http://schemas.microsoft.com/office/drawing/2014/main" id="{00000000-0008-0000-0D00-00006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6" name="Oval 193">
          <a:extLst>
            <a:ext uri="{FF2B5EF4-FFF2-40B4-BE49-F238E27FC236}">
              <a16:creationId xmlns:a16="http://schemas.microsoft.com/office/drawing/2014/main" id="{00000000-0008-0000-0D00-00006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7" name="Oval 194">
          <a:extLst>
            <a:ext uri="{FF2B5EF4-FFF2-40B4-BE49-F238E27FC236}">
              <a16:creationId xmlns:a16="http://schemas.microsoft.com/office/drawing/2014/main" id="{00000000-0008-0000-0D00-00006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8" name="Oval 195">
          <a:extLst>
            <a:ext uri="{FF2B5EF4-FFF2-40B4-BE49-F238E27FC236}">
              <a16:creationId xmlns:a16="http://schemas.microsoft.com/office/drawing/2014/main" id="{00000000-0008-0000-0D00-00006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09" name="AutoShape 196">
          <a:extLst>
            <a:ext uri="{FF2B5EF4-FFF2-40B4-BE49-F238E27FC236}">
              <a16:creationId xmlns:a16="http://schemas.microsoft.com/office/drawing/2014/main" id="{00000000-0008-0000-0D00-00006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10" name="Rectangle 197">
          <a:extLst>
            <a:ext uri="{FF2B5EF4-FFF2-40B4-BE49-F238E27FC236}">
              <a16:creationId xmlns:a16="http://schemas.microsoft.com/office/drawing/2014/main" id="{00000000-0008-0000-0D00-00006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1" name="Oval 198">
          <a:extLst>
            <a:ext uri="{FF2B5EF4-FFF2-40B4-BE49-F238E27FC236}">
              <a16:creationId xmlns:a16="http://schemas.microsoft.com/office/drawing/2014/main" id="{00000000-0008-0000-0D00-00006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2" name="Oval 199">
          <a:extLst>
            <a:ext uri="{FF2B5EF4-FFF2-40B4-BE49-F238E27FC236}">
              <a16:creationId xmlns:a16="http://schemas.microsoft.com/office/drawing/2014/main" id="{00000000-0008-0000-0D00-00007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3" name="Oval 200">
          <a:extLst>
            <a:ext uri="{FF2B5EF4-FFF2-40B4-BE49-F238E27FC236}">
              <a16:creationId xmlns:a16="http://schemas.microsoft.com/office/drawing/2014/main" id="{00000000-0008-0000-0D00-00007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4" name="Oval 201">
          <a:extLst>
            <a:ext uri="{FF2B5EF4-FFF2-40B4-BE49-F238E27FC236}">
              <a16:creationId xmlns:a16="http://schemas.microsoft.com/office/drawing/2014/main" id="{00000000-0008-0000-0D00-00007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15" name="AutoShape 202">
          <a:extLst>
            <a:ext uri="{FF2B5EF4-FFF2-40B4-BE49-F238E27FC236}">
              <a16:creationId xmlns:a16="http://schemas.microsoft.com/office/drawing/2014/main" id="{00000000-0008-0000-0D00-00007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16" name="Rectangle 203">
          <a:extLst>
            <a:ext uri="{FF2B5EF4-FFF2-40B4-BE49-F238E27FC236}">
              <a16:creationId xmlns:a16="http://schemas.microsoft.com/office/drawing/2014/main" id="{00000000-0008-0000-0D00-00007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7" name="Oval 204">
          <a:extLst>
            <a:ext uri="{FF2B5EF4-FFF2-40B4-BE49-F238E27FC236}">
              <a16:creationId xmlns:a16="http://schemas.microsoft.com/office/drawing/2014/main" id="{00000000-0008-0000-0D00-00007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8" name="Oval 205">
          <a:extLst>
            <a:ext uri="{FF2B5EF4-FFF2-40B4-BE49-F238E27FC236}">
              <a16:creationId xmlns:a16="http://schemas.microsoft.com/office/drawing/2014/main" id="{00000000-0008-0000-0D00-00007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9" name="Oval 206">
          <a:extLst>
            <a:ext uri="{FF2B5EF4-FFF2-40B4-BE49-F238E27FC236}">
              <a16:creationId xmlns:a16="http://schemas.microsoft.com/office/drawing/2014/main" id="{00000000-0008-0000-0D00-00007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0" name="Oval 207">
          <a:extLst>
            <a:ext uri="{FF2B5EF4-FFF2-40B4-BE49-F238E27FC236}">
              <a16:creationId xmlns:a16="http://schemas.microsoft.com/office/drawing/2014/main" id="{00000000-0008-0000-0D00-00007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21" name="AutoShape 208">
          <a:extLst>
            <a:ext uri="{FF2B5EF4-FFF2-40B4-BE49-F238E27FC236}">
              <a16:creationId xmlns:a16="http://schemas.microsoft.com/office/drawing/2014/main" id="{00000000-0008-0000-0D00-00007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22" name="Rectangle 209">
          <a:extLst>
            <a:ext uri="{FF2B5EF4-FFF2-40B4-BE49-F238E27FC236}">
              <a16:creationId xmlns:a16="http://schemas.microsoft.com/office/drawing/2014/main" id="{00000000-0008-0000-0D00-00007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3" name="Oval 210">
          <a:extLst>
            <a:ext uri="{FF2B5EF4-FFF2-40B4-BE49-F238E27FC236}">
              <a16:creationId xmlns:a16="http://schemas.microsoft.com/office/drawing/2014/main" id="{00000000-0008-0000-0D00-00007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4" name="Oval 211">
          <a:extLst>
            <a:ext uri="{FF2B5EF4-FFF2-40B4-BE49-F238E27FC236}">
              <a16:creationId xmlns:a16="http://schemas.microsoft.com/office/drawing/2014/main" id="{00000000-0008-0000-0D00-00007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5" name="Oval 212">
          <a:extLst>
            <a:ext uri="{FF2B5EF4-FFF2-40B4-BE49-F238E27FC236}">
              <a16:creationId xmlns:a16="http://schemas.microsoft.com/office/drawing/2014/main" id="{00000000-0008-0000-0D00-00007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6" name="Oval 213">
          <a:extLst>
            <a:ext uri="{FF2B5EF4-FFF2-40B4-BE49-F238E27FC236}">
              <a16:creationId xmlns:a16="http://schemas.microsoft.com/office/drawing/2014/main" id="{00000000-0008-0000-0D00-00007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27" name="AutoShape 214">
          <a:extLst>
            <a:ext uri="{FF2B5EF4-FFF2-40B4-BE49-F238E27FC236}">
              <a16:creationId xmlns:a16="http://schemas.microsoft.com/office/drawing/2014/main" id="{00000000-0008-0000-0D00-00007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28" name="Rectangle 215">
          <a:extLst>
            <a:ext uri="{FF2B5EF4-FFF2-40B4-BE49-F238E27FC236}">
              <a16:creationId xmlns:a16="http://schemas.microsoft.com/office/drawing/2014/main" id="{00000000-0008-0000-0D00-00008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9" name="Oval 216">
          <a:extLst>
            <a:ext uri="{FF2B5EF4-FFF2-40B4-BE49-F238E27FC236}">
              <a16:creationId xmlns:a16="http://schemas.microsoft.com/office/drawing/2014/main" id="{00000000-0008-0000-0D00-00008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0" name="Oval 217">
          <a:extLst>
            <a:ext uri="{FF2B5EF4-FFF2-40B4-BE49-F238E27FC236}">
              <a16:creationId xmlns:a16="http://schemas.microsoft.com/office/drawing/2014/main" id="{00000000-0008-0000-0D00-00008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1" name="Oval 218">
          <a:extLst>
            <a:ext uri="{FF2B5EF4-FFF2-40B4-BE49-F238E27FC236}">
              <a16:creationId xmlns:a16="http://schemas.microsoft.com/office/drawing/2014/main" id="{00000000-0008-0000-0D00-00008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2" name="Oval 219">
          <a:extLst>
            <a:ext uri="{FF2B5EF4-FFF2-40B4-BE49-F238E27FC236}">
              <a16:creationId xmlns:a16="http://schemas.microsoft.com/office/drawing/2014/main" id="{00000000-0008-0000-0D00-00008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33" name="AutoShape 220">
          <a:extLst>
            <a:ext uri="{FF2B5EF4-FFF2-40B4-BE49-F238E27FC236}">
              <a16:creationId xmlns:a16="http://schemas.microsoft.com/office/drawing/2014/main" id="{00000000-0008-0000-0D00-00008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34" name="Rectangle 221">
          <a:extLst>
            <a:ext uri="{FF2B5EF4-FFF2-40B4-BE49-F238E27FC236}">
              <a16:creationId xmlns:a16="http://schemas.microsoft.com/office/drawing/2014/main" id="{00000000-0008-0000-0D00-00008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5" name="Oval 222">
          <a:extLst>
            <a:ext uri="{FF2B5EF4-FFF2-40B4-BE49-F238E27FC236}">
              <a16:creationId xmlns:a16="http://schemas.microsoft.com/office/drawing/2014/main" id="{00000000-0008-0000-0D00-00008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6" name="Oval 223">
          <a:extLst>
            <a:ext uri="{FF2B5EF4-FFF2-40B4-BE49-F238E27FC236}">
              <a16:creationId xmlns:a16="http://schemas.microsoft.com/office/drawing/2014/main" id="{00000000-0008-0000-0D00-00008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7" name="Oval 224">
          <a:extLst>
            <a:ext uri="{FF2B5EF4-FFF2-40B4-BE49-F238E27FC236}">
              <a16:creationId xmlns:a16="http://schemas.microsoft.com/office/drawing/2014/main" id="{00000000-0008-0000-0D00-00008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8" name="Oval 225">
          <a:extLst>
            <a:ext uri="{FF2B5EF4-FFF2-40B4-BE49-F238E27FC236}">
              <a16:creationId xmlns:a16="http://schemas.microsoft.com/office/drawing/2014/main" id="{00000000-0008-0000-0D00-00008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39" name="AutoShape 226">
          <a:extLst>
            <a:ext uri="{FF2B5EF4-FFF2-40B4-BE49-F238E27FC236}">
              <a16:creationId xmlns:a16="http://schemas.microsoft.com/office/drawing/2014/main" id="{00000000-0008-0000-0D00-00008B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40" name="Rectangle 227">
          <a:extLst>
            <a:ext uri="{FF2B5EF4-FFF2-40B4-BE49-F238E27FC236}">
              <a16:creationId xmlns:a16="http://schemas.microsoft.com/office/drawing/2014/main" id="{00000000-0008-0000-0D00-00008C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1" name="Oval 228">
          <a:extLst>
            <a:ext uri="{FF2B5EF4-FFF2-40B4-BE49-F238E27FC236}">
              <a16:creationId xmlns:a16="http://schemas.microsoft.com/office/drawing/2014/main" id="{00000000-0008-0000-0D00-00008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2" name="Oval 229">
          <a:extLst>
            <a:ext uri="{FF2B5EF4-FFF2-40B4-BE49-F238E27FC236}">
              <a16:creationId xmlns:a16="http://schemas.microsoft.com/office/drawing/2014/main" id="{00000000-0008-0000-0D00-00008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3" name="Oval 230">
          <a:extLst>
            <a:ext uri="{FF2B5EF4-FFF2-40B4-BE49-F238E27FC236}">
              <a16:creationId xmlns:a16="http://schemas.microsoft.com/office/drawing/2014/main" id="{00000000-0008-0000-0D00-00008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4" name="Oval 231">
          <a:extLst>
            <a:ext uri="{FF2B5EF4-FFF2-40B4-BE49-F238E27FC236}">
              <a16:creationId xmlns:a16="http://schemas.microsoft.com/office/drawing/2014/main" id="{00000000-0008-0000-0D00-00009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45" name="AutoShape 232">
          <a:extLst>
            <a:ext uri="{FF2B5EF4-FFF2-40B4-BE49-F238E27FC236}">
              <a16:creationId xmlns:a16="http://schemas.microsoft.com/office/drawing/2014/main" id="{00000000-0008-0000-0D00-00009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46" name="Rectangle 233">
          <a:extLst>
            <a:ext uri="{FF2B5EF4-FFF2-40B4-BE49-F238E27FC236}">
              <a16:creationId xmlns:a16="http://schemas.microsoft.com/office/drawing/2014/main" id="{00000000-0008-0000-0D00-00009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7" name="Oval 234">
          <a:extLst>
            <a:ext uri="{FF2B5EF4-FFF2-40B4-BE49-F238E27FC236}">
              <a16:creationId xmlns:a16="http://schemas.microsoft.com/office/drawing/2014/main" id="{00000000-0008-0000-0D00-00009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8" name="Oval 235">
          <a:extLst>
            <a:ext uri="{FF2B5EF4-FFF2-40B4-BE49-F238E27FC236}">
              <a16:creationId xmlns:a16="http://schemas.microsoft.com/office/drawing/2014/main" id="{00000000-0008-0000-0D00-00009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9" name="Oval 236">
          <a:extLst>
            <a:ext uri="{FF2B5EF4-FFF2-40B4-BE49-F238E27FC236}">
              <a16:creationId xmlns:a16="http://schemas.microsoft.com/office/drawing/2014/main" id="{00000000-0008-0000-0D00-00009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0" name="Oval 237">
          <a:extLst>
            <a:ext uri="{FF2B5EF4-FFF2-40B4-BE49-F238E27FC236}">
              <a16:creationId xmlns:a16="http://schemas.microsoft.com/office/drawing/2014/main" id="{00000000-0008-0000-0D00-00009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51" name="AutoShape 238">
          <a:extLst>
            <a:ext uri="{FF2B5EF4-FFF2-40B4-BE49-F238E27FC236}">
              <a16:creationId xmlns:a16="http://schemas.microsoft.com/office/drawing/2014/main" id="{00000000-0008-0000-0D00-00009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52" name="Rectangle 239">
          <a:extLst>
            <a:ext uri="{FF2B5EF4-FFF2-40B4-BE49-F238E27FC236}">
              <a16:creationId xmlns:a16="http://schemas.microsoft.com/office/drawing/2014/main" id="{00000000-0008-0000-0D00-00009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3" name="Oval 240">
          <a:extLst>
            <a:ext uri="{FF2B5EF4-FFF2-40B4-BE49-F238E27FC236}">
              <a16:creationId xmlns:a16="http://schemas.microsoft.com/office/drawing/2014/main" id="{00000000-0008-0000-0D00-00009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4" name="Oval 241">
          <a:extLst>
            <a:ext uri="{FF2B5EF4-FFF2-40B4-BE49-F238E27FC236}">
              <a16:creationId xmlns:a16="http://schemas.microsoft.com/office/drawing/2014/main" id="{00000000-0008-0000-0D00-00009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5" name="Oval 242">
          <a:extLst>
            <a:ext uri="{FF2B5EF4-FFF2-40B4-BE49-F238E27FC236}">
              <a16:creationId xmlns:a16="http://schemas.microsoft.com/office/drawing/2014/main" id="{00000000-0008-0000-0D00-00009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6" name="Oval 243">
          <a:extLst>
            <a:ext uri="{FF2B5EF4-FFF2-40B4-BE49-F238E27FC236}">
              <a16:creationId xmlns:a16="http://schemas.microsoft.com/office/drawing/2014/main" id="{00000000-0008-0000-0D00-00009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57" name="AutoShape 244">
          <a:extLst>
            <a:ext uri="{FF2B5EF4-FFF2-40B4-BE49-F238E27FC236}">
              <a16:creationId xmlns:a16="http://schemas.microsoft.com/office/drawing/2014/main" id="{00000000-0008-0000-0D00-00009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58" name="Rectangle 245">
          <a:extLst>
            <a:ext uri="{FF2B5EF4-FFF2-40B4-BE49-F238E27FC236}">
              <a16:creationId xmlns:a16="http://schemas.microsoft.com/office/drawing/2014/main" id="{00000000-0008-0000-0D00-00009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9" name="Oval 246">
          <a:extLst>
            <a:ext uri="{FF2B5EF4-FFF2-40B4-BE49-F238E27FC236}">
              <a16:creationId xmlns:a16="http://schemas.microsoft.com/office/drawing/2014/main" id="{00000000-0008-0000-0D00-00009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0" name="Oval 247">
          <a:extLst>
            <a:ext uri="{FF2B5EF4-FFF2-40B4-BE49-F238E27FC236}">
              <a16:creationId xmlns:a16="http://schemas.microsoft.com/office/drawing/2014/main" id="{00000000-0008-0000-0D00-0000A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1" name="Oval 248">
          <a:extLst>
            <a:ext uri="{FF2B5EF4-FFF2-40B4-BE49-F238E27FC236}">
              <a16:creationId xmlns:a16="http://schemas.microsoft.com/office/drawing/2014/main" id="{00000000-0008-0000-0D00-0000A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2" name="Oval 249">
          <a:extLst>
            <a:ext uri="{FF2B5EF4-FFF2-40B4-BE49-F238E27FC236}">
              <a16:creationId xmlns:a16="http://schemas.microsoft.com/office/drawing/2014/main" id="{00000000-0008-0000-0D00-0000A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63" name="AutoShape 250">
          <a:extLst>
            <a:ext uri="{FF2B5EF4-FFF2-40B4-BE49-F238E27FC236}">
              <a16:creationId xmlns:a16="http://schemas.microsoft.com/office/drawing/2014/main" id="{00000000-0008-0000-0D00-0000A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64" name="Rectangle 251">
          <a:extLst>
            <a:ext uri="{FF2B5EF4-FFF2-40B4-BE49-F238E27FC236}">
              <a16:creationId xmlns:a16="http://schemas.microsoft.com/office/drawing/2014/main" id="{00000000-0008-0000-0D00-0000A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5" name="Oval 252">
          <a:extLst>
            <a:ext uri="{FF2B5EF4-FFF2-40B4-BE49-F238E27FC236}">
              <a16:creationId xmlns:a16="http://schemas.microsoft.com/office/drawing/2014/main" id="{00000000-0008-0000-0D00-0000A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6" name="Oval 253">
          <a:extLst>
            <a:ext uri="{FF2B5EF4-FFF2-40B4-BE49-F238E27FC236}">
              <a16:creationId xmlns:a16="http://schemas.microsoft.com/office/drawing/2014/main" id="{00000000-0008-0000-0D00-0000A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7" name="Oval 254">
          <a:extLst>
            <a:ext uri="{FF2B5EF4-FFF2-40B4-BE49-F238E27FC236}">
              <a16:creationId xmlns:a16="http://schemas.microsoft.com/office/drawing/2014/main" id="{00000000-0008-0000-0D00-0000A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8" name="Oval 255">
          <a:extLst>
            <a:ext uri="{FF2B5EF4-FFF2-40B4-BE49-F238E27FC236}">
              <a16:creationId xmlns:a16="http://schemas.microsoft.com/office/drawing/2014/main" id="{00000000-0008-0000-0D00-0000A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69" name="AutoShape 256">
          <a:extLst>
            <a:ext uri="{FF2B5EF4-FFF2-40B4-BE49-F238E27FC236}">
              <a16:creationId xmlns:a16="http://schemas.microsoft.com/office/drawing/2014/main" id="{00000000-0008-0000-0D00-0000A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70" name="Rectangle 257">
          <a:extLst>
            <a:ext uri="{FF2B5EF4-FFF2-40B4-BE49-F238E27FC236}">
              <a16:creationId xmlns:a16="http://schemas.microsoft.com/office/drawing/2014/main" id="{00000000-0008-0000-0D00-0000A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1" name="Oval 258">
          <a:extLst>
            <a:ext uri="{FF2B5EF4-FFF2-40B4-BE49-F238E27FC236}">
              <a16:creationId xmlns:a16="http://schemas.microsoft.com/office/drawing/2014/main" id="{00000000-0008-0000-0D00-0000A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2" name="Oval 259">
          <a:extLst>
            <a:ext uri="{FF2B5EF4-FFF2-40B4-BE49-F238E27FC236}">
              <a16:creationId xmlns:a16="http://schemas.microsoft.com/office/drawing/2014/main" id="{00000000-0008-0000-0D00-0000A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3" name="Oval 260">
          <a:extLst>
            <a:ext uri="{FF2B5EF4-FFF2-40B4-BE49-F238E27FC236}">
              <a16:creationId xmlns:a16="http://schemas.microsoft.com/office/drawing/2014/main" id="{00000000-0008-0000-0D00-0000A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4" name="Oval 261">
          <a:extLst>
            <a:ext uri="{FF2B5EF4-FFF2-40B4-BE49-F238E27FC236}">
              <a16:creationId xmlns:a16="http://schemas.microsoft.com/office/drawing/2014/main" id="{00000000-0008-0000-0D00-0000A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75" name="AutoShape 262">
          <a:extLst>
            <a:ext uri="{FF2B5EF4-FFF2-40B4-BE49-F238E27FC236}">
              <a16:creationId xmlns:a16="http://schemas.microsoft.com/office/drawing/2014/main" id="{00000000-0008-0000-0D00-0000A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76" name="Rectangle 263">
          <a:extLst>
            <a:ext uri="{FF2B5EF4-FFF2-40B4-BE49-F238E27FC236}">
              <a16:creationId xmlns:a16="http://schemas.microsoft.com/office/drawing/2014/main" id="{00000000-0008-0000-0D00-0000B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7" name="Oval 264">
          <a:extLst>
            <a:ext uri="{FF2B5EF4-FFF2-40B4-BE49-F238E27FC236}">
              <a16:creationId xmlns:a16="http://schemas.microsoft.com/office/drawing/2014/main" id="{00000000-0008-0000-0D00-0000B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8" name="Oval 265">
          <a:extLst>
            <a:ext uri="{FF2B5EF4-FFF2-40B4-BE49-F238E27FC236}">
              <a16:creationId xmlns:a16="http://schemas.microsoft.com/office/drawing/2014/main" id="{00000000-0008-0000-0D00-0000B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9" name="Oval 266">
          <a:extLst>
            <a:ext uri="{FF2B5EF4-FFF2-40B4-BE49-F238E27FC236}">
              <a16:creationId xmlns:a16="http://schemas.microsoft.com/office/drawing/2014/main" id="{00000000-0008-0000-0D00-0000B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0" name="Oval 267">
          <a:extLst>
            <a:ext uri="{FF2B5EF4-FFF2-40B4-BE49-F238E27FC236}">
              <a16:creationId xmlns:a16="http://schemas.microsoft.com/office/drawing/2014/main" id="{00000000-0008-0000-0D00-0000B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81" name="AutoShape 268">
          <a:extLst>
            <a:ext uri="{FF2B5EF4-FFF2-40B4-BE49-F238E27FC236}">
              <a16:creationId xmlns:a16="http://schemas.microsoft.com/office/drawing/2014/main" id="{00000000-0008-0000-0D00-0000B5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82" name="Rectangle 269">
          <a:extLst>
            <a:ext uri="{FF2B5EF4-FFF2-40B4-BE49-F238E27FC236}">
              <a16:creationId xmlns:a16="http://schemas.microsoft.com/office/drawing/2014/main" id="{00000000-0008-0000-0D00-0000B6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3" name="Oval 270">
          <a:extLst>
            <a:ext uri="{FF2B5EF4-FFF2-40B4-BE49-F238E27FC236}">
              <a16:creationId xmlns:a16="http://schemas.microsoft.com/office/drawing/2014/main" id="{00000000-0008-0000-0D00-0000B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4" name="Oval 271">
          <a:extLst>
            <a:ext uri="{FF2B5EF4-FFF2-40B4-BE49-F238E27FC236}">
              <a16:creationId xmlns:a16="http://schemas.microsoft.com/office/drawing/2014/main" id="{00000000-0008-0000-0D00-0000B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5" name="Oval 272">
          <a:extLst>
            <a:ext uri="{FF2B5EF4-FFF2-40B4-BE49-F238E27FC236}">
              <a16:creationId xmlns:a16="http://schemas.microsoft.com/office/drawing/2014/main" id="{00000000-0008-0000-0D00-0000B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6" name="Oval 273">
          <a:extLst>
            <a:ext uri="{FF2B5EF4-FFF2-40B4-BE49-F238E27FC236}">
              <a16:creationId xmlns:a16="http://schemas.microsoft.com/office/drawing/2014/main" id="{00000000-0008-0000-0D00-0000B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87" name="Rectangle 274">
          <a:extLst>
            <a:ext uri="{FF2B5EF4-FFF2-40B4-BE49-F238E27FC236}">
              <a16:creationId xmlns:a16="http://schemas.microsoft.com/office/drawing/2014/main" id="{00000000-0008-0000-0D00-0000B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8" name="Oval 275">
          <a:extLst>
            <a:ext uri="{FF2B5EF4-FFF2-40B4-BE49-F238E27FC236}">
              <a16:creationId xmlns:a16="http://schemas.microsoft.com/office/drawing/2014/main" id="{00000000-0008-0000-0D00-0000B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9" name="Oval 276">
          <a:extLst>
            <a:ext uri="{FF2B5EF4-FFF2-40B4-BE49-F238E27FC236}">
              <a16:creationId xmlns:a16="http://schemas.microsoft.com/office/drawing/2014/main" id="{00000000-0008-0000-0D00-0000B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0" name="Oval 277">
          <a:extLst>
            <a:ext uri="{FF2B5EF4-FFF2-40B4-BE49-F238E27FC236}">
              <a16:creationId xmlns:a16="http://schemas.microsoft.com/office/drawing/2014/main" id="{00000000-0008-0000-0D00-0000B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1" name="Oval 278">
          <a:extLst>
            <a:ext uri="{FF2B5EF4-FFF2-40B4-BE49-F238E27FC236}">
              <a16:creationId xmlns:a16="http://schemas.microsoft.com/office/drawing/2014/main" id="{00000000-0008-0000-0D00-0000B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92" name="Rectangle 279">
          <a:extLst>
            <a:ext uri="{FF2B5EF4-FFF2-40B4-BE49-F238E27FC236}">
              <a16:creationId xmlns:a16="http://schemas.microsoft.com/office/drawing/2014/main" id="{00000000-0008-0000-0D00-0000C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3" name="Oval 280">
          <a:extLst>
            <a:ext uri="{FF2B5EF4-FFF2-40B4-BE49-F238E27FC236}">
              <a16:creationId xmlns:a16="http://schemas.microsoft.com/office/drawing/2014/main" id="{00000000-0008-0000-0D00-0000C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4" name="Oval 281">
          <a:extLst>
            <a:ext uri="{FF2B5EF4-FFF2-40B4-BE49-F238E27FC236}">
              <a16:creationId xmlns:a16="http://schemas.microsoft.com/office/drawing/2014/main" id="{00000000-0008-0000-0D00-0000C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5" name="Oval 282">
          <a:extLst>
            <a:ext uri="{FF2B5EF4-FFF2-40B4-BE49-F238E27FC236}">
              <a16:creationId xmlns:a16="http://schemas.microsoft.com/office/drawing/2014/main" id="{00000000-0008-0000-0D00-0000C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6" name="Oval 283">
          <a:extLst>
            <a:ext uri="{FF2B5EF4-FFF2-40B4-BE49-F238E27FC236}">
              <a16:creationId xmlns:a16="http://schemas.microsoft.com/office/drawing/2014/main" id="{00000000-0008-0000-0D00-0000C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197" name="Rectangle 285">
          <a:extLst>
            <a:ext uri="{FF2B5EF4-FFF2-40B4-BE49-F238E27FC236}">
              <a16:creationId xmlns:a16="http://schemas.microsoft.com/office/drawing/2014/main" id="{00000000-0008-0000-0D00-0000C50000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198" name="Rectangle 287">
          <a:extLst>
            <a:ext uri="{FF2B5EF4-FFF2-40B4-BE49-F238E27FC236}">
              <a16:creationId xmlns:a16="http://schemas.microsoft.com/office/drawing/2014/main" id="{00000000-0008-0000-0D00-0000C60000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199" name="Rectangle 289">
          <a:extLst>
            <a:ext uri="{FF2B5EF4-FFF2-40B4-BE49-F238E27FC236}">
              <a16:creationId xmlns:a16="http://schemas.microsoft.com/office/drawing/2014/main" id="{00000000-0008-0000-0D00-0000C70000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200" name="Rectangle 291">
          <a:extLst>
            <a:ext uri="{FF2B5EF4-FFF2-40B4-BE49-F238E27FC236}">
              <a16:creationId xmlns:a16="http://schemas.microsoft.com/office/drawing/2014/main" id="{00000000-0008-0000-0D00-0000C80000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201" name="Rectangle 293">
          <a:extLst>
            <a:ext uri="{FF2B5EF4-FFF2-40B4-BE49-F238E27FC236}">
              <a16:creationId xmlns:a16="http://schemas.microsoft.com/office/drawing/2014/main" id="{00000000-0008-0000-0D00-0000C90000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02" name="Rectangle 295">
          <a:extLst>
            <a:ext uri="{FF2B5EF4-FFF2-40B4-BE49-F238E27FC236}">
              <a16:creationId xmlns:a16="http://schemas.microsoft.com/office/drawing/2014/main" id="{00000000-0008-0000-0D00-0000CA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03" name="Rectangle 297">
          <a:extLst>
            <a:ext uri="{FF2B5EF4-FFF2-40B4-BE49-F238E27FC236}">
              <a16:creationId xmlns:a16="http://schemas.microsoft.com/office/drawing/2014/main" id="{00000000-0008-0000-0D00-0000CB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04" name="Rectangle 299">
          <a:extLst>
            <a:ext uri="{FF2B5EF4-FFF2-40B4-BE49-F238E27FC236}">
              <a16:creationId xmlns:a16="http://schemas.microsoft.com/office/drawing/2014/main" id="{00000000-0008-0000-0D00-0000CC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05" name="Rectangle 301">
          <a:extLst>
            <a:ext uri="{FF2B5EF4-FFF2-40B4-BE49-F238E27FC236}">
              <a16:creationId xmlns:a16="http://schemas.microsoft.com/office/drawing/2014/main" id="{00000000-0008-0000-0D00-0000CD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06" name="Rectangle 303">
          <a:extLst>
            <a:ext uri="{FF2B5EF4-FFF2-40B4-BE49-F238E27FC236}">
              <a16:creationId xmlns:a16="http://schemas.microsoft.com/office/drawing/2014/main" id="{00000000-0008-0000-0D00-0000CE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07" name="Rectangle 305">
          <a:extLst>
            <a:ext uri="{FF2B5EF4-FFF2-40B4-BE49-F238E27FC236}">
              <a16:creationId xmlns:a16="http://schemas.microsoft.com/office/drawing/2014/main" id="{00000000-0008-0000-0D00-0000CF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208" name="Rectangle 307">
          <a:extLst>
            <a:ext uri="{FF2B5EF4-FFF2-40B4-BE49-F238E27FC236}">
              <a16:creationId xmlns:a16="http://schemas.microsoft.com/office/drawing/2014/main" id="{00000000-0008-0000-0D00-0000D0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textlink="">
      <xdr:nvSpPr>
        <xdr:cNvPr id="209" name="フリーフォーム 311">
          <a:extLst>
            <a:ext uri="{FF2B5EF4-FFF2-40B4-BE49-F238E27FC236}">
              <a16:creationId xmlns:a16="http://schemas.microsoft.com/office/drawing/2014/main" id="{00000000-0008-0000-0D00-0000D1000000}"/>
            </a:ext>
          </a:extLst>
        </xdr:cNvPr>
        <xdr:cNvSpPr>
          <a:spLocks noChangeArrowheads="1"/>
        </xdr:cNvSpPr>
      </xdr:nvSpPr>
      <xdr:spPr bwMode="auto">
        <a:xfrm>
          <a:off x="723900" y="2162175"/>
          <a:ext cx="276225" cy="180975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textlink="">
      <xdr:nvSpPr>
        <xdr:cNvPr id="210" name="フリーフォーム 312">
          <a:extLst>
            <a:ext uri="{FF2B5EF4-FFF2-40B4-BE49-F238E27FC236}">
              <a16:creationId xmlns:a16="http://schemas.microsoft.com/office/drawing/2014/main" id="{00000000-0008-0000-0D00-0000D2000000}"/>
            </a:ext>
          </a:extLst>
        </xdr:cNvPr>
        <xdr:cNvSpPr>
          <a:spLocks noChangeArrowheads="1"/>
        </xdr:cNvSpPr>
      </xdr:nvSpPr>
      <xdr:spPr bwMode="auto">
        <a:xfrm>
          <a:off x="742950" y="2847975"/>
          <a:ext cx="276225" cy="190500"/>
        </a:xfrm>
        <a:custGeom>
          <a:avLst/>
          <a:gdLst>
            <a:gd name="T0" fmla="*/ 0 w 272143"/>
            <a:gd name="T1" fmla="*/ 0 h 185057"/>
            <a:gd name="T2" fmla="*/ 385332 w 272143"/>
            <a:gd name="T3" fmla="*/ 0 h 185057"/>
            <a:gd name="T4" fmla="*/ 544000 w 272143"/>
            <a:gd name="T5" fmla="*/ 279321 h 185057"/>
            <a:gd name="T6" fmla="*/ 566665 w 272143"/>
            <a:gd name="T7" fmla="*/ 319227 h 185057"/>
            <a:gd name="T8" fmla="*/ 385332 w 272143"/>
            <a:gd name="T9" fmla="*/ 678369 h 185057"/>
            <a:gd name="T10" fmla="*/ 11331 w 272143"/>
            <a:gd name="T11" fmla="*/ 678369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textlink="">
      <xdr:nvSpPr>
        <xdr:cNvPr id="211" name="フリーフォーム 313">
          <a:extLst>
            <a:ext uri="{FF2B5EF4-FFF2-40B4-BE49-F238E27FC236}">
              <a16:creationId xmlns:a16="http://schemas.microsoft.com/office/drawing/2014/main" id="{00000000-0008-0000-0D00-0000D3000000}"/>
            </a:ext>
          </a:extLst>
        </xdr:cNvPr>
        <xdr:cNvSpPr>
          <a:spLocks noChangeArrowheads="1"/>
        </xdr:cNvSpPr>
      </xdr:nvSpPr>
      <xdr:spPr bwMode="auto">
        <a:xfrm>
          <a:off x="742950" y="3543300"/>
          <a:ext cx="276225" cy="180975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textlink="">
      <xdr:nvSpPr>
        <xdr:cNvPr id="212" name="フリーフォーム 314">
          <a:extLst>
            <a:ext uri="{FF2B5EF4-FFF2-40B4-BE49-F238E27FC236}">
              <a16:creationId xmlns:a16="http://schemas.microsoft.com/office/drawing/2014/main" id="{00000000-0008-0000-0D00-0000D4000000}"/>
            </a:ext>
          </a:extLst>
        </xdr:cNvPr>
        <xdr:cNvSpPr>
          <a:spLocks noChangeArrowheads="1"/>
        </xdr:cNvSpPr>
      </xdr:nvSpPr>
      <xdr:spPr bwMode="auto">
        <a:xfrm>
          <a:off x="733425" y="42195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textlink="">
      <xdr:nvSpPr>
        <xdr:cNvPr id="213" name="フリーフォーム 315">
          <a:extLst>
            <a:ext uri="{FF2B5EF4-FFF2-40B4-BE49-F238E27FC236}">
              <a16:creationId xmlns:a16="http://schemas.microsoft.com/office/drawing/2014/main" id="{00000000-0008-0000-0D00-0000D5000000}"/>
            </a:ext>
          </a:extLst>
        </xdr:cNvPr>
        <xdr:cNvSpPr>
          <a:spLocks noChangeArrowheads="1"/>
        </xdr:cNvSpPr>
      </xdr:nvSpPr>
      <xdr:spPr bwMode="auto">
        <a:xfrm>
          <a:off x="733425" y="4905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textlink="">
      <xdr:nvSpPr>
        <xdr:cNvPr id="214" name="フリーフォーム 316">
          <a:extLst>
            <a:ext uri="{FF2B5EF4-FFF2-40B4-BE49-F238E27FC236}">
              <a16:creationId xmlns:a16="http://schemas.microsoft.com/office/drawing/2014/main" id="{00000000-0008-0000-0D00-0000D6000000}"/>
            </a:ext>
          </a:extLst>
        </xdr:cNvPr>
        <xdr:cNvSpPr>
          <a:spLocks noChangeArrowheads="1"/>
        </xdr:cNvSpPr>
      </xdr:nvSpPr>
      <xdr:spPr bwMode="auto">
        <a:xfrm>
          <a:off x="733425" y="55816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textlink="">
      <xdr:nvSpPr>
        <xdr:cNvPr id="215" name="フリーフォーム 317">
          <a:extLst>
            <a:ext uri="{FF2B5EF4-FFF2-40B4-BE49-F238E27FC236}">
              <a16:creationId xmlns:a16="http://schemas.microsoft.com/office/drawing/2014/main" id="{00000000-0008-0000-0D00-0000D7000000}"/>
            </a:ext>
          </a:extLst>
        </xdr:cNvPr>
        <xdr:cNvSpPr>
          <a:spLocks noChangeArrowheads="1"/>
        </xdr:cNvSpPr>
      </xdr:nvSpPr>
      <xdr:spPr bwMode="auto">
        <a:xfrm>
          <a:off x="723900" y="6267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textlink="">
      <xdr:nvSpPr>
        <xdr:cNvPr id="216" name="フリーフォーム 319">
          <a:extLst>
            <a:ext uri="{FF2B5EF4-FFF2-40B4-BE49-F238E27FC236}">
              <a16:creationId xmlns:a16="http://schemas.microsoft.com/office/drawing/2014/main" id="{00000000-0008-0000-0D00-0000D8000000}"/>
            </a:ext>
          </a:extLst>
        </xdr:cNvPr>
        <xdr:cNvSpPr>
          <a:spLocks noChangeArrowheads="1"/>
        </xdr:cNvSpPr>
      </xdr:nvSpPr>
      <xdr:spPr bwMode="auto">
        <a:xfrm>
          <a:off x="733425" y="76390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textlink="">
      <xdr:nvSpPr>
        <xdr:cNvPr id="217" name="フリーフォーム 320">
          <a:extLst>
            <a:ext uri="{FF2B5EF4-FFF2-40B4-BE49-F238E27FC236}">
              <a16:creationId xmlns:a16="http://schemas.microsoft.com/office/drawing/2014/main" id="{00000000-0008-0000-0D00-0000D9000000}"/>
            </a:ext>
          </a:extLst>
        </xdr:cNvPr>
        <xdr:cNvSpPr>
          <a:spLocks noChangeArrowheads="1"/>
        </xdr:cNvSpPr>
      </xdr:nvSpPr>
      <xdr:spPr bwMode="auto">
        <a:xfrm>
          <a:off x="723900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218" name="フリーフォーム 321">
          <a:extLst>
            <a:ext uri="{FF2B5EF4-FFF2-40B4-BE49-F238E27FC236}">
              <a16:creationId xmlns:a16="http://schemas.microsoft.com/office/drawing/2014/main" id="{00000000-0008-0000-0D00-0000DA0000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textlink="">
      <xdr:nvSpPr>
        <xdr:cNvPr id="219" name="フリーフォーム 322">
          <a:extLst>
            <a:ext uri="{FF2B5EF4-FFF2-40B4-BE49-F238E27FC236}">
              <a16:creationId xmlns:a16="http://schemas.microsoft.com/office/drawing/2014/main" id="{00000000-0008-0000-0D00-0000DB000000}"/>
            </a:ext>
          </a:extLst>
        </xdr:cNvPr>
        <xdr:cNvSpPr>
          <a:spLocks noChangeArrowheads="1"/>
        </xdr:cNvSpPr>
      </xdr:nvSpPr>
      <xdr:spPr bwMode="auto">
        <a:xfrm>
          <a:off x="733425" y="9696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220" name="Rectangle 2">
          <a:extLst>
            <a:ext uri="{FF2B5EF4-FFF2-40B4-BE49-F238E27FC236}">
              <a16:creationId xmlns:a16="http://schemas.microsoft.com/office/drawing/2014/main" id="{00000000-0008-0000-0D00-0000DC0000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221" name="Rectangle 2">
          <a:extLst>
            <a:ext uri="{FF2B5EF4-FFF2-40B4-BE49-F238E27FC236}">
              <a16:creationId xmlns:a16="http://schemas.microsoft.com/office/drawing/2014/main" id="{00000000-0008-0000-0D00-0000DD0000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222" name="Rectangle 2">
          <a:extLst>
            <a:ext uri="{FF2B5EF4-FFF2-40B4-BE49-F238E27FC236}">
              <a16:creationId xmlns:a16="http://schemas.microsoft.com/office/drawing/2014/main" id="{00000000-0008-0000-0D00-0000DE0000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223" name="Rectangle 2">
          <a:extLst>
            <a:ext uri="{FF2B5EF4-FFF2-40B4-BE49-F238E27FC236}">
              <a16:creationId xmlns:a16="http://schemas.microsoft.com/office/drawing/2014/main" id="{00000000-0008-0000-0D00-0000DF0000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224" name="Rectangle 2">
          <a:extLst>
            <a:ext uri="{FF2B5EF4-FFF2-40B4-BE49-F238E27FC236}">
              <a16:creationId xmlns:a16="http://schemas.microsoft.com/office/drawing/2014/main" id="{00000000-0008-0000-0D00-0000E00000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25" name="Rectangle 293">
          <a:extLst>
            <a:ext uri="{FF2B5EF4-FFF2-40B4-BE49-F238E27FC236}">
              <a16:creationId xmlns:a16="http://schemas.microsoft.com/office/drawing/2014/main" id="{00000000-0008-0000-0D00-0000E1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26" name="Rectangle 2">
          <a:extLst>
            <a:ext uri="{FF2B5EF4-FFF2-40B4-BE49-F238E27FC236}">
              <a16:creationId xmlns:a16="http://schemas.microsoft.com/office/drawing/2014/main" id="{00000000-0008-0000-0D00-0000E2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27" name="Rectangle 293">
          <a:extLst>
            <a:ext uri="{FF2B5EF4-FFF2-40B4-BE49-F238E27FC236}">
              <a16:creationId xmlns:a16="http://schemas.microsoft.com/office/drawing/2014/main" id="{00000000-0008-0000-0D00-0000E3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28" name="Rectangle 2">
          <a:extLst>
            <a:ext uri="{FF2B5EF4-FFF2-40B4-BE49-F238E27FC236}">
              <a16:creationId xmlns:a16="http://schemas.microsoft.com/office/drawing/2014/main" id="{00000000-0008-0000-0D00-0000E4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29" name="Rectangle 293">
          <a:extLst>
            <a:ext uri="{FF2B5EF4-FFF2-40B4-BE49-F238E27FC236}">
              <a16:creationId xmlns:a16="http://schemas.microsoft.com/office/drawing/2014/main" id="{00000000-0008-0000-0D00-0000E5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4</xdr:col>
      <xdr:colOff>0</xdr:colOff>
      <xdr:row>78</xdr:row>
      <xdr:rowOff>28575</xdr:rowOff>
    </xdr:to>
    <xdr:sp textlink="">
      <xdr:nvSpPr>
        <xdr:cNvPr id="230" name="フリーフォーム 342">
          <a:extLst>
            <a:ext uri="{FF2B5EF4-FFF2-40B4-BE49-F238E27FC236}">
              <a16:creationId xmlns:a16="http://schemas.microsoft.com/office/drawing/2014/main" id="{00000000-0008-0000-0D00-0000E6000000}"/>
            </a:ext>
          </a:extLst>
        </xdr:cNvPr>
        <xdr:cNvSpPr>
          <a:spLocks noChangeArrowheads="1"/>
        </xdr:cNvSpPr>
      </xdr:nvSpPr>
      <xdr:spPr bwMode="auto">
        <a:xfrm>
          <a:off x="733425" y="6962775"/>
          <a:ext cx="276225" cy="190500"/>
        </a:xfrm>
        <a:custGeom>
          <a:avLst/>
          <a:gdLst>
            <a:gd name="T0" fmla="*/ 0 w 272143"/>
            <a:gd name="T1" fmla="*/ 0 h 185057"/>
            <a:gd name="T2" fmla="*/ 383656 w 272143"/>
            <a:gd name="T3" fmla="*/ 0 h 185057"/>
            <a:gd name="T4" fmla="*/ 541634 w 272143"/>
            <a:gd name="T5" fmla="*/ 297802 h 185057"/>
            <a:gd name="T6" fmla="*/ 564201 w 272143"/>
            <a:gd name="T7" fmla="*/ 340334 h 185057"/>
            <a:gd name="T8" fmla="*/ 383656 w 272143"/>
            <a:gd name="T9" fmla="*/ 723228 h 185057"/>
            <a:gd name="T10" fmla="*/ 11283 w 272143"/>
            <a:gd name="T11" fmla="*/ 72322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31" name="Rectangle 2">
          <a:extLst>
            <a:ext uri="{FF2B5EF4-FFF2-40B4-BE49-F238E27FC236}">
              <a16:creationId xmlns:a16="http://schemas.microsoft.com/office/drawing/2014/main" id="{00000000-0008-0000-0D00-0000E7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32" name="Rectangle 293">
          <a:extLst>
            <a:ext uri="{FF2B5EF4-FFF2-40B4-BE49-F238E27FC236}">
              <a16:creationId xmlns:a16="http://schemas.microsoft.com/office/drawing/2014/main" id="{00000000-0008-0000-0D00-0000E8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33" name="Rectangle 2">
          <a:extLst>
            <a:ext uri="{FF2B5EF4-FFF2-40B4-BE49-F238E27FC236}">
              <a16:creationId xmlns:a16="http://schemas.microsoft.com/office/drawing/2014/main" id="{00000000-0008-0000-0D00-0000E9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34" name="Rectangle 293">
          <a:extLst>
            <a:ext uri="{FF2B5EF4-FFF2-40B4-BE49-F238E27FC236}">
              <a16:creationId xmlns:a16="http://schemas.microsoft.com/office/drawing/2014/main" id="{00000000-0008-0000-0D00-0000EA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textlink="">
      <xdr:nvSpPr>
        <xdr:cNvPr id="235" name="フリーフォーム 350">
          <a:extLst>
            <a:ext uri="{FF2B5EF4-FFF2-40B4-BE49-F238E27FC236}">
              <a16:creationId xmlns:a16="http://schemas.microsoft.com/office/drawing/2014/main" id="{00000000-0008-0000-0D00-0000EB000000}"/>
            </a:ext>
          </a:extLst>
        </xdr:cNvPr>
        <xdr:cNvSpPr>
          <a:spLocks noChangeArrowheads="1"/>
        </xdr:cNvSpPr>
      </xdr:nvSpPr>
      <xdr:spPr bwMode="auto">
        <a:xfrm>
          <a:off x="733425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36" name="Rectangle 2">
          <a:extLst>
            <a:ext uri="{FF2B5EF4-FFF2-40B4-BE49-F238E27FC236}">
              <a16:creationId xmlns:a16="http://schemas.microsoft.com/office/drawing/2014/main" id="{00000000-0008-0000-0D00-0000EC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37" name="Rectangle 293">
          <a:extLst>
            <a:ext uri="{FF2B5EF4-FFF2-40B4-BE49-F238E27FC236}">
              <a16:creationId xmlns:a16="http://schemas.microsoft.com/office/drawing/2014/main" id="{00000000-0008-0000-0D00-0000ED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238" name="フリーフォーム 354">
          <a:extLst>
            <a:ext uri="{FF2B5EF4-FFF2-40B4-BE49-F238E27FC236}">
              <a16:creationId xmlns:a16="http://schemas.microsoft.com/office/drawing/2014/main" id="{00000000-0008-0000-0D00-0000EE0000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39" name="Rectangle 2">
          <a:extLst>
            <a:ext uri="{FF2B5EF4-FFF2-40B4-BE49-F238E27FC236}">
              <a16:creationId xmlns:a16="http://schemas.microsoft.com/office/drawing/2014/main" id="{00000000-0008-0000-0D00-0000EF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240" name="Rectangle 293">
          <a:extLst>
            <a:ext uri="{FF2B5EF4-FFF2-40B4-BE49-F238E27FC236}">
              <a16:creationId xmlns:a16="http://schemas.microsoft.com/office/drawing/2014/main" id="{00000000-0008-0000-0D00-0000F0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241" name="Rectangle 2">
          <a:extLst>
            <a:ext uri="{FF2B5EF4-FFF2-40B4-BE49-F238E27FC236}">
              <a16:creationId xmlns:a16="http://schemas.microsoft.com/office/drawing/2014/main" id="{00000000-0008-0000-0D00-0000F1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42" name="Rectangle 285">
          <a:extLst>
            <a:ext uri="{FF2B5EF4-FFF2-40B4-BE49-F238E27FC236}">
              <a16:creationId xmlns:a16="http://schemas.microsoft.com/office/drawing/2014/main" id="{00000000-0008-0000-0D00-0000F2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textlink="">
      <xdr:nvSpPr>
        <xdr:cNvPr id="243" name="フリーフォーム 362">
          <a:extLst>
            <a:ext uri="{FF2B5EF4-FFF2-40B4-BE49-F238E27FC236}">
              <a16:creationId xmlns:a16="http://schemas.microsoft.com/office/drawing/2014/main" id="{00000000-0008-0000-0D00-0000F3000000}"/>
            </a:ext>
          </a:extLst>
        </xdr:cNvPr>
        <xdr:cNvSpPr>
          <a:spLocks noChangeArrowheads="1"/>
        </xdr:cNvSpPr>
      </xdr:nvSpPr>
      <xdr:spPr bwMode="auto">
        <a:xfrm>
          <a:off x="723900" y="1476375"/>
          <a:ext cx="276225" cy="180975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44" name="Rectangle 2">
          <a:extLst>
            <a:ext uri="{FF2B5EF4-FFF2-40B4-BE49-F238E27FC236}">
              <a16:creationId xmlns:a16="http://schemas.microsoft.com/office/drawing/2014/main" id="{00000000-0008-0000-0D00-0000F4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104775</xdr:colOff>
      <xdr:row>97</xdr:row>
      <xdr:rowOff>104775</xdr:rowOff>
    </xdr:from>
    <xdr:to>
      <xdr:col>1</xdr:col>
      <xdr:colOff>466725</xdr:colOff>
      <xdr:row>102</xdr:row>
      <xdr:rowOff>123825</xdr:rowOff>
    </xdr:to>
    <xdr:sp textlink="">
      <xdr:nvSpPr>
        <xdr:cNvPr id="245" name="Oval 18">
          <a:extLst>
            <a:ext uri="{FF2B5EF4-FFF2-40B4-BE49-F238E27FC236}">
              <a16:creationId xmlns:a16="http://schemas.microsoft.com/office/drawing/2014/main" id="{00000000-0008-0000-0D00-0000F5000000}"/>
            </a:ext>
          </a:extLst>
        </xdr:cNvPr>
        <xdr:cNvSpPr>
          <a:spLocks noChangeArrowheads="1"/>
        </xdr:cNvSpPr>
      </xdr:nvSpPr>
      <xdr:spPr bwMode="auto">
        <a:xfrm>
          <a:off x="161925" y="894397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246" name="Oval 51">
          <a:extLst>
            <a:ext uri="{FF2B5EF4-FFF2-40B4-BE49-F238E27FC236}">
              <a16:creationId xmlns:a16="http://schemas.microsoft.com/office/drawing/2014/main" id="{00000000-0008-0000-0D00-0000F60000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textlink="">
      <xdr:nvSpPr>
        <xdr:cNvPr id="3" name="Oval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textlink="">
      <xdr:nvSpPr>
        <xdr:cNvPr id="4" name="Oval 4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5" name="Oval 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6" name="Oval 8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7" name="Oval 12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8" name="Oval 13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9" name="Rectangle 16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10" name="Oval 30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11" name="Oval 34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12" name="Oval 5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13" name="Oval 81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4" name="AutoShape 102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5" name="Rectangle 103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" name="Oval 104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7" name="AutoShape 105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8" name="Rectangle 106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" name="Oval 107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20" name="AutoShape 108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21" name="Rectangle 109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22" name="Oval 110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23" name="AutoShape 111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24" name="Rectangle 112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25" name="Oval 113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26" name="AutoShape 114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27" name="Rectangle 115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28" name="Oval 116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29" name="AutoShape 117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0" name="Rectangle 118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1" name="Oval 119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2" name="AutoShape 120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3" name="Rectangle 121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" name="Oval 122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5" name="AutoShape 123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6" name="Rectangle 124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7" name="Oval 125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8" name="AutoShape 126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9" name="Rectangle 127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40" name="Oval 128">
          <a:extLst>
            <a:ext uri="{FF2B5EF4-FFF2-40B4-BE49-F238E27FC236}">
              <a16:creationId xmlns:a16="http://schemas.microsoft.com/office/drawing/2014/main" id="{00000000-0008-0000-0E00-00002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41" name="AutoShape 129">
          <a:extLst>
            <a:ext uri="{FF2B5EF4-FFF2-40B4-BE49-F238E27FC236}">
              <a16:creationId xmlns:a16="http://schemas.microsoft.com/office/drawing/2014/main" id="{00000000-0008-0000-0E00-00002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42" name="Rectangle 130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43" name="Oval 131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44" name="AutoShape 132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45" name="Rectangle 133">
          <a:extLst>
            <a:ext uri="{FF2B5EF4-FFF2-40B4-BE49-F238E27FC236}">
              <a16:creationId xmlns:a16="http://schemas.microsoft.com/office/drawing/2014/main" id="{00000000-0008-0000-0E00-00002D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46" name="Oval 134">
          <a:extLst>
            <a:ext uri="{FF2B5EF4-FFF2-40B4-BE49-F238E27FC236}">
              <a16:creationId xmlns:a16="http://schemas.microsoft.com/office/drawing/2014/main" id="{00000000-0008-0000-0E00-00002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47" name="AutoShape 135">
          <a:extLst>
            <a:ext uri="{FF2B5EF4-FFF2-40B4-BE49-F238E27FC236}">
              <a16:creationId xmlns:a16="http://schemas.microsoft.com/office/drawing/2014/main" id="{00000000-0008-0000-0E00-00002F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48" name="Rectangle 136">
          <a:extLst>
            <a:ext uri="{FF2B5EF4-FFF2-40B4-BE49-F238E27FC236}">
              <a16:creationId xmlns:a16="http://schemas.microsoft.com/office/drawing/2014/main" id="{00000000-0008-0000-0E00-000030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49" name="Oval 137">
          <a:extLst>
            <a:ext uri="{FF2B5EF4-FFF2-40B4-BE49-F238E27FC236}">
              <a16:creationId xmlns:a16="http://schemas.microsoft.com/office/drawing/2014/main" id="{00000000-0008-0000-0E00-00003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50" name="AutoShape 138">
          <a:extLst>
            <a:ext uri="{FF2B5EF4-FFF2-40B4-BE49-F238E27FC236}">
              <a16:creationId xmlns:a16="http://schemas.microsoft.com/office/drawing/2014/main" id="{00000000-0008-0000-0E00-000032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51" name="Rectangle 139">
          <a:extLst>
            <a:ext uri="{FF2B5EF4-FFF2-40B4-BE49-F238E27FC236}">
              <a16:creationId xmlns:a16="http://schemas.microsoft.com/office/drawing/2014/main" id="{00000000-0008-0000-0E00-000033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52" name="Oval 140">
          <a:extLst>
            <a:ext uri="{FF2B5EF4-FFF2-40B4-BE49-F238E27FC236}">
              <a16:creationId xmlns:a16="http://schemas.microsoft.com/office/drawing/2014/main" id="{00000000-0008-0000-0E00-00003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53" name="Rectangle 141">
          <a:extLst>
            <a:ext uri="{FF2B5EF4-FFF2-40B4-BE49-F238E27FC236}">
              <a16:creationId xmlns:a16="http://schemas.microsoft.com/office/drawing/2014/main" id="{00000000-0008-0000-0E00-000035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54" name="AutoShape 142">
          <a:extLst>
            <a:ext uri="{FF2B5EF4-FFF2-40B4-BE49-F238E27FC236}">
              <a16:creationId xmlns:a16="http://schemas.microsoft.com/office/drawing/2014/main" id="{00000000-0008-0000-0E00-000036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55" name="Rectangle 143">
          <a:extLst>
            <a:ext uri="{FF2B5EF4-FFF2-40B4-BE49-F238E27FC236}">
              <a16:creationId xmlns:a16="http://schemas.microsoft.com/office/drawing/2014/main" id="{00000000-0008-0000-0E00-000037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56" name="Oval 144">
          <a:extLst>
            <a:ext uri="{FF2B5EF4-FFF2-40B4-BE49-F238E27FC236}">
              <a16:creationId xmlns:a16="http://schemas.microsoft.com/office/drawing/2014/main" id="{00000000-0008-0000-0E00-00003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57" name="AutoShape 145">
          <a:extLst>
            <a:ext uri="{FF2B5EF4-FFF2-40B4-BE49-F238E27FC236}">
              <a16:creationId xmlns:a16="http://schemas.microsoft.com/office/drawing/2014/main" id="{00000000-0008-0000-0E00-000039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58" name="Rectangle 146">
          <a:extLst>
            <a:ext uri="{FF2B5EF4-FFF2-40B4-BE49-F238E27FC236}">
              <a16:creationId xmlns:a16="http://schemas.microsoft.com/office/drawing/2014/main" id="{00000000-0008-0000-0E00-00003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59" name="Oval 147">
          <a:extLst>
            <a:ext uri="{FF2B5EF4-FFF2-40B4-BE49-F238E27FC236}">
              <a16:creationId xmlns:a16="http://schemas.microsoft.com/office/drawing/2014/main" id="{00000000-0008-0000-0E00-00003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60" name="AutoShape 148">
          <a:extLst>
            <a:ext uri="{FF2B5EF4-FFF2-40B4-BE49-F238E27FC236}">
              <a16:creationId xmlns:a16="http://schemas.microsoft.com/office/drawing/2014/main" id="{00000000-0008-0000-0E00-00003C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61" name="Rectangle 149">
          <a:extLst>
            <a:ext uri="{FF2B5EF4-FFF2-40B4-BE49-F238E27FC236}">
              <a16:creationId xmlns:a16="http://schemas.microsoft.com/office/drawing/2014/main" id="{00000000-0008-0000-0E00-00003D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2" name="Oval 150">
          <a:extLst>
            <a:ext uri="{FF2B5EF4-FFF2-40B4-BE49-F238E27FC236}">
              <a16:creationId xmlns:a16="http://schemas.microsoft.com/office/drawing/2014/main" id="{00000000-0008-0000-0E00-00003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3" name="Oval 151">
          <a:extLst>
            <a:ext uri="{FF2B5EF4-FFF2-40B4-BE49-F238E27FC236}">
              <a16:creationId xmlns:a16="http://schemas.microsoft.com/office/drawing/2014/main" id="{00000000-0008-0000-0E00-00003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4" name="Oval 152">
          <a:extLst>
            <a:ext uri="{FF2B5EF4-FFF2-40B4-BE49-F238E27FC236}">
              <a16:creationId xmlns:a16="http://schemas.microsoft.com/office/drawing/2014/main" id="{00000000-0008-0000-0E00-00004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5" name="Oval 153">
          <a:extLst>
            <a:ext uri="{FF2B5EF4-FFF2-40B4-BE49-F238E27FC236}">
              <a16:creationId xmlns:a16="http://schemas.microsoft.com/office/drawing/2014/main" id="{00000000-0008-0000-0E00-00004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66" name="AutoShape 154">
          <a:extLst>
            <a:ext uri="{FF2B5EF4-FFF2-40B4-BE49-F238E27FC236}">
              <a16:creationId xmlns:a16="http://schemas.microsoft.com/office/drawing/2014/main" id="{00000000-0008-0000-0E00-000042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67" name="Rectangle 155">
          <a:extLst>
            <a:ext uri="{FF2B5EF4-FFF2-40B4-BE49-F238E27FC236}">
              <a16:creationId xmlns:a16="http://schemas.microsoft.com/office/drawing/2014/main" id="{00000000-0008-0000-0E00-000043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8" name="Oval 156">
          <a:extLst>
            <a:ext uri="{FF2B5EF4-FFF2-40B4-BE49-F238E27FC236}">
              <a16:creationId xmlns:a16="http://schemas.microsoft.com/office/drawing/2014/main" id="{00000000-0008-0000-0E00-00004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69" name="Oval 157">
          <a:extLst>
            <a:ext uri="{FF2B5EF4-FFF2-40B4-BE49-F238E27FC236}">
              <a16:creationId xmlns:a16="http://schemas.microsoft.com/office/drawing/2014/main" id="{00000000-0008-0000-0E00-00004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0" name="Oval 158">
          <a:extLst>
            <a:ext uri="{FF2B5EF4-FFF2-40B4-BE49-F238E27FC236}">
              <a16:creationId xmlns:a16="http://schemas.microsoft.com/office/drawing/2014/main" id="{00000000-0008-0000-0E00-00004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1" name="Oval 159">
          <a:extLst>
            <a:ext uri="{FF2B5EF4-FFF2-40B4-BE49-F238E27FC236}">
              <a16:creationId xmlns:a16="http://schemas.microsoft.com/office/drawing/2014/main" id="{00000000-0008-0000-0E00-00004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72" name="AutoShape 160">
          <a:extLst>
            <a:ext uri="{FF2B5EF4-FFF2-40B4-BE49-F238E27FC236}">
              <a16:creationId xmlns:a16="http://schemas.microsoft.com/office/drawing/2014/main" id="{00000000-0008-0000-0E00-000048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73" name="Rectangle 161">
          <a:extLst>
            <a:ext uri="{FF2B5EF4-FFF2-40B4-BE49-F238E27FC236}">
              <a16:creationId xmlns:a16="http://schemas.microsoft.com/office/drawing/2014/main" id="{00000000-0008-0000-0E00-000049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4" name="Oval 162">
          <a:extLst>
            <a:ext uri="{FF2B5EF4-FFF2-40B4-BE49-F238E27FC236}">
              <a16:creationId xmlns:a16="http://schemas.microsoft.com/office/drawing/2014/main" id="{00000000-0008-0000-0E00-00004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5" name="Oval 163">
          <a:extLst>
            <a:ext uri="{FF2B5EF4-FFF2-40B4-BE49-F238E27FC236}">
              <a16:creationId xmlns:a16="http://schemas.microsoft.com/office/drawing/2014/main" id="{00000000-0008-0000-0E00-00004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6" name="Oval 164">
          <a:extLst>
            <a:ext uri="{FF2B5EF4-FFF2-40B4-BE49-F238E27FC236}">
              <a16:creationId xmlns:a16="http://schemas.microsoft.com/office/drawing/2014/main" id="{00000000-0008-0000-0E00-00004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77" name="Oval 165">
          <a:extLst>
            <a:ext uri="{FF2B5EF4-FFF2-40B4-BE49-F238E27FC236}">
              <a16:creationId xmlns:a16="http://schemas.microsoft.com/office/drawing/2014/main" id="{00000000-0008-0000-0E00-00004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78" name="AutoShape 166">
          <a:extLst>
            <a:ext uri="{FF2B5EF4-FFF2-40B4-BE49-F238E27FC236}">
              <a16:creationId xmlns:a16="http://schemas.microsoft.com/office/drawing/2014/main" id="{00000000-0008-0000-0E00-00004E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79" name="Rectangle 167">
          <a:extLst>
            <a:ext uri="{FF2B5EF4-FFF2-40B4-BE49-F238E27FC236}">
              <a16:creationId xmlns:a16="http://schemas.microsoft.com/office/drawing/2014/main" id="{00000000-0008-0000-0E00-00004F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0" name="Oval 168">
          <a:extLst>
            <a:ext uri="{FF2B5EF4-FFF2-40B4-BE49-F238E27FC236}">
              <a16:creationId xmlns:a16="http://schemas.microsoft.com/office/drawing/2014/main" id="{00000000-0008-0000-0E00-00005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1" name="Oval 169">
          <a:extLst>
            <a:ext uri="{FF2B5EF4-FFF2-40B4-BE49-F238E27FC236}">
              <a16:creationId xmlns:a16="http://schemas.microsoft.com/office/drawing/2014/main" id="{00000000-0008-0000-0E00-00005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2" name="Oval 170">
          <a:extLst>
            <a:ext uri="{FF2B5EF4-FFF2-40B4-BE49-F238E27FC236}">
              <a16:creationId xmlns:a16="http://schemas.microsoft.com/office/drawing/2014/main" id="{00000000-0008-0000-0E00-00005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3" name="Oval 171">
          <a:extLst>
            <a:ext uri="{FF2B5EF4-FFF2-40B4-BE49-F238E27FC236}">
              <a16:creationId xmlns:a16="http://schemas.microsoft.com/office/drawing/2014/main" id="{00000000-0008-0000-0E00-00005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84" name="AutoShape 172">
          <a:extLst>
            <a:ext uri="{FF2B5EF4-FFF2-40B4-BE49-F238E27FC236}">
              <a16:creationId xmlns:a16="http://schemas.microsoft.com/office/drawing/2014/main" id="{00000000-0008-0000-0E00-000054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85" name="Rectangle 173">
          <a:extLst>
            <a:ext uri="{FF2B5EF4-FFF2-40B4-BE49-F238E27FC236}">
              <a16:creationId xmlns:a16="http://schemas.microsoft.com/office/drawing/2014/main" id="{00000000-0008-0000-0E00-000055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6" name="Oval 174">
          <a:extLst>
            <a:ext uri="{FF2B5EF4-FFF2-40B4-BE49-F238E27FC236}">
              <a16:creationId xmlns:a16="http://schemas.microsoft.com/office/drawing/2014/main" id="{00000000-0008-0000-0E00-00005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7" name="Oval 175">
          <a:extLst>
            <a:ext uri="{FF2B5EF4-FFF2-40B4-BE49-F238E27FC236}">
              <a16:creationId xmlns:a16="http://schemas.microsoft.com/office/drawing/2014/main" id="{00000000-0008-0000-0E00-00005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8" name="Oval 176">
          <a:extLst>
            <a:ext uri="{FF2B5EF4-FFF2-40B4-BE49-F238E27FC236}">
              <a16:creationId xmlns:a16="http://schemas.microsoft.com/office/drawing/2014/main" id="{00000000-0008-0000-0E00-00005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89" name="Oval 177">
          <a:extLst>
            <a:ext uri="{FF2B5EF4-FFF2-40B4-BE49-F238E27FC236}">
              <a16:creationId xmlns:a16="http://schemas.microsoft.com/office/drawing/2014/main" id="{00000000-0008-0000-0E00-00005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90" name="AutoShape 178">
          <a:extLst>
            <a:ext uri="{FF2B5EF4-FFF2-40B4-BE49-F238E27FC236}">
              <a16:creationId xmlns:a16="http://schemas.microsoft.com/office/drawing/2014/main" id="{00000000-0008-0000-0E00-00005A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91" name="Rectangle 179">
          <a:extLst>
            <a:ext uri="{FF2B5EF4-FFF2-40B4-BE49-F238E27FC236}">
              <a16:creationId xmlns:a16="http://schemas.microsoft.com/office/drawing/2014/main" id="{00000000-0008-0000-0E00-00005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2" name="Oval 180">
          <a:extLst>
            <a:ext uri="{FF2B5EF4-FFF2-40B4-BE49-F238E27FC236}">
              <a16:creationId xmlns:a16="http://schemas.microsoft.com/office/drawing/2014/main" id="{00000000-0008-0000-0E00-00005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3" name="Oval 181">
          <a:extLst>
            <a:ext uri="{FF2B5EF4-FFF2-40B4-BE49-F238E27FC236}">
              <a16:creationId xmlns:a16="http://schemas.microsoft.com/office/drawing/2014/main" id="{00000000-0008-0000-0E00-00005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4" name="Oval 182">
          <a:extLst>
            <a:ext uri="{FF2B5EF4-FFF2-40B4-BE49-F238E27FC236}">
              <a16:creationId xmlns:a16="http://schemas.microsoft.com/office/drawing/2014/main" id="{00000000-0008-0000-0E00-00005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5" name="Oval 183">
          <a:extLst>
            <a:ext uri="{FF2B5EF4-FFF2-40B4-BE49-F238E27FC236}">
              <a16:creationId xmlns:a16="http://schemas.microsoft.com/office/drawing/2014/main" id="{00000000-0008-0000-0E00-00005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96" name="AutoShape 184">
          <a:extLst>
            <a:ext uri="{FF2B5EF4-FFF2-40B4-BE49-F238E27FC236}">
              <a16:creationId xmlns:a16="http://schemas.microsoft.com/office/drawing/2014/main" id="{00000000-0008-0000-0E00-000060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97" name="Rectangle 185">
          <a:extLst>
            <a:ext uri="{FF2B5EF4-FFF2-40B4-BE49-F238E27FC236}">
              <a16:creationId xmlns:a16="http://schemas.microsoft.com/office/drawing/2014/main" id="{00000000-0008-0000-0E00-000061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8" name="Oval 186">
          <a:extLst>
            <a:ext uri="{FF2B5EF4-FFF2-40B4-BE49-F238E27FC236}">
              <a16:creationId xmlns:a16="http://schemas.microsoft.com/office/drawing/2014/main" id="{00000000-0008-0000-0E00-00006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99" name="Oval 187">
          <a:extLst>
            <a:ext uri="{FF2B5EF4-FFF2-40B4-BE49-F238E27FC236}">
              <a16:creationId xmlns:a16="http://schemas.microsoft.com/office/drawing/2014/main" id="{00000000-0008-0000-0E00-00006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0" name="Oval 188">
          <a:extLst>
            <a:ext uri="{FF2B5EF4-FFF2-40B4-BE49-F238E27FC236}">
              <a16:creationId xmlns:a16="http://schemas.microsoft.com/office/drawing/2014/main" id="{00000000-0008-0000-0E00-00006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1" name="Oval 189">
          <a:extLst>
            <a:ext uri="{FF2B5EF4-FFF2-40B4-BE49-F238E27FC236}">
              <a16:creationId xmlns:a16="http://schemas.microsoft.com/office/drawing/2014/main" id="{00000000-0008-0000-0E00-00006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02" name="AutoShape 190">
          <a:extLst>
            <a:ext uri="{FF2B5EF4-FFF2-40B4-BE49-F238E27FC236}">
              <a16:creationId xmlns:a16="http://schemas.microsoft.com/office/drawing/2014/main" id="{00000000-0008-0000-0E00-000066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03" name="Rectangle 191">
          <a:extLst>
            <a:ext uri="{FF2B5EF4-FFF2-40B4-BE49-F238E27FC236}">
              <a16:creationId xmlns:a16="http://schemas.microsoft.com/office/drawing/2014/main" id="{00000000-0008-0000-0E00-000067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4" name="Oval 192">
          <a:extLst>
            <a:ext uri="{FF2B5EF4-FFF2-40B4-BE49-F238E27FC236}">
              <a16:creationId xmlns:a16="http://schemas.microsoft.com/office/drawing/2014/main" id="{00000000-0008-0000-0E00-00006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5" name="Oval 193">
          <a:extLst>
            <a:ext uri="{FF2B5EF4-FFF2-40B4-BE49-F238E27FC236}">
              <a16:creationId xmlns:a16="http://schemas.microsoft.com/office/drawing/2014/main" id="{00000000-0008-0000-0E00-00006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6" name="Oval 194">
          <a:extLst>
            <a:ext uri="{FF2B5EF4-FFF2-40B4-BE49-F238E27FC236}">
              <a16:creationId xmlns:a16="http://schemas.microsoft.com/office/drawing/2014/main" id="{00000000-0008-0000-0E00-00006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07" name="Oval 195">
          <a:extLst>
            <a:ext uri="{FF2B5EF4-FFF2-40B4-BE49-F238E27FC236}">
              <a16:creationId xmlns:a16="http://schemas.microsoft.com/office/drawing/2014/main" id="{00000000-0008-0000-0E00-00006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08" name="AutoShape 196">
          <a:extLst>
            <a:ext uri="{FF2B5EF4-FFF2-40B4-BE49-F238E27FC236}">
              <a16:creationId xmlns:a16="http://schemas.microsoft.com/office/drawing/2014/main" id="{00000000-0008-0000-0E00-00006C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09" name="Rectangle 197">
          <a:extLst>
            <a:ext uri="{FF2B5EF4-FFF2-40B4-BE49-F238E27FC236}">
              <a16:creationId xmlns:a16="http://schemas.microsoft.com/office/drawing/2014/main" id="{00000000-0008-0000-0E00-00006D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0" name="Oval 198">
          <a:extLst>
            <a:ext uri="{FF2B5EF4-FFF2-40B4-BE49-F238E27FC236}">
              <a16:creationId xmlns:a16="http://schemas.microsoft.com/office/drawing/2014/main" id="{00000000-0008-0000-0E00-00006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1" name="Oval 199">
          <a:extLst>
            <a:ext uri="{FF2B5EF4-FFF2-40B4-BE49-F238E27FC236}">
              <a16:creationId xmlns:a16="http://schemas.microsoft.com/office/drawing/2014/main" id="{00000000-0008-0000-0E00-00006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2" name="Oval 200">
          <a:extLst>
            <a:ext uri="{FF2B5EF4-FFF2-40B4-BE49-F238E27FC236}">
              <a16:creationId xmlns:a16="http://schemas.microsoft.com/office/drawing/2014/main" id="{00000000-0008-0000-0E00-00007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3" name="Oval 201">
          <a:extLst>
            <a:ext uri="{FF2B5EF4-FFF2-40B4-BE49-F238E27FC236}">
              <a16:creationId xmlns:a16="http://schemas.microsoft.com/office/drawing/2014/main" id="{00000000-0008-0000-0E00-00007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14" name="AutoShape 202">
          <a:extLst>
            <a:ext uri="{FF2B5EF4-FFF2-40B4-BE49-F238E27FC236}">
              <a16:creationId xmlns:a16="http://schemas.microsoft.com/office/drawing/2014/main" id="{00000000-0008-0000-0E00-000072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15" name="Rectangle 203">
          <a:extLst>
            <a:ext uri="{FF2B5EF4-FFF2-40B4-BE49-F238E27FC236}">
              <a16:creationId xmlns:a16="http://schemas.microsoft.com/office/drawing/2014/main" id="{00000000-0008-0000-0E00-000073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6" name="Oval 204">
          <a:extLst>
            <a:ext uri="{FF2B5EF4-FFF2-40B4-BE49-F238E27FC236}">
              <a16:creationId xmlns:a16="http://schemas.microsoft.com/office/drawing/2014/main" id="{00000000-0008-0000-0E00-00007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7" name="Oval 205">
          <a:extLst>
            <a:ext uri="{FF2B5EF4-FFF2-40B4-BE49-F238E27FC236}">
              <a16:creationId xmlns:a16="http://schemas.microsoft.com/office/drawing/2014/main" id="{00000000-0008-0000-0E00-00007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8" name="Oval 206">
          <a:extLst>
            <a:ext uri="{FF2B5EF4-FFF2-40B4-BE49-F238E27FC236}">
              <a16:creationId xmlns:a16="http://schemas.microsoft.com/office/drawing/2014/main" id="{00000000-0008-0000-0E00-00007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19" name="Oval 207">
          <a:extLst>
            <a:ext uri="{FF2B5EF4-FFF2-40B4-BE49-F238E27FC236}">
              <a16:creationId xmlns:a16="http://schemas.microsoft.com/office/drawing/2014/main" id="{00000000-0008-0000-0E00-00007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20" name="AutoShape 208">
          <a:extLst>
            <a:ext uri="{FF2B5EF4-FFF2-40B4-BE49-F238E27FC236}">
              <a16:creationId xmlns:a16="http://schemas.microsoft.com/office/drawing/2014/main" id="{00000000-0008-0000-0E00-000078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21" name="Rectangle 209">
          <a:extLst>
            <a:ext uri="{FF2B5EF4-FFF2-40B4-BE49-F238E27FC236}">
              <a16:creationId xmlns:a16="http://schemas.microsoft.com/office/drawing/2014/main" id="{00000000-0008-0000-0E00-000079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2" name="Oval 210">
          <a:extLst>
            <a:ext uri="{FF2B5EF4-FFF2-40B4-BE49-F238E27FC236}">
              <a16:creationId xmlns:a16="http://schemas.microsoft.com/office/drawing/2014/main" id="{00000000-0008-0000-0E00-00007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3" name="Oval 211">
          <a:extLst>
            <a:ext uri="{FF2B5EF4-FFF2-40B4-BE49-F238E27FC236}">
              <a16:creationId xmlns:a16="http://schemas.microsoft.com/office/drawing/2014/main" id="{00000000-0008-0000-0E00-00007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4" name="Oval 212">
          <a:extLst>
            <a:ext uri="{FF2B5EF4-FFF2-40B4-BE49-F238E27FC236}">
              <a16:creationId xmlns:a16="http://schemas.microsoft.com/office/drawing/2014/main" id="{00000000-0008-0000-0E00-00007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5" name="Oval 213">
          <a:extLst>
            <a:ext uri="{FF2B5EF4-FFF2-40B4-BE49-F238E27FC236}">
              <a16:creationId xmlns:a16="http://schemas.microsoft.com/office/drawing/2014/main" id="{00000000-0008-0000-0E00-00007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26" name="AutoShape 214">
          <a:extLst>
            <a:ext uri="{FF2B5EF4-FFF2-40B4-BE49-F238E27FC236}">
              <a16:creationId xmlns:a16="http://schemas.microsoft.com/office/drawing/2014/main" id="{00000000-0008-0000-0E00-00007E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27" name="Rectangle 215">
          <a:extLst>
            <a:ext uri="{FF2B5EF4-FFF2-40B4-BE49-F238E27FC236}">
              <a16:creationId xmlns:a16="http://schemas.microsoft.com/office/drawing/2014/main" id="{00000000-0008-0000-0E00-00007F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8" name="Oval 216">
          <a:extLst>
            <a:ext uri="{FF2B5EF4-FFF2-40B4-BE49-F238E27FC236}">
              <a16:creationId xmlns:a16="http://schemas.microsoft.com/office/drawing/2014/main" id="{00000000-0008-0000-0E00-00008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29" name="Oval 217">
          <a:extLst>
            <a:ext uri="{FF2B5EF4-FFF2-40B4-BE49-F238E27FC236}">
              <a16:creationId xmlns:a16="http://schemas.microsoft.com/office/drawing/2014/main" id="{00000000-0008-0000-0E00-00008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0" name="Oval 218">
          <a:extLst>
            <a:ext uri="{FF2B5EF4-FFF2-40B4-BE49-F238E27FC236}">
              <a16:creationId xmlns:a16="http://schemas.microsoft.com/office/drawing/2014/main" id="{00000000-0008-0000-0E00-00008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1" name="Oval 219">
          <a:extLst>
            <a:ext uri="{FF2B5EF4-FFF2-40B4-BE49-F238E27FC236}">
              <a16:creationId xmlns:a16="http://schemas.microsoft.com/office/drawing/2014/main" id="{00000000-0008-0000-0E00-00008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32" name="AutoShape 220">
          <a:extLst>
            <a:ext uri="{FF2B5EF4-FFF2-40B4-BE49-F238E27FC236}">
              <a16:creationId xmlns:a16="http://schemas.microsoft.com/office/drawing/2014/main" id="{00000000-0008-0000-0E00-000084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33" name="Rectangle 221">
          <a:extLst>
            <a:ext uri="{FF2B5EF4-FFF2-40B4-BE49-F238E27FC236}">
              <a16:creationId xmlns:a16="http://schemas.microsoft.com/office/drawing/2014/main" id="{00000000-0008-0000-0E00-000085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4" name="Oval 222">
          <a:extLst>
            <a:ext uri="{FF2B5EF4-FFF2-40B4-BE49-F238E27FC236}">
              <a16:creationId xmlns:a16="http://schemas.microsoft.com/office/drawing/2014/main" id="{00000000-0008-0000-0E00-00008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5" name="Oval 223">
          <a:extLst>
            <a:ext uri="{FF2B5EF4-FFF2-40B4-BE49-F238E27FC236}">
              <a16:creationId xmlns:a16="http://schemas.microsoft.com/office/drawing/2014/main" id="{00000000-0008-0000-0E00-00008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6" name="Oval 224">
          <a:extLst>
            <a:ext uri="{FF2B5EF4-FFF2-40B4-BE49-F238E27FC236}">
              <a16:creationId xmlns:a16="http://schemas.microsoft.com/office/drawing/2014/main" id="{00000000-0008-0000-0E00-00008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37" name="Oval 225">
          <a:extLst>
            <a:ext uri="{FF2B5EF4-FFF2-40B4-BE49-F238E27FC236}">
              <a16:creationId xmlns:a16="http://schemas.microsoft.com/office/drawing/2014/main" id="{00000000-0008-0000-0E00-00008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38" name="AutoShape 226">
          <a:extLst>
            <a:ext uri="{FF2B5EF4-FFF2-40B4-BE49-F238E27FC236}">
              <a16:creationId xmlns:a16="http://schemas.microsoft.com/office/drawing/2014/main" id="{00000000-0008-0000-0E00-00008A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39" name="Rectangle 227">
          <a:extLst>
            <a:ext uri="{FF2B5EF4-FFF2-40B4-BE49-F238E27FC236}">
              <a16:creationId xmlns:a16="http://schemas.microsoft.com/office/drawing/2014/main" id="{00000000-0008-0000-0E00-00008B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0" name="Oval 228">
          <a:extLst>
            <a:ext uri="{FF2B5EF4-FFF2-40B4-BE49-F238E27FC236}">
              <a16:creationId xmlns:a16="http://schemas.microsoft.com/office/drawing/2014/main" id="{00000000-0008-0000-0E00-00008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1" name="Oval 229">
          <a:extLst>
            <a:ext uri="{FF2B5EF4-FFF2-40B4-BE49-F238E27FC236}">
              <a16:creationId xmlns:a16="http://schemas.microsoft.com/office/drawing/2014/main" id="{00000000-0008-0000-0E00-00008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2" name="Oval 230">
          <a:extLst>
            <a:ext uri="{FF2B5EF4-FFF2-40B4-BE49-F238E27FC236}">
              <a16:creationId xmlns:a16="http://schemas.microsoft.com/office/drawing/2014/main" id="{00000000-0008-0000-0E00-00008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3" name="Oval 231">
          <a:extLst>
            <a:ext uri="{FF2B5EF4-FFF2-40B4-BE49-F238E27FC236}">
              <a16:creationId xmlns:a16="http://schemas.microsoft.com/office/drawing/2014/main" id="{00000000-0008-0000-0E00-00008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44" name="AutoShape 232">
          <a:extLst>
            <a:ext uri="{FF2B5EF4-FFF2-40B4-BE49-F238E27FC236}">
              <a16:creationId xmlns:a16="http://schemas.microsoft.com/office/drawing/2014/main" id="{00000000-0008-0000-0E00-000090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45" name="Rectangle 233">
          <a:extLst>
            <a:ext uri="{FF2B5EF4-FFF2-40B4-BE49-F238E27FC236}">
              <a16:creationId xmlns:a16="http://schemas.microsoft.com/office/drawing/2014/main" id="{00000000-0008-0000-0E00-000091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6" name="Oval 234">
          <a:extLst>
            <a:ext uri="{FF2B5EF4-FFF2-40B4-BE49-F238E27FC236}">
              <a16:creationId xmlns:a16="http://schemas.microsoft.com/office/drawing/2014/main" id="{00000000-0008-0000-0E00-00009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7" name="Oval 235">
          <a:extLst>
            <a:ext uri="{FF2B5EF4-FFF2-40B4-BE49-F238E27FC236}">
              <a16:creationId xmlns:a16="http://schemas.microsoft.com/office/drawing/2014/main" id="{00000000-0008-0000-0E00-00009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8" name="Oval 236">
          <a:extLst>
            <a:ext uri="{FF2B5EF4-FFF2-40B4-BE49-F238E27FC236}">
              <a16:creationId xmlns:a16="http://schemas.microsoft.com/office/drawing/2014/main" id="{00000000-0008-0000-0E00-00009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49" name="Oval 237">
          <a:extLst>
            <a:ext uri="{FF2B5EF4-FFF2-40B4-BE49-F238E27FC236}">
              <a16:creationId xmlns:a16="http://schemas.microsoft.com/office/drawing/2014/main" id="{00000000-0008-0000-0E00-00009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50" name="AutoShape 238">
          <a:extLst>
            <a:ext uri="{FF2B5EF4-FFF2-40B4-BE49-F238E27FC236}">
              <a16:creationId xmlns:a16="http://schemas.microsoft.com/office/drawing/2014/main" id="{00000000-0008-0000-0E00-000096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51" name="Rectangle 239">
          <a:extLst>
            <a:ext uri="{FF2B5EF4-FFF2-40B4-BE49-F238E27FC236}">
              <a16:creationId xmlns:a16="http://schemas.microsoft.com/office/drawing/2014/main" id="{00000000-0008-0000-0E00-000097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2" name="Oval 240">
          <a:extLst>
            <a:ext uri="{FF2B5EF4-FFF2-40B4-BE49-F238E27FC236}">
              <a16:creationId xmlns:a16="http://schemas.microsoft.com/office/drawing/2014/main" id="{00000000-0008-0000-0E00-00009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3" name="Oval 241">
          <a:extLst>
            <a:ext uri="{FF2B5EF4-FFF2-40B4-BE49-F238E27FC236}">
              <a16:creationId xmlns:a16="http://schemas.microsoft.com/office/drawing/2014/main" id="{00000000-0008-0000-0E00-00009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4" name="Oval 242">
          <a:extLst>
            <a:ext uri="{FF2B5EF4-FFF2-40B4-BE49-F238E27FC236}">
              <a16:creationId xmlns:a16="http://schemas.microsoft.com/office/drawing/2014/main" id="{00000000-0008-0000-0E00-00009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5" name="Oval 243">
          <a:extLst>
            <a:ext uri="{FF2B5EF4-FFF2-40B4-BE49-F238E27FC236}">
              <a16:creationId xmlns:a16="http://schemas.microsoft.com/office/drawing/2014/main" id="{00000000-0008-0000-0E00-00009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56" name="AutoShape 244">
          <a:extLst>
            <a:ext uri="{FF2B5EF4-FFF2-40B4-BE49-F238E27FC236}">
              <a16:creationId xmlns:a16="http://schemas.microsoft.com/office/drawing/2014/main" id="{00000000-0008-0000-0E00-00009C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57" name="Rectangle 245">
          <a:extLst>
            <a:ext uri="{FF2B5EF4-FFF2-40B4-BE49-F238E27FC236}">
              <a16:creationId xmlns:a16="http://schemas.microsoft.com/office/drawing/2014/main" id="{00000000-0008-0000-0E00-00009D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8" name="Oval 246">
          <a:extLst>
            <a:ext uri="{FF2B5EF4-FFF2-40B4-BE49-F238E27FC236}">
              <a16:creationId xmlns:a16="http://schemas.microsoft.com/office/drawing/2014/main" id="{00000000-0008-0000-0E00-00009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59" name="Oval 247">
          <a:extLst>
            <a:ext uri="{FF2B5EF4-FFF2-40B4-BE49-F238E27FC236}">
              <a16:creationId xmlns:a16="http://schemas.microsoft.com/office/drawing/2014/main" id="{00000000-0008-0000-0E00-00009F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0" name="Oval 248">
          <a:extLst>
            <a:ext uri="{FF2B5EF4-FFF2-40B4-BE49-F238E27FC236}">
              <a16:creationId xmlns:a16="http://schemas.microsoft.com/office/drawing/2014/main" id="{00000000-0008-0000-0E00-0000A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1" name="Oval 249">
          <a:extLst>
            <a:ext uri="{FF2B5EF4-FFF2-40B4-BE49-F238E27FC236}">
              <a16:creationId xmlns:a16="http://schemas.microsoft.com/office/drawing/2014/main" id="{00000000-0008-0000-0E00-0000A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62" name="AutoShape 250">
          <a:extLst>
            <a:ext uri="{FF2B5EF4-FFF2-40B4-BE49-F238E27FC236}">
              <a16:creationId xmlns:a16="http://schemas.microsoft.com/office/drawing/2014/main" id="{00000000-0008-0000-0E00-0000A2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63" name="Rectangle 251">
          <a:extLst>
            <a:ext uri="{FF2B5EF4-FFF2-40B4-BE49-F238E27FC236}">
              <a16:creationId xmlns:a16="http://schemas.microsoft.com/office/drawing/2014/main" id="{00000000-0008-0000-0E00-0000A3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4" name="Oval 252">
          <a:extLst>
            <a:ext uri="{FF2B5EF4-FFF2-40B4-BE49-F238E27FC236}">
              <a16:creationId xmlns:a16="http://schemas.microsoft.com/office/drawing/2014/main" id="{00000000-0008-0000-0E00-0000A4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5" name="Oval 253">
          <a:extLst>
            <a:ext uri="{FF2B5EF4-FFF2-40B4-BE49-F238E27FC236}">
              <a16:creationId xmlns:a16="http://schemas.microsoft.com/office/drawing/2014/main" id="{00000000-0008-0000-0E00-0000A5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6" name="Oval 254">
          <a:extLst>
            <a:ext uri="{FF2B5EF4-FFF2-40B4-BE49-F238E27FC236}">
              <a16:creationId xmlns:a16="http://schemas.microsoft.com/office/drawing/2014/main" id="{00000000-0008-0000-0E00-0000A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67" name="Oval 255">
          <a:extLst>
            <a:ext uri="{FF2B5EF4-FFF2-40B4-BE49-F238E27FC236}">
              <a16:creationId xmlns:a16="http://schemas.microsoft.com/office/drawing/2014/main" id="{00000000-0008-0000-0E00-0000A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68" name="AutoShape 256">
          <a:extLst>
            <a:ext uri="{FF2B5EF4-FFF2-40B4-BE49-F238E27FC236}">
              <a16:creationId xmlns:a16="http://schemas.microsoft.com/office/drawing/2014/main" id="{00000000-0008-0000-0E00-0000A8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69" name="Rectangle 257">
          <a:extLst>
            <a:ext uri="{FF2B5EF4-FFF2-40B4-BE49-F238E27FC236}">
              <a16:creationId xmlns:a16="http://schemas.microsoft.com/office/drawing/2014/main" id="{00000000-0008-0000-0E00-0000A9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0" name="Oval 258">
          <a:extLst>
            <a:ext uri="{FF2B5EF4-FFF2-40B4-BE49-F238E27FC236}">
              <a16:creationId xmlns:a16="http://schemas.microsoft.com/office/drawing/2014/main" id="{00000000-0008-0000-0E00-0000AA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1" name="Oval 259">
          <a:extLst>
            <a:ext uri="{FF2B5EF4-FFF2-40B4-BE49-F238E27FC236}">
              <a16:creationId xmlns:a16="http://schemas.microsoft.com/office/drawing/2014/main" id="{00000000-0008-0000-0E00-0000A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2" name="Oval 260">
          <a:extLst>
            <a:ext uri="{FF2B5EF4-FFF2-40B4-BE49-F238E27FC236}">
              <a16:creationId xmlns:a16="http://schemas.microsoft.com/office/drawing/2014/main" id="{00000000-0008-0000-0E00-0000A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3" name="Oval 261">
          <a:extLst>
            <a:ext uri="{FF2B5EF4-FFF2-40B4-BE49-F238E27FC236}">
              <a16:creationId xmlns:a16="http://schemas.microsoft.com/office/drawing/2014/main" id="{00000000-0008-0000-0E00-0000A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74" name="AutoShape 262">
          <a:extLst>
            <a:ext uri="{FF2B5EF4-FFF2-40B4-BE49-F238E27FC236}">
              <a16:creationId xmlns:a16="http://schemas.microsoft.com/office/drawing/2014/main" id="{00000000-0008-0000-0E00-0000AE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75" name="Rectangle 263">
          <a:extLst>
            <a:ext uri="{FF2B5EF4-FFF2-40B4-BE49-F238E27FC236}">
              <a16:creationId xmlns:a16="http://schemas.microsoft.com/office/drawing/2014/main" id="{00000000-0008-0000-0E00-0000AF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6" name="Oval 264">
          <a:extLst>
            <a:ext uri="{FF2B5EF4-FFF2-40B4-BE49-F238E27FC236}">
              <a16:creationId xmlns:a16="http://schemas.microsoft.com/office/drawing/2014/main" id="{00000000-0008-0000-0E00-0000B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7" name="Oval 265">
          <a:extLst>
            <a:ext uri="{FF2B5EF4-FFF2-40B4-BE49-F238E27FC236}">
              <a16:creationId xmlns:a16="http://schemas.microsoft.com/office/drawing/2014/main" id="{00000000-0008-0000-0E00-0000B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8" name="Oval 266">
          <a:extLst>
            <a:ext uri="{FF2B5EF4-FFF2-40B4-BE49-F238E27FC236}">
              <a16:creationId xmlns:a16="http://schemas.microsoft.com/office/drawing/2014/main" id="{00000000-0008-0000-0E00-0000B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79" name="Oval 267">
          <a:extLst>
            <a:ext uri="{FF2B5EF4-FFF2-40B4-BE49-F238E27FC236}">
              <a16:creationId xmlns:a16="http://schemas.microsoft.com/office/drawing/2014/main" id="{00000000-0008-0000-0E00-0000B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180" name="AutoShape 268">
          <a:extLst>
            <a:ext uri="{FF2B5EF4-FFF2-40B4-BE49-F238E27FC236}">
              <a16:creationId xmlns:a16="http://schemas.microsoft.com/office/drawing/2014/main" id="{00000000-0008-0000-0E00-0000B40000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81" name="Rectangle 269">
          <a:extLst>
            <a:ext uri="{FF2B5EF4-FFF2-40B4-BE49-F238E27FC236}">
              <a16:creationId xmlns:a16="http://schemas.microsoft.com/office/drawing/2014/main" id="{00000000-0008-0000-0E00-0000B5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2" name="Oval 270">
          <a:extLst>
            <a:ext uri="{FF2B5EF4-FFF2-40B4-BE49-F238E27FC236}">
              <a16:creationId xmlns:a16="http://schemas.microsoft.com/office/drawing/2014/main" id="{00000000-0008-0000-0E00-0000B6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3" name="Oval 271">
          <a:extLst>
            <a:ext uri="{FF2B5EF4-FFF2-40B4-BE49-F238E27FC236}">
              <a16:creationId xmlns:a16="http://schemas.microsoft.com/office/drawing/2014/main" id="{00000000-0008-0000-0E00-0000B7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4" name="Oval 272">
          <a:extLst>
            <a:ext uri="{FF2B5EF4-FFF2-40B4-BE49-F238E27FC236}">
              <a16:creationId xmlns:a16="http://schemas.microsoft.com/office/drawing/2014/main" id="{00000000-0008-0000-0E00-0000B8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5" name="Oval 273">
          <a:extLst>
            <a:ext uri="{FF2B5EF4-FFF2-40B4-BE49-F238E27FC236}">
              <a16:creationId xmlns:a16="http://schemas.microsoft.com/office/drawing/2014/main" id="{00000000-0008-0000-0E00-0000B9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86" name="Rectangle 274">
          <a:extLst>
            <a:ext uri="{FF2B5EF4-FFF2-40B4-BE49-F238E27FC236}">
              <a16:creationId xmlns:a16="http://schemas.microsoft.com/office/drawing/2014/main" id="{00000000-0008-0000-0E00-0000BA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7" name="Oval 275">
          <a:extLst>
            <a:ext uri="{FF2B5EF4-FFF2-40B4-BE49-F238E27FC236}">
              <a16:creationId xmlns:a16="http://schemas.microsoft.com/office/drawing/2014/main" id="{00000000-0008-0000-0E00-0000BB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8" name="Oval 276">
          <a:extLst>
            <a:ext uri="{FF2B5EF4-FFF2-40B4-BE49-F238E27FC236}">
              <a16:creationId xmlns:a16="http://schemas.microsoft.com/office/drawing/2014/main" id="{00000000-0008-0000-0E00-0000BC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89" name="Oval 277">
          <a:extLst>
            <a:ext uri="{FF2B5EF4-FFF2-40B4-BE49-F238E27FC236}">
              <a16:creationId xmlns:a16="http://schemas.microsoft.com/office/drawing/2014/main" id="{00000000-0008-0000-0E00-0000BD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0" name="Oval 278">
          <a:extLst>
            <a:ext uri="{FF2B5EF4-FFF2-40B4-BE49-F238E27FC236}">
              <a16:creationId xmlns:a16="http://schemas.microsoft.com/office/drawing/2014/main" id="{00000000-0008-0000-0E00-0000BE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191" name="Rectangle 279">
          <a:extLst>
            <a:ext uri="{FF2B5EF4-FFF2-40B4-BE49-F238E27FC236}">
              <a16:creationId xmlns:a16="http://schemas.microsoft.com/office/drawing/2014/main" id="{00000000-0008-0000-0E00-0000BF0000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2" name="Oval 280">
          <a:extLst>
            <a:ext uri="{FF2B5EF4-FFF2-40B4-BE49-F238E27FC236}">
              <a16:creationId xmlns:a16="http://schemas.microsoft.com/office/drawing/2014/main" id="{00000000-0008-0000-0E00-0000C0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3" name="Oval 281">
          <a:extLst>
            <a:ext uri="{FF2B5EF4-FFF2-40B4-BE49-F238E27FC236}">
              <a16:creationId xmlns:a16="http://schemas.microsoft.com/office/drawing/2014/main" id="{00000000-0008-0000-0E00-0000C1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4" name="Oval 282">
          <a:extLst>
            <a:ext uri="{FF2B5EF4-FFF2-40B4-BE49-F238E27FC236}">
              <a16:creationId xmlns:a16="http://schemas.microsoft.com/office/drawing/2014/main" id="{00000000-0008-0000-0E00-0000C2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195" name="Oval 283">
          <a:extLst>
            <a:ext uri="{FF2B5EF4-FFF2-40B4-BE49-F238E27FC236}">
              <a16:creationId xmlns:a16="http://schemas.microsoft.com/office/drawing/2014/main" id="{00000000-0008-0000-0E00-0000C30000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196" name="Rectangle 285">
          <a:extLst>
            <a:ext uri="{FF2B5EF4-FFF2-40B4-BE49-F238E27FC236}">
              <a16:creationId xmlns:a16="http://schemas.microsoft.com/office/drawing/2014/main" id="{00000000-0008-0000-0E00-0000C40000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197" name="Rectangle 287">
          <a:extLst>
            <a:ext uri="{FF2B5EF4-FFF2-40B4-BE49-F238E27FC236}">
              <a16:creationId xmlns:a16="http://schemas.microsoft.com/office/drawing/2014/main" id="{00000000-0008-0000-0E00-0000C50000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198" name="Rectangle 289">
          <a:extLst>
            <a:ext uri="{FF2B5EF4-FFF2-40B4-BE49-F238E27FC236}">
              <a16:creationId xmlns:a16="http://schemas.microsoft.com/office/drawing/2014/main" id="{00000000-0008-0000-0E00-0000C60000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199" name="Rectangle 291">
          <a:extLst>
            <a:ext uri="{FF2B5EF4-FFF2-40B4-BE49-F238E27FC236}">
              <a16:creationId xmlns:a16="http://schemas.microsoft.com/office/drawing/2014/main" id="{00000000-0008-0000-0E00-0000C70000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200" name="Rectangle 293">
          <a:extLst>
            <a:ext uri="{FF2B5EF4-FFF2-40B4-BE49-F238E27FC236}">
              <a16:creationId xmlns:a16="http://schemas.microsoft.com/office/drawing/2014/main" id="{00000000-0008-0000-0E00-0000C80000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01" name="Rectangle 295">
          <a:extLst>
            <a:ext uri="{FF2B5EF4-FFF2-40B4-BE49-F238E27FC236}">
              <a16:creationId xmlns:a16="http://schemas.microsoft.com/office/drawing/2014/main" id="{00000000-0008-0000-0E00-0000C9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02" name="Rectangle 297">
          <a:extLst>
            <a:ext uri="{FF2B5EF4-FFF2-40B4-BE49-F238E27FC236}">
              <a16:creationId xmlns:a16="http://schemas.microsoft.com/office/drawing/2014/main" id="{00000000-0008-0000-0E00-0000CA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03" name="Rectangle 299">
          <a:extLst>
            <a:ext uri="{FF2B5EF4-FFF2-40B4-BE49-F238E27FC236}">
              <a16:creationId xmlns:a16="http://schemas.microsoft.com/office/drawing/2014/main" id="{00000000-0008-0000-0E00-0000CB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04" name="Rectangle 301">
          <a:extLst>
            <a:ext uri="{FF2B5EF4-FFF2-40B4-BE49-F238E27FC236}">
              <a16:creationId xmlns:a16="http://schemas.microsoft.com/office/drawing/2014/main" id="{00000000-0008-0000-0E00-0000CC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05" name="Rectangle 303">
          <a:extLst>
            <a:ext uri="{FF2B5EF4-FFF2-40B4-BE49-F238E27FC236}">
              <a16:creationId xmlns:a16="http://schemas.microsoft.com/office/drawing/2014/main" id="{00000000-0008-0000-0E00-0000CD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06" name="Rectangle 305">
          <a:extLst>
            <a:ext uri="{FF2B5EF4-FFF2-40B4-BE49-F238E27FC236}">
              <a16:creationId xmlns:a16="http://schemas.microsoft.com/office/drawing/2014/main" id="{00000000-0008-0000-0E00-0000CE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207" name="Rectangle 307">
          <a:extLst>
            <a:ext uri="{FF2B5EF4-FFF2-40B4-BE49-F238E27FC236}">
              <a16:creationId xmlns:a16="http://schemas.microsoft.com/office/drawing/2014/main" id="{00000000-0008-0000-0E00-0000CF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17</xdr:row>
      <xdr:rowOff>180975</xdr:rowOff>
    </xdr:from>
    <xdr:to>
      <xdr:col>3</xdr:col>
      <xdr:colOff>171450</xdr:colOff>
      <xdr:row>22</xdr:row>
      <xdr:rowOff>19050</xdr:rowOff>
    </xdr:to>
    <xdr:sp textlink="">
      <xdr:nvSpPr>
        <xdr:cNvPr id="208" name="フリーフォーム 311">
          <a:extLst>
            <a:ext uri="{FF2B5EF4-FFF2-40B4-BE49-F238E27FC236}">
              <a16:creationId xmlns:a16="http://schemas.microsoft.com/office/drawing/2014/main" id="{00000000-0008-0000-0E00-0000D0000000}"/>
            </a:ext>
          </a:extLst>
        </xdr:cNvPr>
        <xdr:cNvSpPr>
          <a:spLocks noChangeArrowheads="1"/>
        </xdr:cNvSpPr>
      </xdr:nvSpPr>
      <xdr:spPr bwMode="auto">
        <a:xfrm>
          <a:off x="723900" y="2162175"/>
          <a:ext cx="276225" cy="180975"/>
        </a:xfrm>
        <a:custGeom>
          <a:avLst/>
          <a:gdLst>
            <a:gd name="T0" fmla="*/ 0 w 272143"/>
            <a:gd name="T1" fmla="*/ 0 h 185057"/>
            <a:gd name="T2" fmla="*/ 376291 w 272143"/>
            <a:gd name="T3" fmla="*/ 0 h 185057"/>
            <a:gd name="T4" fmla="*/ 531232 w 272143"/>
            <a:gd name="T5" fmla="*/ 26713 h 185057"/>
            <a:gd name="T6" fmla="*/ 553367 w 272143"/>
            <a:gd name="T7" fmla="*/ 30523 h 185057"/>
            <a:gd name="T8" fmla="*/ 376291 w 272143"/>
            <a:gd name="T9" fmla="*/ 64866 h 185057"/>
            <a:gd name="T10" fmla="*/ 11069 w 272143"/>
            <a:gd name="T11" fmla="*/ 64866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25</xdr:row>
      <xdr:rowOff>180975</xdr:rowOff>
    </xdr:from>
    <xdr:to>
      <xdr:col>4</xdr:col>
      <xdr:colOff>9525</xdr:colOff>
      <xdr:row>30</xdr:row>
      <xdr:rowOff>28575</xdr:rowOff>
    </xdr:to>
    <xdr:sp textlink="">
      <xdr:nvSpPr>
        <xdr:cNvPr id="209" name="フリーフォーム 312">
          <a:extLst>
            <a:ext uri="{FF2B5EF4-FFF2-40B4-BE49-F238E27FC236}">
              <a16:creationId xmlns:a16="http://schemas.microsoft.com/office/drawing/2014/main" id="{00000000-0008-0000-0E00-0000D1000000}"/>
            </a:ext>
          </a:extLst>
        </xdr:cNvPr>
        <xdr:cNvSpPr>
          <a:spLocks noChangeArrowheads="1"/>
        </xdr:cNvSpPr>
      </xdr:nvSpPr>
      <xdr:spPr bwMode="auto">
        <a:xfrm>
          <a:off x="742950" y="2847975"/>
          <a:ext cx="276225" cy="190500"/>
        </a:xfrm>
        <a:custGeom>
          <a:avLst/>
          <a:gdLst>
            <a:gd name="T0" fmla="*/ 0 w 272143"/>
            <a:gd name="T1" fmla="*/ 0 h 185057"/>
            <a:gd name="T2" fmla="*/ 389763 w 272143"/>
            <a:gd name="T3" fmla="*/ 0 h 185057"/>
            <a:gd name="T4" fmla="*/ 550255 w 272143"/>
            <a:gd name="T5" fmla="*/ 288631 h 185057"/>
            <a:gd name="T6" fmla="*/ 573181 w 272143"/>
            <a:gd name="T7" fmla="*/ 329868 h 185057"/>
            <a:gd name="T8" fmla="*/ 389763 w 272143"/>
            <a:gd name="T9" fmla="*/ 700980 h 185057"/>
            <a:gd name="T10" fmla="*/ 11462 w 272143"/>
            <a:gd name="T11" fmla="*/ 700980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34</xdr:row>
      <xdr:rowOff>0</xdr:rowOff>
    </xdr:from>
    <xdr:to>
      <xdr:col>4</xdr:col>
      <xdr:colOff>9525</xdr:colOff>
      <xdr:row>38</xdr:row>
      <xdr:rowOff>28575</xdr:rowOff>
    </xdr:to>
    <xdr:sp textlink="">
      <xdr:nvSpPr>
        <xdr:cNvPr id="210" name="フリーフォーム 313">
          <a:extLst>
            <a:ext uri="{FF2B5EF4-FFF2-40B4-BE49-F238E27FC236}">
              <a16:creationId xmlns:a16="http://schemas.microsoft.com/office/drawing/2014/main" id="{00000000-0008-0000-0E00-0000D2000000}"/>
            </a:ext>
          </a:extLst>
        </xdr:cNvPr>
        <xdr:cNvSpPr>
          <a:spLocks noChangeArrowheads="1"/>
        </xdr:cNvSpPr>
      </xdr:nvSpPr>
      <xdr:spPr bwMode="auto">
        <a:xfrm>
          <a:off x="742950" y="3543300"/>
          <a:ext cx="276225" cy="180975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5864 h 185057"/>
            <a:gd name="T6" fmla="*/ 557791 w 272143"/>
            <a:gd name="T7" fmla="*/ 29559 h 185057"/>
            <a:gd name="T8" fmla="*/ 379294 w 272143"/>
            <a:gd name="T9" fmla="*/ 62811 h 185057"/>
            <a:gd name="T10" fmla="*/ 11155 w 272143"/>
            <a:gd name="T11" fmla="*/ 62811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41</xdr:row>
      <xdr:rowOff>180975</xdr:rowOff>
    </xdr:from>
    <xdr:to>
      <xdr:col>3</xdr:col>
      <xdr:colOff>180975</xdr:colOff>
      <xdr:row>46</xdr:row>
      <xdr:rowOff>28575</xdr:rowOff>
    </xdr:to>
    <xdr:sp textlink="">
      <xdr:nvSpPr>
        <xdr:cNvPr id="211" name="フリーフォーム 314">
          <a:extLst>
            <a:ext uri="{FF2B5EF4-FFF2-40B4-BE49-F238E27FC236}">
              <a16:creationId xmlns:a16="http://schemas.microsoft.com/office/drawing/2014/main" id="{00000000-0008-0000-0E00-0000D3000000}"/>
            </a:ext>
          </a:extLst>
        </xdr:cNvPr>
        <xdr:cNvSpPr>
          <a:spLocks noChangeArrowheads="1"/>
        </xdr:cNvSpPr>
      </xdr:nvSpPr>
      <xdr:spPr bwMode="auto">
        <a:xfrm>
          <a:off x="733425" y="42195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49</xdr:row>
      <xdr:rowOff>180975</xdr:rowOff>
    </xdr:from>
    <xdr:to>
      <xdr:col>3</xdr:col>
      <xdr:colOff>180975</xdr:colOff>
      <xdr:row>54</xdr:row>
      <xdr:rowOff>28575</xdr:rowOff>
    </xdr:to>
    <xdr:sp textlink="">
      <xdr:nvSpPr>
        <xdr:cNvPr id="212" name="フリーフォーム 315">
          <a:extLst>
            <a:ext uri="{FF2B5EF4-FFF2-40B4-BE49-F238E27FC236}">
              <a16:creationId xmlns:a16="http://schemas.microsoft.com/office/drawing/2014/main" id="{00000000-0008-0000-0E00-0000D4000000}"/>
            </a:ext>
          </a:extLst>
        </xdr:cNvPr>
        <xdr:cNvSpPr>
          <a:spLocks noChangeArrowheads="1"/>
        </xdr:cNvSpPr>
      </xdr:nvSpPr>
      <xdr:spPr bwMode="auto">
        <a:xfrm>
          <a:off x="733425" y="4905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57</xdr:row>
      <xdr:rowOff>171450</xdr:rowOff>
    </xdr:from>
    <xdr:to>
      <xdr:col>3</xdr:col>
      <xdr:colOff>180975</xdr:colOff>
      <xdr:row>62</xdr:row>
      <xdr:rowOff>19050</xdr:rowOff>
    </xdr:to>
    <xdr:sp textlink="">
      <xdr:nvSpPr>
        <xdr:cNvPr id="213" name="フリーフォーム 316">
          <a:extLst>
            <a:ext uri="{FF2B5EF4-FFF2-40B4-BE49-F238E27FC236}">
              <a16:creationId xmlns:a16="http://schemas.microsoft.com/office/drawing/2014/main" id="{00000000-0008-0000-0E00-0000D5000000}"/>
            </a:ext>
          </a:extLst>
        </xdr:cNvPr>
        <xdr:cNvSpPr>
          <a:spLocks noChangeArrowheads="1"/>
        </xdr:cNvSpPr>
      </xdr:nvSpPr>
      <xdr:spPr bwMode="auto">
        <a:xfrm>
          <a:off x="733425" y="55816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65</xdr:row>
      <xdr:rowOff>171450</xdr:rowOff>
    </xdr:from>
    <xdr:to>
      <xdr:col>3</xdr:col>
      <xdr:colOff>171450</xdr:colOff>
      <xdr:row>70</xdr:row>
      <xdr:rowOff>19050</xdr:rowOff>
    </xdr:to>
    <xdr:sp textlink="">
      <xdr:nvSpPr>
        <xdr:cNvPr id="214" name="フリーフォーム 317">
          <a:extLst>
            <a:ext uri="{FF2B5EF4-FFF2-40B4-BE49-F238E27FC236}">
              <a16:creationId xmlns:a16="http://schemas.microsoft.com/office/drawing/2014/main" id="{00000000-0008-0000-0E00-0000D6000000}"/>
            </a:ext>
          </a:extLst>
        </xdr:cNvPr>
        <xdr:cNvSpPr>
          <a:spLocks noChangeArrowheads="1"/>
        </xdr:cNvSpPr>
      </xdr:nvSpPr>
      <xdr:spPr bwMode="auto">
        <a:xfrm>
          <a:off x="723900" y="6267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81</xdr:row>
      <xdr:rowOff>171450</xdr:rowOff>
    </xdr:from>
    <xdr:to>
      <xdr:col>3</xdr:col>
      <xdr:colOff>180975</xdr:colOff>
      <xdr:row>86</xdr:row>
      <xdr:rowOff>19050</xdr:rowOff>
    </xdr:to>
    <xdr:sp textlink="">
      <xdr:nvSpPr>
        <xdr:cNvPr id="215" name="フリーフォーム 319">
          <a:extLst>
            <a:ext uri="{FF2B5EF4-FFF2-40B4-BE49-F238E27FC236}">
              <a16:creationId xmlns:a16="http://schemas.microsoft.com/office/drawing/2014/main" id="{00000000-0008-0000-0E00-0000D7000000}"/>
            </a:ext>
          </a:extLst>
        </xdr:cNvPr>
        <xdr:cNvSpPr>
          <a:spLocks noChangeArrowheads="1"/>
        </xdr:cNvSpPr>
      </xdr:nvSpPr>
      <xdr:spPr bwMode="auto">
        <a:xfrm>
          <a:off x="733425" y="76390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89</xdr:row>
      <xdr:rowOff>180975</xdr:rowOff>
    </xdr:from>
    <xdr:to>
      <xdr:col>3</xdr:col>
      <xdr:colOff>171450</xdr:colOff>
      <xdr:row>94</xdr:row>
      <xdr:rowOff>28575</xdr:rowOff>
    </xdr:to>
    <xdr:sp textlink="">
      <xdr:nvSpPr>
        <xdr:cNvPr id="216" name="フリーフォーム 320">
          <a:extLst>
            <a:ext uri="{FF2B5EF4-FFF2-40B4-BE49-F238E27FC236}">
              <a16:creationId xmlns:a16="http://schemas.microsoft.com/office/drawing/2014/main" id="{00000000-0008-0000-0E00-0000D8000000}"/>
            </a:ext>
          </a:extLst>
        </xdr:cNvPr>
        <xdr:cNvSpPr>
          <a:spLocks noChangeArrowheads="1"/>
        </xdr:cNvSpPr>
      </xdr:nvSpPr>
      <xdr:spPr bwMode="auto">
        <a:xfrm>
          <a:off x="723900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217" name="フリーフォーム 321">
          <a:extLst>
            <a:ext uri="{FF2B5EF4-FFF2-40B4-BE49-F238E27FC236}">
              <a16:creationId xmlns:a16="http://schemas.microsoft.com/office/drawing/2014/main" id="{00000000-0008-0000-0E00-0000D90000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105</xdr:row>
      <xdr:rowOff>171450</xdr:rowOff>
    </xdr:from>
    <xdr:to>
      <xdr:col>3</xdr:col>
      <xdr:colOff>180975</xdr:colOff>
      <xdr:row>110</xdr:row>
      <xdr:rowOff>19050</xdr:rowOff>
    </xdr:to>
    <xdr:sp textlink="">
      <xdr:nvSpPr>
        <xdr:cNvPr id="218" name="フリーフォーム 322">
          <a:extLst>
            <a:ext uri="{FF2B5EF4-FFF2-40B4-BE49-F238E27FC236}">
              <a16:creationId xmlns:a16="http://schemas.microsoft.com/office/drawing/2014/main" id="{00000000-0008-0000-0E00-0000DA000000}"/>
            </a:ext>
          </a:extLst>
        </xdr:cNvPr>
        <xdr:cNvSpPr>
          <a:spLocks noChangeArrowheads="1"/>
        </xdr:cNvSpPr>
      </xdr:nvSpPr>
      <xdr:spPr bwMode="auto">
        <a:xfrm>
          <a:off x="733425" y="9696450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219" name="Rectangle 2">
          <a:extLst>
            <a:ext uri="{FF2B5EF4-FFF2-40B4-BE49-F238E27FC236}">
              <a16:creationId xmlns:a16="http://schemas.microsoft.com/office/drawing/2014/main" id="{00000000-0008-0000-0E00-0000DB0000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220" name="Rectangle 2">
          <a:extLst>
            <a:ext uri="{FF2B5EF4-FFF2-40B4-BE49-F238E27FC236}">
              <a16:creationId xmlns:a16="http://schemas.microsoft.com/office/drawing/2014/main" id="{00000000-0008-0000-0E00-0000DC0000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221" name="Rectangle 2">
          <a:extLst>
            <a:ext uri="{FF2B5EF4-FFF2-40B4-BE49-F238E27FC236}">
              <a16:creationId xmlns:a16="http://schemas.microsoft.com/office/drawing/2014/main" id="{00000000-0008-0000-0E00-0000DD0000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222" name="Rectangle 2">
          <a:extLst>
            <a:ext uri="{FF2B5EF4-FFF2-40B4-BE49-F238E27FC236}">
              <a16:creationId xmlns:a16="http://schemas.microsoft.com/office/drawing/2014/main" id="{00000000-0008-0000-0E00-0000DE0000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223" name="Rectangle 2">
          <a:extLst>
            <a:ext uri="{FF2B5EF4-FFF2-40B4-BE49-F238E27FC236}">
              <a16:creationId xmlns:a16="http://schemas.microsoft.com/office/drawing/2014/main" id="{00000000-0008-0000-0E00-0000DF0000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24" name="Rectangle 293">
          <a:extLst>
            <a:ext uri="{FF2B5EF4-FFF2-40B4-BE49-F238E27FC236}">
              <a16:creationId xmlns:a16="http://schemas.microsoft.com/office/drawing/2014/main" id="{00000000-0008-0000-0E00-0000E0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225" name="Rectangle 2">
          <a:extLst>
            <a:ext uri="{FF2B5EF4-FFF2-40B4-BE49-F238E27FC236}">
              <a16:creationId xmlns:a16="http://schemas.microsoft.com/office/drawing/2014/main" id="{00000000-0008-0000-0E00-0000E10000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26" name="Rectangle 293">
          <a:extLst>
            <a:ext uri="{FF2B5EF4-FFF2-40B4-BE49-F238E27FC236}">
              <a16:creationId xmlns:a16="http://schemas.microsoft.com/office/drawing/2014/main" id="{00000000-0008-0000-0E00-0000E2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227" name="Rectangle 2">
          <a:extLst>
            <a:ext uri="{FF2B5EF4-FFF2-40B4-BE49-F238E27FC236}">
              <a16:creationId xmlns:a16="http://schemas.microsoft.com/office/drawing/2014/main" id="{00000000-0008-0000-0E00-0000E30000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28" name="Rectangle 293">
          <a:extLst>
            <a:ext uri="{FF2B5EF4-FFF2-40B4-BE49-F238E27FC236}">
              <a16:creationId xmlns:a16="http://schemas.microsoft.com/office/drawing/2014/main" id="{00000000-0008-0000-0E00-0000E4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73</xdr:row>
      <xdr:rowOff>180975</xdr:rowOff>
    </xdr:from>
    <xdr:to>
      <xdr:col>4</xdr:col>
      <xdr:colOff>0</xdr:colOff>
      <xdr:row>78</xdr:row>
      <xdr:rowOff>28575</xdr:rowOff>
    </xdr:to>
    <xdr:sp textlink="">
      <xdr:nvSpPr>
        <xdr:cNvPr id="229" name="フリーフォーム 342">
          <a:extLst>
            <a:ext uri="{FF2B5EF4-FFF2-40B4-BE49-F238E27FC236}">
              <a16:creationId xmlns:a16="http://schemas.microsoft.com/office/drawing/2014/main" id="{00000000-0008-0000-0E00-0000E5000000}"/>
            </a:ext>
          </a:extLst>
        </xdr:cNvPr>
        <xdr:cNvSpPr>
          <a:spLocks noChangeArrowheads="1"/>
        </xdr:cNvSpPr>
      </xdr:nvSpPr>
      <xdr:spPr bwMode="auto">
        <a:xfrm>
          <a:off x="733425" y="69627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230" name="Rectangle 2">
          <a:extLst>
            <a:ext uri="{FF2B5EF4-FFF2-40B4-BE49-F238E27FC236}">
              <a16:creationId xmlns:a16="http://schemas.microsoft.com/office/drawing/2014/main" id="{00000000-0008-0000-0E00-0000E60000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31" name="Rectangle 293">
          <a:extLst>
            <a:ext uri="{FF2B5EF4-FFF2-40B4-BE49-F238E27FC236}">
              <a16:creationId xmlns:a16="http://schemas.microsoft.com/office/drawing/2014/main" id="{00000000-0008-0000-0E00-0000E7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232" name="Rectangle 2">
          <a:extLst>
            <a:ext uri="{FF2B5EF4-FFF2-40B4-BE49-F238E27FC236}">
              <a16:creationId xmlns:a16="http://schemas.microsoft.com/office/drawing/2014/main" id="{00000000-0008-0000-0E00-0000E80000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33" name="Rectangle 293">
          <a:extLst>
            <a:ext uri="{FF2B5EF4-FFF2-40B4-BE49-F238E27FC236}">
              <a16:creationId xmlns:a16="http://schemas.microsoft.com/office/drawing/2014/main" id="{00000000-0008-0000-0E00-0000E9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89</xdr:row>
      <xdr:rowOff>180975</xdr:rowOff>
    </xdr:from>
    <xdr:to>
      <xdr:col>3</xdr:col>
      <xdr:colOff>180975</xdr:colOff>
      <xdr:row>94</xdr:row>
      <xdr:rowOff>28575</xdr:rowOff>
    </xdr:to>
    <xdr:sp textlink="">
      <xdr:nvSpPr>
        <xdr:cNvPr id="234" name="フリーフォーム 350">
          <a:extLst>
            <a:ext uri="{FF2B5EF4-FFF2-40B4-BE49-F238E27FC236}">
              <a16:creationId xmlns:a16="http://schemas.microsoft.com/office/drawing/2014/main" id="{00000000-0008-0000-0E00-0000EA000000}"/>
            </a:ext>
          </a:extLst>
        </xdr:cNvPr>
        <xdr:cNvSpPr>
          <a:spLocks noChangeArrowheads="1"/>
        </xdr:cNvSpPr>
      </xdr:nvSpPr>
      <xdr:spPr bwMode="auto">
        <a:xfrm>
          <a:off x="733425" y="83343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235" name="Rectangle 2">
          <a:extLst>
            <a:ext uri="{FF2B5EF4-FFF2-40B4-BE49-F238E27FC236}">
              <a16:creationId xmlns:a16="http://schemas.microsoft.com/office/drawing/2014/main" id="{00000000-0008-0000-0E00-0000EB0000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36" name="Rectangle 293">
          <a:extLst>
            <a:ext uri="{FF2B5EF4-FFF2-40B4-BE49-F238E27FC236}">
              <a16:creationId xmlns:a16="http://schemas.microsoft.com/office/drawing/2014/main" id="{00000000-0008-0000-0E00-0000EC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85725</xdr:colOff>
      <xdr:row>97</xdr:row>
      <xdr:rowOff>180975</xdr:rowOff>
    </xdr:from>
    <xdr:to>
      <xdr:col>3</xdr:col>
      <xdr:colOff>180975</xdr:colOff>
      <xdr:row>102</xdr:row>
      <xdr:rowOff>28575</xdr:rowOff>
    </xdr:to>
    <xdr:sp textlink="">
      <xdr:nvSpPr>
        <xdr:cNvPr id="237" name="フリーフォーム 354">
          <a:extLst>
            <a:ext uri="{FF2B5EF4-FFF2-40B4-BE49-F238E27FC236}">
              <a16:creationId xmlns:a16="http://schemas.microsoft.com/office/drawing/2014/main" id="{00000000-0008-0000-0E00-0000ED000000}"/>
            </a:ext>
          </a:extLst>
        </xdr:cNvPr>
        <xdr:cNvSpPr>
          <a:spLocks noChangeArrowheads="1"/>
        </xdr:cNvSpPr>
      </xdr:nvSpPr>
      <xdr:spPr bwMode="auto">
        <a:xfrm>
          <a:off x="733425" y="9020175"/>
          <a:ext cx="276225" cy="190500"/>
        </a:xfrm>
        <a:custGeom>
          <a:avLst/>
          <a:gdLst>
            <a:gd name="T0" fmla="*/ 0 w 272143"/>
            <a:gd name="T1" fmla="*/ 0 h 185057"/>
            <a:gd name="T2" fmla="*/ 379294 w 272143"/>
            <a:gd name="T3" fmla="*/ 0 h 185057"/>
            <a:gd name="T4" fmla="*/ 535482 w 272143"/>
            <a:gd name="T5" fmla="*/ 288192 h 185057"/>
            <a:gd name="T6" fmla="*/ 557791 w 272143"/>
            <a:gd name="T7" fmla="*/ 329357 h 185057"/>
            <a:gd name="T8" fmla="*/ 379294 w 272143"/>
            <a:gd name="T9" fmla="*/ 699898 h 185057"/>
            <a:gd name="T10" fmla="*/ 11155 w 272143"/>
            <a:gd name="T11" fmla="*/ 69989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238" name="Rectangle 2">
          <a:extLst>
            <a:ext uri="{FF2B5EF4-FFF2-40B4-BE49-F238E27FC236}">
              <a16:creationId xmlns:a16="http://schemas.microsoft.com/office/drawing/2014/main" id="{00000000-0008-0000-0E00-0000EE0000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239" name="Rectangle 293">
          <a:extLst>
            <a:ext uri="{FF2B5EF4-FFF2-40B4-BE49-F238E27FC236}">
              <a16:creationId xmlns:a16="http://schemas.microsoft.com/office/drawing/2014/main" id="{00000000-0008-0000-0E00-0000EF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240" name="Rectangle 2">
          <a:extLst>
            <a:ext uri="{FF2B5EF4-FFF2-40B4-BE49-F238E27FC236}">
              <a16:creationId xmlns:a16="http://schemas.microsoft.com/office/drawing/2014/main" id="{00000000-0008-0000-0E00-0000F00000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41" name="Rectangle 285">
          <a:extLst>
            <a:ext uri="{FF2B5EF4-FFF2-40B4-BE49-F238E27FC236}">
              <a16:creationId xmlns:a16="http://schemas.microsoft.com/office/drawing/2014/main" id="{00000000-0008-0000-0E00-0000F1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76200</xdr:colOff>
      <xdr:row>9</xdr:row>
      <xdr:rowOff>180975</xdr:rowOff>
    </xdr:from>
    <xdr:to>
      <xdr:col>3</xdr:col>
      <xdr:colOff>171450</xdr:colOff>
      <xdr:row>14</xdr:row>
      <xdr:rowOff>19050</xdr:rowOff>
    </xdr:to>
    <xdr:sp textlink="">
      <xdr:nvSpPr>
        <xdr:cNvPr id="242" name="フリーフォーム 362">
          <a:extLst>
            <a:ext uri="{FF2B5EF4-FFF2-40B4-BE49-F238E27FC236}">
              <a16:creationId xmlns:a16="http://schemas.microsoft.com/office/drawing/2014/main" id="{00000000-0008-0000-0E00-0000F2000000}"/>
            </a:ext>
          </a:extLst>
        </xdr:cNvPr>
        <xdr:cNvSpPr>
          <a:spLocks noChangeArrowheads="1"/>
        </xdr:cNvSpPr>
      </xdr:nvSpPr>
      <xdr:spPr bwMode="auto">
        <a:xfrm>
          <a:off x="723900" y="1476375"/>
          <a:ext cx="276225" cy="180975"/>
        </a:xfrm>
        <a:custGeom>
          <a:avLst/>
          <a:gdLst>
            <a:gd name="T0" fmla="*/ 0 w 272143"/>
            <a:gd name="T1" fmla="*/ 0 h 185057"/>
            <a:gd name="T2" fmla="*/ 375600 w 272143"/>
            <a:gd name="T3" fmla="*/ 0 h 185057"/>
            <a:gd name="T4" fmla="*/ 530258 w 272143"/>
            <a:gd name="T5" fmla="*/ 27868 h 185057"/>
            <a:gd name="T6" fmla="*/ 552358 w 272143"/>
            <a:gd name="T7" fmla="*/ 31847 h 185057"/>
            <a:gd name="T8" fmla="*/ 375600 w 272143"/>
            <a:gd name="T9" fmla="*/ 67678 h 185057"/>
            <a:gd name="T10" fmla="*/ 11051 w 272143"/>
            <a:gd name="T11" fmla="*/ 67678 h 18505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72143"/>
            <a:gd name="T19" fmla="*/ 0 h 185057"/>
            <a:gd name="T20" fmla="*/ 272143 w 272143"/>
            <a:gd name="T21" fmla="*/ 185057 h 185057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72143" h="185057">
              <a:moveTo>
                <a:pt x="0" y="0"/>
              </a:moveTo>
              <a:lnTo>
                <a:pt x="185057" y="0"/>
              </a:lnTo>
              <a:lnTo>
                <a:pt x="261257" y="76200"/>
              </a:lnTo>
              <a:lnTo>
                <a:pt x="272143" y="87086"/>
              </a:lnTo>
              <a:lnTo>
                <a:pt x="185057" y="185057"/>
              </a:lnTo>
              <a:lnTo>
                <a:pt x="5443" y="185057"/>
              </a:lnTo>
            </a:path>
          </a:pathLst>
        </a:cu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243" name="Rectangle 2">
          <a:extLst>
            <a:ext uri="{FF2B5EF4-FFF2-40B4-BE49-F238E27FC236}">
              <a16:creationId xmlns:a16="http://schemas.microsoft.com/office/drawing/2014/main" id="{00000000-0008-0000-0E00-0000F30000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104775</xdr:colOff>
      <xdr:row>97</xdr:row>
      <xdr:rowOff>104775</xdr:rowOff>
    </xdr:from>
    <xdr:to>
      <xdr:col>1</xdr:col>
      <xdr:colOff>466725</xdr:colOff>
      <xdr:row>102</xdr:row>
      <xdr:rowOff>123825</xdr:rowOff>
    </xdr:to>
    <xdr:sp textlink="">
      <xdr:nvSpPr>
        <xdr:cNvPr id="244" name="Oval 18">
          <a:extLst>
            <a:ext uri="{FF2B5EF4-FFF2-40B4-BE49-F238E27FC236}">
              <a16:creationId xmlns:a16="http://schemas.microsoft.com/office/drawing/2014/main" id="{00000000-0008-0000-0E00-0000F4000000}"/>
            </a:ext>
          </a:extLst>
        </xdr:cNvPr>
        <xdr:cNvSpPr>
          <a:spLocks noChangeArrowheads="1"/>
        </xdr:cNvSpPr>
      </xdr:nvSpPr>
      <xdr:spPr bwMode="auto">
        <a:xfrm>
          <a:off x="161925" y="894397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245" name="Oval 51">
          <a:extLst>
            <a:ext uri="{FF2B5EF4-FFF2-40B4-BE49-F238E27FC236}">
              <a16:creationId xmlns:a16="http://schemas.microsoft.com/office/drawing/2014/main" id="{00000000-0008-0000-0E00-0000F50000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104775</xdr:colOff>
      <xdr:row>105</xdr:row>
      <xdr:rowOff>104775</xdr:rowOff>
    </xdr:from>
    <xdr:to>
      <xdr:col>1</xdr:col>
      <xdr:colOff>466725</xdr:colOff>
      <xdr:row>110</xdr:row>
      <xdr:rowOff>123825</xdr:rowOff>
    </xdr:to>
    <xdr:sp textlink="">
      <xdr:nvSpPr>
        <xdr:cNvPr id="246" name="Oval 18">
          <a:extLst>
            <a:ext uri="{FF2B5EF4-FFF2-40B4-BE49-F238E27FC236}">
              <a16:creationId xmlns:a16="http://schemas.microsoft.com/office/drawing/2014/main" id="{00000000-0008-0000-0E00-0000F6000000}"/>
            </a:ext>
          </a:extLst>
        </xdr:cNvPr>
        <xdr:cNvSpPr>
          <a:spLocks noChangeArrowheads="1"/>
        </xdr:cNvSpPr>
      </xdr:nvSpPr>
      <xdr:spPr bwMode="auto">
        <a:xfrm>
          <a:off x="161925" y="962977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9</xdr:row>
      <xdr:rowOff>104775</xdr:rowOff>
    </xdr:from>
    <xdr:to>
      <xdr:col>4</xdr:col>
      <xdr:colOff>9525</xdr:colOff>
      <xdr:row>14</xdr:row>
      <xdr:rowOff>85725</xdr:rowOff>
    </xdr:to>
    <xdr:sp textlink="">
      <xdr:nvSpPr>
        <xdr:cNvPr id="347521" name="AutoShape 1">
          <a:extLst>
            <a:ext uri="{FF2B5EF4-FFF2-40B4-BE49-F238E27FC236}">
              <a16:creationId xmlns:a16="http://schemas.microsoft.com/office/drawing/2014/main" id="{00000000-0008-0000-0F00-0000814D0500}"/>
            </a:ext>
          </a:extLst>
        </xdr:cNvPr>
        <xdr:cNvSpPr>
          <a:spLocks noChangeArrowheads="1"/>
        </xdr:cNvSpPr>
      </xdr:nvSpPr>
      <xdr:spPr bwMode="auto">
        <a:xfrm>
          <a:off x="676275" y="14001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347522" name="Rectangle 2">
          <a:extLst>
            <a:ext uri="{FF2B5EF4-FFF2-40B4-BE49-F238E27FC236}">
              <a16:creationId xmlns:a16="http://schemas.microsoft.com/office/drawing/2014/main" id="{00000000-0008-0000-0F00-0000824D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textlink="">
      <xdr:nvSpPr>
        <xdr:cNvPr id="347523" name="Oval 3">
          <a:extLst>
            <a:ext uri="{FF2B5EF4-FFF2-40B4-BE49-F238E27FC236}">
              <a16:creationId xmlns:a16="http://schemas.microsoft.com/office/drawing/2014/main" id="{00000000-0008-0000-0F00-0000834D05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textlink="">
      <xdr:nvSpPr>
        <xdr:cNvPr id="347524" name="Oval 4">
          <a:extLst>
            <a:ext uri="{FF2B5EF4-FFF2-40B4-BE49-F238E27FC236}">
              <a16:creationId xmlns:a16="http://schemas.microsoft.com/office/drawing/2014/main" id="{00000000-0008-0000-0F00-0000844D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7525" name="Oval 5">
          <a:extLst>
            <a:ext uri="{FF2B5EF4-FFF2-40B4-BE49-F238E27FC236}">
              <a16:creationId xmlns:a16="http://schemas.microsoft.com/office/drawing/2014/main" id="{00000000-0008-0000-0F00-0000854D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7526" name="Oval 6">
          <a:extLst>
            <a:ext uri="{FF2B5EF4-FFF2-40B4-BE49-F238E27FC236}">
              <a16:creationId xmlns:a16="http://schemas.microsoft.com/office/drawing/2014/main" id="{00000000-0008-0000-0F00-0000864D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7527" name="Oval 7">
          <a:extLst>
            <a:ext uri="{FF2B5EF4-FFF2-40B4-BE49-F238E27FC236}">
              <a16:creationId xmlns:a16="http://schemas.microsoft.com/office/drawing/2014/main" id="{00000000-0008-0000-0F00-0000874D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7528" name="Oval 8">
          <a:extLst>
            <a:ext uri="{FF2B5EF4-FFF2-40B4-BE49-F238E27FC236}">
              <a16:creationId xmlns:a16="http://schemas.microsoft.com/office/drawing/2014/main" id="{00000000-0008-0000-0F00-0000884D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7529" name="Oval 9">
          <a:extLst>
            <a:ext uri="{FF2B5EF4-FFF2-40B4-BE49-F238E27FC236}">
              <a16:creationId xmlns:a16="http://schemas.microsoft.com/office/drawing/2014/main" id="{00000000-0008-0000-0F00-0000894D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7530" name="Oval 10">
          <a:extLst>
            <a:ext uri="{FF2B5EF4-FFF2-40B4-BE49-F238E27FC236}">
              <a16:creationId xmlns:a16="http://schemas.microsoft.com/office/drawing/2014/main" id="{00000000-0008-0000-0F00-00008A4D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7531" name="Oval 11">
          <a:extLst>
            <a:ext uri="{FF2B5EF4-FFF2-40B4-BE49-F238E27FC236}">
              <a16:creationId xmlns:a16="http://schemas.microsoft.com/office/drawing/2014/main" id="{00000000-0008-0000-0F00-00008B4D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7532" name="Oval 12">
          <a:extLst>
            <a:ext uri="{FF2B5EF4-FFF2-40B4-BE49-F238E27FC236}">
              <a16:creationId xmlns:a16="http://schemas.microsoft.com/office/drawing/2014/main" id="{00000000-0008-0000-0F00-00008C4D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7533" name="Oval 13">
          <a:extLst>
            <a:ext uri="{FF2B5EF4-FFF2-40B4-BE49-F238E27FC236}">
              <a16:creationId xmlns:a16="http://schemas.microsoft.com/office/drawing/2014/main" id="{00000000-0008-0000-0F00-00008D4D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7534" name="Oval 14">
          <a:extLst>
            <a:ext uri="{FF2B5EF4-FFF2-40B4-BE49-F238E27FC236}">
              <a16:creationId xmlns:a16="http://schemas.microsoft.com/office/drawing/2014/main" id="{00000000-0008-0000-0F00-00008E4D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47535" name="Oval 15">
          <a:extLst>
            <a:ext uri="{FF2B5EF4-FFF2-40B4-BE49-F238E27FC236}">
              <a16:creationId xmlns:a16="http://schemas.microsoft.com/office/drawing/2014/main" id="{00000000-0008-0000-0F00-00008F4D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347536" name="Rectangle 16">
          <a:extLst>
            <a:ext uri="{FF2B5EF4-FFF2-40B4-BE49-F238E27FC236}">
              <a16:creationId xmlns:a16="http://schemas.microsoft.com/office/drawing/2014/main" id="{00000000-0008-0000-0F00-0000904D05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347537" name="Oval 17">
          <a:extLst>
            <a:ext uri="{FF2B5EF4-FFF2-40B4-BE49-F238E27FC236}">
              <a16:creationId xmlns:a16="http://schemas.microsoft.com/office/drawing/2014/main" id="{00000000-0008-0000-0F00-0000914D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105</xdr:row>
      <xdr:rowOff>85725</xdr:rowOff>
    </xdr:from>
    <xdr:to>
      <xdr:col>1</xdr:col>
      <xdr:colOff>476250</xdr:colOff>
      <xdr:row>110</xdr:row>
      <xdr:rowOff>104775</xdr:rowOff>
    </xdr:to>
    <xdr:sp textlink="">
      <xdr:nvSpPr>
        <xdr:cNvPr id="347538" name="Oval 18">
          <a:extLst>
            <a:ext uri="{FF2B5EF4-FFF2-40B4-BE49-F238E27FC236}">
              <a16:creationId xmlns:a16="http://schemas.microsoft.com/office/drawing/2014/main" id="{00000000-0008-0000-0F00-0000924D0500}"/>
            </a:ext>
          </a:extLst>
        </xdr:cNvPr>
        <xdr:cNvSpPr>
          <a:spLocks noChangeArrowheads="1"/>
        </xdr:cNvSpPr>
      </xdr:nvSpPr>
      <xdr:spPr bwMode="auto">
        <a:xfrm>
          <a:off x="171450" y="9610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textlink="">
      <xdr:nvSpPr>
        <xdr:cNvPr id="347539" name="Oval 19">
          <a:extLst>
            <a:ext uri="{FF2B5EF4-FFF2-40B4-BE49-F238E27FC236}">
              <a16:creationId xmlns:a16="http://schemas.microsoft.com/office/drawing/2014/main" id="{00000000-0008-0000-0F00-0000934D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textlink="">
      <xdr:nvSpPr>
        <xdr:cNvPr id="347540" name="Oval 20">
          <a:extLst>
            <a:ext uri="{FF2B5EF4-FFF2-40B4-BE49-F238E27FC236}">
              <a16:creationId xmlns:a16="http://schemas.microsoft.com/office/drawing/2014/main" id="{00000000-0008-0000-0F00-0000944D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textlink="">
      <xdr:nvSpPr>
        <xdr:cNvPr id="347541" name="Oval 21">
          <a:extLst>
            <a:ext uri="{FF2B5EF4-FFF2-40B4-BE49-F238E27FC236}">
              <a16:creationId xmlns:a16="http://schemas.microsoft.com/office/drawing/2014/main" id="{00000000-0008-0000-0F00-0000954D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7542" name="Oval 22">
          <a:extLst>
            <a:ext uri="{FF2B5EF4-FFF2-40B4-BE49-F238E27FC236}">
              <a16:creationId xmlns:a16="http://schemas.microsoft.com/office/drawing/2014/main" id="{00000000-0008-0000-0F00-0000964D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7543" name="Oval 23">
          <a:extLst>
            <a:ext uri="{FF2B5EF4-FFF2-40B4-BE49-F238E27FC236}">
              <a16:creationId xmlns:a16="http://schemas.microsoft.com/office/drawing/2014/main" id="{00000000-0008-0000-0F00-0000974D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7544" name="Oval 24">
          <a:extLst>
            <a:ext uri="{FF2B5EF4-FFF2-40B4-BE49-F238E27FC236}">
              <a16:creationId xmlns:a16="http://schemas.microsoft.com/office/drawing/2014/main" id="{00000000-0008-0000-0F00-0000984D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7545" name="Oval 25">
          <a:extLst>
            <a:ext uri="{FF2B5EF4-FFF2-40B4-BE49-F238E27FC236}">
              <a16:creationId xmlns:a16="http://schemas.microsoft.com/office/drawing/2014/main" id="{00000000-0008-0000-0F00-0000994D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7546" name="Oval 26">
          <a:extLst>
            <a:ext uri="{FF2B5EF4-FFF2-40B4-BE49-F238E27FC236}">
              <a16:creationId xmlns:a16="http://schemas.microsoft.com/office/drawing/2014/main" id="{00000000-0008-0000-0F00-00009A4D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7547" name="Oval 27">
          <a:extLst>
            <a:ext uri="{FF2B5EF4-FFF2-40B4-BE49-F238E27FC236}">
              <a16:creationId xmlns:a16="http://schemas.microsoft.com/office/drawing/2014/main" id="{00000000-0008-0000-0F00-00009B4D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7548" name="Oval 28">
          <a:extLst>
            <a:ext uri="{FF2B5EF4-FFF2-40B4-BE49-F238E27FC236}">
              <a16:creationId xmlns:a16="http://schemas.microsoft.com/office/drawing/2014/main" id="{00000000-0008-0000-0F00-00009C4D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7549" name="Oval 29">
          <a:extLst>
            <a:ext uri="{FF2B5EF4-FFF2-40B4-BE49-F238E27FC236}">
              <a16:creationId xmlns:a16="http://schemas.microsoft.com/office/drawing/2014/main" id="{00000000-0008-0000-0F00-00009D4D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7550" name="Oval 30">
          <a:extLst>
            <a:ext uri="{FF2B5EF4-FFF2-40B4-BE49-F238E27FC236}">
              <a16:creationId xmlns:a16="http://schemas.microsoft.com/office/drawing/2014/main" id="{00000000-0008-0000-0F00-00009E4D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7551" name="Oval 31">
          <a:extLst>
            <a:ext uri="{FF2B5EF4-FFF2-40B4-BE49-F238E27FC236}">
              <a16:creationId xmlns:a16="http://schemas.microsoft.com/office/drawing/2014/main" id="{00000000-0008-0000-0F00-00009F4D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7552" name="Oval 32">
          <a:extLst>
            <a:ext uri="{FF2B5EF4-FFF2-40B4-BE49-F238E27FC236}">
              <a16:creationId xmlns:a16="http://schemas.microsoft.com/office/drawing/2014/main" id="{00000000-0008-0000-0F00-0000A04D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7553" name="Oval 33">
          <a:extLst>
            <a:ext uri="{FF2B5EF4-FFF2-40B4-BE49-F238E27FC236}">
              <a16:creationId xmlns:a16="http://schemas.microsoft.com/office/drawing/2014/main" id="{00000000-0008-0000-0F00-0000A14D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7554" name="Oval 34">
          <a:extLst>
            <a:ext uri="{FF2B5EF4-FFF2-40B4-BE49-F238E27FC236}">
              <a16:creationId xmlns:a16="http://schemas.microsoft.com/office/drawing/2014/main" id="{00000000-0008-0000-0F00-0000A24D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7555" name="Oval 35">
          <a:extLst>
            <a:ext uri="{FF2B5EF4-FFF2-40B4-BE49-F238E27FC236}">
              <a16:creationId xmlns:a16="http://schemas.microsoft.com/office/drawing/2014/main" id="{00000000-0008-0000-0F00-0000A34D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7556" name="Oval 36">
          <a:extLst>
            <a:ext uri="{FF2B5EF4-FFF2-40B4-BE49-F238E27FC236}">
              <a16:creationId xmlns:a16="http://schemas.microsoft.com/office/drawing/2014/main" id="{00000000-0008-0000-0F00-0000A44D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7557" name="Oval 37">
          <a:extLst>
            <a:ext uri="{FF2B5EF4-FFF2-40B4-BE49-F238E27FC236}">
              <a16:creationId xmlns:a16="http://schemas.microsoft.com/office/drawing/2014/main" id="{00000000-0008-0000-0F00-0000A54D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7558" name="Oval 38">
          <a:extLst>
            <a:ext uri="{FF2B5EF4-FFF2-40B4-BE49-F238E27FC236}">
              <a16:creationId xmlns:a16="http://schemas.microsoft.com/office/drawing/2014/main" id="{00000000-0008-0000-0F00-0000A64D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7559" name="Oval 39">
          <a:extLst>
            <a:ext uri="{FF2B5EF4-FFF2-40B4-BE49-F238E27FC236}">
              <a16:creationId xmlns:a16="http://schemas.microsoft.com/office/drawing/2014/main" id="{00000000-0008-0000-0F00-0000A74D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7560" name="Oval 40">
          <a:extLst>
            <a:ext uri="{FF2B5EF4-FFF2-40B4-BE49-F238E27FC236}">
              <a16:creationId xmlns:a16="http://schemas.microsoft.com/office/drawing/2014/main" id="{00000000-0008-0000-0F00-0000A84D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7561" name="Oval 41">
          <a:extLst>
            <a:ext uri="{FF2B5EF4-FFF2-40B4-BE49-F238E27FC236}">
              <a16:creationId xmlns:a16="http://schemas.microsoft.com/office/drawing/2014/main" id="{00000000-0008-0000-0F00-0000A94D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7562" name="Oval 42">
          <a:extLst>
            <a:ext uri="{FF2B5EF4-FFF2-40B4-BE49-F238E27FC236}">
              <a16:creationId xmlns:a16="http://schemas.microsoft.com/office/drawing/2014/main" id="{00000000-0008-0000-0F00-0000AA4D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7563" name="Oval 43">
          <a:extLst>
            <a:ext uri="{FF2B5EF4-FFF2-40B4-BE49-F238E27FC236}">
              <a16:creationId xmlns:a16="http://schemas.microsoft.com/office/drawing/2014/main" id="{00000000-0008-0000-0F00-0000AB4D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7564" name="Oval 44">
          <a:extLst>
            <a:ext uri="{FF2B5EF4-FFF2-40B4-BE49-F238E27FC236}">
              <a16:creationId xmlns:a16="http://schemas.microsoft.com/office/drawing/2014/main" id="{00000000-0008-0000-0F00-0000AC4D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7565" name="Oval 45">
          <a:extLst>
            <a:ext uri="{FF2B5EF4-FFF2-40B4-BE49-F238E27FC236}">
              <a16:creationId xmlns:a16="http://schemas.microsoft.com/office/drawing/2014/main" id="{00000000-0008-0000-0F00-0000AD4D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7566" name="Oval 46">
          <a:extLst>
            <a:ext uri="{FF2B5EF4-FFF2-40B4-BE49-F238E27FC236}">
              <a16:creationId xmlns:a16="http://schemas.microsoft.com/office/drawing/2014/main" id="{00000000-0008-0000-0F00-0000AE4D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7567" name="Oval 47">
          <a:extLst>
            <a:ext uri="{FF2B5EF4-FFF2-40B4-BE49-F238E27FC236}">
              <a16:creationId xmlns:a16="http://schemas.microsoft.com/office/drawing/2014/main" id="{00000000-0008-0000-0F00-0000AF4D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7568" name="Oval 48">
          <a:extLst>
            <a:ext uri="{FF2B5EF4-FFF2-40B4-BE49-F238E27FC236}">
              <a16:creationId xmlns:a16="http://schemas.microsoft.com/office/drawing/2014/main" id="{00000000-0008-0000-0F00-0000B04D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7569" name="Oval 49">
          <a:extLst>
            <a:ext uri="{FF2B5EF4-FFF2-40B4-BE49-F238E27FC236}">
              <a16:creationId xmlns:a16="http://schemas.microsoft.com/office/drawing/2014/main" id="{00000000-0008-0000-0F00-0000B14D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7570" name="Oval 50">
          <a:extLst>
            <a:ext uri="{FF2B5EF4-FFF2-40B4-BE49-F238E27FC236}">
              <a16:creationId xmlns:a16="http://schemas.microsoft.com/office/drawing/2014/main" id="{00000000-0008-0000-0F00-0000B24D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7571" name="Oval 51">
          <a:extLst>
            <a:ext uri="{FF2B5EF4-FFF2-40B4-BE49-F238E27FC236}">
              <a16:creationId xmlns:a16="http://schemas.microsoft.com/office/drawing/2014/main" id="{00000000-0008-0000-0F00-0000B34D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7572" name="Oval 52">
          <a:extLst>
            <a:ext uri="{FF2B5EF4-FFF2-40B4-BE49-F238E27FC236}">
              <a16:creationId xmlns:a16="http://schemas.microsoft.com/office/drawing/2014/main" id="{00000000-0008-0000-0F00-0000B44D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7573" name="Oval 53">
          <a:extLst>
            <a:ext uri="{FF2B5EF4-FFF2-40B4-BE49-F238E27FC236}">
              <a16:creationId xmlns:a16="http://schemas.microsoft.com/office/drawing/2014/main" id="{00000000-0008-0000-0F00-0000B54D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47574" name="Oval 54">
          <a:extLst>
            <a:ext uri="{FF2B5EF4-FFF2-40B4-BE49-F238E27FC236}">
              <a16:creationId xmlns:a16="http://schemas.microsoft.com/office/drawing/2014/main" id="{00000000-0008-0000-0F00-0000B64D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47575" name="Oval 55">
          <a:extLst>
            <a:ext uri="{FF2B5EF4-FFF2-40B4-BE49-F238E27FC236}">
              <a16:creationId xmlns:a16="http://schemas.microsoft.com/office/drawing/2014/main" id="{00000000-0008-0000-0F00-0000B74D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47576" name="Oval 56">
          <a:extLst>
            <a:ext uri="{FF2B5EF4-FFF2-40B4-BE49-F238E27FC236}">
              <a16:creationId xmlns:a16="http://schemas.microsoft.com/office/drawing/2014/main" id="{00000000-0008-0000-0F00-0000B84D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47577" name="Oval 57">
          <a:extLst>
            <a:ext uri="{FF2B5EF4-FFF2-40B4-BE49-F238E27FC236}">
              <a16:creationId xmlns:a16="http://schemas.microsoft.com/office/drawing/2014/main" id="{00000000-0008-0000-0F00-0000B94D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347578" name="Oval 58">
          <a:extLst>
            <a:ext uri="{FF2B5EF4-FFF2-40B4-BE49-F238E27FC236}">
              <a16:creationId xmlns:a16="http://schemas.microsoft.com/office/drawing/2014/main" id="{00000000-0008-0000-0F00-0000BA4D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347579" name="Oval 59">
          <a:extLst>
            <a:ext uri="{FF2B5EF4-FFF2-40B4-BE49-F238E27FC236}">
              <a16:creationId xmlns:a16="http://schemas.microsoft.com/office/drawing/2014/main" id="{00000000-0008-0000-0F00-0000BB4D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347580" name="Oval 60">
          <a:extLst>
            <a:ext uri="{FF2B5EF4-FFF2-40B4-BE49-F238E27FC236}">
              <a16:creationId xmlns:a16="http://schemas.microsoft.com/office/drawing/2014/main" id="{00000000-0008-0000-0F00-0000BC4D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347581" name="Oval 61">
          <a:extLst>
            <a:ext uri="{FF2B5EF4-FFF2-40B4-BE49-F238E27FC236}">
              <a16:creationId xmlns:a16="http://schemas.microsoft.com/office/drawing/2014/main" id="{00000000-0008-0000-0F00-0000BD4D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7582" name="Oval 62">
          <a:extLst>
            <a:ext uri="{FF2B5EF4-FFF2-40B4-BE49-F238E27FC236}">
              <a16:creationId xmlns:a16="http://schemas.microsoft.com/office/drawing/2014/main" id="{00000000-0008-0000-0F00-0000BE4D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7583" name="Oval 63">
          <a:extLst>
            <a:ext uri="{FF2B5EF4-FFF2-40B4-BE49-F238E27FC236}">
              <a16:creationId xmlns:a16="http://schemas.microsoft.com/office/drawing/2014/main" id="{00000000-0008-0000-0F00-0000BF4D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7584" name="Oval 64">
          <a:extLst>
            <a:ext uri="{FF2B5EF4-FFF2-40B4-BE49-F238E27FC236}">
              <a16:creationId xmlns:a16="http://schemas.microsoft.com/office/drawing/2014/main" id="{00000000-0008-0000-0F00-0000C04D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7585" name="Oval 65">
          <a:extLst>
            <a:ext uri="{FF2B5EF4-FFF2-40B4-BE49-F238E27FC236}">
              <a16:creationId xmlns:a16="http://schemas.microsoft.com/office/drawing/2014/main" id="{00000000-0008-0000-0F00-0000C14D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7586" name="Oval 66">
          <a:extLst>
            <a:ext uri="{FF2B5EF4-FFF2-40B4-BE49-F238E27FC236}">
              <a16:creationId xmlns:a16="http://schemas.microsoft.com/office/drawing/2014/main" id="{00000000-0008-0000-0F00-0000C24D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7587" name="Oval 67">
          <a:extLst>
            <a:ext uri="{FF2B5EF4-FFF2-40B4-BE49-F238E27FC236}">
              <a16:creationId xmlns:a16="http://schemas.microsoft.com/office/drawing/2014/main" id="{00000000-0008-0000-0F00-0000C34D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7588" name="Oval 68">
          <a:extLst>
            <a:ext uri="{FF2B5EF4-FFF2-40B4-BE49-F238E27FC236}">
              <a16:creationId xmlns:a16="http://schemas.microsoft.com/office/drawing/2014/main" id="{00000000-0008-0000-0F00-0000C44D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7589" name="Oval 69">
          <a:extLst>
            <a:ext uri="{FF2B5EF4-FFF2-40B4-BE49-F238E27FC236}">
              <a16:creationId xmlns:a16="http://schemas.microsoft.com/office/drawing/2014/main" id="{00000000-0008-0000-0F00-0000C54D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7590" name="Oval 70">
          <a:extLst>
            <a:ext uri="{FF2B5EF4-FFF2-40B4-BE49-F238E27FC236}">
              <a16:creationId xmlns:a16="http://schemas.microsoft.com/office/drawing/2014/main" id="{00000000-0008-0000-0F00-0000C64D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7591" name="Oval 71">
          <a:extLst>
            <a:ext uri="{FF2B5EF4-FFF2-40B4-BE49-F238E27FC236}">
              <a16:creationId xmlns:a16="http://schemas.microsoft.com/office/drawing/2014/main" id="{00000000-0008-0000-0F00-0000C74D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7592" name="Oval 72">
          <a:extLst>
            <a:ext uri="{FF2B5EF4-FFF2-40B4-BE49-F238E27FC236}">
              <a16:creationId xmlns:a16="http://schemas.microsoft.com/office/drawing/2014/main" id="{00000000-0008-0000-0F00-0000C84D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7593" name="Oval 73">
          <a:extLst>
            <a:ext uri="{FF2B5EF4-FFF2-40B4-BE49-F238E27FC236}">
              <a16:creationId xmlns:a16="http://schemas.microsoft.com/office/drawing/2014/main" id="{00000000-0008-0000-0F00-0000C94D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7594" name="Oval 74">
          <a:extLst>
            <a:ext uri="{FF2B5EF4-FFF2-40B4-BE49-F238E27FC236}">
              <a16:creationId xmlns:a16="http://schemas.microsoft.com/office/drawing/2014/main" id="{00000000-0008-0000-0F00-0000CA4D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7595" name="Oval 75">
          <a:extLst>
            <a:ext uri="{FF2B5EF4-FFF2-40B4-BE49-F238E27FC236}">
              <a16:creationId xmlns:a16="http://schemas.microsoft.com/office/drawing/2014/main" id="{00000000-0008-0000-0F00-0000CB4D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7596" name="Oval 76">
          <a:extLst>
            <a:ext uri="{FF2B5EF4-FFF2-40B4-BE49-F238E27FC236}">
              <a16:creationId xmlns:a16="http://schemas.microsoft.com/office/drawing/2014/main" id="{00000000-0008-0000-0F00-0000CC4D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7597" name="Oval 77">
          <a:extLst>
            <a:ext uri="{FF2B5EF4-FFF2-40B4-BE49-F238E27FC236}">
              <a16:creationId xmlns:a16="http://schemas.microsoft.com/office/drawing/2014/main" id="{00000000-0008-0000-0F00-0000CD4D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7598" name="Oval 78">
          <a:extLst>
            <a:ext uri="{FF2B5EF4-FFF2-40B4-BE49-F238E27FC236}">
              <a16:creationId xmlns:a16="http://schemas.microsoft.com/office/drawing/2014/main" id="{00000000-0008-0000-0F00-0000CE4D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7599" name="Oval 79">
          <a:extLst>
            <a:ext uri="{FF2B5EF4-FFF2-40B4-BE49-F238E27FC236}">
              <a16:creationId xmlns:a16="http://schemas.microsoft.com/office/drawing/2014/main" id="{00000000-0008-0000-0F00-0000CF4D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7600" name="Oval 80">
          <a:extLst>
            <a:ext uri="{FF2B5EF4-FFF2-40B4-BE49-F238E27FC236}">
              <a16:creationId xmlns:a16="http://schemas.microsoft.com/office/drawing/2014/main" id="{00000000-0008-0000-0F00-0000D04D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7601" name="Oval 81">
          <a:extLst>
            <a:ext uri="{FF2B5EF4-FFF2-40B4-BE49-F238E27FC236}">
              <a16:creationId xmlns:a16="http://schemas.microsoft.com/office/drawing/2014/main" id="{00000000-0008-0000-0F00-0000D14D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7602" name="Oval 82">
          <a:extLst>
            <a:ext uri="{FF2B5EF4-FFF2-40B4-BE49-F238E27FC236}">
              <a16:creationId xmlns:a16="http://schemas.microsoft.com/office/drawing/2014/main" id="{00000000-0008-0000-0F00-0000D24D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7603" name="Oval 83">
          <a:extLst>
            <a:ext uri="{FF2B5EF4-FFF2-40B4-BE49-F238E27FC236}">
              <a16:creationId xmlns:a16="http://schemas.microsoft.com/office/drawing/2014/main" id="{00000000-0008-0000-0F00-0000D34D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7604" name="Oval 84">
          <a:extLst>
            <a:ext uri="{FF2B5EF4-FFF2-40B4-BE49-F238E27FC236}">
              <a16:creationId xmlns:a16="http://schemas.microsoft.com/office/drawing/2014/main" id="{00000000-0008-0000-0F00-0000D44D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7605" name="Oval 85">
          <a:extLst>
            <a:ext uri="{FF2B5EF4-FFF2-40B4-BE49-F238E27FC236}">
              <a16:creationId xmlns:a16="http://schemas.microsoft.com/office/drawing/2014/main" id="{00000000-0008-0000-0F00-0000D54D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7606" name="Oval 86">
          <a:extLst>
            <a:ext uri="{FF2B5EF4-FFF2-40B4-BE49-F238E27FC236}">
              <a16:creationId xmlns:a16="http://schemas.microsoft.com/office/drawing/2014/main" id="{00000000-0008-0000-0F00-0000D64D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7607" name="Oval 87">
          <a:extLst>
            <a:ext uri="{FF2B5EF4-FFF2-40B4-BE49-F238E27FC236}">
              <a16:creationId xmlns:a16="http://schemas.microsoft.com/office/drawing/2014/main" id="{00000000-0008-0000-0F00-0000D74D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7608" name="Oval 88">
          <a:extLst>
            <a:ext uri="{FF2B5EF4-FFF2-40B4-BE49-F238E27FC236}">
              <a16:creationId xmlns:a16="http://schemas.microsoft.com/office/drawing/2014/main" id="{00000000-0008-0000-0F00-0000D84D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7609" name="Oval 89">
          <a:extLst>
            <a:ext uri="{FF2B5EF4-FFF2-40B4-BE49-F238E27FC236}">
              <a16:creationId xmlns:a16="http://schemas.microsoft.com/office/drawing/2014/main" id="{00000000-0008-0000-0F00-0000D94D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7610" name="Oval 90">
          <a:extLst>
            <a:ext uri="{FF2B5EF4-FFF2-40B4-BE49-F238E27FC236}">
              <a16:creationId xmlns:a16="http://schemas.microsoft.com/office/drawing/2014/main" id="{00000000-0008-0000-0F00-0000DA4D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7611" name="Oval 91">
          <a:extLst>
            <a:ext uri="{FF2B5EF4-FFF2-40B4-BE49-F238E27FC236}">
              <a16:creationId xmlns:a16="http://schemas.microsoft.com/office/drawing/2014/main" id="{00000000-0008-0000-0F00-0000DB4D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7612" name="Oval 92">
          <a:extLst>
            <a:ext uri="{FF2B5EF4-FFF2-40B4-BE49-F238E27FC236}">
              <a16:creationId xmlns:a16="http://schemas.microsoft.com/office/drawing/2014/main" id="{00000000-0008-0000-0F00-0000DC4D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7613" name="Oval 93">
          <a:extLst>
            <a:ext uri="{FF2B5EF4-FFF2-40B4-BE49-F238E27FC236}">
              <a16:creationId xmlns:a16="http://schemas.microsoft.com/office/drawing/2014/main" id="{00000000-0008-0000-0F00-0000DD4D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47614" name="Oval 94">
          <a:extLst>
            <a:ext uri="{FF2B5EF4-FFF2-40B4-BE49-F238E27FC236}">
              <a16:creationId xmlns:a16="http://schemas.microsoft.com/office/drawing/2014/main" id="{00000000-0008-0000-0F00-0000DE4D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47615" name="Oval 95">
          <a:extLst>
            <a:ext uri="{FF2B5EF4-FFF2-40B4-BE49-F238E27FC236}">
              <a16:creationId xmlns:a16="http://schemas.microsoft.com/office/drawing/2014/main" id="{00000000-0008-0000-0F00-0000DF4D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47616" name="Oval 96">
          <a:extLst>
            <a:ext uri="{FF2B5EF4-FFF2-40B4-BE49-F238E27FC236}">
              <a16:creationId xmlns:a16="http://schemas.microsoft.com/office/drawing/2014/main" id="{00000000-0008-0000-0F00-0000E04D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47617" name="Oval 97">
          <a:extLst>
            <a:ext uri="{FF2B5EF4-FFF2-40B4-BE49-F238E27FC236}">
              <a16:creationId xmlns:a16="http://schemas.microsoft.com/office/drawing/2014/main" id="{00000000-0008-0000-0F00-0000E14D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347618" name="Oval 98">
          <a:extLst>
            <a:ext uri="{FF2B5EF4-FFF2-40B4-BE49-F238E27FC236}">
              <a16:creationId xmlns:a16="http://schemas.microsoft.com/office/drawing/2014/main" id="{00000000-0008-0000-0F00-0000E24D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347619" name="Oval 99">
          <a:extLst>
            <a:ext uri="{FF2B5EF4-FFF2-40B4-BE49-F238E27FC236}">
              <a16:creationId xmlns:a16="http://schemas.microsoft.com/office/drawing/2014/main" id="{00000000-0008-0000-0F00-0000E34D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347620" name="Oval 100">
          <a:extLst>
            <a:ext uri="{FF2B5EF4-FFF2-40B4-BE49-F238E27FC236}">
              <a16:creationId xmlns:a16="http://schemas.microsoft.com/office/drawing/2014/main" id="{00000000-0008-0000-0F00-0000E44D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347621" name="Oval 101">
          <a:extLst>
            <a:ext uri="{FF2B5EF4-FFF2-40B4-BE49-F238E27FC236}">
              <a16:creationId xmlns:a16="http://schemas.microsoft.com/office/drawing/2014/main" id="{00000000-0008-0000-0F00-0000E54D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622" name="AutoShape 102">
          <a:extLst>
            <a:ext uri="{FF2B5EF4-FFF2-40B4-BE49-F238E27FC236}">
              <a16:creationId xmlns:a16="http://schemas.microsoft.com/office/drawing/2014/main" id="{00000000-0008-0000-0F00-0000E64D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623" name="Rectangle 103">
          <a:extLst>
            <a:ext uri="{FF2B5EF4-FFF2-40B4-BE49-F238E27FC236}">
              <a16:creationId xmlns:a16="http://schemas.microsoft.com/office/drawing/2014/main" id="{00000000-0008-0000-0F00-0000E74D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24" name="Oval 104">
          <a:extLst>
            <a:ext uri="{FF2B5EF4-FFF2-40B4-BE49-F238E27FC236}">
              <a16:creationId xmlns:a16="http://schemas.microsoft.com/office/drawing/2014/main" id="{00000000-0008-0000-0F00-0000E84D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625" name="AutoShape 105">
          <a:extLst>
            <a:ext uri="{FF2B5EF4-FFF2-40B4-BE49-F238E27FC236}">
              <a16:creationId xmlns:a16="http://schemas.microsoft.com/office/drawing/2014/main" id="{00000000-0008-0000-0F00-0000E94D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626" name="Rectangle 106">
          <a:extLst>
            <a:ext uri="{FF2B5EF4-FFF2-40B4-BE49-F238E27FC236}">
              <a16:creationId xmlns:a16="http://schemas.microsoft.com/office/drawing/2014/main" id="{00000000-0008-0000-0F00-0000EA4D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27" name="Oval 107">
          <a:extLst>
            <a:ext uri="{FF2B5EF4-FFF2-40B4-BE49-F238E27FC236}">
              <a16:creationId xmlns:a16="http://schemas.microsoft.com/office/drawing/2014/main" id="{00000000-0008-0000-0F00-0000EB4D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628" name="AutoShape 108">
          <a:extLst>
            <a:ext uri="{FF2B5EF4-FFF2-40B4-BE49-F238E27FC236}">
              <a16:creationId xmlns:a16="http://schemas.microsoft.com/office/drawing/2014/main" id="{00000000-0008-0000-0F00-0000EC4D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629" name="Rectangle 109">
          <a:extLst>
            <a:ext uri="{FF2B5EF4-FFF2-40B4-BE49-F238E27FC236}">
              <a16:creationId xmlns:a16="http://schemas.microsoft.com/office/drawing/2014/main" id="{00000000-0008-0000-0F00-0000ED4D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30" name="Oval 110">
          <a:extLst>
            <a:ext uri="{FF2B5EF4-FFF2-40B4-BE49-F238E27FC236}">
              <a16:creationId xmlns:a16="http://schemas.microsoft.com/office/drawing/2014/main" id="{00000000-0008-0000-0F00-0000EE4D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631" name="AutoShape 111">
          <a:extLst>
            <a:ext uri="{FF2B5EF4-FFF2-40B4-BE49-F238E27FC236}">
              <a16:creationId xmlns:a16="http://schemas.microsoft.com/office/drawing/2014/main" id="{00000000-0008-0000-0F00-0000EF4D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632" name="Rectangle 112">
          <a:extLst>
            <a:ext uri="{FF2B5EF4-FFF2-40B4-BE49-F238E27FC236}">
              <a16:creationId xmlns:a16="http://schemas.microsoft.com/office/drawing/2014/main" id="{00000000-0008-0000-0F00-0000F04D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33" name="Oval 113">
          <a:extLst>
            <a:ext uri="{FF2B5EF4-FFF2-40B4-BE49-F238E27FC236}">
              <a16:creationId xmlns:a16="http://schemas.microsoft.com/office/drawing/2014/main" id="{00000000-0008-0000-0F00-0000F14D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634" name="AutoShape 114">
          <a:extLst>
            <a:ext uri="{FF2B5EF4-FFF2-40B4-BE49-F238E27FC236}">
              <a16:creationId xmlns:a16="http://schemas.microsoft.com/office/drawing/2014/main" id="{00000000-0008-0000-0F00-0000F24D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635" name="Rectangle 115">
          <a:extLst>
            <a:ext uri="{FF2B5EF4-FFF2-40B4-BE49-F238E27FC236}">
              <a16:creationId xmlns:a16="http://schemas.microsoft.com/office/drawing/2014/main" id="{00000000-0008-0000-0F00-0000F34D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36" name="Oval 116">
          <a:extLst>
            <a:ext uri="{FF2B5EF4-FFF2-40B4-BE49-F238E27FC236}">
              <a16:creationId xmlns:a16="http://schemas.microsoft.com/office/drawing/2014/main" id="{00000000-0008-0000-0F00-0000F44D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637" name="AutoShape 117">
          <a:extLst>
            <a:ext uri="{FF2B5EF4-FFF2-40B4-BE49-F238E27FC236}">
              <a16:creationId xmlns:a16="http://schemas.microsoft.com/office/drawing/2014/main" id="{00000000-0008-0000-0F00-0000F54D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638" name="Rectangle 118">
          <a:extLst>
            <a:ext uri="{FF2B5EF4-FFF2-40B4-BE49-F238E27FC236}">
              <a16:creationId xmlns:a16="http://schemas.microsoft.com/office/drawing/2014/main" id="{00000000-0008-0000-0F00-0000F64D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39" name="Oval 119">
          <a:extLst>
            <a:ext uri="{FF2B5EF4-FFF2-40B4-BE49-F238E27FC236}">
              <a16:creationId xmlns:a16="http://schemas.microsoft.com/office/drawing/2014/main" id="{00000000-0008-0000-0F00-0000F74D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640" name="AutoShape 120">
          <a:extLst>
            <a:ext uri="{FF2B5EF4-FFF2-40B4-BE49-F238E27FC236}">
              <a16:creationId xmlns:a16="http://schemas.microsoft.com/office/drawing/2014/main" id="{00000000-0008-0000-0F00-0000F84D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641" name="Rectangle 121">
          <a:extLst>
            <a:ext uri="{FF2B5EF4-FFF2-40B4-BE49-F238E27FC236}">
              <a16:creationId xmlns:a16="http://schemas.microsoft.com/office/drawing/2014/main" id="{00000000-0008-0000-0F00-0000F94D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42" name="Oval 122">
          <a:extLst>
            <a:ext uri="{FF2B5EF4-FFF2-40B4-BE49-F238E27FC236}">
              <a16:creationId xmlns:a16="http://schemas.microsoft.com/office/drawing/2014/main" id="{00000000-0008-0000-0F00-0000FA4D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643" name="AutoShape 123">
          <a:extLst>
            <a:ext uri="{FF2B5EF4-FFF2-40B4-BE49-F238E27FC236}">
              <a16:creationId xmlns:a16="http://schemas.microsoft.com/office/drawing/2014/main" id="{00000000-0008-0000-0F00-0000FB4D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644" name="Rectangle 124">
          <a:extLst>
            <a:ext uri="{FF2B5EF4-FFF2-40B4-BE49-F238E27FC236}">
              <a16:creationId xmlns:a16="http://schemas.microsoft.com/office/drawing/2014/main" id="{00000000-0008-0000-0F00-0000FC4D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45" name="Oval 125">
          <a:extLst>
            <a:ext uri="{FF2B5EF4-FFF2-40B4-BE49-F238E27FC236}">
              <a16:creationId xmlns:a16="http://schemas.microsoft.com/office/drawing/2014/main" id="{00000000-0008-0000-0F00-0000FD4D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646" name="AutoShape 126">
          <a:extLst>
            <a:ext uri="{FF2B5EF4-FFF2-40B4-BE49-F238E27FC236}">
              <a16:creationId xmlns:a16="http://schemas.microsoft.com/office/drawing/2014/main" id="{00000000-0008-0000-0F00-0000FE4D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647" name="Rectangle 127">
          <a:extLst>
            <a:ext uri="{FF2B5EF4-FFF2-40B4-BE49-F238E27FC236}">
              <a16:creationId xmlns:a16="http://schemas.microsoft.com/office/drawing/2014/main" id="{00000000-0008-0000-0F00-0000FF4D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48" name="Oval 128">
          <a:extLst>
            <a:ext uri="{FF2B5EF4-FFF2-40B4-BE49-F238E27FC236}">
              <a16:creationId xmlns:a16="http://schemas.microsoft.com/office/drawing/2014/main" id="{00000000-0008-0000-0F00-000000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649" name="AutoShape 129">
          <a:extLst>
            <a:ext uri="{FF2B5EF4-FFF2-40B4-BE49-F238E27FC236}">
              <a16:creationId xmlns:a16="http://schemas.microsoft.com/office/drawing/2014/main" id="{00000000-0008-0000-0F00-000001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650" name="Rectangle 130">
          <a:extLst>
            <a:ext uri="{FF2B5EF4-FFF2-40B4-BE49-F238E27FC236}">
              <a16:creationId xmlns:a16="http://schemas.microsoft.com/office/drawing/2014/main" id="{00000000-0008-0000-0F00-000002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51" name="Oval 131">
          <a:extLst>
            <a:ext uri="{FF2B5EF4-FFF2-40B4-BE49-F238E27FC236}">
              <a16:creationId xmlns:a16="http://schemas.microsoft.com/office/drawing/2014/main" id="{00000000-0008-0000-0F00-000003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652" name="AutoShape 132">
          <a:extLst>
            <a:ext uri="{FF2B5EF4-FFF2-40B4-BE49-F238E27FC236}">
              <a16:creationId xmlns:a16="http://schemas.microsoft.com/office/drawing/2014/main" id="{00000000-0008-0000-0F00-000004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653" name="Rectangle 133">
          <a:extLst>
            <a:ext uri="{FF2B5EF4-FFF2-40B4-BE49-F238E27FC236}">
              <a16:creationId xmlns:a16="http://schemas.microsoft.com/office/drawing/2014/main" id="{00000000-0008-0000-0F00-000005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54" name="Oval 134">
          <a:extLst>
            <a:ext uri="{FF2B5EF4-FFF2-40B4-BE49-F238E27FC236}">
              <a16:creationId xmlns:a16="http://schemas.microsoft.com/office/drawing/2014/main" id="{00000000-0008-0000-0F00-000006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655" name="AutoShape 135">
          <a:extLst>
            <a:ext uri="{FF2B5EF4-FFF2-40B4-BE49-F238E27FC236}">
              <a16:creationId xmlns:a16="http://schemas.microsoft.com/office/drawing/2014/main" id="{00000000-0008-0000-0F00-000007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656" name="Rectangle 136">
          <a:extLst>
            <a:ext uri="{FF2B5EF4-FFF2-40B4-BE49-F238E27FC236}">
              <a16:creationId xmlns:a16="http://schemas.microsoft.com/office/drawing/2014/main" id="{00000000-0008-0000-0F00-000008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57" name="Oval 137">
          <a:extLst>
            <a:ext uri="{FF2B5EF4-FFF2-40B4-BE49-F238E27FC236}">
              <a16:creationId xmlns:a16="http://schemas.microsoft.com/office/drawing/2014/main" id="{00000000-0008-0000-0F00-000009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658" name="AutoShape 138">
          <a:extLst>
            <a:ext uri="{FF2B5EF4-FFF2-40B4-BE49-F238E27FC236}">
              <a16:creationId xmlns:a16="http://schemas.microsoft.com/office/drawing/2014/main" id="{00000000-0008-0000-0F00-00000A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659" name="Rectangle 139">
          <a:extLst>
            <a:ext uri="{FF2B5EF4-FFF2-40B4-BE49-F238E27FC236}">
              <a16:creationId xmlns:a16="http://schemas.microsoft.com/office/drawing/2014/main" id="{00000000-0008-0000-0F00-00000B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60" name="Oval 140">
          <a:extLst>
            <a:ext uri="{FF2B5EF4-FFF2-40B4-BE49-F238E27FC236}">
              <a16:creationId xmlns:a16="http://schemas.microsoft.com/office/drawing/2014/main" id="{00000000-0008-0000-0F00-00000C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661" name="Rectangle 141">
          <a:extLst>
            <a:ext uri="{FF2B5EF4-FFF2-40B4-BE49-F238E27FC236}">
              <a16:creationId xmlns:a16="http://schemas.microsoft.com/office/drawing/2014/main" id="{00000000-0008-0000-0F00-00000D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662" name="AutoShape 142">
          <a:extLst>
            <a:ext uri="{FF2B5EF4-FFF2-40B4-BE49-F238E27FC236}">
              <a16:creationId xmlns:a16="http://schemas.microsoft.com/office/drawing/2014/main" id="{00000000-0008-0000-0F00-00000E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663" name="Rectangle 143">
          <a:extLst>
            <a:ext uri="{FF2B5EF4-FFF2-40B4-BE49-F238E27FC236}">
              <a16:creationId xmlns:a16="http://schemas.microsoft.com/office/drawing/2014/main" id="{00000000-0008-0000-0F00-00000F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64" name="Oval 144">
          <a:extLst>
            <a:ext uri="{FF2B5EF4-FFF2-40B4-BE49-F238E27FC236}">
              <a16:creationId xmlns:a16="http://schemas.microsoft.com/office/drawing/2014/main" id="{00000000-0008-0000-0F00-000010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665" name="AutoShape 145">
          <a:extLst>
            <a:ext uri="{FF2B5EF4-FFF2-40B4-BE49-F238E27FC236}">
              <a16:creationId xmlns:a16="http://schemas.microsoft.com/office/drawing/2014/main" id="{00000000-0008-0000-0F00-000011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666" name="Rectangle 146">
          <a:extLst>
            <a:ext uri="{FF2B5EF4-FFF2-40B4-BE49-F238E27FC236}">
              <a16:creationId xmlns:a16="http://schemas.microsoft.com/office/drawing/2014/main" id="{00000000-0008-0000-0F00-000012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67" name="Oval 147">
          <a:extLst>
            <a:ext uri="{FF2B5EF4-FFF2-40B4-BE49-F238E27FC236}">
              <a16:creationId xmlns:a16="http://schemas.microsoft.com/office/drawing/2014/main" id="{00000000-0008-0000-0F00-000013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668" name="AutoShape 148">
          <a:extLst>
            <a:ext uri="{FF2B5EF4-FFF2-40B4-BE49-F238E27FC236}">
              <a16:creationId xmlns:a16="http://schemas.microsoft.com/office/drawing/2014/main" id="{00000000-0008-0000-0F00-000014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669" name="Rectangle 149">
          <a:extLst>
            <a:ext uri="{FF2B5EF4-FFF2-40B4-BE49-F238E27FC236}">
              <a16:creationId xmlns:a16="http://schemas.microsoft.com/office/drawing/2014/main" id="{00000000-0008-0000-0F00-000015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70" name="Oval 150">
          <a:extLst>
            <a:ext uri="{FF2B5EF4-FFF2-40B4-BE49-F238E27FC236}">
              <a16:creationId xmlns:a16="http://schemas.microsoft.com/office/drawing/2014/main" id="{00000000-0008-0000-0F00-000016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71" name="Oval 151">
          <a:extLst>
            <a:ext uri="{FF2B5EF4-FFF2-40B4-BE49-F238E27FC236}">
              <a16:creationId xmlns:a16="http://schemas.microsoft.com/office/drawing/2014/main" id="{00000000-0008-0000-0F00-000017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72" name="Oval 152">
          <a:extLst>
            <a:ext uri="{FF2B5EF4-FFF2-40B4-BE49-F238E27FC236}">
              <a16:creationId xmlns:a16="http://schemas.microsoft.com/office/drawing/2014/main" id="{00000000-0008-0000-0F00-000018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73" name="Oval 153">
          <a:extLst>
            <a:ext uri="{FF2B5EF4-FFF2-40B4-BE49-F238E27FC236}">
              <a16:creationId xmlns:a16="http://schemas.microsoft.com/office/drawing/2014/main" id="{00000000-0008-0000-0F00-000019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674" name="AutoShape 154">
          <a:extLst>
            <a:ext uri="{FF2B5EF4-FFF2-40B4-BE49-F238E27FC236}">
              <a16:creationId xmlns:a16="http://schemas.microsoft.com/office/drawing/2014/main" id="{00000000-0008-0000-0F00-00001A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675" name="Rectangle 155">
          <a:extLst>
            <a:ext uri="{FF2B5EF4-FFF2-40B4-BE49-F238E27FC236}">
              <a16:creationId xmlns:a16="http://schemas.microsoft.com/office/drawing/2014/main" id="{00000000-0008-0000-0F00-00001B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76" name="Oval 156">
          <a:extLst>
            <a:ext uri="{FF2B5EF4-FFF2-40B4-BE49-F238E27FC236}">
              <a16:creationId xmlns:a16="http://schemas.microsoft.com/office/drawing/2014/main" id="{00000000-0008-0000-0F00-00001C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77" name="Oval 157">
          <a:extLst>
            <a:ext uri="{FF2B5EF4-FFF2-40B4-BE49-F238E27FC236}">
              <a16:creationId xmlns:a16="http://schemas.microsoft.com/office/drawing/2014/main" id="{00000000-0008-0000-0F00-00001D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78" name="Oval 158">
          <a:extLst>
            <a:ext uri="{FF2B5EF4-FFF2-40B4-BE49-F238E27FC236}">
              <a16:creationId xmlns:a16="http://schemas.microsoft.com/office/drawing/2014/main" id="{00000000-0008-0000-0F00-00001E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79" name="Oval 159">
          <a:extLst>
            <a:ext uri="{FF2B5EF4-FFF2-40B4-BE49-F238E27FC236}">
              <a16:creationId xmlns:a16="http://schemas.microsoft.com/office/drawing/2014/main" id="{00000000-0008-0000-0F00-00001F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680" name="AutoShape 160">
          <a:extLst>
            <a:ext uri="{FF2B5EF4-FFF2-40B4-BE49-F238E27FC236}">
              <a16:creationId xmlns:a16="http://schemas.microsoft.com/office/drawing/2014/main" id="{00000000-0008-0000-0F00-000020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681" name="Rectangle 161">
          <a:extLst>
            <a:ext uri="{FF2B5EF4-FFF2-40B4-BE49-F238E27FC236}">
              <a16:creationId xmlns:a16="http://schemas.microsoft.com/office/drawing/2014/main" id="{00000000-0008-0000-0F00-000021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82" name="Oval 162">
          <a:extLst>
            <a:ext uri="{FF2B5EF4-FFF2-40B4-BE49-F238E27FC236}">
              <a16:creationId xmlns:a16="http://schemas.microsoft.com/office/drawing/2014/main" id="{00000000-0008-0000-0F00-000022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83" name="Oval 163">
          <a:extLst>
            <a:ext uri="{FF2B5EF4-FFF2-40B4-BE49-F238E27FC236}">
              <a16:creationId xmlns:a16="http://schemas.microsoft.com/office/drawing/2014/main" id="{00000000-0008-0000-0F00-000023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84" name="Oval 164">
          <a:extLst>
            <a:ext uri="{FF2B5EF4-FFF2-40B4-BE49-F238E27FC236}">
              <a16:creationId xmlns:a16="http://schemas.microsoft.com/office/drawing/2014/main" id="{00000000-0008-0000-0F00-000024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85" name="Oval 165">
          <a:extLst>
            <a:ext uri="{FF2B5EF4-FFF2-40B4-BE49-F238E27FC236}">
              <a16:creationId xmlns:a16="http://schemas.microsoft.com/office/drawing/2014/main" id="{00000000-0008-0000-0F00-000025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686" name="AutoShape 166">
          <a:extLst>
            <a:ext uri="{FF2B5EF4-FFF2-40B4-BE49-F238E27FC236}">
              <a16:creationId xmlns:a16="http://schemas.microsoft.com/office/drawing/2014/main" id="{00000000-0008-0000-0F00-000026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687" name="Rectangle 167">
          <a:extLst>
            <a:ext uri="{FF2B5EF4-FFF2-40B4-BE49-F238E27FC236}">
              <a16:creationId xmlns:a16="http://schemas.microsoft.com/office/drawing/2014/main" id="{00000000-0008-0000-0F00-000027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88" name="Oval 168">
          <a:extLst>
            <a:ext uri="{FF2B5EF4-FFF2-40B4-BE49-F238E27FC236}">
              <a16:creationId xmlns:a16="http://schemas.microsoft.com/office/drawing/2014/main" id="{00000000-0008-0000-0F00-000028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89" name="Oval 169">
          <a:extLst>
            <a:ext uri="{FF2B5EF4-FFF2-40B4-BE49-F238E27FC236}">
              <a16:creationId xmlns:a16="http://schemas.microsoft.com/office/drawing/2014/main" id="{00000000-0008-0000-0F00-000029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90" name="Oval 170">
          <a:extLst>
            <a:ext uri="{FF2B5EF4-FFF2-40B4-BE49-F238E27FC236}">
              <a16:creationId xmlns:a16="http://schemas.microsoft.com/office/drawing/2014/main" id="{00000000-0008-0000-0F00-00002A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91" name="Oval 171">
          <a:extLst>
            <a:ext uri="{FF2B5EF4-FFF2-40B4-BE49-F238E27FC236}">
              <a16:creationId xmlns:a16="http://schemas.microsoft.com/office/drawing/2014/main" id="{00000000-0008-0000-0F00-00002B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692" name="AutoShape 172">
          <a:extLst>
            <a:ext uri="{FF2B5EF4-FFF2-40B4-BE49-F238E27FC236}">
              <a16:creationId xmlns:a16="http://schemas.microsoft.com/office/drawing/2014/main" id="{00000000-0008-0000-0F00-00002C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693" name="Rectangle 173">
          <a:extLst>
            <a:ext uri="{FF2B5EF4-FFF2-40B4-BE49-F238E27FC236}">
              <a16:creationId xmlns:a16="http://schemas.microsoft.com/office/drawing/2014/main" id="{00000000-0008-0000-0F00-00002D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94" name="Oval 174">
          <a:extLst>
            <a:ext uri="{FF2B5EF4-FFF2-40B4-BE49-F238E27FC236}">
              <a16:creationId xmlns:a16="http://schemas.microsoft.com/office/drawing/2014/main" id="{00000000-0008-0000-0F00-00002E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95" name="Oval 175">
          <a:extLst>
            <a:ext uri="{FF2B5EF4-FFF2-40B4-BE49-F238E27FC236}">
              <a16:creationId xmlns:a16="http://schemas.microsoft.com/office/drawing/2014/main" id="{00000000-0008-0000-0F00-00002F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96" name="Oval 176">
          <a:extLst>
            <a:ext uri="{FF2B5EF4-FFF2-40B4-BE49-F238E27FC236}">
              <a16:creationId xmlns:a16="http://schemas.microsoft.com/office/drawing/2014/main" id="{00000000-0008-0000-0F00-000030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697" name="Oval 177">
          <a:extLst>
            <a:ext uri="{FF2B5EF4-FFF2-40B4-BE49-F238E27FC236}">
              <a16:creationId xmlns:a16="http://schemas.microsoft.com/office/drawing/2014/main" id="{00000000-0008-0000-0F00-000031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698" name="AutoShape 178">
          <a:extLst>
            <a:ext uri="{FF2B5EF4-FFF2-40B4-BE49-F238E27FC236}">
              <a16:creationId xmlns:a16="http://schemas.microsoft.com/office/drawing/2014/main" id="{00000000-0008-0000-0F00-000032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699" name="Rectangle 179">
          <a:extLst>
            <a:ext uri="{FF2B5EF4-FFF2-40B4-BE49-F238E27FC236}">
              <a16:creationId xmlns:a16="http://schemas.microsoft.com/office/drawing/2014/main" id="{00000000-0008-0000-0F00-000033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00" name="Oval 180">
          <a:extLst>
            <a:ext uri="{FF2B5EF4-FFF2-40B4-BE49-F238E27FC236}">
              <a16:creationId xmlns:a16="http://schemas.microsoft.com/office/drawing/2014/main" id="{00000000-0008-0000-0F00-000034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01" name="Oval 181">
          <a:extLst>
            <a:ext uri="{FF2B5EF4-FFF2-40B4-BE49-F238E27FC236}">
              <a16:creationId xmlns:a16="http://schemas.microsoft.com/office/drawing/2014/main" id="{00000000-0008-0000-0F00-000035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02" name="Oval 182">
          <a:extLst>
            <a:ext uri="{FF2B5EF4-FFF2-40B4-BE49-F238E27FC236}">
              <a16:creationId xmlns:a16="http://schemas.microsoft.com/office/drawing/2014/main" id="{00000000-0008-0000-0F00-000036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03" name="Oval 183">
          <a:extLst>
            <a:ext uri="{FF2B5EF4-FFF2-40B4-BE49-F238E27FC236}">
              <a16:creationId xmlns:a16="http://schemas.microsoft.com/office/drawing/2014/main" id="{00000000-0008-0000-0F00-000037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704" name="AutoShape 184">
          <a:extLst>
            <a:ext uri="{FF2B5EF4-FFF2-40B4-BE49-F238E27FC236}">
              <a16:creationId xmlns:a16="http://schemas.microsoft.com/office/drawing/2014/main" id="{00000000-0008-0000-0F00-000038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705" name="Rectangle 185">
          <a:extLst>
            <a:ext uri="{FF2B5EF4-FFF2-40B4-BE49-F238E27FC236}">
              <a16:creationId xmlns:a16="http://schemas.microsoft.com/office/drawing/2014/main" id="{00000000-0008-0000-0F00-000039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06" name="Oval 186">
          <a:extLst>
            <a:ext uri="{FF2B5EF4-FFF2-40B4-BE49-F238E27FC236}">
              <a16:creationId xmlns:a16="http://schemas.microsoft.com/office/drawing/2014/main" id="{00000000-0008-0000-0F00-00003A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07" name="Oval 187">
          <a:extLst>
            <a:ext uri="{FF2B5EF4-FFF2-40B4-BE49-F238E27FC236}">
              <a16:creationId xmlns:a16="http://schemas.microsoft.com/office/drawing/2014/main" id="{00000000-0008-0000-0F00-00003B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08" name="Oval 188">
          <a:extLst>
            <a:ext uri="{FF2B5EF4-FFF2-40B4-BE49-F238E27FC236}">
              <a16:creationId xmlns:a16="http://schemas.microsoft.com/office/drawing/2014/main" id="{00000000-0008-0000-0F00-00003C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09" name="Oval 189">
          <a:extLst>
            <a:ext uri="{FF2B5EF4-FFF2-40B4-BE49-F238E27FC236}">
              <a16:creationId xmlns:a16="http://schemas.microsoft.com/office/drawing/2014/main" id="{00000000-0008-0000-0F00-00003D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710" name="AutoShape 190">
          <a:extLst>
            <a:ext uri="{FF2B5EF4-FFF2-40B4-BE49-F238E27FC236}">
              <a16:creationId xmlns:a16="http://schemas.microsoft.com/office/drawing/2014/main" id="{00000000-0008-0000-0F00-00003E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711" name="Rectangle 191">
          <a:extLst>
            <a:ext uri="{FF2B5EF4-FFF2-40B4-BE49-F238E27FC236}">
              <a16:creationId xmlns:a16="http://schemas.microsoft.com/office/drawing/2014/main" id="{00000000-0008-0000-0F00-00003F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12" name="Oval 192">
          <a:extLst>
            <a:ext uri="{FF2B5EF4-FFF2-40B4-BE49-F238E27FC236}">
              <a16:creationId xmlns:a16="http://schemas.microsoft.com/office/drawing/2014/main" id="{00000000-0008-0000-0F00-000040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13" name="Oval 193">
          <a:extLst>
            <a:ext uri="{FF2B5EF4-FFF2-40B4-BE49-F238E27FC236}">
              <a16:creationId xmlns:a16="http://schemas.microsoft.com/office/drawing/2014/main" id="{00000000-0008-0000-0F00-000041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14" name="Oval 194">
          <a:extLst>
            <a:ext uri="{FF2B5EF4-FFF2-40B4-BE49-F238E27FC236}">
              <a16:creationId xmlns:a16="http://schemas.microsoft.com/office/drawing/2014/main" id="{00000000-0008-0000-0F00-000042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15" name="Oval 195">
          <a:extLst>
            <a:ext uri="{FF2B5EF4-FFF2-40B4-BE49-F238E27FC236}">
              <a16:creationId xmlns:a16="http://schemas.microsoft.com/office/drawing/2014/main" id="{00000000-0008-0000-0F00-000043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716" name="AutoShape 196">
          <a:extLst>
            <a:ext uri="{FF2B5EF4-FFF2-40B4-BE49-F238E27FC236}">
              <a16:creationId xmlns:a16="http://schemas.microsoft.com/office/drawing/2014/main" id="{00000000-0008-0000-0F00-000044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717" name="Rectangle 197">
          <a:extLst>
            <a:ext uri="{FF2B5EF4-FFF2-40B4-BE49-F238E27FC236}">
              <a16:creationId xmlns:a16="http://schemas.microsoft.com/office/drawing/2014/main" id="{00000000-0008-0000-0F00-000045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18" name="Oval 198">
          <a:extLst>
            <a:ext uri="{FF2B5EF4-FFF2-40B4-BE49-F238E27FC236}">
              <a16:creationId xmlns:a16="http://schemas.microsoft.com/office/drawing/2014/main" id="{00000000-0008-0000-0F00-000046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19" name="Oval 199">
          <a:extLst>
            <a:ext uri="{FF2B5EF4-FFF2-40B4-BE49-F238E27FC236}">
              <a16:creationId xmlns:a16="http://schemas.microsoft.com/office/drawing/2014/main" id="{00000000-0008-0000-0F00-000047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20" name="Oval 200">
          <a:extLst>
            <a:ext uri="{FF2B5EF4-FFF2-40B4-BE49-F238E27FC236}">
              <a16:creationId xmlns:a16="http://schemas.microsoft.com/office/drawing/2014/main" id="{00000000-0008-0000-0F00-000048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21" name="Oval 201">
          <a:extLst>
            <a:ext uri="{FF2B5EF4-FFF2-40B4-BE49-F238E27FC236}">
              <a16:creationId xmlns:a16="http://schemas.microsoft.com/office/drawing/2014/main" id="{00000000-0008-0000-0F00-000049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722" name="AutoShape 202">
          <a:extLst>
            <a:ext uri="{FF2B5EF4-FFF2-40B4-BE49-F238E27FC236}">
              <a16:creationId xmlns:a16="http://schemas.microsoft.com/office/drawing/2014/main" id="{00000000-0008-0000-0F00-00004A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723" name="Rectangle 203">
          <a:extLst>
            <a:ext uri="{FF2B5EF4-FFF2-40B4-BE49-F238E27FC236}">
              <a16:creationId xmlns:a16="http://schemas.microsoft.com/office/drawing/2014/main" id="{00000000-0008-0000-0F00-00004B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24" name="Oval 204">
          <a:extLst>
            <a:ext uri="{FF2B5EF4-FFF2-40B4-BE49-F238E27FC236}">
              <a16:creationId xmlns:a16="http://schemas.microsoft.com/office/drawing/2014/main" id="{00000000-0008-0000-0F00-00004C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25" name="Oval 205">
          <a:extLst>
            <a:ext uri="{FF2B5EF4-FFF2-40B4-BE49-F238E27FC236}">
              <a16:creationId xmlns:a16="http://schemas.microsoft.com/office/drawing/2014/main" id="{00000000-0008-0000-0F00-00004D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26" name="Oval 206">
          <a:extLst>
            <a:ext uri="{FF2B5EF4-FFF2-40B4-BE49-F238E27FC236}">
              <a16:creationId xmlns:a16="http://schemas.microsoft.com/office/drawing/2014/main" id="{00000000-0008-0000-0F00-00004E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27" name="Oval 207">
          <a:extLst>
            <a:ext uri="{FF2B5EF4-FFF2-40B4-BE49-F238E27FC236}">
              <a16:creationId xmlns:a16="http://schemas.microsoft.com/office/drawing/2014/main" id="{00000000-0008-0000-0F00-00004F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728" name="AutoShape 208">
          <a:extLst>
            <a:ext uri="{FF2B5EF4-FFF2-40B4-BE49-F238E27FC236}">
              <a16:creationId xmlns:a16="http://schemas.microsoft.com/office/drawing/2014/main" id="{00000000-0008-0000-0F00-000050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729" name="Rectangle 209">
          <a:extLst>
            <a:ext uri="{FF2B5EF4-FFF2-40B4-BE49-F238E27FC236}">
              <a16:creationId xmlns:a16="http://schemas.microsoft.com/office/drawing/2014/main" id="{00000000-0008-0000-0F00-000051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30" name="Oval 210">
          <a:extLst>
            <a:ext uri="{FF2B5EF4-FFF2-40B4-BE49-F238E27FC236}">
              <a16:creationId xmlns:a16="http://schemas.microsoft.com/office/drawing/2014/main" id="{00000000-0008-0000-0F00-000052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31" name="Oval 211">
          <a:extLst>
            <a:ext uri="{FF2B5EF4-FFF2-40B4-BE49-F238E27FC236}">
              <a16:creationId xmlns:a16="http://schemas.microsoft.com/office/drawing/2014/main" id="{00000000-0008-0000-0F00-000053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32" name="Oval 212">
          <a:extLst>
            <a:ext uri="{FF2B5EF4-FFF2-40B4-BE49-F238E27FC236}">
              <a16:creationId xmlns:a16="http://schemas.microsoft.com/office/drawing/2014/main" id="{00000000-0008-0000-0F00-000054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33" name="Oval 213">
          <a:extLst>
            <a:ext uri="{FF2B5EF4-FFF2-40B4-BE49-F238E27FC236}">
              <a16:creationId xmlns:a16="http://schemas.microsoft.com/office/drawing/2014/main" id="{00000000-0008-0000-0F00-000055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734" name="AutoShape 214">
          <a:extLst>
            <a:ext uri="{FF2B5EF4-FFF2-40B4-BE49-F238E27FC236}">
              <a16:creationId xmlns:a16="http://schemas.microsoft.com/office/drawing/2014/main" id="{00000000-0008-0000-0F00-000056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735" name="Rectangle 215">
          <a:extLst>
            <a:ext uri="{FF2B5EF4-FFF2-40B4-BE49-F238E27FC236}">
              <a16:creationId xmlns:a16="http://schemas.microsoft.com/office/drawing/2014/main" id="{00000000-0008-0000-0F00-000057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36" name="Oval 216">
          <a:extLst>
            <a:ext uri="{FF2B5EF4-FFF2-40B4-BE49-F238E27FC236}">
              <a16:creationId xmlns:a16="http://schemas.microsoft.com/office/drawing/2014/main" id="{00000000-0008-0000-0F00-000058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37" name="Oval 217">
          <a:extLst>
            <a:ext uri="{FF2B5EF4-FFF2-40B4-BE49-F238E27FC236}">
              <a16:creationId xmlns:a16="http://schemas.microsoft.com/office/drawing/2014/main" id="{00000000-0008-0000-0F00-000059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38" name="Oval 218">
          <a:extLst>
            <a:ext uri="{FF2B5EF4-FFF2-40B4-BE49-F238E27FC236}">
              <a16:creationId xmlns:a16="http://schemas.microsoft.com/office/drawing/2014/main" id="{00000000-0008-0000-0F00-00005A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39" name="Oval 219">
          <a:extLst>
            <a:ext uri="{FF2B5EF4-FFF2-40B4-BE49-F238E27FC236}">
              <a16:creationId xmlns:a16="http://schemas.microsoft.com/office/drawing/2014/main" id="{00000000-0008-0000-0F00-00005B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740" name="AutoShape 220">
          <a:extLst>
            <a:ext uri="{FF2B5EF4-FFF2-40B4-BE49-F238E27FC236}">
              <a16:creationId xmlns:a16="http://schemas.microsoft.com/office/drawing/2014/main" id="{00000000-0008-0000-0F00-00005C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741" name="Rectangle 221">
          <a:extLst>
            <a:ext uri="{FF2B5EF4-FFF2-40B4-BE49-F238E27FC236}">
              <a16:creationId xmlns:a16="http://schemas.microsoft.com/office/drawing/2014/main" id="{00000000-0008-0000-0F00-00005D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42" name="Oval 222">
          <a:extLst>
            <a:ext uri="{FF2B5EF4-FFF2-40B4-BE49-F238E27FC236}">
              <a16:creationId xmlns:a16="http://schemas.microsoft.com/office/drawing/2014/main" id="{00000000-0008-0000-0F00-00005E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43" name="Oval 223">
          <a:extLst>
            <a:ext uri="{FF2B5EF4-FFF2-40B4-BE49-F238E27FC236}">
              <a16:creationId xmlns:a16="http://schemas.microsoft.com/office/drawing/2014/main" id="{00000000-0008-0000-0F00-00005F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44" name="Oval 224">
          <a:extLst>
            <a:ext uri="{FF2B5EF4-FFF2-40B4-BE49-F238E27FC236}">
              <a16:creationId xmlns:a16="http://schemas.microsoft.com/office/drawing/2014/main" id="{00000000-0008-0000-0F00-000060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45" name="Oval 225">
          <a:extLst>
            <a:ext uri="{FF2B5EF4-FFF2-40B4-BE49-F238E27FC236}">
              <a16:creationId xmlns:a16="http://schemas.microsoft.com/office/drawing/2014/main" id="{00000000-0008-0000-0F00-000061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746" name="AutoShape 226">
          <a:extLst>
            <a:ext uri="{FF2B5EF4-FFF2-40B4-BE49-F238E27FC236}">
              <a16:creationId xmlns:a16="http://schemas.microsoft.com/office/drawing/2014/main" id="{00000000-0008-0000-0F00-000062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747" name="Rectangle 227">
          <a:extLst>
            <a:ext uri="{FF2B5EF4-FFF2-40B4-BE49-F238E27FC236}">
              <a16:creationId xmlns:a16="http://schemas.microsoft.com/office/drawing/2014/main" id="{00000000-0008-0000-0F00-000063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48" name="Oval 228">
          <a:extLst>
            <a:ext uri="{FF2B5EF4-FFF2-40B4-BE49-F238E27FC236}">
              <a16:creationId xmlns:a16="http://schemas.microsoft.com/office/drawing/2014/main" id="{00000000-0008-0000-0F00-000064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49" name="Oval 229">
          <a:extLst>
            <a:ext uri="{FF2B5EF4-FFF2-40B4-BE49-F238E27FC236}">
              <a16:creationId xmlns:a16="http://schemas.microsoft.com/office/drawing/2014/main" id="{00000000-0008-0000-0F00-000065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50" name="Oval 230">
          <a:extLst>
            <a:ext uri="{FF2B5EF4-FFF2-40B4-BE49-F238E27FC236}">
              <a16:creationId xmlns:a16="http://schemas.microsoft.com/office/drawing/2014/main" id="{00000000-0008-0000-0F00-000066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51" name="Oval 231">
          <a:extLst>
            <a:ext uri="{FF2B5EF4-FFF2-40B4-BE49-F238E27FC236}">
              <a16:creationId xmlns:a16="http://schemas.microsoft.com/office/drawing/2014/main" id="{00000000-0008-0000-0F00-000067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752" name="AutoShape 232">
          <a:extLst>
            <a:ext uri="{FF2B5EF4-FFF2-40B4-BE49-F238E27FC236}">
              <a16:creationId xmlns:a16="http://schemas.microsoft.com/office/drawing/2014/main" id="{00000000-0008-0000-0F00-000068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753" name="Rectangle 233">
          <a:extLst>
            <a:ext uri="{FF2B5EF4-FFF2-40B4-BE49-F238E27FC236}">
              <a16:creationId xmlns:a16="http://schemas.microsoft.com/office/drawing/2014/main" id="{00000000-0008-0000-0F00-000069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54" name="Oval 234">
          <a:extLst>
            <a:ext uri="{FF2B5EF4-FFF2-40B4-BE49-F238E27FC236}">
              <a16:creationId xmlns:a16="http://schemas.microsoft.com/office/drawing/2014/main" id="{00000000-0008-0000-0F00-00006A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55" name="Oval 235">
          <a:extLst>
            <a:ext uri="{FF2B5EF4-FFF2-40B4-BE49-F238E27FC236}">
              <a16:creationId xmlns:a16="http://schemas.microsoft.com/office/drawing/2014/main" id="{00000000-0008-0000-0F00-00006B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56" name="Oval 236">
          <a:extLst>
            <a:ext uri="{FF2B5EF4-FFF2-40B4-BE49-F238E27FC236}">
              <a16:creationId xmlns:a16="http://schemas.microsoft.com/office/drawing/2014/main" id="{00000000-0008-0000-0F00-00006C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57" name="Oval 237">
          <a:extLst>
            <a:ext uri="{FF2B5EF4-FFF2-40B4-BE49-F238E27FC236}">
              <a16:creationId xmlns:a16="http://schemas.microsoft.com/office/drawing/2014/main" id="{00000000-0008-0000-0F00-00006D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758" name="AutoShape 238">
          <a:extLst>
            <a:ext uri="{FF2B5EF4-FFF2-40B4-BE49-F238E27FC236}">
              <a16:creationId xmlns:a16="http://schemas.microsoft.com/office/drawing/2014/main" id="{00000000-0008-0000-0F00-00006E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759" name="Rectangle 239">
          <a:extLst>
            <a:ext uri="{FF2B5EF4-FFF2-40B4-BE49-F238E27FC236}">
              <a16:creationId xmlns:a16="http://schemas.microsoft.com/office/drawing/2014/main" id="{00000000-0008-0000-0F00-00006F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60" name="Oval 240">
          <a:extLst>
            <a:ext uri="{FF2B5EF4-FFF2-40B4-BE49-F238E27FC236}">
              <a16:creationId xmlns:a16="http://schemas.microsoft.com/office/drawing/2014/main" id="{00000000-0008-0000-0F00-000070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61" name="Oval 241">
          <a:extLst>
            <a:ext uri="{FF2B5EF4-FFF2-40B4-BE49-F238E27FC236}">
              <a16:creationId xmlns:a16="http://schemas.microsoft.com/office/drawing/2014/main" id="{00000000-0008-0000-0F00-000071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62" name="Oval 242">
          <a:extLst>
            <a:ext uri="{FF2B5EF4-FFF2-40B4-BE49-F238E27FC236}">
              <a16:creationId xmlns:a16="http://schemas.microsoft.com/office/drawing/2014/main" id="{00000000-0008-0000-0F00-000072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63" name="Oval 243">
          <a:extLst>
            <a:ext uri="{FF2B5EF4-FFF2-40B4-BE49-F238E27FC236}">
              <a16:creationId xmlns:a16="http://schemas.microsoft.com/office/drawing/2014/main" id="{00000000-0008-0000-0F00-000073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764" name="AutoShape 244">
          <a:extLst>
            <a:ext uri="{FF2B5EF4-FFF2-40B4-BE49-F238E27FC236}">
              <a16:creationId xmlns:a16="http://schemas.microsoft.com/office/drawing/2014/main" id="{00000000-0008-0000-0F00-000074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765" name="Rectangle 245">
          <a:extLst>
            <a:ext uri="{FF2B5EF4-FFF2-40B4-BE49-F238E27FC236}">
              <a16:creationId xmlns:a16="http://schemas.microsoft.com/office/drawing/2014/main" id="{00000000-0008-0000-0F00-000075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66" name="Oval 246">
          <a:extLst>
            <a:ext uri="{FF2B5EF4-FFF2-40B4-BE49-F238E27FC236}">
              <a16:creationId xmlns:a16="http://schemas.microsoft.com/office/drawing/2014/main" id="{00000000-0008-0000-0F00-000076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67" name="Oval 247">
          <a:extLst>
            <a:ext uri="{FF2B5EF4-FFF2-40B4-BE49-F238E27FC236}">
              <a16:creationId xmlns:a16="http://schemas.microsoft.com/office/drawing/2014/main" id="{00000000-0008-0000-0F00-000077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68" name="Oval 248">
          <a:extLst>
            <a:ext uri="{FF2B5EF4-FFF2-40B4-BE49-F238E27FC236}">
              <a16:creationId xmlns:a16="http://schemas.microsoft.com/office/drawing/2014/main" id="{00000000-0008-0000-0F00-000078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69" name="Oval 249">
          <a:extLst>
            <a:ext uri="{FF2B5EF4-FFF2-40B4-BE49-F238E27FC236}">
              <a16:creationId xmlns:a16="http://schemas.microsoft.com/office/drawing/2014/main" id="{00000000-0008-0000-0F00-000079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770" name="AutoShape 250">
          <a:extLst>
            <a:ext uri="{FF2B5EF4-FFF2-40B4-BE49-F238E27FC236}">
              <a16:creationId xmlns:a16="http://schemas.microsoft.com/office/drawing/2014/main" id="{00000000-0008-0000-0F00-00007A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771" name="Rectangle 251">
          <a:extLst>
            <a:ext uri="{FF2B5EF4-FFF2-40B4-BE49-F238E27FC236}">
              <a16:creationId xmlns:a16="http://schemas.microsoft.com/office/drawing/2014/main" id="{00000000-0008-0000-0F00-00007B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72" name="Oval 252">
          <a:extLst>
            <a:ext uri="{FF2B5EF4-FFF2-40B4-BE49-F238E27FC236}">
              <a16:creationId xmlns:a16="http://schemas.microsoft.com/office/drawing/2014/main" id="{00000000-0008-0000-0F00-00007C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73" name="Oval 253">
          <a:extLst>
            <a:ext uri="{FF2B5EF4-FFF2-40B4-BE49-F238E27FC236}">
              <a16:creationId xmlns:a16="http://schemas.microsoft.com/office/drawing/2014/main" id="{00000000-0008-0000-0F00-00007D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74" name="Oval 254">
          <a:extLst>
            <a:ext uri="{FF2B5EF4-FFF2-40B4-BE49-F238E27FC236}">
              <a16:creationId xmlns:a16="http://schemas.microsoft.com/office/drawing/2014/main" id="{00000000-0008-0000-0F00-00007E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75" name="Oval 255">
          <a:extLst>
            <a:ext uri="{FF2B5EF4-FFF2-40B4-BE49-F238E27FC236}">
              <a16:creationId xmlns:a16="http://schemas.microsoft.com/office/drawing/2014/main" id="{00000000-0008-0000-0F00-00007F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776" name="AutoShape 256">
          <a:extLst>
            <a:ext uri="{FF2B5EF4-FFF2-40B4-BE49-F238E27FC236}">
              <a16:creationId xmlns:a16="http://schemas.microsoft.com/office/drawing/2014/main" id="{00000000-0008-0000-0F00-000080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777" name="Rectangle 257">
          <a:extLst>
            <a:ext uri="{FF2B5EF4-FFF2-40B4-BE49-F238E27FC236}">
              <a16:creationId xmlns:a16="http://schemas.microsoft.com/office/drawing/2014/main" id="{00000000-0008-0000-0F00-000081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78" name="Oval 258">
          <a:extLst>
            <a:ext uri="{FF2B5EF4-FFF2-40B4-BE49-F238E27FC236}">
              <a16:creationId xmlns:a16="http://schemas.microsoft.com/office/drawing/2014/main" id="{00000000-0008-0000-0F00-000082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79" name="Oval 259">
          <a:extLst>
            <a:ext uri="{FF2B5EF4-FFF2-40B4-BE49-F238E27FC236}">
              <a16:creationId xmlns:a16="http://schemas.microsoft.com/office/drawing/2014/main" id="{00000000-0008-0000-0F00-000083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80" name="Oval 260">
          <a:extLst>
            <a:ext uri="{FF2B5EF4-FFF2-40B4-BE49-F238E27FC236}">
              <a16:creationId xmlns:a16="http://schemas.microsoft.com/office/drawing/2014/main" id="{00000000-0008-0000-0F00-000084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81" name="Oval 261">
          <a:extLst>
            <a:ext uri="{FF2B5EF4-FFF2-40B4-BE49-F238E27FC236}">
              <a16:creationId xmlns:a16="http://schemas.microsoft.com/office/drawing/2014/main" id="{00000000-0008-0000-0F00-000085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782" name="AutoShape 262">
          <a:extLst>
            <a:ext uri="{FF2B5EF4-FFF2-40B4-BE49-F238E27FC236}">
              <a16:creationId xmlns:a16="http://schemas.microsoft.com/office/drawing/2014/main" id="{00000000-0008-0000-0F00-000086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783" name="Rectangle 263">
          <a:extLst>
            <a:ext uri="{FF2B5EF4-FFF2-40B4-BE49-F238E27FC236}">
              <a16:creationId xmlns:a16="http://schemas.microsoft.com/office/drawing/2014/main" id="{00000000-0008-0000-0F00-000087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84" name="Oval 264">
          <a:extLst>
            <a:ext uri="{FF2B5EF4-FFF2-40B4-BE49-F238E27FC236}">
              <a16:creationId xmlns:a16="http://schemas.microsoft.com/office/drawing/2014/main" id="{00000000-0008-0000-0F00-000088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85" name="Oval 265">
          <a:extLst>
            <a:ext uri="{FF2B5EF4-FFF2-40B4-BE49-F238E27FC236}">
              <a16:creationId xmlns:a16="http://schemas.microsoft.com/office/drawing/2014/main" id="{00000000-0008-0000-0F00-000089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86" name="Oval 266">
          <a:extLst>
            <a:ext uri="{FF2B5EF4-FFF2-40B4-BE49-F238E27FC236}">
              <a16:creationId xmlns:a16="http://schemas.microsoft.com/office/drawing/2014/main" id="{00000000-0008-0000-0F00-00008A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87" name="Oval 267">
          <a:extLst>
            <a:ext uri="{FF2B5EF4-FFF2-40B4-BE49-F238E27FC236}">
              <a16:creationId xmlns:a16="http://schemas.microsoft.com/office/drawing/2014/main" id="{00000000-0008-0000-0F00-00008B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7788" name="AutoShape 268">
          <a:extLst>
            <a:ext uri="{FF2B5EF4-FFF2-40B4-BE49-F238E27FC236}">
              <a16:creationId xmlns:a16="http://schemas.microsoft.com/office/drawing/2014/main" id="{00000000-0008-0000-0F00-00008C4E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789" name="Rectangle 269">
          <a:extLst>
            <a:ext uri="{FF2B5EF4-FFF2-40B4-BE49-F238E27FC236}">
              <a16:creationId xmlns:a16="http://schemas.microsoft.com/office/drawing/2014/main" id="{00000000-0008-0000-0F00-00008D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90" name="Oval 270">
          <a:extLst>
            <a:ext uri="{FF2B5EF4-FFF2-40B4-BE49-F238E27FC236}">
              <a16:creationId xmlns:a16="http://schemas.microsoft.com/office/drawing/2014/main" id="{00000000-0008-0000-0F00-00008E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91" name="Oval 271">
          <a:extLst>
            <a:ext uri="{FF2B5EF4-FFF2-40B4-BE49-F238E27FC236}">
              <a16:creationId xmlns:a16="http://schemas.microsoft.com/office/drawing/2014/main" id="{00000000-0008-0000-0F00-00008F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92" name="Oval 272">
          <a:extLst>
            <a:ext uri="{FF2B5EF4-FFF2-40B4-BE49-F238E27FC236}">
              <a16:creationId xmlns:a16="http://schemas.microsoft.com/office/drawing/2014/main" id="{00000000-0008-0000-0F00-000090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93" name="Oval 273">
          <a:extLst>
            <a:ext uri="{FF2B5EF4-FFF2-40B4-BE49-F238E27FC236}">
              <a16:creationId xmlns:a16="http://schemas.microsoft.com/office/drawing/2014/main" id="{00000000-0008-0000-0F00-000091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794" name="Rectangle 274">
          <a:extLst>
            <a:ext uri="{FF2B5EF4-FFF2-40B4-BE49-F238E27FC236}">
              <a16:creationId xmlns:a16="http://schemas.microsoft.com/office/drawing/2014/main" id="{00000000-0008-0000-0F00-000092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95" name="Oval 275">
          <a:extLst>
            <a:ext uri="{FF2B5EF4-FFF2-40B4-BE49-F238E27FC236}">
              <a16:creationId xmlns:a16="http://schemas.microsoft.com/office/drawing/2014/main" id="{00000000-0008-0000-0F00-000093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96" name="Oval 276">
          <a:extLst>
            <a:ext uri="{FF2B5EF4-FFF2-40B4-BE49-F238E27FC236}">
              <a16:creationId xmlns:a16="http://schemas.microsoft.com/office/drawing/2014/main" id="{00000000-0008-0000-0F00-000094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97" name="Oval 277">
          <a:extLst>
            <a:ext uri="{FF2B5EF4-FFF2-40B4-BE49-F238E27FC236}">
              <a16:creationId xmlns:a16="http://schemas.microsoft.com/office/drawing/2014/main" id="{00000000-0008-0000-0F00-000095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798" name="Oval 278">
          <a:extLst>
            <a:ext uri="{FF2B5EF4-FFF2-40B4-BE49-F238E27FC236}">
              <a16:creationId xmlns:a16="http://schemas.microsoft.com/office/drawing/2014/main" id="{00000000-0008-0000-0F00-000096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7799" name="Rectangle 279">
          <a:extLst>
            <a:ext uri="{FF2B5EF4-FFF2-40B4-BE49-F238E27FC236}">
              <a16:creationId xmlns:a16="http://schemas.microsoft.com/office/drawing/2014/main" id="{00000000-0008-0000-0F00-0000974E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800" name="Oval 280">
          <a:extLst>
            <a:ext uri="{FF2B5EF4-FFF2-40B4-BE49-F238E27FC236}">
              <a16:creationId xmlns:a16="http://schemas.microsoft.com/office/drawing/2014/main" id="{00000000-0008-0000-0F00-000098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801" name="Oval 281">
          <a:extLst>
            <a:ext uri="{FF2B5EF4-FFF2-40B4-BE49-F238E27FC236}">
              <a16:creationId xmlns:a16="http://schemas.microsoft.com/office/drawing/2014/main" id="{00000000-0008-0000-0F00-000099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802" name="Oval 282">
          <a:extLst>
            <a:ext uri="{FF2B5EF4-FFF2-40B4-BE49-F238E27FC236}">
              <a16:creationId xmlns:a16="http://schemas.microsoft.com/office/drawing/2014/main" id="{00000000-0008-0000-0F00-00009A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7803" name="Oval 283">
          <a:extLst>
            <a:ext uri="{FF2B5EF4-FFF2-40B4-BE49-F238E27FC236}">
              <a16:creationId xmlns:a16="http://schemas.microsoft.com/office/drawing/2014/main" id="{00000000-0008-0000-0F00-00009B4E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17</xdr:row>
      <xdr:rowOff>104775</xdr:rowOff>
    </xdr:from>
    <xdr:to>
      <xdr:col>4</xdr:col>
      <xdr:colOff>9525</xdr:colOff>
      <xdr:row>22</xdr:row>
      <xdr:rowOff>85725</xdr:rowOff>
    </xdr:to>
    <xdr:sp textlink="">
      <xdr:nvSpPr>
        <xdr:cNvPr id="347804" name="AutoShape 284">
          <a:extLst>
            <a:ext uri="{FF2B5EF4-FFF2-40B4-BE49-F238E27FC236}">
              <a16:creationId xmlns:a16="http://schemas.microsoft.com/office/drawing/2014/main" id="{00000000-0008-0000-0F00-00009C4E0500}"/>
            </a:ext>
          </a:extLst>
        </xdr:cNvPr>
        <xdr:cNvSpPr>
          <a:spLocks noChangeArrowheads="1"/>
        </xdr:cNvSpPr>
      </xdr:nvSpPr>
      <xdr:spPr bwMode="auto">
        <a:xfrm>
          <a:off x="676275" y="20859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347805" name="Rectangle 285">
          <a:extLst>
            <a:ext uri="{FF2B5EF4-FFF2-40B4-BE49-F238E27FC236}">
              <a16:creationId xmlns:a16="http://schemas.microsoft.com/office/drawing/2014/main" id="{00000000-0008-0000-0F00-00009D4E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25</xdr:row>
      <xdr:rowOff>104775</xdr:rowOff>
    </xdr:from>
    <xdr:to>
      <xdr:col>4</xdr:col>
      <xdr:colOff>9525</xdr:colOff>
      <xdr:row>30</xdr:row>
      <xdr:rowOff>85725</xdr:rowOff>
    </xdr:to>
    <xdr:sp textlink="">
      <xdr:nvSpPr>
        <xdr:cNvPr id="347806" name="AutoShape 286">
          <a:extLst>
            <a:ext uri="{FF2B5EF4-FFF2-40B4-BE49-F238E27FC236}">
              <a16:creationId xmlns:a16="http://schemas.microsoft.com/office/drawing/2014/main" id="{00000000-0008-0000-0F00-00009E4E0500}"/>
            </a:ext>
          </a:extLst>
        </xdr:cNvPr>
        <xdr:cNvSpPr>
          <a:spLocks noChangeArrowheads="1"/>
        </xdr:cNvSpPr>
      </xdr:nvSpPr>
      <xdr:spPr bwMode="auto">
        <a:xfrm>
          <a:off x="676275" y="27717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347807" name="Rectangle 287">
          <a:extLst>
            <a:ext uri="{FF2B5EF4-FFF2-40B4-BE49-F238E27FC236}">
              <a16:creationId xmlns:a16="http://schemas.microsoft.com/office/drawing/2014/main" id="{00000000-0008-0000-0F00-00009F4E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33</xdr:row>
      <xdr:rowOff>104775</xdr:rowOff>
    </xdr:from>
    <xdr:to>
      <xdr:col>4</xdr:col>
      <xdr:colOff>9525</xdr:colOff>
      <xdr:row>38</xdr:row>
      <xdr:rowOff>85725</xdr:rowOff>
    </xdr:to>
    <xdr:sp textlink="">
      <xdr:nvSpPr>
        <xdr:cNvPr id="347808" name="AutoShape 288">
          <a:extLst>
            <a:ext uri="{FF2B5EF4-FFF2-40B4-BE49-F238E27FC236}">
              <a16:creationId xmlns:a16="http://schemas.microsoft.com/office/drawing/2014/main" id="{00000000-0008-0000-0F00-0000A04E0500}"/>
            </a:ext>
          </a:extLst>
        </xdr:cNvPr>
        <xdr:cNvSpPr>
          <a:spLocks noChangeArrowheads="1"/>
        </xdr:cNvSpPr>
      </xdr:nvSpPr>
      <xdr:spPr bwMode="auto">
        <a:xfrm>
          <a:off x="676275" y="34575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347809" name="Rectangle 289">
          <a:extLst>
            <a:ext uri="{FF2B5EF4-FFF2-40B4-BE49-F238E27FC236}">
              <a16:creationId xmlns:a16="http://schemas.microsoft.com/office/drawing/2014/main" id="{00000000-0008-0000-0F00-0000A14E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4</xdr:col>
      <xdr:colOff>9525</xdr:colOff>
      <xdr:row>46</xdr:row>
      <xdr:rowOff>85725</xdr:rowOff>
    </xdr:to>
    <xdr:sp textlink="">
      <xdr:nvSpPr>
        <xdr:cNvPr id="347810" name="AutoShape 290">
          <a:extLst>
            <a:ext uri="{FF2B5EF4-FFF2-40B4-BE49-F238E27FC236}">
              <a16:creationId xmlns:a16="http://schemas.microsoft.com/office/drawing/2014/main" id="{00000000-0008-0000-0F00-0000A24E0500}"/>
            </a:ext>
          </a:extLst>
        </xdr:cNvPr>
        <xdr:cNvSpPr>
          <a:spLocks noChangeArrowheads="1"/>
        </xdr:cNvSpPr>
      </xdr:nvSpPr>
      <xdr:spPr bwMode="auto">
        <a:xfrm>
          <a:off x="676275" y="41433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347811" name="Rectangle 291">
          <a:extLst>
            <a:ext uri="{FF2B5EF4-FFF2-40B4-BE49-F238E27FC236}">
              <a16:creationId xmlns:a16="http://schemas.microsoft.com/office/drawing/2014/main" id="{00000000-0008-0000-0F00-0000A34E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49</xdr:row>
      <xdr:rowOff>104775</xdr:rowOff>
    </xdr:from>
    <xdr:to>
      <xdr:col>4</xdr:col>
      <xdr:colOff>9525</xdr:colOff>
      <xdr:row>54</xdr:row>
      <xdr:rowOff>85725</xdr:rowOff>
    </xdr:to>
    <xdr:sp textlink="">
      <xdr:nvSpPr>
        <xdr:cNvPr id="347812" name="AutoShape 292">
          <a:extLst>
            <a:ext uri="{FF2B5EF4-FFF2-40B4-BE49-F238E27FC236}">
              <a16:creationId xmlns:a16="http://schemas.microsoft.com/office/drawing/2014/main" id="{00000000-0008-0000-0F00-0000A44E0500}"/>
            </a:ext>
          </a:extLst>
        </xdr:cNvPr>
        <xdr:cNvSpPr>
          <a:spLocks noChangeArrowheads="1"/>
        </xdr:cNvSpPr>
      </xdr:nvSpPr>
      <xdr:spPr bwMode="auto">
        <a:xfrm>
          <a:off x="676275" y="48291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347813" name="Rectangle 293">
          <a:extLst>
            <a:ext uri="{FF2B5EF4-FFF2-40B4-BE49-F238E27FC236}">
              <a16:creationId xmlns:a16="http://schemas.microsoft.com/office/drawing/2014/main" id="{00000000-0008-0000-0F00-0000A54E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57</xdr:row>
      <xdr:rowOff>104775</xdr:rowOff>
    </xdr:from>
    <xdr:to>
      <xdr:col>4</xdr:col>
      <xdr:colOff>9525</xdr:colOff>
      <xdr:row>62</xdr:row>
      <xdr:rowOff>85725</xdr:rowOff>
    </xdr:to>
    <xdr:sp textlink="">
      <xdr:nvSpPr>
        <xdr:cNvPr id="347814" name="AutoShape 294">
          <a:extLst>
            <a:ext uri="{FF2B5EF4-FFF2-40B4-BE49-F238E27FC236}">
              <a16:creationId xmlns:a16="http://schemas.microsoft.com/office/drawing/2014/main" id="{00000000-0008-0000-0F00-0000A64E0500}"/>
            </a:ext>
          </a:extLst>
        </xdr:cNvPr>
        <xdr:cNvSpPr>
          <a:spLocks noChangeArrowheads="1"/>
        </xdr:cNvSpPr>
      </xdr:nvSpPr>
      <xdr:spPr bwMode="auto">
        <a:xfrm>
          <a:off x="676275" y="55149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347815" name="Rectangle 295">
          <a:extLst>
            <a:ext uri="{FF2B5EF4-FFF2-40B4-BE49-F238E27FC236}">
              <a16:creationId xmlns:a16="http://schemas.microsoft.com/office/drawing/2014/main" id="{00000000-0008-0000-0F00-0000A74E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65</xdr:row>
      <xdr:rowOff>104775</xdr:rowOff>
    </xdr:from>
    <xdr:to>
      <xdr:col>4</xdr:col>
      <xdr:colOff>9525</xdr:colOff>
      <xdr:row>70</xdr:row>
      <xdr:rowOff>85725</xdr:rowOff>
    </xdr:to>
    <xdr:sp textlink="">
      <xdr:nvSpPr>
        <xdr:cNvPr id="347816" name="AutoShape 296">
          <a:extLst>
            <a:ext uri="{FF2B5EF4-FFF2-40B4-BE49-F238E27FC236}">
              <a16:creationId xmlns:a16="http://schemas.microsoft.com/office/drawing/2014/main" id="{00000000-0008-0000-0F00-0000A84E0500}"/>
            </a:ext>
          </a:extLst>
        </xdr:cNvPr>
        <xdr:cNvSpPr>
          <a:spLocks noChangeArrowheads="1"/>
        </xdr:cNvSpPr>
      </xdr:nvSpPr>
      <xdr:spPr bwMode="auto">
        <a:xfrm>
          <a:off x="676275" y="62007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347817" name="Rectangle 297">
          <a:extLst>
            <a:ext uri="{FF2B5EF4-FFF2-40B4-BE49-F238E27FC236}">
              <a16:creationId xmlns:a16="http://schemas.microsoft.com/office/drawing/2014/main" id="{00000000-0008-0000-0F00-0000A94E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73</xdr:row>
      <xdr:rowOff>104775</xdr:rowOff>
    </xdr:from>
    <xdr:to>
      <xdr:col>4</xdr:col>
      <xdr:colOff>9525</xdr:colOff>
      <xdr:row>78</xdr:row>
      <xdr:rowOff>85725</xdr:rowOff>
    </xdr:to>
    <xdr:sp textlink="">
      <xdr:nvSpPr>
        <xdr:cNvPr id="347818" name="AutoShape 298">
          <a:extLst>
            <a:ext uri="{FF2B5EF4-FFF2-40B4-BE49-F238E27FC236}">
              <a16:creationId xmlns:a16="http://schemas.microsoft.com/office/drawing/2014/main" id="{00000000-0008-0000-0F00-0000AA4E0500}"/>
            </a:ext>
          </a:extLst>
        </xdr:cNvPr>
        <xdr:cNvSpPr>
          <a:spLocks noChangeArrowheads="1"/>
        </xdr:cNvSpPr>
      </xdr:nvSpPr>
      <xdr:spPr bwMode="auto">
        <a:xfrm>
          <a:off x="676275" y="68865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347819" name="Rectangle 299">
          <a:extLst>
            <a:ext uri="{FF2B5EF4-FFF2-40B4-BE49-F238E27FC236}">
              <a16:creationId xmlns:a16="http://schemas.microsoft.com/office/drawing/2014/main" id="{00000000-0008-0000-0F00-0000AB4E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81</xdr:row>
      <xdr:rowOff>104775</xdr:rowOff>
    </xdr:from>
    <xdr:to>
      <xdr:col>4</xdr:col>
      <xdr:colOff>9525</xdr:colOff>
      <xdr:row>86</xdr:row>
      <xdr:rowOff>85725</xdr:rowOff>
    </xdr:to>
    <xdr:sp textlink="">
      <xdr:nvSpPr>
        <xdr:cNvPr id="347820" name="AutoShape 300">
          <a:extLst>
            <a:ext uri="{FF2B5EF4-FFF2-40B4-BE49-F238E27FC236}">
              <a16:creationId xmlns:a16="http://schemas.microsoft.com/office/drawing/2014/main" id="{00000000-0008-0000-0F00-0000AC4E0500}"/>
            </a:ext>
          </a:extLst>
        </xdr:cNvPr>
        <xdr:cNvSpPr>
          <a:spLocks noChangeArrowheads="1"/>
        </xdr:cNvSpPr>
      </xdr:nvSpPr>
      <xdr:spPr bwMode="auto">
        <a:xfrm>
          <a:off x="676275" y="75723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347821" name="Rectangle 301">
          <a:extLst>
            <a:ext uri="{FF2B5EF4-FFF2-40B4-BE49-F238E27FC236}">
              <a16:creationId xmlns:a16="http://schemas.microsoft.com/office/drawing/2014/main" id="{00000000-0008-0000-0F00-0000AD4E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89</xdr:row>
      <xdr:rowOff>104775</xdr:rowOff>
    </xdr:from>
    <xdr:to>
      <xdr:col>4</xdr:col>
      <xdr:colOff>9525</xdr:colOff>
      <xdr:row>94</xdr:row>
      <xdr:rowOff>85725</xdr:rowOff>
    </xdr:to>
    <xdr:sp textlink="">
      <xdr:nvSpPr>
        <xdr:cNvPr id="347822" name="AutoShape 302">
          <a:extLst>
            <a:ext uri="{FF2B5EF4-FFF2-40B4-BE49-F238E27FC236}">
              <a16:creationId xmlns:a16="http://schemas.microsoft.com/office/drawing/2014/main" id="{00000000-0008-0000-0F00-0000AE4E0500}"/>
            </a:ext>
          </a:extLst>
        </xdr:cNvPr>
        <xdr:cNvSpPr>
          <a:spLocks noChangeArrowheads="1"/>
        </xdr:cNvSpPr>
      </xdr:nvSpPr>
      <xdr:spPr bwMode="auto">
        <a:xfrm>
          <a:off x="676275" y="82581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347823" name="Rectangle 303">
          <a:extLst>
            <a:ext uri="{FF2B5EF4-FFF2-40B4-BE49-F238E27FC236}">
              <a16:creationId xmlns:a16="http://schemas.microsoft.com/office/drawing/2014/main" id="{00000000-0008-0000-0F00-0000AF4E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97</xdr:row>
      <xdr:rowOff>104775</xdr:rowOff>
    </xdr:from>
    <xdr:to>
      <xdr:col>4</xdr:col>
      <xdr:colOff>9525</xdr:colOff>
      <xdr:row>102</xdr:row>
      <xdr:rowOff>85725</xdr:rowOff>
    </xdr:to>
    <xdr:sp textlink="">
      <xdr:nvSpPr>
        <xdr:cNvPr id="347824" name="AutoShape 304">
          <a:extLst>
            <a:ext uri="{FF2B5EF4-FFF2-40B4-BE49-F238E27FC236}">
              <a16:creationId xmlns:a16="http://schemas.microsoft.com/office/drawing/2014/main" id="{00000000-0008-0000-0F00-0000B04E0500}"/>
            </a:ext>
          </a:extLst>
        </xdr:cNvPr>
        <xdr:cNvSpPr>
          <a:spLocks noChangeArrowheads="1"/>
        </xdr:cNvSpPr>
      </xdr:nvSpPr>
      <xdr:spPr bwMode="auto">
        <a:xfrm>
          <a:off x="676275" y="89439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347825" name="Rectangle 305">
          <a:extLst>
            <a:ext uri="{FF2B5EF4-FFF2-40B4-BE49-F238E27FC236}">
              <a16:creationId xmlns:a16="http://schemas.microsoft.com/office/drawing/2014/main" id="{00000000-0008-0000-0F00-0000B14E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105</xdr:row>
      <xdr:rowOff>104775</xdr:rowOff>
    </xdr:from>
    <xdr:to>
      <xdr:col>4</xdr:col>
      <xdr:colOff>9525</xdr:colOff>
      <xdr:row>110</xdr:row>
      <xdr:rowOff>85725</xdr:rowOff>
    </xdr:to>
    <xdr:sp textlink="">
      <xdr:nvSpPr>
        <xdr:cNvPr id="347826" name="AutoShape 306">
          <a:extLst>
            <a:ext uri="{FF2B5EF4-FFF2-40B4-BE49-F238E27FC236}">
              <a16:creationId xmlns:a16="http://schemas.microsoft.com/office/drawing/2014/main" id="{00000000-0008-0000-0F00-0000B24E0500}"/>
            </a:ext>
          </a:extLst>
        </xdr:cNvPr>
        <xdr:cNvSpPr>
          <a:spLocks noChangeArrowheads="1"/>
        </xdr:cNvSpPr>
      </xdr:nvSpPr>
      <xdr:spPr bwMode="auto">
        <a:xfrm>
          <a:off x="676275" y="96297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347827" name="Rectangle 307">
          <a:extLst>
            <a:ext uri="{FF2B5EF4-FFF2-40B4-BE49-F238E27FC236}">
              <a16:creationId xmlns:a16="http://schemas.microsoft.com/office/drawing/2014/main" id="{00000000-0008-0000-0F00-0000B34E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9</xdr:row>
      <xdr:rowOff>104775</xdr:rowOff>
    </xdr:from>
    <xdr:to>
      <xdr:col>4</xdr:col>
      <xdr:colOff>9525</xdr:colOff>
      <xdr:row>14</xdr:row>
      <xdr:rowOff>85725</xdr:rowOff>
    </xdr:to>
    <xdr:sp textlink="">
      <xdr:nvSpPr>
        <xdr:cNvPr id="348545" name="AutoShape 1">
          <a:extLst>
            <a:ext uri="{FF2B5EF4-FFF2-40B4-BE49-F238E27FC236}">
              <a16:creationId xmlns:a16="http://schemas.microsoft.com/office/drawing/2014/main" id="{00000000-0008-0000-1000-000081510500}"/>
            </a:ext>
          </a:extLst>
        </xdr:cNvPr>
        <xdr:cNvSpPr>
          <a:spLocks noChangeArrowheads="1"/>
        </xdr:cNvSpPr>
      </xdr:nvSpPr>
      <xdr:spPr bwMode="auto">
        <a:xfrm>
          <a:off x="676275" y="14001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9</xdr:row>
      <xdr:rowOff>19050</xdr:rowOff>
    </xdr:from>
    <xdr:to>
      <xdr:col>2</xdr:col>
      <xdr:colOff>161925</xdr:colOff>
      <xdr:row>14</xdr:row>
      <xdr:rowOff>133350</xdr:rowOff>
    </xdr:to>
    <xdr:sp textlink="">
      <xdr:nvSpPr>
        <xdr:cNvPr id="348546" name="Rectangle 2">
          <a:extLst>
            <a:ext uri="{FF2B5EF4-FFF2-40B4-BE49-F238E27FC236}">
              <a16:creationId xmlns:a16="http://schemas.microsoft.com/office/drawing/2014/main" id="{00000000-0008-0000-1000-000082510500}"/>
            </a:ext>
          </a:extLst>
        </xdr:cNvPr>
        <xdr:cNvSpPr>
          <a:spLocks noChangeArrowheads="1"/>
        </xdr:cNvSpPr>
      </xdr:nvSpPr>
      <xdr:spPr bwMode="auto">
        <a:xfrm>
          <a:off x="666750" y="1314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</xdr:row>
      <xdr:rowOff>85725</xdr:rowOff>
    </xdr:from>
    <xdr:to>
      <xdr:col>1</xdr:col>
      <xdr:colOff>476250</xdr:colOff>
      <xdr:row>14</xdr:row>
      <xdr:rowOff>104775</xdr:rowOff>
    </xdr:to>
    <xdr:sp textlink="">
      <xdr:nvSpPr>
        <xdr:cNvPr id="348547" name="Oval 3">
          <a:extLst>
            <a:ext uri="{FF2B5EF4-FFF2-40B4-BE49-F238E27FC236}">
              <a16:creationId xmlns:a16="http://schemas.microsoft.com/office/drawing/2014/main" id="{00000000-0008-0000-1000-000083510500}"/>
            </a:ext>
          </a:extLst>
        </xdr:cNvPr>
        <xdr:cNvSpPr>
          <a:spLocks noChangeArrowheads="1"/>
        </xdr:cNvSpPr>
      </xdr:nvSpPr>
      <xdr:spPr bwMode="auto">
        <a:xfrm>
          <a:off x="171450" y="1381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textlink="">
      <xdr:nvSpPr>
        <xdr:cNvPr id="348548" name="Oval 4">
          <a:extLst>
            <a:ext uri="{FF2B5EF4-FFF2-40B4-BE49-F238E27FC236}">
              <a16:creationId xmlns:a16="http://schemas.microsoft.com/office/drawing/2014/main" id="{00000000-0008-0000-1000-00008451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8549" name="Oval 5">
          <a:extLst>
            <a:ext uri="{FF2B5EF4-FFF2-40B4-BE49-F238E27FC236}">
              <a16:creationId xmlns:a16="http://schemas.microsoft.com/office/drawing/2014/main" id="{00000000-0008-0000-1000-00008551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8550" name="Oval 6">
          <a:extLst>
            <a:ext uri="{FF2B5EF4-FFF2-40B4-BE49-F238E27FC236}">
              <a16:creationId xmlns:a16="http://schemas.microsoft.com/office/drawing/2014/main" id="{00000000-0008-0000-1000-00008651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8551" name="Oval 7">
          <a:extLst>
            <a:ext uri="{FF2B5EF4-FFF2-40B4-BE49-F238E27FC236}">
              <a16:creationId xmlns:a16="http://schemas.microsoft.com/office/drawing/2014/main" id="{00000000-0008-0000-1000-00008751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8552" name="Oval 8">
          <a:extLst>
            <a:ext uri="{FF2B5EF4-FFF2-40B4-BE49-F238E27FC236}">
              <a16:creationId xmlns:a16="http://schemas.microsoft.com/office/drawing/2014/main" id="{00000000-0008-0000-1000-00008851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8553" name="Oval 9">
          <a:extLst>
            <a:ext uri="{FF2B5EF4-FFF2-40B4-BE49-F238E27FC236}">
              <a16:creationId xmlns:a16="http://schemas.microsoft.com/office/drawing/2014/main" id="{00000000-0008-0000-1000-00008951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8554" name="Oval 10">
          <a:extLst>
            <a:ext uri="{FF2B5EF4-FFF2-40B4-BE49-F238E27FC236}">
              <a16:creationId xmlns:a16="http://schemas.microsoft.com/office/drawing/2014/main" id="{00000000-0008-0000-1000-00008A51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8555" name="Oval 11">
          <a:extLst>
            <a:ext uri="{FF2B5EF4-FFF2-40B4-BE49-F238E27FC236}">
              <a16:creationId xmlns:a16="http://schemas.microsoft.com/office/drawing/2014/main" id="{00000000-0008-0000-1000-00008B51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8556" name="Oval 12">
          <a:extLst>
            <a:ext uri="{FF2B5EF4-FFF2-40B4-BE49-F238E27FC236}">
              <a16:creationId xmlns:a16="http://schemas.microsoft.com/office/drawing/2014/main" id="{00000000-0008-0000-1000-00008C51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8557" name="Oval 13">
          <a:extLst>
            <a:ext uri="{FF2B5EF4-FFF2-40B4-BE49-F238E27FC236}">
              <a16:creationId xmlns:a16="http://schemas.microsoft.com/office/drawing/2014/main" id="{00000000-0008-0000-1000-00008D51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8558" name="Oval 14">
          <a:extLst>
            <a:ext uri="{FF2B5EF4-FFF2-40B4-BE49-F238E27FC236}">
              <a16:creationId xmlns:a16="http://schemas.microsoft.com/office/drawing/2014/main" id="{00000000-0008-0000-1000-00008E51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48559" name="Oval 15">
          <a:extLst>
            <a:ext uri="{FF2B5EF4-FFF2-40B4-BE49-F238E27FC236}">
              <a16:creationId xmlns:a16="http://schemas.microsoft.com/office/drawing/2014/main" id="{00000000-0008-0000-1000-00008F51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161925</xdr:colOff>
      <xdr:row>106</xdr:row>
      <xdr:rowOff>0</xdr:rowOff>
    </xdr:to>
    <xdr:sp textlink="">
      <xdr:nvSpPr>
        <xdr:cNvPr id="348560" name="Rectangle 16">
          <a:extLst>
            <a:ext uri="{FF2B5EF4-FFF2-40B4-BE49-F238E27FC236}">
              <a16:creationId xmlns:a16="http://schemas.microsoft.com/office/drawing/2014/main" id="{00000000-0008-0000-1000-000090510500}"/>
            </a:ext>
          </a:extLst>
        </xdr:cNvPr>
        <xdr:cNvSpPr>
          <a:spLocks noChangeArrowheads="1"/>
        </xdr:cNvSpPr>
      </xdr:nvSpPr>
      <xdr:spPr bwMode="auto">
        <a:xfrm>
          <a:off x="666750" y="97155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348561" name="Oval 17">
          <a:extLst>
            <a:ext uri="{FF2B5EF4-FFF2-40B4-BE49-F238E27FC236}">
              <a16:creationId xmlns:a16="http://schemas.microsoft.com/office/drawing/2014/main" id="{00000000-0008-0000-1000-00009151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105</xdr:row>
      <xdr:rowOff>85725</xdr:rowOff>
    </xdr:from>
    <xdr:to>
      <xdr:col>1</xdr:col>
      <xdr:colOff>476250</xdr:colOff>
      <xdr:row>110</xdr:row>
      <xdr:rowOff>104775</xdr:rowOff>
    </xdr:to>
    <xdr:sp textlink="">
      <xdr:nvSpPr>
        <xdr:cNvPr id="348562" name="Oval 18">
          <a:extLst>
            <a:ext uri="{FF2B5EF4-FFF2-40B4-BE49-F238E27FC236}">
              <a16:creationId xmlns:a16="http://schemas.microsoft.com/office/drawing/2014/main" id="{00000000-0008-0000-1000-000092510500}"/>
            </a:ext>
          </a:extLst>
        </xdr:cNvPr>
        <xdr:cNvSpPr>
          <a:spLocks noChangeArrowheads="1"/>
        </xdr:cNvSpPr>
      </xdr:nvSpPr>
      <xdr:spPr bwMode="auto">
        <a:xfrm>
          <a:off x="171450" y="9610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textlink="">
      <xdr:nvSpPr>
        <xdr:cNvPr id="348563" name="Oval 19">
          <a:extLst>
            <a:ext uri="{FF2B5EF4-FFF2-40B4-BE49-F238E27FC236}">
              <a16:creationId xmlns:a16="http://schemas.microsoft.com/office/drawing/2014/main" id="{00000000-0008-0000-1000-00009351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textlink="">
      <xdr:nvSpPr>
        <xdr:cNvPr id="348564" name="Oval 20">
          <a:extLst>
            <a:ext uri="{FF2B5EF4-FFF2-40B4-BE49-F238E27FC236}">
              <a16:creationId xmlns:a16="http://schemas.microsoft.com/office/drawing/2014/main" id="{00000000-0008-0000-1000-00009451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17</xdr:row>
      <xdr:rowOff>85725</xdr:rowOff>
    </xdr:from>
    <xdr:to>
      <xdr:col>1</xdr:col>
      <xdr:colOff>476250</xdr:colOff>
      <xdr:row>22</xdr:row>
      <xdr:rowOff>104775</xdr:rowOff>
    </xdr:to>
    <xdr:sp textlink="">
      <xdr:nvSpPr>
        <xdr:cNvPr id="348565" name="Oval 21">
          <a:extLst>
            <a:ext uri="{FF2B5EF4-FFF2-40B4-BE49-F238E27FC236}">
              <a16:creationId xmlns:a16="http://schemas.microsoft.com/office/drawing/2014/main" id="{00000000-0008-0000-1000-000095510500}"/>
            </a:ext>
          </a:extLst>
        </xdr:cNvPr>
        <xdr:cNvSpPr>
          <a:spLocks noChangeArrowheads="1"/>
        </xdr:cNvSpPr>
      </xdr:nvSpPr>
      <xdr:spPr bwMode="auto">
        <a:xfrm>
          <a:off x="171450" y="2066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8566" name="Oval 22">
          <a:extLst>
            <a:ext uri="{FF2B5EF4-FFF2-40B4-BE49-F238E27FC236}">
              <a16:creationId xmlns:a16="http://schemas.microsoft.com/office/drawing/2014/main" id="{00000000-0008-0000-1000-00009651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8567" name="Oval 23">
          <a:extLst>
            <a:ext uri="{FF2B5EF4-FFF2-40B4-BE49-F238E27FC236}">
              <a16:creationId xmlns:a16="http://schemas.microsoft.com/office/drawing/2014/main" id="{00000000-0008-0000-1000-00009751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8568" name="Oval 24">
          <a:extLst>
            <a:ext uri="{FF2B5EF4-FFF2-40B4-BE49-F238E27FC236}">
              <a16:creationId xmlns:a16="http://schemas.microsoft.com/office/drawing/2014/main" id="{00000000-0008-0000-1000-00009851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8569" name="Oval 25">
          <a:extLst>
            <a:ext uri="{FF2B5EF4-FFF2-40B4-BE49-F238E27FC236}">
              <a16:creationId xmlns:a16="http://schemas.microsoft.com/office/drawing/2014/main" id="{00000000-0008-0000-1000-00009951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8570" name="Oval 26">
          <a:extLst>
            <a:ext uri="{FF2B5EF4-FFF2-40B4-BE49-F238E27FC236}">
              <a16:creationId xmlns:a16="http://schemas.microsoft.com/office/drawing/2014/main" id="{00000000-0008-0000-1000-00009A51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8571" name="Oval 27">
          <a:extLst>
            <a:ext uri="{FF2B5EF4-FFF2-40B4-BE49-F238E27FC236}">
              <a16:creationId xmlns:a16="http://schemas.microsoft.com/office/drawing/2014/main" id="{00000000-0008-0000-1000-00009B51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8572" name="Oval 28">
          <a:extLst>
            <a:ext uri="{FF2B5EF4-FFF2-40B4-BE49-F238E27FC236}">
              <a16:creationId xmlns:a16="http://schemas.microsoft.com/office/drawing/2014/main" id="{00000000-0008-0000-1000-00009C51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8573" name="Oval 29">
          <a:extLst>
            <a:ext uri="{FF2B5EF4-FFF2-40B4-BE49-F238E27FC236}">
              <a16:creationId xmlns:a16="http://schemas.microsoft.com/office/drawing/2014/main" id="{00000000-0008-0000-1000-00009D51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8574" name="Oval 30">
          <a:extLst>
            <a:ext uri="{FF2B5EF4-FFF2-40B4-BE49-F238E27FC236}">
              <a16:creationId xmlns:a16="http://schemas.microsoft.com/office/drawing/2014/main" id="{00000000-0008-0000-1000-00009E51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8575" name="Oval 31">
          <a:extLst>
            <a:ext uri="{FF2B5EF4-FFF2-40B4-BE49-F238E27FC236}">
              <a16:creationId xmlns:a16="http://schemas.microsoft.com/office/drawing/2014/main" id="{00000000-0008-0000-1000-00009F51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8576" name="Oval 32">
          <a:extLst>
            <a:ext uri="{FF2B5EF4-FFF2-40B4-BE49-F238E27FC236}">
              <a16:creationId xmlns:a16="http://schemas.microsoft.com/office/drawing/2014/main" id="{00000000-0008-0000-1000-0000A051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8577" name="Oval 33">
          <a:extLst>
            <a:ext uri="{FF2B5EF4-FFF2-40B4-BE49-F238E27FC236}">
              <a16:creationId xmlns:a16="http://schemas.microsoft.com/office/drawing/2014/main" id="{00000000-0008-0000-1000-0000A151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8578" name="Oval 34">
          <a:extLst>
            <a:ext uri="{FF2B5EF4-FFF2-40B4-BE49-F238E27FC236}">
              <a16:creationId xmlns:a16="http://schemas.microsoft.com/office/drawing/2014/main" id="{00000000-0008-0000-1000-0000A251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8579" name="Oval 35">
          <a:extLst>
            <a:ext uri="{FF2B5EF4-FFF2-40B4-BE49-F238E27FC236}">
              <a16:creationId xmlns:a16="http://schemas.microsoft.com/office/drawing/2014/main" id="{00000000-0008-0000-1000-0000A351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8580" name="Oval 36">
          <a:extLst>
            <a:ext uri="{FF2B5EF4-FFF2-40B4-BE49-F238E27FC236}">
              <a16:creationId xmlns:a16="http://schemas.microsoft.com/office/drawing/2014/main" id="{00000000-0008-0000-1000-0000A451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8581" name="Oval 37">
          <a:extLst>
            <a:ext uri="{FF2B5EF4-FFF2-40B4-BE49-F238E27FC236}">
              <a16:creationId xmlns:a16="http://schemas.microsoft.com/office/drawing/2014/main" id="{00000000-0008-0000-1000-0000A551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8582" name="Oval 38">
          <a:extLst>
            <a:ext uri="{FF2B5EF4-FFF2-40B4-BE49-F238E27FC236}">
              <a16:creationId xmlns:a16="http://schemas.microsoft.com/office/drawing/2014/main" id="{00000000-0008-0000-1000-0000A651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8583" name="Oval 39">
          <a:extLst>
            <a:ext uri="{FF2B5EF4-FFF2-40B4-BE49-F238E27FC236}">
              <a16:creationId xmlns:a16="http://schemas.microsoft.com/office/drawing/2014/main" id="{00000000-0008-0000-1000-0000A751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8584" name="Oval 40">
          <a:extLst>
            <a:ext uri="{FF2B5EF4-FFF2-40B4-BE49-F238E27FC236}">
              <a16:creationId xmlns:a16="http://schemas.microsoft.com/office/drawing/2014/main" id="{00000000-0008-0000-1000-0000A851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8585" name="Oval 41">
          <a:extLst>
            <a:ext uri="{FF2B5EF4-FFF2-40B4-BE49-F238E27FC236}">
              <a16:creationId xmlns:a16="http://schemas.microsoft.com/office/drawing/2014/main" id="{00000000-0008-0000-1000-0000A951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8586" name="Oval 42">
          <a:extLst>
            <a:ext uri="{FF2B5EF4-FFF2-40B4-BE49-F238E27FC236}">
              <a16:creationId xmlns:a16="http://schemas.microsoft.com/office/drawing/2014/main" id="{00000000-0008-0000-1000-0000AA51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8587" name="Oval 43">
          <a:extLst>
            <a:ext uri="{FF2B5EF4-FFF2-40B4-BE49-F238E27FC236}">
              <a16:creationId xmlns:a16="http://schemas.microsoft.com/office/drawing/2014/main" id="{00000000-0008-0000-1000-0000AB51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8588" name="Oval 44">
          <a:extLst>
            <a:ext uri="{FF2B5EF4-FFF2-40B4-BE49-F238E27FC236}">
              <a16:creationId xmlns:a16="http://schemas.microsoft.com/office/drawing/2014/main" id="{00000000-0008-0000-1000-0000AC51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8589" name="Oval 45">
          <a:extLst>
            <a:ext uri="{FF2B5EF4-FFF2-40B4-BE49-F238E27FC236}">
              <a16:creationId xmlns:a16="http://schemas.microsoft.com/office/drawing/2014/main" id="{00000000-0008-0000-1000-0000AD51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8590" name="Oval 46">
          <a:extLst>
            <a:ext uri="{FF2B5EF4-FFF2-40B4-BE49-F238E27FC236}">
              <a16:creationId xmlns:a16="http://schemas.microsoft.com/office/drawing/2014/main" id="{00000000-0008-0000-1000-0000AE51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8591" name="Oval 47">
          <a:extLst>
            <a:ext uri="{FF2B5EF4-FFF2-40B4-BE49-F238E27FC236}">
              <a16:creationId xmlns:a16="http://schemas.microsoft.com/office/drawing/2014/main" id="{00000000-0008-0000-1000-0000AF51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8592" name="Oval 48">
          <a:extLst>
            <a:ext uri="{FF2B5EF4-FFF2-40B4-BE49-F238E27FC236}">
              <a16:creationId xmlns:a16="http://schemas.microsoft.com/office/drawing/2014/main" id="{00000000-0008-0000-1000-0000B051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8593" name="Oval 49">
          <a:extLst>
            <a:ext uri="{FF2B5EF4-FFF2-40B4-BE49-F238E27FC236}">
              <a16:creationId xmlns:a16="http://schemas.microsoft.com/office/drawing/2014/main" id="{00000000-0008-0000-1000-0000B151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8594" name="Oval 50">
          <a:extLst>
            <a:ext uri="{FF2B5EF4-FFF2-40B4-BE49-F238E27FC236}">
              <a16:creationId xmlns:a16="http://schemas.microsoft.com/office/drawing/2014/main" id="{00000000-0008-0000-1000-0000B251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8595" name="Oval 51">
          <a:extLst>
            <a:ext uri="{FF2B5EF4-FFF2-40B4-BE49-F238E27FC236}">
              <a16:creationId xmlns:a16="http://schemas.microsoft.com/office/drawing/2014/main" id="{00000000-0008-0000-1000-0000B351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8596" name="Oval 52">
          <a:extLst>
            <a:ext uri="{FF2B5EF4-FFF2-40B4-BE49-F238E27FC236}">
              <a16:creationId xmlns:a16="http://schemas.microsoft.com/office/drawing/2014/main" id="{00000000-0008-0000-1000-0000B451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8597" name="Oval 53">
          <a:extLst>
            <a:ext uri="{FF2B5EF4-FFF2-40B4-BE49-F238E27FC236}">
              <a16:creationId xmlns:a16="http://schemas.microsoft.com/office/drawing/2014/main" id="{00000000-0008-0000-1000-0000B551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48598" name="Oval 54">
          <a:extLst>
            <a:ext uri="{FF2B5EF4-FFF2-40B4-BE49-F238E27FC236}">
              <a16:creationId xmlns:a16="http://schemas.microsoft.com/office/drawing/2014/main" id="{00000000-0008-0000-1000-0000B651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48599" name="Oval 55">
          <a:extLst>
            <a:ext uri="{FF2B5EF4-FFF2-40B4-BE49-F238E27FC236}">
              <a16:creationId xmlns:a16="http://schemas.microsoft.com/office/drawing/2014/main" id="{00000000-0008-0000-1000-0000B751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48600" name="Oval 56">
          <a:extLst>
            <a:ext uri="{FF2B5EF4-FFF2-40B4-BE49-F238E27FC236}">
              <a16:creationId xmlns:a16="http://schemas.microsoft.com/office/drawing/2014/main" id="{00000000-0008-0000-1000-0000B851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48601" name="Oval 57">
          <a:extLst>
            <a:ext uri="{FF2B5EF4-FFF2-40B4-BE49-F238E27FC236}">
              <a16:creationId xmlns:a16="http://schemas.microsoft.com/office/drawing/2014/main" id="{00000000-0008-0000-1000-0000B951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348602" name="Oval 58">
          <a:extLst>
            <a:ext uri="{FF2B5EF4-FFF2-40B4-BE49-F238E27FC236}">
              <a16:creationId xmlns:a16="http://schemas.microsoft.com/office/drawing/2014/main" id="{00000000-0008-0000-1000-0000BA51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348603" name="Oval 59">
          <a:extLst>
            <a:ext uri="{FF2B5EF4-FFF2-40B4-BE49-F238E27FC236}">
              <a16:creationId xmlns:a16="http://schemas.microsoft.com/office/drawing/2014/main" id="{00000000-0008-0000-1000-0000BB51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348604" name="Oval 60">
          <a:extLst>
            <a:ext uri="{FF2B5EF4-FFF2-40B4-BE49-F238E27FC236}">
              <a16:creationId xmlns:a16="http://schemas.microsoft.com/office/drawing/2014/main" id="{00000000-0008-0000-1000-0000BC51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348605" name="Oval 61">
          <a:extLst>
            <a:ext uri="{FF2B5EF4-FFF2-40B4-BE49-F238E27FC236}">
              <a16:creationId xmlns:a16="http://schemas.microsoft.com/office/drawing/2014/main" id="{00000000-0008-0000-1000-0000BD51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8606" name="Oval 62">
          <a:extLst>
            <a:ext uri="{FF2B5EF4-FFF2-40B4-BE49-F238E27FC236}">
              <a16:creationId xmlns:a16="http://schemas.microsoft.com/office/drawing/2014/main" id="{00000000-0008-0000-1000-0000BE51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8607" name="Oval 63">
          <a:extLst>
            <a:ext uri="{FF2B5EF4-FFF2-40B4-BE49-F238E27FC236}">
              <a16:creationId xmlns:a16="http://schemas.microsoft.com/office/drawing/2014/main" id="{00000000-0008-0000-1000-0000BF51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8608" name="Oval 64">
          <a:extLst>
            <a:ext uri="{FF2B5EF4-FFF2-40B4-BE49-F238E27FC236}">
              <a16:creationId xmlns:a16="http://schemas.microsoft.com/office/drawing/2014/main" id="{00000000-0008-0000-1000-0000C051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25</xdr:row>
      <xdr:rowOff>85725</xdr:rowOff>
    </xdr:from>
    <xdr:to>
      <xdr:col>1</xdr:col>
      <xdr:colOff>476250</xdr:colOff>
      <xdr:row>30</xdr:row>
      <xdr:rowOff>104775</xdr:rowOff>
    </xdr:to>
    <xdr:sp textlink="">
      <xdr:nvSpPr>
        <xdr:cNvPr id="348609" name="Oval 65">
          <a:extLst>
            <a:ext uri="{FF2B5EF4-FFF2-40B4-BE49-F238E27FC236}">
              <a16:creationId xmlns:a16="http://schemas.microsoft.com/office/drawing/2014/main" id="{00000000-0008-0000-1000-0000C1510500}"/>
            </a:ext>
          </a:extLst>
        </xdr:cNvPr>
        <xdr:cNvSpPr>
          <a:spLocks noChangeArrowheads="1"/>
        </xdr:cNvSpPr>
      </xdr:nvSpPr>
      <xdr:spPr bwMode="auto">
        <a:xfrm>
          <a:off x="171450" y="2752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8610" name="Oval 66">
          <a:extLst>
            <a:ext uri="{FF2B5EF4-FFF2-40B4-BE49-F238E27FC236}">
              <a16:creationId xmlns:a16="http://schemas.microsoft.com/office/drawing/2014/main" id="{00000000-0008-0000-1000-0000C251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8611" name="Oval 67">
          <a:extLst>
            <a:ext uri="{FF2B5EF4-FFF2-40B4-BE49-F238E27FC236}">
              <a16:creationId xmlns:a16="http://schemas.microsoft.com/office/drawing/2014/main" id="{00000000-0008-0000-1000-0000C351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8612" name="Oval 68">
          <a:extLst>
            <a:ext uri="{FF2B5EF4-FFF2-40B4-BE49-F238E27FC236}">
              <a16:creationId xmlns:a16="http://schemas.microsoft.com/office/drawing/2014/main" id="{00000000-0008-0000-1000-0000C451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33</xdr:row>
      <xdr:rowOff>85725</xdr:rowOff>
    </xdr:from>
    <xdr:to>
      <xdr:col>1</xdr:col>
      <xdr:colOff>476250</xdr:colOff>
      <xdr:row>38</xdr:row>
      <xdr:rowOff>104775</xdr:rowOff>
    </xdr:to>
    <xdr:sp textlink="">
      <xdr:nvSpPr>
        <xdr:cNvPr id="348613" name="Oval 69">
          <a:extLst>
            <a:ext uri="{FF2B5EF4-FFF2-40B4-BE49-F238E27FC236}">
              <a16:creationId xmlns:a16="http://schemas.microsoft.com/office/drawing/2014/main" id="{00000000-0008-0000-1000-0000C5510500}"/>
            </a:ext>
          </a:extLst>
        </xdr:cNvPr>
        <xdr:cNvSpPr>
          <a:spLocks noChangeArrowheads="1"/>
        </xdr:cNvSpPr>
      </xdr:nvSpPr>
      <xdr:spPr bwMode="auto">
        <a:xfrm>
          <a:off x="171450" y="3438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8614" name="Oval 70">
          <a:extLst>
            <a:ext uri="{FF2B5EF4-FFF2-40B4-BE49-F238E27FC236}">
              <a16:creationId xmlns:a16="http://schemas.microsoft.com/office/drawing/2014/main" id="{00000000-0008-0000-1000-0000C651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8615" name="Oval 71">
          <a:extLst>
            <a:ext uri="{FF2B5EF4-FFF2-40B4-BE49-F238E27FC236}">
              <a16:creationId xmlns:a16="http://schemas.microsoft.com/office/drawing/2014/main" id="{00000000-0008-0000-1000-0000C751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8616" name="Oval 72">
          <a:extLst>
            <a:ext uri="{FF2B5EF4-FFF2-40B4-BE49-F238E27FC236}">
              <a16:creationId xmlns:a16="http://schemas.microsoft.com/office/drawing/2014/main" id="{00000000-0008-0000-1000-0000C851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41</xdr:row>
      <xdr:rowOff>85725</xdr:rowOff>
    </xdr:from>
    <xdr:to>
      <xdr:col>1</xdr:col>
      <xdr:colOff>476250</xdr:colOff>
      <xdr:row>46</xdr:row>
      <xdr:rowOff>104775</xdr:rowOff>
    </xdr:to>
    <xdr:sp textlink="">
      <xdr:nvSpPr>
        <xdr:cNvPr id="348617" name="Oval 73">
          <a:extLst>
            <a:ext uri="{FF2B5EF4-FFF2-40B4-BE49-F238E27FC236}">
              <a16:creationId xmlns:a16="http://schemas.microsoft.com/office/drawing/2014/main" id="{00000000-0008-0000-1000-0000C9510500}"/>
            </a:ext>
          </a:extLst>
        </xdr:cNvPr>
        <xdr:cNvSpPr>
          <a:spLocks noChangeArrowheads="1"/>
        </xdr:cNvSpPr>
      </xdr:nvSpPr>
      <xdr:spPr bwMode="auto">
        <a:xfrm>
          <a:off x="171450" y="4124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8618" name="Oval 74">
          <a:extLst>
            <a:ext uri="{FF2B5EF4-FFF2-40B4-BE49-F238E27FC236}">
              <a16:creationId xmlns:a16="http://schemas.microsoft.com/office/drawing/2014/main" id="{00000000-0008-0000-1000-0000CA51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8619" name="Oval 75">
          <a:extLst>
            <a:ext uri="{FF2B5EF4-FFF2-40B4-BE49-F238E27FC236}">
              <a16:creationId xmlns:a16="http://schemas.microsoft.com/office/drawing/2014/main" id="{00000000-0008-0000-1000-0000CB51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8620" name="Oval 76">
          <a:extLst>
            <a:ext uri="{FF2B5EF4-FFF2-40B4-BE49-F238E27FC236}">
              <a16:creationId xmlns:a16="http://schemas.microsoft.com/office/drawing/2014/main" id="{00000000-0008-0000-1000-0000CC51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49</xdr:row>
      <xdr:rowOff>85725</xdr:rowOff>
    </xdr:from>
    <xdr:to>
      <xdr:col>1</xdr:col>
      <xdr:colOff>476250</xdr:colOff>
      <xdr:row>54</xdr:row>
      <xdr:rowOff>104775</xdr:rowOff>
    </xdr:to>
    <xdr:sp textlink="">
      <xdr:nvSpPr>
        <xdr:cNvPr id="348621" name="Oval 77">
          <a:extLst>
            <a:ext uri="{FF2B5EF4-FFF2-40B4-BE49-F238E27FC236}">
              <a16:creationId xmlns:a16="http://schemas.microsoft.com/office/drawing/2014/main" id="{00000000-0008-0000-1000-0000CD510500}"/>
            </a:ext>
          </a:extLst>
        </xdr:cNvPr>
        <xdr:cNvSpPr>
          <a:spLocks noChangeArrowheads="1"/>
        </xdr:cNvSpPr>
      </xdr:nvSpPr>
      <xdr:spPr bwMode="auto">
        <a:xfrm>
          <a:off x="171450" y="4810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8622" name="Oval 78">
          <a:extLst>
            <a:ext uri="{FF2B5EF4-FFF2-40B4-BE49-F238E27FC236}">
              <a16:creationId xmlns:a16="http://schemas.microsoft.com/office/drawing/2014/main" id="{00000000-0008-0000-1000-0000CE51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8623" name="Oval 79">
          <a:extLst>
            <a:ext uri="{FF2B5EF4-FFF2-40B4-BE49-F238E27FC236}">
              <a16:creationId xmlns:a16="http://schemas.microsoft.com/office/drawing/2014/main" id="{00000000-0008-0000-1000-0000CF51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8624" name="Oval 80">
          <a:extLst>
            <a:ext uri="{FF2B5EF4-FFF2-40B4-BE49-F238E27FC236}">
              <a16:creationId xmlns:a16="http://schemas.microsoft.com/office/drawing/2014/main" id="{00000000-0008-0000-1000-0000D051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57</xdr:row>
      <xdr:rowOff>85725</xdr:rowOff>
    </xdr:from>
    <xdr:to>
      <xdr:col>1</xdr:col>
      <xdr:colOff>476250</xdr:colOff>
      <xdr:row>62</xdr:row>
      <xdr:rowOff>104775</xdr:rowOff>
    </xdr:to>
    <xdr:sp textlink="">
      <xdr:nvSpPr>
        <xdr:cNvPr id="348625" name="Oval 81">
          <a:extLst>
            <a:ext uri="{FF2B5EF4-FFF2-40B4-BE49-F238E27FC236}">
              <a16:creationId xmlns:a16="http://schemas.microsoft.com/office/drawing/2014/main" id="{00000000-0008-0000-1000-0000D1510500}"/>
            </a:ext>
          </a:extLst>
        </xdr:cNvPr>
        <xdr:cNvSpPr>
          <a:spLocks noChangeArrowheads="1"/>
        </xdr:cNvSpPr>
      </xdr:nvSpPr>
      <xdr:spPr bwMode="auto">
        <a:xfrm>
          <a:off x="171450" y="5495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8626" name="Oval 82">
          <a:extLst>
            <a:ext uri="{FF2B5EF4-FFF2-40B4-BE49-F238E27FC236}">
              <a16:creationId xmlns:a16="http://schemas.microsoft.com/office/drawing/2014/main" id="{00000000-0008-0000-1000-0000D251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8627" name="Oval 83">
          <a:extLst>
            <a:ext uri="{FF2B5EF4-FFF2-40B4-BE49-F238E27FC236}">
              <a16:creationId xmlns:a16="http://schemas.microsoft.com/office/drawing/2014/main" id="{00000000-0008-0000-1000-0000D351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8628" name="Oval 84">
          <a:extLst>
            <a:ext uri="{FF2B5EF4-FFF2-40B4-BE49-F238E27FC236}">
              <a16:creationId xmlns:a16="http://schemas.microsoft.com/office/drawing/2014/main" id="{00000000-0008-0000-1000-0000D451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65</xdr:row>
      <xdr:rowOff>85725</xdr:rowOff>
    </xdr:from>
    <xdr:to>
      <xdr:col>1</xdr:col>
      <xdr:colOff>476250</xdr:colOff>
      <xdr:row>70</xdr:row>
      <xdr:rowOff>104775</xdr:rowOff>
    </xdr:to>
    <xdr:sp textlink="">
      <xdr:nvSpPr>
        <xdr:cNvPr id="348629" name="Oval 85">
          <a:extLst>
            <a:ext uri="{FF2B5EF4-FFF2-40B4-BE49-F238E27FC236}">
              <a16:creationId xmlns:a16="http://schemas.microsoft.com/office/drawing/2014/main" id="{00000000-0008-0000-1000-0000D5510500}"/>
            </a:ext>
          </a:extLst>
        </xdr:cNvPr>
        <xdr:cNvSpPr>
          <a:spLocks noChangeArrowheads="1"/>
        </xdr:cNvSpPr>
      </xdr:nvSpPr>
      <xdr:spPr bwMode="auto">
        <a:xfrm>
          <a:off x="171450" y="61817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8630" name="Oval 86">
          <a:extLst>
            <a:ext uri="{FF2B5EF4-FFF2-40B4-BE49-F238E27FC236}">
              <a16:creationId xmlns:a16="http://schemas.microsoft.com/office/drawing/2014/main" id="{00000000-0008-0000-1000-0000D651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8631" name="Oval 87">
          <a:extLst>
            <a:ext uri="{FF2B5EF4-FFF2-40B4-BE49-F238E27FC236}">
              <a16:creationId xmlns:a16="http://schemas.microsoft.com/office/drawing/2014/main" id="{00000000-0008-0000-1000-0000D751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8632" name="Oval 88">
          <a:extLst>
            <a:ext uri="{FF2B5EF4-FFF2-40B4-BE49-F238E27FC236}">
              <a16:creationId xmlns:a16="http://schemas.microsoft.com/office/drawing/2014/main" id="{00000000-0008-0000-1000-0000D851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73</xdr:row>
      <xdr:rowOff>85725</xdr:rowOff>
    </xdr:from>
    <xdr:to>
      <xdr:col>1</xdr:col>
      <xdr:colOff>476250</xdr:colOff>
      <xdr:row>78</xdr:row>
      <xdr:rowOff>104775</xdr:rowOff>
    </xdr:to>
    <xdr:sp textlink="">
      <xdr:nvSpPr>
        <xdr:cNvPr id="348633" name="Oval 89">
          <a:extLst>
            <a:ext uri="{FF2B5EF4-FFF2-40B4-BE49-F238E27FC236}">
              <a16:creationId xmlns:a16="http://schemas.microsoft.com/office/drawing/2014/main" id="{00000000-0008-0000-1000-0000D9510500}"/>
            </a:ext>
          </a:extLst>
        </xdr:cNvPr>
        <xdr:cNvSpPr>
          <a:spLocks noChangeArrowheads="1"/>
        </xdr:cNvSpPr>
      </xdr:nvSpPr>
      <xdr:spPr bwMode="auto">
        <a:xfrm>
          <a:off x="171450" y="68675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8634" name="Oval 90">
          <a:extLst>
            <a:ext uri="{FF2B5EF4-FFF2-40B4-BE49-F238E27FC236}">
              <a16:creationId xmlns:a16="http://schemas.microsoft.com/office/drawing/2014/main" id="{00000000-0008-0000-1000-0000DA51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8635" name="Oval 91">
          <a:extLst>
            <a:ext uri="{FF2B5EF4-FFF2-40B4-BE49-F238E27FC236}">
              <a16:creationId xmlns:a16="http://schemas.microsoft.com/office/drawing/2014/main" id="{00000000-0008-0000-1000-0000DB51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8636" name="Oval 92">
          <a:extLst>
            <a:ext uri="{FF2B5EF4-FFF2-40B4-BE49-F238E27FC236}">
              <a16:creationId xmlns:a16="http://schemas.microsoft.com/office/drawing/2014/main" id="{00000000-0008-0000-1000-0000DC51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81</xdr:row>
      <xdr:rowOff>85725</xdr:rowOff>
    </xdr:from>
    <xdr:to>
      <xdr:col>1</xdr:col>
      <xdr:colOff>476250</xdr:colOff>
      <xdr:row>86</xdr:row>
      <xdr:rowOff>104775</xdr:rowOff>
    </xdr:to>
    <xdr:sp textlink="">
      <xdr:nvSpPr>
        <xdr:cNvPr id="348637" name="Oval 93">
          <a:extLst>
            <a:ext uri="{FF2B5EF4-FFF2-40B4-BE49-F238E27FC236}">
              <a16:creationId xmlns:a16="http://schemas.microsoft.com/office/drawing/2014/main" id="{00000000-0008-0000-1000-0000DD510500}"/>
            </a:ext>
          </a:extLst>
        </xdr:cNvPr>
        <xdr:cNvSpPr>
          <a:spLocks noChangeArrowheads="1"/>
        </xdr:cNvSpPr>
      </xdr:nvSpPr>
      <xdr:spPr bwMode="auto">
        <a:xfrm>
          <a:off x="171450" y="75533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48638" name="Oval 94">
          <a:extLst>
            <a:ext uri="{FF2B5EF4-FFF2-40B4-BE49-F238E27FC236}">
              <a16:creationId xmlns:a16="http://schemas.microsoft.com/office/drawing/2014/main" id="{00000000-0008-0000-1000-0000DE51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48639" name="Oval 95">
          <a:extLst>
            <a:ext uri="{FF2B5EF4-FFF2-40B4-BE49-F238E27FC236}">
              <a16:creationId xmlns:a16="http://schemas.microsoft.com/office/drawing/2014/main" id="{00000000-0008-0000-1000-0000DF51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48640" name="Oval 96">
          <a:extLst>
            <a:ext uri="{FF2B5EF4-FFF2-40B4-BE49-F238E27FC236}">
              <a16:creationId xmlns:a16="http://schemas.microsoft.com/office/drawing/2014/main" id="{00000000-0008-0000-1000-0000E051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89</xdr:row>
      <xdr:rowOff>85725</xdr:rowOff>
    </xdr:from>
    <xdr:to>
      <xdr:col>1</xdr:col>
      <xdr:colOff>476250</xdr:colOff>
      <xdr:row>94</xdr:row>
      <xdr:rowOff>104775</xdr:rowOff>
    </xdr:to>
    <xdr:sp textlink="">
      <xdr:nvSpPr>
        <xdr:cNvPr id="348641" name="Oval 97">
          <a:extLst>
            <a:ext uri="{FF2B5EF4-FFF2-40B4-BE49-F238E27FC236}">
              <a16:creationId xmlns:a16="http://schemas.microsoft.com/office/drawing/2014/main" id="{00000000-0008-0000-1000-0000E1510500}"/>
            </a:ext>
          </a:extLst>
        </xdr:cNvPr>
        <xdr:cNvSpPr>
          <a:spLocks noChangeArrowheads="1"/>
        </xdr:cNvSpPr>
      </xdr:nvSpPr>
      <xdr:spPr bwMode="auto">
        <a:xfrm>
          <a:off x="171450" y="82391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348642" name="Oval 98">
          <a:extLst>
            <a:ext uri="{FF2B5EF4-FFF2-40B4-BE49-F238E27FC236}">
              <a16:creationId xmlns:a16="http://schemas.microsoft.com/office/drawing/2014/main" id="{00000000-0008-0000-1000-0000E251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348643" name="Oval 99">
          <a:extLst>
            <a:ext uri="{FF2B5EF4-FFF2-40B4-BE49-F238E27FC236}">
              <a16:creationId xmlns:a16="http://schemas.microsoft.com/office/drawing/2014/main" id="{00000000-0008-0000-1000-0000E351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348644" name="Oval 100">
          <a:extLst>
            <a:ext uri="{FF2B5EF4-FFF2-40B4-BE49-F238E27FC236}">
              <a16:creationId xmlns:a16="http://schemas.microsoft.com/office/drawing/2014/main" id="{00000000-0008-0000-1000-0000E451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97</xdr:row>
      <xdr:rowOff>85725</xdr:rowOff>
    </xdr:from>
    <xdr:to>
      <xdr:col>1</xdr:col>
      <xdr:colOff>476250</xdr:colOff>
      <xdr:row>102</xdr:row>
      <xdr:rowOff>104775</xdr:rowOff>
    </xdr:to>
    <xdr:sp textlink="">
      <xdr:nvSpPr>
        <xdr:cNvPr id="348645" name="Oval 101">
          <a:extLst>
            <a:ext uri="{FF2B5EF4-FFF2-40B4-BE49-F238E27FC236}">
              <a16:creationId xmlns:a16="http://schemas.microsoft.com/office/drawing/2014/main" id="{00000000-0008-0000-1000-0000E5510500}"/>
            </a:ext>
          </a:extLst>
        </xdr:cNvPr>
        <xdr:cNvSpPr>
          <a:spLocks noChangeArrowheads="1"/>
        </xdr:cNvSpPr>
      </xdr:nvSpPr>
      <xdr:spPr bwMode="auto">
        <a:xfrm>
          <a:off x="171450" y="8924925"/>
          <a:ext cx="361950" cy="36195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646" name="AutoShape 102">
          <a:extLst>
            <a:ext uri="{FF2B5EF4-FFF2-40B4-BE49-F238E27FC236}">
              <a16:creationId xmlns:a16="http://schemas.microsoft.com/office/drawing/2014/main" id="{00000000-0008-0000-1000-0000E65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647" name="Rectangle 103">
          <a:extLst>
            <a:ext uri="{FF2B5EF4-FFF2-40B4-BE49-F238E27FC236}">
              <a16:creationId xmlns:a16="http://schemas.microsoft.com/office/drawing/2014/main" id="{00000000-0008-0000-1000-0000E75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648" name="Oval 104">
          <a:extLst>
            <a:ext uri="{FF2B5EF4-FFF2-40B4-BE49-F238E27FC236}">
              <a16:creationId xmlns:a16="http://schemas.microsoft.com/office/drawing/2014/main" id="{00000000-0008-0000-1000-0000E85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649" name="AutoShape 105">
          <a:extLst>
            <a:ext uri="{FF2B5EF4-FFF2-40B4-BE49-F238E27FC236}">
              <a16:creationId xmlns:a16="http://schemas.microsoft.com/office/drawing/2014/main" id="{00000000-0008-0000-1000-0000E95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650" name="Rectangle 106">
          <a:extLst>
            <a:ext uri="{FF2B5EF4-FFF2-40B4-BE49-F238E27FC236}">
              <a16:creationId xmlns:a16="http://schemas.microsoft.com/office/drawing/2014/main" id="{00000000-0008-0000-1000-0000EA5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651" name="Oval 107">
          <a:extLst>
            <a:ext uri="{FF2B5EF4-FFF2-40B4-BE49-F238E27FC236}">
              <a16:creationId xmlns:a16="http://schemas.microsoft.com/office/drawing/2014/main" id="{00000000-0008-0000-1000-0000EB5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652" name="AutoShape 108">
          <a:extLst>
            <a:ext uri="{FF2B5EF4-FFF2-40B4-BE49-F238E27FC236}">
              <a16:creationId xmlns:a16="http://schemas.microsoft.com/office/drawing/2014/main" id="{00000000-0008-0000-1000-0000EC5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653" name="Rectangle 109">
          <a:extLst>
            <a:ext uri="{FF2B5EF4-FFF2-40B4-BE49-F238E27FC236}">
              <a16:creationId xmlns:a16="http://schemas.microsoft.com/office/drawing/2014/main" id="{00000000-0008-0000-1000-0000ED5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654" name="Oval 110">
          <a:extLst>
            <a:ext uri="{FF2B5EF4-FFF2-40B4-BE49-F238E27FC236}">
              <a16:creationId xmlns:a16="http://schemas.microsoft.com/office/drawing/2014/main" id="{00000000-0008-0000-1000-0000EE5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655" name="AutoShape 111">
          <a:extLst>
            <a:ext uri="{FF2B5EF4-FFF2-40B4-BE49-F238E27FC236}">
              <a16:creationId xmlns:a16="http://schemas.microsoft.com/office/drawing/2014/main" id="{00000000-0008-0000-1000-0000EF5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656" name="Rectangle 112">
          <a:extLst>
            <a:ext uri="{FF2B5EF4-FFF2-40B4-BE49-F238E27FC236}">
              <a16:creationId xmlns:a16="http://schemas.microsoft.com/office/drawing/2014/main" id="{00000000-0008-0000-1000-0000F05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657" name="Oval 113">
          <a:extLst>
            <a:ext uri="{FF2B5EF4-FFF2-40B4-BE49-F238E27FC236}">
              <a16:creationId xmlns:a16="http://schemas.microsoft.com/office/drawing/2014/main" id="{00000000-0008-0000-1000-0000F15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658" name="AutoShape 114">
          <a:extLst>
            <a:ext uri="{FF2B5EF4-FFF2-40B4-BE49-F238E27FC236}">
              <a16:creationId xmlns:a16="http://schemas.microsoft.com/office/drawing/2014/main" id="{00000000-0008-0000-1000-0000F25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659" name="Rectangle 115">
          <a:extLst>
            <a:ext uri="{FF2B5EF4-FFF2-40B4-BE49-F238E27FC236}">
              <a16:creationId xmlns:a16="http://schemas.microsoft.com/office/drawing/2014/main" id="{00000000-0008-0000-1000-0000F35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660" name="Oval 116">
          <a:extLst>
            <a:ext uri="{FF2B5EF4-FFF2-40B4-BE49-F238E27FC236}">
              <a16:creationId xmlns:a16="http://schemas.microsoft.com/office/drawing/2014/main" id="{00000000-0008-0000-1000-0000F45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661" name="AutoShape 117">
          <a:extLst>
            <a:ext uri="{FF2B5EF4-FFF2-40B4-BE49-F238E27FC236}">
              <a16:creationId xmlns:a16="http://schemas.microsoft.com/office/drawing/2014/main" id="{00000000-0008-0000-1000-0000F55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662" name="Rectangle 118">
          <a:extLst>
            <a:ext uri="{FF2B5EF4-FFF2-40B4-BE49-F238E27FC236}">
              <a16:creationId xmlns:a16="http://schemas.microsoft.com/office/drawing/2014/main" id="{00000000-0008-0000-1000-0000F65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663" name="Oval 119">
          <a:extLst>
            <a:ext uri="{FF2B5EF4-FFF2-40B4-BE49-F238E27FC236}">
              <a16:creationId xmlns:a16="http://schemas.microsoft.com/office/drawing/2014/main" id="{00000000-0008-0000-1000-0000F75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664" name="AutoShape 120">
          <a:extLst>
            <a:ext uri="{FF2B5EF4-FFF2-40B4-BE49-F238E27FC236}">
              <a16:creationId xmlns:a16="http://schemas.microsoft.com/office/drawing/2014/main" id="{00000000-0008-0000-1000-0000F85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665" name="Rectangle 121">
          <a:extLst>
            <a:ext uri="{FF2B5EF4-FFF2-40B4-BE49-F238E27FC236}">
              <a16:creationId xmlns:a16="http://schemas.microsoft.com/office/drawing/2014/main" id="{00000000-0008-0000-1000-0000F95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666" name="Oval 122">
          <a:extLst>
            <a:ext uri="{FF2B5EF4-FFF2-40B4-BE49-F238E27FC236}">
              <a16:creationId xmlns:a16="http://schemas.microsoft.com/office/drawing/2014/main" id="{00000000-0008-0000-1000-0000FA5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667" name="AutoShape 123">
          <a:extLst>
            <a:ext uri="{FF2B5EF4-FFF2-40B4-BE49-F238E27FC236}">
              <a16:creationId xmlns:a16="http://schemas.microsoft.com/office/drawing/2014/main" id="{00000000-0008-0000-1000-0000FB5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668" name="Rectangle 124">
          <a:extLst>
            <a:ext uri="{FF2B5EF4-FFF2-40B4-BE49-F238E27FC236}">
              <a16:creationId xmlns:a16="http://schemas.microsoft.com/office/drawing/2014/main" id="{00000000-0008-0000-1000-0000FC5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669" name="Oval 125">
          <a:extLst>
            <a:ext uri="{FF2B5EF4-FFF2-40B4-BE49-F238E27FC236}">
              <a16:creationId xmlns:a16="http://schemas.microsoft.com/office/drawing/2014/main" id="{00000000-0008-0000-1000-0000FD51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670" name="AutoShape 126">
          <a:extLst>
            <a:ext uri="{FF2B5EF4-FFF2-40B4-BE49-F238E27FC236}">
              <a16:creationId xmlns:a16="http://schemas.microsoft.com/office/drawing/2014/main" id="{00000000-0008-0000-1000-0000FE51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671" name="Rectangle 127">
          <a:extLst>
            <a:ext uri="{FF2B5EF4-FFF2-40B4-BE49-F238E27FC236}">
              <a16:creationId xmlns:a16="http://schemas.microsoft.com/office/drawing/2014/main" id="{00000000-0008-0000-1000-0000FF51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672" name="Oval 128">
          <a:extLst>
            <a:ext uri="{FF2B5EF4-FFF2-40B4-BE49-F238E27FC236}">
              <a16:creationId xmlns:a16="http://schemas.microsoft.com/office/drawing/2014/main" id="{00000000-0008-0000-1000-000000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673" name="AutoShape 129">
          <a:extLst>
            <a:ext uri="{FF2B5EF4-FFF2-40B4-BE49-F238E27FC236}">
              <a16:creationId xmlns:a16="http://schemas.microsoft.com/office/drawing/2014/main" id="{00000000-0008-0000-1000-000001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674" name="Rectangle 130">
          <a:extLst>
            <a:ext uri="{FF2B5EF4-FFF2-40B4-BE49-F238E27FC236}">
              <a16:creationId xmlns:a16="http://schemas.microsoft.com/office/drawing/2014/main" id="{00000000-0008-0000-1000-000002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675" name="Oval 131">
          <a:extLst>
            <a:ext uri="{FF2B5EF4-FFF2-40B4-BE49-F238E27FC236}">
              <a16:creationId xmlns:a16="http://schemas.microsoft.com/office/drawing/2014/main" id="{00000000-0008-0000-1000-000003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676" name="AutoShape 132">
          <a:extLst>
            <a:ext uri="{FF2B5EF4-FFF2-40B4-BE49-F238E27FC236}">
              <a16:creationId xmlns:a16="http://schemas.microsoft.com/office/drawing/2014/main" id="{00000000-0008-0000-1000-000004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677" name="Rectangle 133">
          <a:extLst>
            <a:ext uri="{FF2B5EF4-FFF2-40B4-BE49-F238E27FC236}">
              <a16:creationId xmlns:a16="http://schemas.microsoft.com/office/drawing/2014/main" id="{00000000-0008-0000-1000-000005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678" name="Oval 134">
          <a:extLst>
            <a:ext uri="{FF2B5EF4-FFF2-40B4-BE49-F238E27FC236}">
              <a16:creationId xmlns:a16="http://schemas.microsoft.com/office/drawing/2014/main" id="{00000000-0008-0000-1000-000006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679" name="AutoShape 135">
          <a:extLst>
            <a:ext uri="{FF2B5EF4-FFF2-40B4-BE49-F238E27FC236}">
              <a16:creationId xmlns:a16="http://schemas.microsoft.com/office/drawing/2014/main" id="{00000000-0008-0000-1000-000007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680" name="Rectangle 136">
          <a:extLst>
            <a:ext uri="{FF2B5EF4-FFF2-40B4-BE49-F238E27FC236}">
              <a16:creationId xmlns:a16="http://schemas.microsoft.com/office/drawing/2014/main" id="{00000000-0008-0000-1000-000008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681" name="Oval 137">
          <a:extLst>
            <a:ext uri="{FF2B5EF4-FFF2-40B4-BE49-F238E27FC236}">
              <a16:creationId xmlns:a16="http://schemas.microsoft.com/office/drawing/2014/main" id="{00000000-0008-0000-1000-000009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682" name="AutoShape 138">
          <a:extLst>
            <a:ext uri="{FF2B5EF4-FFF2-40B4-BE49-F238E27FC236}">
              <a16:creationId xmlns:a16="http://schemas.microsoft.com/office/drawing/2014/main" id="{00000000-0008-0000-1000-00000A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683" name="Rectangle 139">
          <a:extLst>
            <a:ext uri="{FF2B5EF4-FFF2-40B4-BE49-F238E27FC236}">
              <a16:creationId xmlns:a16="http://schemas.microsoft.com/office/drawing/2014/main" id="{00000000-0008-0000-1000-00000B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684" name="Oval 140">
          <a:extLst>
            <a:ext uri="{FF2B5EF4-FFF2-40B4-BE49-F238E27FC236}">
              <a16:creationId xmlns:a16="http://schemas.microsoft.com/office/drawing/2014/main" id="{00000000-0008-0000-1000-00000C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685" name="Rectangle 141">
          <a:extLst>
            <a:ext uri="{FF2B5EF4-FFF2-40B4-BE49-F238E27FC236}">
              <a16:creationId xmlns:a16="http://schemas.microsoft.com/office/drawing/2014/main" id="{00000000-0008-0000-1000-00000D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686" name="AutoShape 142">
          <a:extLst>
            <a:ext uri="{FF2B5EF4-FFF2-40B4-BE49-F238E27FC236}">
              <a16:creationId xmlns:a16="http://schemas.microsoft.com/office/drawing/2014/main" id="{00000000-0008-0000-1000-00000E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687" name="Rectangle 143">
          <a:extLst>
            <a:ext uri="{FF2B5EF4-FFF2-40B4-BE49-F238E27FC236}">
              <a16:creationId xmlns:a16="http://schemas.microsoft.com/office/drawing/2014/main" id="{00000000-0008-0000-1000-00000F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688" name="Oval 144">
          <a:extLst>
            <a:ext uri="{FF2B5EF4-FFF2-40B4-BE49-F238E27FC236}">
              <a16:creationId xmlns:a16="http://schemas.microsoft.com/office/drawing/2014/main" id="{00000000-0008-0000-1000-000010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689" name="AutoShape 145">
          <a:extLst>
            <a:ext uri="{FF2B5EF4-FFF2-40B4-BE49-F238E27FC236}">
              <a16:creationId xmlns:a16="http://schemas.microsoft.com/office/drawing/2014/main" id="{00000000-0008-0000-1000-000011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690" name="Rectangle 146">
          <a:extLst>
            <a:ext uri="{FF2B5EF4-FFF2-40B4-BE49-F238E27FC236}">
              <a16:creationId xmlns:a16="http://schemas.microsoft.com/office/drawing/2014/main" id="{00000000-0008-0000-1000-000012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691" name="Oval 147">
          <a:extLst>
            <a:ext uri="{FF2B5EF4-FFF2-40B4-BE49-F238E27FC236}">
              <a16:creationId xmlns:a16="http://schemas.microsoft.com/office/drawing/2014/main" id="{00000000-0008-0000-1000-000013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692" name="AutoShape 148">
          <a:extLst>
            <a:ext uri="{FF2B5EF4-FFF2-40B4-BE49-F238E27FC236}">
              <a16:creationId xmlns:a16="http://schemas.microsoft.com/office/drawing/2014/main" id="{00000000-0008-0000-1000-000014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693" name="Rectangle 149">
          <a:extLst>
            <a:ext uri="{FF2B5EF4-FFF2-40B4-BE49-F238E27FC236}">
              <a16:creationId xmlns:a16="http://schemas.microsoft.com/office/drawing/2014/main" id="{00000000-0008-0000-1000-000015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694" name="Oval 150">
          <a:extLst>
            <a:ext uri="{FF2B5EF4-FFF2-40B4-BE49-F238E27FC236}">
              <a16:creationId xmlns:a16="http://schemas.microsoft.com/office/drawing/2014/main" id="{00000000-0008-0000-1000-000016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695" name="Oval 151">
          <a:extLst>
            <a:ext uri="{FF2B5EF4-FFF2-40B4-BE49-F238E27FC236}">
              <a16:creationId xmlns:a16="http://schemas.microsoft.com/office/drawing/2014/main" id="{00000000-0008-0000-1000-000017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696" name="Oval 152">
          <a:extLst>
            <a:ext uri="{FF2B5EF4-FFF2-40B4-BE49-F238E27FC236}">
              <a16:creationId xmlns:a16="http://schemas.microsoft.com/office/drawing/2014/main" id="{00000000-0008-0000-1000-000018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697" name="Oval 153">
          <a:extLst>
            <a:ext uri="{FF2B5EF4-FFF2-40B4-BE49-F238E27FC236}">
              <a16:creationId xmlns:a16="http://schemas.microsoft.com/office/drawing/2014/main" id="{00000000-0008-0000-1000-000019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698" name="AutoShape 154">
          <a:extLst>
            <a:ext uri="{FF2B5EF4-FFF2-40B4-BE49-F238E27FC236}">
              <a16:creationId xmlns:a16="http://schemas.microsoft.com/office/drawing/2014/main" id="{00000000-0008-0000-1000-00001A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699" name="Rectangle 155">
          <a:extLst>
            <a:ext uri="{FF2B5EF4-FFF2-40B4-BE49-F238E27FC236}">
              <a16:creationId xmlns:a16="http://schemas.microsoft.com/office/drawing/2014/main" id="{00000000-0008-0000-1000-00001B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00" name="Oval 156">
          <a:extLst>
            <a:ext uri="{FF2B5EF4-FFF2-40B4-BE49-F238E27FC236}">
              <a16:creationId xmlns:a16="http://schemas.microsoft.com/office/drawing/2014/main" id="{00000000-0008-0000-1000-00001C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01" name="Oval 157">
          <a:extLst>
            <a:ext uri="{FF2B5EF4-FFF2-40B4-BE49-F238E27FC236}">
              <a16:creationId xmlns:a16="http://schemas.microsoft.com/office/drawing/2014/main" id="{00000000-0008-0000-1000-00001D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02" name="Oval 158">
          <a:extLst>
            <a:ext uri="{FF2B5EF4-FFF2-40B4-BE49-F238E27FC236}">
              <a16:creationId xmlns:a16="http://schemas.microsoft.com/office/drawing/2014/main" id="{00000000-0008-0000-1000-00001E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03" name="Oval 159">
          <a:extLst>
            <a:ext uri="{FF2B5EF4-FFF2-40B4-BE49-F238E27FC236}">
              <a16:creationId xmlns:a16="http://schemas.microsoft.com/office/drawing/2014/main" id="{00000000-0008-0000-1000-00001F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704" name="AutoShape 160">
          <a:extLst>
            <a:ext uri="{FF2B5EF4-FFF2-40B4-BE49-F238E27FC236}">
              <a16:creationId xmlns:a16="http://schemas.microsoft.com/office/drawing/2014/main" id="{00000000-0008-0000-1000-000020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705" name="Rectangle 161">
          <a:extLst>
            <a:ext uri="{FF2B5EF4-FFF2-40B4-BE49-F238E27FC236}">
              <a16:creationId xmlns:a16="http://schemas.microsoft.com/office/drawing/2014/main" id="{00000000-0008-0000-1000-000021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06" name="Oval 162">
          <a:extLst>
            <a:ext uri="{FF2B5EF4-FFF2-40B4-BE49-F238E27FC236}">
              <a16:creationId xmlns:a16="http://schemas.microsoft.com/office/drawing/2014/main" id="{00000000-0008-0000-1000-000022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07" name="Oval 163">
          <a:extLst>
            <a:ext uri="{FF2B5EF4-FFF2-40B4-BE49-F238E27FC236}">
              <a16:creationId xmlns:a16="http://schemas.microsoft.com/office/drawing/2014/main" id="{00000000-0008-0000-1000-000023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08" name="Oval 164">
          <a:extLst>
            <a:ext uri="{FF2B5EF4-FFF2-40B4-BE49-F238E27FC236}">
              <a16:creationId xmlns:a16="http://schemas.microsoft.com/office/drawing/2014/main" id="{00000000-0008-0000-1000-000024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09" name="Oval 165">
          <a:extLst>
            <a:ext uri="{FF2B5EF4-FFF2-40B4-BE49-F238E27FC236}">
              <a16:creationId xmlns:a16="http://schemas.microsoft.com/office/drawing/2014/main" id="{00000000-0008-0000-1000-000025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710" name="AutoShape 166">
          <a:extLst>
            <a:ext uri="{FF2B5EF4-FFF2-40B4-BE49-F238E27FC236}">
              <a16:creationId xmlns:a16="http://schemas.microsoft.com/office/drawing/2014/main" id="{00000000-0008-0000-1000-000026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711" name="Rectangle 167">
          <a:extLst>
            <a:ext uri="{FF2B5EF4-FFF2-40B4-BE49-F238E27FC236}">
              <a16:creationId xmlns:a16="http://schemas.microsoft.com/office/drawing/2014/main" id="{00000000-0008-0000-1000-000027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12" name="Oval 168">
          <a:extLst>
            <a:ext uri="{FF2B5EF4-FFF2-40B4-BE49-F238E27FC236}">
              <a16:creationId xmlns:a16="http://schemas.microsoft.com/office/drawing/2014/main" id="{00000000-0008-0000-1000-000028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13" name="Oval 169">
          <a:extLst>
            <a:ext uri="{FF2B5EF4-FFF2-40B4-BE49-F238E27FC236}">
              <a16:creationId xmlns:a16="http://schemas.microsoft.com/office/drawing/2014/main" id="{00000000-0008-0000-1000-000029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14" name="Oval 170">
          <a:extLst>
            <a:ext uri="{FF2B5EF4-FFF2-40B4-BE49-F238E27FC236}">
              <a16:creationId xmlns:a16="http://schemas.microsoft.com/office/drawing/2014/main" id="{00000000-0008-0000-1000-00002A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15" name="Oval 171">
          <a:extLst>
            <a:ext uri="{FF2B5EF4-FFF2-40B4-BE49-F238E27FC236}">
              <a16:creationId xmlns:a16="http://schemas.microsoft.com/office/drawing/2014/main" id="{00000000-0008-0000-1000-00002B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716" name="AutoShape 172">
          <a:extLst>
            <a:ext uri="{FF2B5EF4-FFF2-40B4-BE49-F238E27FC236}">
              <a16:creationId xmlns:a16="http://schemas.microsoft.com/office/drawing/2014/main" id="{00000000-0008-0000-1000-00002C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717" name="Rectangle 173">
          <a:extLst>
            <a:ext uri="{FF2B5EF4-FFF2-40B4-BE49-F238E27FC236}">
              <a16:creationId xmlns:a16="http://schemas.microsoft.com/office/drawing/2014/main" id="{00000000-0008-0000-1000-00002D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18" name="Oval 174">
          <a:extLst>
            <a:ext uri="{FF2B5EF4-FFF2-40B4-BE49-F238E27FC236}">
              <a16:creationId xmlns:a16="http://schemas.microsoft.com/office/drawing/2014/main" id="{00000000-0008-0000-1000-00002E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19" name="Oval 175">
          <a:extLst>
            <a:ext uri="{FF2B5EF4-FFF2-40B4-BE49-F238E27FC236}">
              <a16:creationId xmlns:a16="http://schemas.microsoft.com/office/drawing/2014/main" id="{00000000-0008-0000-1000-00002F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20" name="Oval 176">
          <a:extLst>
            <a:ext uri="{FF2B5EF4-FFF2-40B4-BE49-F238E27FC236}">
              <a16:creationId xmlns:a16="http://schemas.microsoft.com/office/drawing/2014/main" id="{00000000-0008-0000-1000-000030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21" name="Oval 177">
          <a:extLst>
            <a:ext uri="{FF2B5EF4-FFF2-40B4-BE49-F238E27FC236}">
              <a16:creationId xmlns:a16="http://schemas.microsoft.com/office/drawing/2014/main" id="{00000000-0008-0000-1000-000031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722" name="AutoShape 178">
          <a:extLst>
            <a:ext uri="{FF2B5EF4-FFF2-40B4-BE49-F238E27FC236}">
              <a16:creationId xmlns:a16="http://schemas.microsoft.com/office/drawing/2014/main" id="{00000000-0008-0000-1000-000032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723" name="Rectangle 179">
          <a:extLst>
            <a:ext uri="{FF2B5EF4-FFF2-40B4-BE49-F238E27FC236}">
              <a16:creationId xmlns:a16="http://schemas.microsoft.com/office/drawing/2014/main" id="{00000000-0008-0000-1000-000033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24" name="Oval 180">
          <a:extLst>
            <a:ext uri="{FF2B5EF4-FFF2-40B4-BE49-F238E27FC236}">
              <a16:creationId xmlns:a16="http://schemas.microsoft.com/office/drawing/2014/main" id="{00000000-0008-0000-1000-000034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25" name="Oval 181">
          <a:extLst>
            <a:ext uri="{FF2B5EF4-FFF2-40B4-BE49-F238E27FC236}">
              <a16:creationId xmlns:a16="http://schemas.microsoft.com/office/drawing/2014/main" id="{00000000-0008-0000-1000-000035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26" name="Oval 182">
          <a:extLst>
            <a:ext uri="{FF2B5EF4-FFF2-40B4-BE49-F238E27FC236}">
              <a16:creationId xmlns:a16="http://schemas.microsoft.com/office/drawing/2014/main" id="{00000000-0008-0000-1000-000036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27" name="Oval 183">
          <a:extLst>
            <a:ext uri="{FF2B5EF4-FFF2-40B4-BE49-F238E27FC236}">
              <a16:creationId xmlns:a16="http://schemas.microsoft.com/office/drawing/2014/main" id="{00000000-0008-0000-1000-000037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728" name="AutoShape 184">
          <a:extLst>
            <a:ext uri="{FF2B5EF4-FFF2-40B4-BE49-F238E27FC236}">
              <a16:creationId xmlns:a16="http://schemas.microsoft.com/office/drawing/2014/main" id="{00000000-0008-0000-1000-000038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729" name="Rectangle 185">
          <a:extLst>
            <a:ext uri="{FF2B5EF4-FFF2-40B4-BE49-F238E27FC236}">
              <a16:creationId xmlns:a16="http://schemas.microsoft.com/office/drawing/2014/main" id="{00000000-0008-0000-1000-000039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30" name="Oval 186">
          <a:extLst>
            <a:ext uri="{FF2B5EF4-FFF2-40B4-BE49-F238E27FC236}">
              <a16:creationId xmlns:a16="http://schemas.microsoft.com/office/drawing/2014/main" id="{00000000-0008-0000-1000-00003A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31" name="Oval 187">
          <a:extLst>
            <a:ext uri="{FF2B5EF4-FFF2-40B4-BE49-F238E27FC236}">
              <a16:creationId xmlns:a16="http://schemas.microsoft.com/office/drawing/2014/main" id="{00000000-0008-0000-1000-00003B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32" name="Oval 188">
          <a:extLst>
            <a:ext uri="{FF2B5EF4-FFF2-40B4-BE49-F238E27FC236}">
              <a16:creationId xmlns:a16="http://schemas.microsoft.com/office/drawing/2014/main" id="{00000000-0008-0000-1000-00003C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33" name="Oval 189">
          <a:extLst>
            <a:ext uri="{FF2B5EF4-FFF2-40B4-BE49-F238E27FC236}">
              <a16:creationId xmlns:a16="http://schemas.microsoft.com/office/drawing/2014/main" id="{00000000-0008-0000-1000-00003D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734" name="AutoShape 190">
          <a:extLst>
            <a:ext uri="{FF2B5EF4-FFF2-40B4-BE49-F238E27FC236}">
              <a16:creationId xmlns:a16="http://schemas.microsoft.com/office/drawing/2014/main" id="{00000000-0008-0000-1000-00003E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735" name="Rectangle 191">
          <a:extLst>
            <a:ext uri="{FF2B5EF4-FFF2-40B4-BE49-F238E27FC236}">
              <a16:creationId xmlns:a16="http://schemas.microsoft.com/office/drawing/2014/main" id="{00000000-0008-0000-1000-00003F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36" name="Oval 192">
          <a:extLst>
            <a:ext uri="{FF2B5EF4-FFF2-40B4-BE49-F238E27FC236}">
              <a16:creationId xmlns:a16="http://schemas.microsoft.com/office/drawing/2014/main" id="{00000000-0008-0000-1000-000040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37" name="Oval 193">
          <a:extLst>
            <a:ext uri="{FF2B5EF4-FFF2-40B4-BE49-F238E27FC236}">
              <a16:creationId xmlns:a16="http://schemas.microsoft.com/office/drawing/2014/main" id="{00000000-0008-0000-1000-000041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38" name="Oval 194">
          <a:extLst>
            <a:ext uri="{FF2B5EF4-FFF2-40B4-BE49-F238E27FC236}">
              <a16:creationId xmlns:a16="http://schemas.microsoft.com/office/drawing/2014/main" id="{00000000-0008-0000-1000-000042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39" name="Oval 195">
          <a:extLst>
            <a:ext uri="{FF2B5EF4-FFF2-40B4-BE49-F238E27FC236}">
              <a16:creationId xmlns:a16="http://schemas.microsoft.com/office/drawing/2014/main" id="{00000000-0008-0000-1000-000043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740" name="AutoShape 196">
          <a:extLst>
            <a:ext uri="{FF2B5EF4-FFF2-40B4-BE49-F238E27FC236}">
              <a16:creationId xmlns:a16="http://schemas.microsoft.com/office/drawing/2014/main" id="{00000000-0008-0000-1000-000044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741" name="Rectangle 197">
          <a:extLst>
            <a:ext uri="{FF2B5EF4-FFF2-40B4-BE49-F238E27FC236}">
              <a16:creationId xmlns:a16="http://schemas.microsoft.com/office/drawing/2014/main" id="{00000000-0008-0000-1000-000045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42" name="Oval 198">
          <a:extLst>
            <a:ext uri="{FF2B5EF4-FFF2-40B4-BE49-F238E27FC236}">
              <a16:creationId xmlns:a16="http://schemas.microsoft.com/office/drawing/2014/main" id="{00000000-0008-0000-1000-000046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43" name="Oval 199">
          <a:extLst>
            <a:ext uri="{FF2B5EF4-FFF2-40B4-BE49-F238E27FC236}">
              <a16:creationId xmlns:a16="http://schemas.microsoft.com/office/drawing/2014/main" id="{00000000-0008-0000-1000-000047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44" name="Oval 200">
          <a:extLst>
            <a:ext uri="{FF2B5EF4-FFF2-40B4-BE49-F238E27FC236}">
              <a16:creationId xmlns:a16="http://schemas.microsoft.com/office/drawing/2014/main" id="{00000000-0008-0000-1000-000048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45" name="Oval 201">
          <a:extLst>
            <a:ext uri="{FF2B5EF4-FFF2-40B4-BE49-F238E27FC236}">
              <a16:creationId xmlns:a16="http://schemas.microsoft.com/office/drawing/2014/main" id="{00000000-0008-0000-1000-000049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746" name="AutoShape 202">
          <a:extLst>
            <a:ext uri="{FF2B5EF4-FFF2-40B4-BE49-F238E27FC236}">
              <a16:creationId xmlns:a16="http://schemas.microsoft.com/office/drawing/2014/main" id="{00000000-0008-0000-1000-00004A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747" name="Rectangle 203">
          <a:extLst>
            <a:ext uri="{FF2B5EF4-FFF2-40B4-BE49-F238E27FC236}">
              <a16:creationId xmlns:a16="http://schemas.microsoft.com/office/drawing/2014/main" id="{00000000-0008-0000-1000-00004B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48" name="Oval 204">
          <a:extLst>
            <a:ext uri="{FF2B5EF4-FFF2-40B4-BE49-F238E27FC236}">
              <a16:creationId xmlns:a16="http://schemas.microsoft.com/office/drawing/2014/main" id="{00000000-0008-0000-1000-00004C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49" name="Oval 205">
          <a:extLst>
            <a:ext uri="{FF2B5EF4-FFF2-40B4-BE49-F238E27FC236}">
              <a16:creationId xmlns:a16="http://schemas.microsoft.com/office/drawing/2014/main" id="{00000000-0008-0000-1000-00004D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50" name="Oval 206">
          <a:extLst>
            <a:ext uri="{FF2B5EF4-FFF2-40B4-BE49-F238E27FC236}">
              <a16:creationId xmlns:a16="http://schemas.microsoft.com/office/drawing/2014/main" id="{00000000-0008-0000-1000-00004E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51" name="Oval 207">
          <a:extLst>
            <a:ext uri="{FF2B5EF4-FFF2-40B4-BE49-F238E27FC236}">
              <a16:creationId xmlns:a16="http://schemas.microsoft.com/office/drawing/2014/main" id="{00000000-0008-0000-1000-00004F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752" name="AutoShape 208">
          <a:extLst>
            <a:ext uri="{FF2B5EF4-FFF2-40B4-BE49-F238E27FC236}">
              <a16:creationId xmlns:a16="http://schemas.microsoft.com/office/drawing/2014/main" id="{00000000-0008-0000-1000-000050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753" name="Rectangle 209">
          <a:extLst>
            <a:ext uri="{FF2B5EF4-FFF2-40B4-BE49-F238E27FC236}">
              <a16:creationId xmlns:a16="http://schemas.microsoft.com/office/drawing/2014/main" id="{00000000-0008-0000-1000-000051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54" name="Oval 210">
          <a:extLst>
            <a:ext uri="{FF2B5EF4-FFF2-40B4-BE49-F238E27FC236}">
              <a16:creationId xmlns:a16="http://schemas.microsoft.com/office/drawing/2014/main" id="{00000000-0008-0000-1000-000052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55" name="Oval 211">
          <a:extLst>
            <a:ext uri="{FF2B5EF4-FFF2-40B4-BE49-F238E27FC236}">
              <a16:creationId xmlns:a16="http://schemas.microsoft.com/office/drawing/2014/main" id="{00000000-0008-0000-1000-000053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56" name="Oval 212">
          <a:extLst>
            <a:ext uri="{FF2B5EF4-FFF2-40B4-BE49-F238E27FC236}">
              <a16:creationId xmlns:a16="http://schemas.microsoft.com/office/drawing/2014/main" id="{00000000-0008-0000-1000-000054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57" name="Oval 213">
          <a:extLst>
            <a:ext uri="{FF2B5EF4-FFF2-40B4-BE49-F238E27FC236}">
              <a16:creationId xmlns:a16="http://schemas.microsoft.com/office/drawing/2014/main" id="{00000000-0008-0000-1000-000055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758" name="AutoShape 214">
          <a:extLst>
            <a:ext uri="{FF2B5EF4-FFF2-40B4-BE49-F238E27FC236}">
              <a16:creationId xmlns:a16="http://schemas.microsoft.com/office/drawing/2014/main" id="{00000000-0008-0000-1000-000056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759" name="Rectangle 215">
          <a:extLst>
            <a:ext uri="{FF2B5EF4-FFF2-40B4-BE49-F238E27FC236}">
              <a16:creationId xmlns:a16="http://schemas.microsoft.com/office/drawing/2014/main" id="{00000000-0008-0000-1000-000057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60" name="Oval 216">
          <a:extLst>
            <a:ext uri="{FF2B5EF4-FFF2-40B4-BE49-F238E27FC236}">
              <a16:creationId xmlns:a16="http://schemas.microsoft.com/office/drawing/2014/main" id="{00000000-0008-0000-1000-000058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61" name="Oval 217">
          <a:extLst>
            <a:ext uri="{FF2B5EF4-FFF2-40B4-BE49-F238E27FC236}">
              <a16:creationId xmlns:a16="http://schemas.microsoft.com/office/drawing/2014/main" id="{00000000-0008-0000-1000-000059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62" name="Oval 218">
          <a:extLst>
            <a:ext uri="{FF2B5EF4-FFF2-40B4-BE49-F238E27FC236}">
              <a16:creationId xmlns:a16="http://schemas.microsoft.com/office/drawing/2014/main" id="{00000000-0008-0000-1000-00005A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63" name="Oval 219">
          <a:extLst>
            <a:ext uri="{FF2B5EF4-FFF2-40B4-BE49-F238E27FC236}">
              <a16:creationId xmlns:a16="http://schemas.microsoft.com/office/drawing/2014/main" id="{00000000-0008-0000-1000-00005B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764" name="AutoShape 220">
          <a:extLst>
            <a:ext uri="{FF2B5EF4-FFF2-40B4-BE49-F238E27FC236}">
              <a16:creationId xmlns:a16="http://schemas.microsoft.com/office/drawing/2014/main" id="{00000000-0008-0000-1000-00005C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765" name="Rectangle 221">
          <a:extLst>
            <a:ext uri="{FF2B5EF4-FFF2-40B4-BE49-F238E27FC236}">
              <a16:creationId xmlns:a16="http://schemas.microsoft.com/office/drawing/2014/main" id="{00000000-0008-0000-1000-00005D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66" name="Oval 222">
          <a:extLst>
            <a:ext uri="{FF2B5EF4-FFF2-40B4-BE49-F238E27FC236}">
              <a16:creationId xmlns:a16="http://schemas.microsoft.com/office/drawing/2014/main" id="{00000000-0008-0000-1000-00005E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67" name="Oval 223">
          <a:extLst>
            <a:ext uri="{FF2B5EF4-FFF2-40B4-BE49-F238E27FC236}">
              <a16:creationId xmlns:a16="http://schemas.microsoft.com/office/drawing/2014/main" id="{00000000-0008-0000-1000-00005F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68" name="Oval 224">
          <a:extLst>
            <a:ext uri="{FF2B5EF4-FFF2-40B4-BE49-F238E27FC236}">
              <a16:creationId xmlns:a16="http://schemas.microsoft.com/office/drawing/2014/main" id="{00000000-0008-0000-1000-000060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69" name="Oval 225">
          <a:extLst>
            <a:ext uri="{FF2B5EF4-FFF2-40B4-BE49-F238E27FC236}">
              <a16:creationId xmlns:a16="http://schemas.microsoft.com/office/drawing/2014/main" id="{00000000-0008-0000-1000-000061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770" name="AutoShape 226">
          <a:extLst>
            <a:ext uri="{FF2B5EF4-FFF2-40B4-BE49-F238E27FC236}">
              <a16:creationId xmlns:a16="http://schemas.microsoft.com/office/drawing/2014/main" id="{00000000-0008-0000-1000-000062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771" name="Rectangle 227">
          <a:extLst>
            <a:ext uri="{FF2B5EF4-FFF2-40B4-BE49-F238E27FC236}">
              <a16:creationId xmlns:a16="http://schemas.microsoft.com/office/drawing/2014/main" id="{00000000-0008-0000-1000-000063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72" name="Oval 228">
          <a:extLst>
            <a:ext uri="{FF2B5EF4-FFF2-40B4-BE49-F238E27FC236}">
              <a16:creationId xmlns:a16="http://schemas.microsoft.com/office/drawing/2014/main" id="{00000000-0008-0000-1000-000064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73" name="Oval 229">
          <a:extLst>
            <a:ext uri="{FF2B5EF4-FFF2-40B4-BE49-F238E27FC236}">
              <a16:creationId xmlns:a16="http://schemas.microsoft.com/office/drawing/2014/main" id="{00000000-0008-0000-1000-000065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74" name="Oval 230">
          <a:extLst>
            <a:ext uri="{FF2B5EF4-FFF2-40B4-BE49-F238E27FC236}">
              <a16:creationId xmlns:a16="http://schemas.microsoft.com/office/drawing/2014/main" id="{00000000-0008-0000-1000-000066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75" name="Oval 231">
          <a:extLst>
            <a:ext uri="{FF2B5EF4-FFF2-40B4-BE49-F238E27FC236}">
              <a16:creationId xmlns:a16="http://schemas.microsoft.com/office/drawing/2014/main" id="{00000000-0008-0000-1000-000067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776" name="AutoShape 232">
          <a:extLst>
            <a:ext uri="{FF2B5EF4-FFF2-40B4-BE49-F238E27FC236}">
              <a16:creationId xmlns:a16="http://schemas.microsoft.com/office/drawing/2014/main" id="{00000000-0008-0000-1000-000068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777" name="Rectangle 233">
          <a:extLst>
            <a:ext uri="{FF2B5EF4-FFF2-40B4-BE49-F238E27FC236}">
              <a16:creationId xmlns:a16="http://schemas.microsoft.com/office/drawing/2014/main" id="{00000000-0008-0000-1000-000069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78" name="Oval 234">
          <a:extLst>
            <a:ext uri="{FF2B5EF4-FFF2-40B4-BE49-F238E27FC236}">
              <a16:creationId xmlns:a16="http://schemas.microsoft.com/office/drawing/2014/main" id="{00000000-0008-0000-1000-00006A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79" name="Oval 235">
          <a:extLst>
            <a:ext uri="{FF2B5EF4-FFF2-40B4-BE49-F238E27FC236}">
              <a16:creationId xmlns:a16="http://schemas.microsoft.com/office/drawing/2014/main" id="{00000000-0008-0000-1000-00006B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80" name="Oval 236">
          <a:extLst>
            <a:ext uri="{FF2B5EF4-FFF2-40B4-BE49-F238E27FC236}">
              <a16:creationId xmlns:a16="http://schemas.microsoft.com/office/drawing/2014/main" id="{00000000-0008-0000-1000-00006C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81" name="Oval 237">
          <a:extLst>
            <a:ext uri="{FF2B5EF4-FFF2-40B4-BE49-F238E27FC236}">
              <a16:creationId xmlns:a16="http://schemas.microsoft.com/office/drawing/2014/main" id="{00000000-0008-0000-1000-00006D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782" name="AutoShape 238">
          <a:extLst>
            <a:ext uri="{FF2B5EF4-FFF2-40B4-BE49-F238E27FC236}">
              <a16:creationId xmlns:a16="http://schemas.microsoft.com/office/drawing/2014/main" id="{00000000-0008-0000-1000-00006E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783" name="Rectangle 239">
          <a:extLst>
            <a:ext uri="{FF2B5EF4-FFF2-40B4-BE49-F238E27FC236}">
              <a16:creationId xmlns:a16="http://schemas.microsoft.com/office/drawing/2014/main" id="{00000000-0008-0000-1000-00006F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84" name="Oval 240">
          <a:extLst>
            <a:ext uri="{FF2B5EF4-FFF2-40B4-BE49-F238E27FC236}">
              <a16:creationId xmlns:a16="http://schemas.microsoft.com/office/drawing/2014/main" id="{00000000-0008-0000-1000-000070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85" name="Oval 241">
          <a:extLst>
            <a:ext uri="{FF2B5EF4-FFF2-40B4-BE49-F238E27FC236}">
              <a16:creationId xmlns:a16="http://schemas.microsoft.com/office/drawing/2014/main" id="{00000000-0008-0000-1000-000071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86" name="Oval 242">
          <a:extLst>
            <a:ext uri="{FF2B5EF4-FFF2-40B4-BE49-F238E27FC236}">
              <a16:creationId xmlns:a16="http://schemas.microsoft.com/office/drawing/2014/main" id="{00000000-0008-0000-1000-000072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87" name="Oval 243">
          <a:extLst>
            <a:ext uri="{FF2B5EF4-FFF2-40B4-BE49-F238E27FC236}">
              <a16:creationId xmlns:a16="http://schemas.microsoft.com/office/drawing/2014/main" id="{00000000-0008-0000-1000-000073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788" name="AutoShape 244">
          <a:extLst>
            <a:ext uri="{FF2B5EF4-FFF2-40B4-BE49-F238E27FC236}">
              <a16:creationId xmlns:a16="http://schemas.microsoft.com/office/drawing/2014/main" id="{00000000-0008-0000-1000-000074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789" name="Rectangle 245">
          <a:extLst>
            <a:ext uri="{FF2B5EF4-FFF2-40B4-BE49-F238E27FC236}">
              <a16:creationId xmlns:a16="http://schemas.microsoft.com/office/drawing/2014/main" id="{00000000-0008-0000-1000-000075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90" name="Oval 246">
          <a:extLst>
            <a:ext uri="{FF2B5EF4-FFF2-40B4-BE49-F238E27FC236}">
              <a16:creationId xmlns:a16="http://schemas.microsoft.com/office/drawing/2014/main" id="{00000000-0008-0000-1000-000076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91" name="Oval 247">
          <a:extLst>
            <a:ext uri="{FF2B5EF4-FFF2-40B4-BE49-F238E27FC236}">
              <a16:creationId xmlns:a16="http://schemas.microsoft.com/office/drawing/2014/main" id="{00000000-0008-0000-1000-000077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92" name="Oval 248">
          <a:extLst>
            <a:ext uri="{FF2B5EF4-FFF2-40B4-BE49-F238E27FC236}">
              <a16:creationId xmlns:a16="http://schemas.microsoft.com/office/drawing/2014/main" id="{00000000-0008-0000-1000-000078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93" name="Oval 249">
          <a:extLst>
            <a:ext uri="{FF2B5EF4-FFF2-40B4-BE49-F238E27FC236}">
              <a16:creationId xmlns:a16="http://schemas.microsoft.com/office/drawing/2014/main" id="{00000000-0008-0000-1000-000079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794" name="AutoShape 250">
          <a:extLst>
            <a:ext uri="{FF2B5EF4-FFF2-40B4-BE49-F238E27FC236}">
              <a16:creationId xmlns:a16="http://schemas.microsoft.com/office/drawing/2014/main" id="{00000000-0008-0000-1000-00007A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795" name="Rectangle 251">
          <a:extLst>
            <a:ext uri="{FF2B5EF4-FFF2-40B4-BE49-F238E27FC236}">
              <a16:creationId xmlns:a16="http://schemas.microsoft.com/office/drawing/2014/main" id="{00000000-0008-0000-1000-00007B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96" name="Oval 252">
          <a:extLst>
            <a:ext uri="{FF2B5EF4-FFF2-40B4-BE49-F238E27FC236}">
              <a16:creationId xmlns:a16="http://schemas.microsoft.com/office/drawing/2014/main" id="{00000000-0008-0000-1000-00007C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97" name="Oval 253">
          <a:extLst>
            <a:ext uri="{FF2B5EF4-FFF2-40B4-BE49-F238E27FC236}">
              <a16:creationId xmlns:a16="http://schemas.microsoft.com/office/drawing/2014/main" id="{00000000-0008-0000-1000-00007D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98" name="Oval 254">
          <a:extLst>
            <a:ext uri="{FF2B5EF4-FFF2-40B4-BE49-F238E27FC236}">
              <a16:creationId xmlns:a16="http://schemas.microsoft.com/office/drawing/2014/main" id="{00000000-0008-0000-1000-00007E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799" name="Oval 255">
          <a:extLst>
            <a:ext uri="{FF2B5EF4-FFF2-40B4-BE49-F238E27FC236}">
              <a16:creationId xmlns:a16="http://schemas.microsoft.com/office/drawing/2014/main" id="{00000000-0008-0000-1000-00007F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800" name="AutoShape 256">
          <a:extLst>
            <a:ext uri="{FF2B5EF4-FFF2-40B4-BE49-F238E27FC236}">
              <a16:creationId xmlns:a16="http://schemas.microsoft.com/office/drawing/2014/main" id="{00000000-0008-0000-1000-000080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801" name="Rectangle 257">
          <a:extLst>
            <a:ext uri="{FF2B5EF4-FFF2-40B4-BE49-F238E27FC236}">
              <a16:creationId xmlns:a16="http://schemas.microsoft.com/office/drawing/2014/main" id="{00000000-0008-0000-1000-000081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802" name="Oval 258">
          <a:extLst>
            <a:ext uri="{FF2B5EF4-FFF2-40B4-BE49-F238E27FC236}">
              <a16:creationId xmlns:a16="http://schemas.microsoft.com/office/drawing/2014/main" id="{00000000-0008-0000-1000-000082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803" name="Oval 259">
          <a:extLst>
            <a:ext uri="{FF2B5EF4-FFF2-40B4-BE49-F238E27FC236}">
              <a16:creationId xmlns:a16="http://schemas.microsoft.com/office/drawing/2014/main" id="{00000000-0008-0000-1000-000083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804" name="Oval 260">
          <a:extLst>
            <a:ext uri="{FF2B5EF4-FFF2-40B4-BE49-F238E27FC236}">
              <a16:creationId xmlns:a16="http://schemas.microsoft.com/office/drawing/2014/main" id="{00000000-0008-0000-1000-000084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805" name="Oval 261">
          <a:extLst>
            <a:ext uri="{FF2B5EF4-FFF2-40B4-BE49-F238E27FC236}">
              <a16:creationId xmlns:a16="http://schemas.microsoft.com/office/drawing/2014/main" id="{00000000-0008-0000-1000-000085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806" name="AutoShape 262">
          <a:extLst>
            <a:ext uri="{FF2B5EF4-FFF2-40B4-BE49-F238E27FC236}">
              <a16:creationId xmlns:a16="http://schemas.microsoft.com/office/drawing/2014/main" id="{00000000-0008-0000-1000-000086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807" name="Rectangle 263">
          <a:extLst>
            <a:ext uri="{FF2B5EF4-FFF2-40B4-BE49-F238E27FC236}">
              <a16:creationId xmlns:a16="http://schemas.microsoft.com/office/drawing/2014/main" id="{00000000-0008-0000-1000-000087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808" name="Oval 264">
          <a:extLst>
            <a:ext uri="{FF2B5EF4-FFF2-40B4-BE49-F238E27FC236}">
              <a16:creationId xmlns:a16="http://schemas.microsoft.com/office/drawing/2014/main" id="{00000000-0008-0000-1000-000088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809" name="Oval 265">
          <a:extLst>
            <a:ext uri="{FF2B5EF4-FFF2-40B4-BE49-F238E27FC236}">
              <a16:creationId xmlns:a16="http://schemas.microsoft.com/office/drawing/2014/main" id="{00000000-0008-0000-1000-000089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810" name="Oval 266">
          <a:extLst>
            <a:ext uri="{FF2B5EF4-FFF2-40B4-BE49-F238E27FC236}">
              <a16:creationId xmlns:a16="http://schemas.microsoft.com/office/drawing/2014/main" id="{00000000-0008-0000-1000-00008A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811" name="Oval 267">
          <a:extLst>
            <a:ext uri="{FF2B5EF4-FFF2-40B4-BE49-F238E27FC236}">
              <a16:creationId xmlns:a16="http://schemas.microsoft.com/office/drawing/2014/main" id="{00000000-0008-0000-1000-00008B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114</xdr:row>
      <xdr:rowOff>0</xdr:rowOff>
    </xdr:from>
    <xdr:to>
      <xdr:col>4</xdr:col>
      <xdr:colOff>9525</xdr:colOff>
      <xdr:row>114</xdr:row>
      <xdr:rowOff>0</xdr:rowOff>
    </xdr:to>
    <xdr:sp textlink="">
      <xdr:nvSpPr>
        <xdr:cNvPr id="348812" name="AutoShape 268">
          <a:extLst>
            <a:ext uri="{FF2B5EF4-FFF2-40B4-BE49-F238E27FC236}">
              <a16:creationId xmlns:a16="http://schemas.microsoft.com/office/drawing/2014/main" id="{00000000-0008-0000-1000-00008C520500}"/>
            </a:ext>
          </a:extLst>
        </xdr:cNvPr>
        <xdr:cNvSpPr>
          <a:spLocks noChangeArrowheads="1"/>
        </xdr:cNvSpPr>
      </xdr:nvSpPr>
      <xdr:spPr bwMode="auto">
        <a:xfrm>
          <a:off x="676275" y="10706100"/>
          <a:ext cx="342900" cy="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813" name="Rectangle 269">
          <a:extLst>
            <a:ext uri="{FF2B5EF4-FFF2-40B4-BE49-F238E27FC236}">
              <a16:creationId xmlns:a16="http://schemas.microsoft.com/office/drawing/2014/main" id="{00000000-0008-0000-1000-00008D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814" name="Oval 270">
          <a:extLst>
            <a:ext uri="{FF2B5EF4-FFF2-40B4-BE49-F238E27FC236}">
              <a16:creationId xmlns:a16="http://schemas.microsoft.com/office/drawing/2014/main" id="{00000000-0008-0000-1000-00008E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815" name="Oval 271">
          <a:extLst>
            <a:ext uri="{FF2B5EF4-FFF2-40B4-BE49-F238E27FC236}">
              <a16:creationId xmlns:a16="http://schemas.microsoft.com/office/drawing/2014/main" id="{00000000-0008-0000-1000-00008F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816" name="Oval 272">
          <a:extLst>
            <a:ext uri="{FF2B5EF4-FFF2-40B4-BE49-F238E27FC236}">
              <a16:creationId xmlns:a16="http://schemas.microsoft.com/office/drawing/2014/main" id="{00000000-0008-0000-1000-000090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817" name="Oval 273">
          <a:extLst>
            <a:ext uri="{FF2B5EF4-FFF2-40B4-BE49-F238E27FC236}">
              <a16:creationId xmlns:a16="http://schemas.microsoft.com/office/drawing/2014/main" id="{00000000-0008-0000-1000-000091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818" name="Rectangle 274">
          <a:extLst>
            <a:ext uri="{FF2B5EF4-FFF2-40B4-BE49-F238E27FC236}">
              <a16:creationId xmlns:a16="http://schemas.microsoft.com/office/drawing/2014/main" id="{00000000-0008-0000-1000-000092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819" name="Oval 275">
          <a:extLst>
            <a:ext uri="{FF2B5EF4-FFF2-40B4-BE49-F238E27FC236}">
              <a16:creationId xmlns:a16="http://schemas.microsoft.com/office/drawing/2014/main" id="{00000000-0008-0000-1000-000093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820" name="Oval 276">
          <a:extLst>
            <a:ext uri="{FF2B5EF4-FFF2-40B4-BE49-F238E27FC236}">
              <a16:creationId xmlns:a16="http://schemas.microsoft.com/office/drawing/2014/main" id="{00000000-0008-0000-1000-000094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821" name="Oval 277">
          <a:extLst>
            <a:ext uri="{FF2B5EF4-FFF2-40B4-BE49-F238E27FC236}">
              <a16:creationId xmlns:a16="http://schemas.microsoft.com/office/drawing/2014/main" id="{00000000-0008-0000-1000-000095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822" name="Oval 278">
          <a:extLst>
            <a:ext uri="{FF2B5EF4-FFF2-40B4-BE49-F238E27FC236}">
              <a16:creationId xmlns:a16="http://schemas.microsoft.com/office/drawing/2014/main" id="{00000000-0008-0000-1000-000096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161925</xdr:colOff>
      <xdr:row>114</xdr:row>
      <xdr:rowOff>0</xdr:rowOff>
    </xdr:to>
    <xdr:sp textlink="">
      <xdr:nvSpPr>
        <xdr:cNvPr id="348823" name="Rectangle 279">
          <a:extLst>
            <a:ext uri="{FF2B5EF4-FFF2-40B4-BE49-F238E27FC236}">
              <a16:creationId xmlns:a16="http://schemas.microsoft.com/office/drawing/2014/main" id="{00000000-0008-0000-1000-000097520500}"/>
            </a:ext>
          </a:extLst>
        </xdr:cNvPr>
        <xdr:cNvSpPr>
          <a:spLocks noChangeArrowheads="1"/>
        </xdr:cNvSpPr>
      </xdr:nvSpPr>
      <xdr:spPr bwMode="auto">
        <a:xfrm>
          <a:off x="666750" y="10706100"/>
          <a:ext cx="1428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824" name="Oval 280">
          <a:extLst>
            <a:ext uri="{FF2B5EF4-FFF2-40B4-BE49-F238E27FC236}">
              <a16:creationId xmlns:a16="http://schemas.microsoft.com/office/drawing/2014/main" id="{00000000-0008-0000-1000-000098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825" name="Oval 281">
          <a:extLst>
            <a:ext uri="{FF2B5EF4-FFF2-40B4-BE49-F238E27FC236}">
              <a16:creationId xmlns:a16="http://schemas.microsoft.com/office/drawing/2014/main" id="{00000000-0008-0000-1000-000099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826" name="Oval 282">
          <a:extLst>
            <a:ext uri="{FF2B5EF4-FFF2-40B4-BE49-F238E27FC236}">
              <a16:creationId xmlns:a16="http://schemas.microsoft.com/office/drawing/2014/main" id="{00000000-0008-0000-1000-00009A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114300</xdr:colOff>
      <xdr:row>114</xdr:row>
      <xdr:rowOff>0</xdr:rowOff>
    </xdr:from>
    <xdr:to>
      <xdr:col>1</xdr:col>
      <xdr:colOff>476250</xdr:colOff>
      <xdr:row>114</xdr:row>
      <xdr:rowOff>0</xdr:rowOff>
    </xdr:to>
    <xdr:sp textlink="">
      <xdr:nvSpPr>
        <xdr:cNvPr id="348827" name="Oval 283">
          <a:extLst>
            <a:ext uri="{FF2B5EF4-FFF2-40B4-BE49-F238E27FC236}">
              <a16:creationId xmlns:a16="http://schemas.microsoft.com/office/drawing/2014/main" id="{00000000-0008-0000-1000-00009B520500}"/>
            </a:ext>
          </a:extLst>
        </xdr:cNvPr>
        <xdr:cNvSpPr>
          <a:spLocks noChangeArrowheads="1"/>
        </xdr:cNvSpPr>
      </xdr:nvSpPr>
      <xdr:spPr bwMode="auto">
        <a:xfrm>
          <a:off x="171450" y="10706100"/>
          <a:ext cx="361950" cy="0"/>
        </a:xfrm>
        <a:prstGeom prst="ellips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17</xdr:row>
      <xdr:rowOff>104775</xdr:rowOff>
    </xdr:from>
    <xdr:to>
      <xdr:col>4</xdr:col>
      <xdr:colOff>9525</xdr:colOff>
      <xdr:row>22</xdr:row>
      <xdr:rowOff>85725</xdr:rowOff>
    </xdr:to>
    <xdr:sp textlink="">
      <xdr:nvSpPr>
        <xdr:cNvPr id="348828" name="AutoShape 284">
          <a:extLst>
            <a:ext uri="{FF2B5EF4-FFF2-40B4-BE49-F238E27FC236}">
              <a16:creationId xmlns:a16="http://schemas.microsoft.com/office/drawing/2014/main" id="{00000000-0008-0000-1000-00009C520500}"/>
            </a:ext>
          </a:extLst>
        </xdr:cNvPr>
        <xdr:cNvSpPr>
          <a:spLocks noChangeArrowheads="1"/>
        </xdr:cNvSpPr>
      </xdr:nvSpPr>
      <xdr:spPr bwMode="auto">
        <a:xfrm>
          <a:off x="676275" y="20859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17</xdr:row>
      <xdr:rowOff>19050</xdr:rowOff>
    </xdr:from>
    <xdr:to>
      <xdr:col>2</xdr:col>
      <xdr:colOff>161925</xdr:colOff>
      <xdr:row>22</xdr:row>
      <xdr:rowOff>133350</xdr:rowOff>
    </xdr:to>
    <xdr:sp textlink="">
      <xdr:nvSpPr>
        <xdr:cNvPr id="348829" name="Rectangle 285">
          <a:extLst>
            <a:ext uri="{FF2B5EF4-FFF2-40B4-BE49-F238E27FC236}">
              <a16:creationId xmlns:a16="http://schemas.microsoft.com/office/drawing/2014/main" id="{00000000-0008-0000-1000-00009D520500}"/>
            </a:ext>
          </a:extLst>
        </xdr:cNvPr>
        <xdr:cNvSpPr>
          <a:spLocks noChangeArrowheads="1"/>
        </xdr:cNvSpPr>
      </xdr:nvSpPr>
      <xdr:spPr bwMode="auto">
        <a:xfrm>
          <a:off x="666750" y="2000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25</xdr:row>
      <xdr:rowOff>104775</xdr:rowOff>
    </xdr:from>
    <xdr:to>
      <xdr:col>4</xdr:col>
      <xdr:colOff>9525</xdr:colOff>
      <xdr:row>30</xdr:row>
      <xdr:rowOff>85725</xdr:rowOff>
    </xdr:to>
    <xdr:sp textlink="">
      <xdr:nvSpPr>
        <xdr:cNvPr id="348830" name="AutoShape 286">
          <a:extLst>
            <a:ext uri="{FF2B5EF4-FFF2-40B4-BE49-F238E27FC236}">
              <a16:creationId xmlns:a16="http://schemas.microsoft.com/office/drawing/2014/main" id="{00000000-0008-0000-1000-00009E520500}"/>
            </a:ext>
          </a:extLst>
        </xdr:cNvPr>
        <xdr:cNvSpPr>
          <a:spLocks noChangeArrowheads="1"/>
        </xdr:cNvSpPr>
      </xdr:nvSpPr>
      <xdr:spPr bwMode="auto">
        <a:xfrm>
          <a:off x="676275" y="27717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25</xdr:row>
      <xdr:rowOff>19050</xdr:rowOff>
    </xdr:from>
    <xdr:to>
      <xdr:col>2</xdr:col>
      <xdr:colOff>161925</xdr:colOff>
      <xdr:row>30</xdr:row>
      <xdr:rowOff>133350</xdr:rowOff>
    </xdr:to>
    <xdr:sp textlink="">
      <xdr:nvSpPr>
        <xdr:cNvPr id="348831" name="Rectangle 287">
          <a:extLst>
            <a:ext uri="{FF2B5EF4-FFF2-40B4-BE49-F238E27FC236}">
              <a16:creationId xmlns:a16="http://schemas.microsoft.com/office/drawing/2014/main" id="{00000000-0008-0000-1000-00009F520500}"/>
            </a:ext>
          </a:extLst>
        </xdr:cNvPr>
        <xdr:cNvSpPr>
          <a:spLocks noChangeArrowheads="1"/>
        </xdr:cNvSpPr>
      </xdr:nvSpPr>
      <xdr:spPr bwMode="auto">
        <a:xfrm>
          <a:off x="666750" y="2686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33</xdr:row>
      <xdr:rowOff>104775</xdr:rowOff>
    </xdr:from>
    <xdr:to>
      <xdr:col>4</xdr:col>
      <xdr:colOff>9525</xdr:colOff>
      <xdr:row>38</xdr:row>
      <xdr:rowOff>85725</xdr:rowOff>
    </xdr:to>
    <xdr:sp textlink="">
      <xdr:nvSpPr>
        <xdr:cNvPr id="348832" name="AutoShape 288">
          <a:extLst>
            <a:ext uri="{FF2B5EF4-FFF2-40B4-BE49-F238E27FC236}">
              <a16:creationId xmlns:a16="http://schemas.microsoft.com/office/drawing/2014/main" id="{00000000-0008-0000-1000-0000A0520500}"/>
            </a:ext>
          </a:extLst>
        </xdr:cNvPr>
        <xdr:cNvSpPr>
          <a:spLocks noChangeArrowheads="1"/>
        </xdr:cNvSpPr>
      </xdr:nvSpPr>
      <xdr:spPr bwMode="auto">
        <a:xfrm>
          <a:off x="676275" y="34575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2</xdr:col>
      <xdr:colOff>161925</xdr:colOff>
      <xdr:row>38</xdr:row>
      <xdr:rowOff>133350</xdr:rowOff>
    </xdr:to>
    <xdr:sp textlink="">
      <xdr:nvSpPr>
        <xdr:cNvPr id="348833" name="Rectangle 289">
          <a:extLst>
            <a:ext uri="{FF2B5EF4-FFF2-40B4-BE49-F238E27FC236}">
              <a16:creationId xmlns:a16="http://schemas.microsoft.com/office/drawing/2014/main" id="{00000000-0008-0000-1000-0000A1520500}"/>
            </a:ext>
          </a:extLst>
        </xdr:cNvPr>
        <xdr:cNvSpPr>
          <a:spLocks noChangeArrowheads="1"/>
        </xdr:cNvSpPr>
      </xdr:nvSpPr>
      <xdr:spPr bwMode="auto">
        <a:xfrm>
          <a:off x="666750" y="3371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4</xdr:col>
      <xdr:colOff>9525</xdr:colOff>
      <xdr:row>46</xdr:row>
      <xdr:rowOff>85725</xdr:rowOff>
    </xdr:to>
    <xdr:sp textlink="">
      <xdr:nvSpPr>
        <xdr:cNvPr id="348834" name="AutoShape 290">
          <a:extLst>
            <a:ext uri="{FF2B5EF4-FFF2-40B4-BE49-F238E27FC236}">
              <a16:creationId xmlns:a16="http://schemas.microsoft.com/office/drawing/2014/main" id="{00000000-0008-0000-1000-0000A2520500}"/>
            </a:ext>
          </a:extLst>
        </xdr:cNvPr>
        <xdr:cNvSpPr>
          <a:spLocks noChangeArrowheads="1"/>
        </xdr:cNvSpPr>
      </xdr:nvSpPr>
      <xdr:spPr bwMode="auto">
        <a:xfrm>
          <a:off x="676275" y="41433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41</xdr:row>
      <xdr:rowOff>19050</xdr:rowOff>
    </xdr:from>
    <xdr:to>
      <xdr:col>2</xdr:col>
      <xdr:colOff>161925</xdr:colOff>
      <xdr:row>46</xdr:row>
      <xdr:rowOff>133350</xdr:rowOff>
    </xdr:to>
    <xdr:sp textlink="">
      <xdr:nvSpPr>
        <xdr:cNvPr id="348835" name="Rectangle 291">
          <a:extLst>
            <a:ext uri="{FF2B5EF4-FFF2-40B4-BE49-F238E27FC236}">
              <a16:creationId xmlns:a16="http://schemas.microsoft.com/office/drawing/2014/main" id="{00000000-0008-0000-1000-0000A3520500}"/>
            </a:ext>
          </a:extLst>
        </xdr:cNvPr>
        <xdr:cNvSpPr>
          <a:spLocks noChangeArrowheads="1"/>
        </xdr:cNvSpPr>
      </xdr:nvSpPr>
      <xdr:spPr bwMode="auto">
        <a:xfrm>
          <a:off x="666750" y="4057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49</xdr:row>
      <xdr:rowOff>104775</xdr:rowOff>
    </xdr:from>
    <xdr:to>
      <xdr:col>4</xdr:col>
      <xdr:colOff>9525</xdr:colOff>
      <xdr:row>54</xdr:row>
      <xdr:rowOff>85725</xdr:rowOff>
    </xdr:to>
    <xdr:sp textlink="">
      <xdr:nvSpPr>
        <xdr:cNvPr id="348836" name="AutoShape 292">
          <a:extLst>
            <a:ext uri="{FF2B5EF4-FFF2-40B4-BE49-F238E27FC236}">
              <a16:creationId xmlns:a16="http://schemas.microsoft.com/office/drawing/2014/main" id="{00000000-0008-0000-1000-0000A4520500}"/>
            </a:ext>
          </a:extLst>
        </xdr:cNvPr>
        <xdr:cNvSpPr>
          <a:spLocks noChangeArrowheads="1"/>
        </xdr:cNvSpPr>
      </xdr:nvSpPr>
      <xdr:spPr bwMode="auto">
        <a:xfrm>
          <a:off x="676275" y="48291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49</xdr:row>
      <xdr:rowOff>19050</xdr:rowOff>
    </xdr:from>
    <xdr:to>
      <xdr:col>2</xdr:col>
      <xdr:colOff>161925</xdr:colOff>
      <xdr:row>54</xdr:row>
      <xdr:rowOff>133350</xdr:rowOff>
    </xdr:to>
    <xdr:sp textlink="">
      <xdr:nvSpPr>
        <xdr:cNvPr id="348837" name="Rectangle 293">
          <a:extLst>
            <a:ext uri="{FF2B5EF4-FFF2-40B4-BE49-F238E27FC236}">
              <a16:creationId xmlns:a16="http://schemas.microsoft.com/office/drawing/2014/main" id="{00000000-0008-0000-1000-0000A5520500}"/>
            </a:ext>
          </a:extLst>
        </xdr:cNvPr>
        <xdr:cNvSpPr>
          <a:spLocks noChangeArrowheads="1"/>
        </xdr:cNvSpPr>
      </xdr:nvSpPr>
      <xdr:spPr bwMode="auto">
        <a:xfrm>
          <a:off x="666750" y="4743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57</xdr:row>
      <xdr:rowOff>104775</xdr:rowOff>
    </xdr:from>
    <xdr:to>
      <xdr:col>4</xdr:col>
      <xdr:colOff>9525</xdr:colOff>
      <xdr:row>62</xdr:row>
      <xdr:rowOff>85725</xdr:rowOff>
    </xdr:to>
    <xdr:sp textlink="">
      <xdr:nvSpPr>
        <xdr:cNvPr id="348838" name="AutoShape 294">
          <a:extLst>
            <a:ext uri="{FF2B5EF4-FFF2-40B4-BE49-F238E27FC236}">
              <a16:creationId xmlns:a16="http://schemas.microsoft.com/office/drawing/2014/main" id="{00000000-0008-0000-1000-0000A6520500}"/>
            </a:ext>
          </a:extLst>
        </xdr:cNvPr>
        <xdr:cNvSpPr>
          <a:spLocks noChangeArrowheads="1"/>
        </xdr:cNvSpPr>
      </xdr:nvSpPr>
      <xdr:spPr bwMode="auto">
        <a:xfrm>
          <a:off x="676275" y="55149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57</xdr:row>
      <xdr:rowOff>19050</xdr:rowOff>
    </xdr:from>
    <xdr:to>
      <xdr:col>2</xdr:col>
      <xdr:colOff>161925</xdr:colOff>
      <xdr:row>62</xdr:row>
      <xdr:rowOff>133350</xdr:rowOff>
    </xdr:to>
    <xdr:sp textlink="">
      <xdr:nvSpPr>
        <xdr:cNvPr id="348839" name="Rectangle 295">
          <a:extLst>
            <a:ext uri="{FF2B5EF4-FFF2-40B4-BE49-F238E27FC236}">
              <a16:creationId xmlns:a16="http://schemas.microsoft.com/office/drawing/2014/main" id="{00000000-0008-0000-1000-0000A7520500}"/>
            </a:ext>
          </a:extLst>
        </xdr:cNvPr>
        <xdr:cNvSpPr>
          <a:spLocks noChangeArrowheads="1"/>
        </xdr:cNvSpPr>
      </xdr:nvSpPr>
      <xdr:spPr bwMode="auto">
        <a:xfrm>
          <a:off x="666750" y="5429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65</xdr:row>
      <xdr:rowOff>104775</xdr:rowOff>
    </xdr:from>
    <xdr:to>
      <xdr:col>4</xdr:col>
      <xdr:colOff>9525</xdr:colOff>
      <xdr:row>70</xdr:row>
      <xdr:rowOff>85725</xdr:rowOff>
    </xdr:to>
    <xdr:sp textlink="">
      <xdr:nvSpPr>
        <xdr:cNvPr id="348840" name="AutoShape 296">
          <a:extLst>
            <a:ext uri="{FF2B5EF4-FFF2-40B4-BE49-F238E27FC236}">
              <a16:creationId xmlns:a16="http://schemas.microsoft.com/office/drawing/2014/main" id="{00000000-0008-0000-1000-0000A8520500}"/>
            </a:ext>
          </a:extLst>
        </xdr:cNvPr>
        <xdr:cNvSpPr>
          <a:spLocks noChangeArrowheads="1"/>
        </xdr:cNvSpPr>
      </xdr:nvSpPr>
      <xdr:spPr bwMode="auto">
        <a:xfrm>
          <a:off x="676275" y="62007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65</xdr:row>
      <xdr:rowOff>19050</xdr:rowOff>
    </xdr:from>
    <xdr:to>
      <xdr:col>2</xdr:col>
      <xdr:colOff>161925</xdr:colOff>
      <xdr:row>70</xdr:row>
      <xdr:rowOff>133350</xdr:rowOff>
    </xdr:to>
    <xdr:sp textlink="">
      <xdr:nvSpPr>
        <xdr:cNvPr id="348841" name="Rectangle 297">
          <a:extLst>
            <a:ext uri="{FF2B5EF4-FFF2-40B4-BE49-F238E27FC236}">
              <a16:creationId xmlns:a16="http://schemas.microsoft.com/office/drawing/2014/main" id="{00000000-0008-0000-1000-0000A9520500}"/>
            </a:ext>
          </a:extLst>
        </xdr:cNvPr>
        <xdr:cNvSpPr>
          <a:spLocks noChangeArrowheads="1"/>
        </xdr:cNvSpPr>
      </xdr:nvSpPr>
      <xdr:spPr bwMode="auto">
        <a:xfrm>
          <a:off x="666750" y="6115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73</xdr:row>
      <xdr:rowOff>104775</xdr:rowOff>
    </xdr:from>
    <xdr:to>
      <xdr:col>4</xdr:col>
      <xdr:colOff>9525</xdr:colOff>
      <xdr:row>78</xdr:row>
      <xdr:rowOff>85725</xdr:rowOff>
    </xdr:to>
    <xdr:sp textlink="">
      <xdr:nvSpPr>
        <xdr:cNvPr id="348842" name="AutoShape 298">
          <a:extLst>
            <a:ext uri="{FF2B5EF4-FFF2-40B4-BE49-F238E27FC236}">
              <a16:creationId xmlns:a16="http://schemas.microsoft.com/office/drawing/2014/main" id="{00000000-0008-0000-1000-0000AA520500}"/>
            </a:ext>
          </a:extLst>
        </xdr:cNvPr>
        <xdr:cNvSpPr>
          <a:spLocks noChangeArrowheads="1"/>
        </xdr:cNvSpPr>
      </xdr:nvSpPr>
      <xdr:spPr bwMode="auto">
        <a:xfrm>
          <a:off x="676275" y="68865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73</xdr:row>
      <xdr:rowOff>19050</xdr:rowOff>
    </xdr:from>
    <xdr:to>
      <xdr:col>2</xdr:col>
      <xdr:colOff>161925</xdr:colOff>
      <xdr:row>78</xdr:row>
      <xdr:rowOff>133350</xdr:rowOff>
    </xdr:to>
    <xdr:sp textlink="">
      <xdr:nvSpPr>
        <xdr:cNvPr id="348843" name="Rectangle 299">
          <a:extLst>
            <a:ext uri="{FF2B5EF4-FFF2-40B4-BE49-F238E27FC236}">
              <a16:creationId xmlns:a16="http://schemas.microsoft.com/office/drawing/2014/main" id="{00000000-0008-0000-1000-0000AB520500}"/>
            </a:ext>
          </a:extLst>
        </xdr:cNvPr>
        <xdr:cNvSpPr>
          <a:spLocks noChangeArrowheads="1"/>
        </xdr:cNvSpPr>
      </xdr:nvSpPr>
      <xdr:spPr bwMode="auto">
        <a:xfrm>
          <a:off x="666750" y="68008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81</xdr:row>
      <xdr:rowOff>104775</xdr:rowOff>
    </xdr:from>
    <xdr:to>
      <xdr:col>4</xdr:col>
      <xdr:colOff>9525</xdr:colOff>
      <xdr:row>86</xdr:row>
      <xdr:rowOff>85725</xdr:rowOff>
    </xdr:to>
    <xdr:sp textlink="">
      <xdr:nvSpPr>
        <xdr:cNvPr id="348844" name="AutoShape 300">
          <a:extLst>
            <a:ext uri="{FF2B5EF4-FFF2-40B4-BE49-F238E27FC236}">
              <a16:creationId xmlns:a16="http://schemas.microsoft.com/office/drawing/2014/main" id="{00000000-0008-0000-1000-0000AC520500}"/>
            </a:ext>
          </a:extLst>
        </xdr:cNvPr>
        <xdr:cNvSpPr>
          <a:spLocks noChangeArrowheads="1"/>
        </xdr:cNvSpPr>
      </xdr:nvSpPr>
      <xdr:spPr bwMode="auto">
        <a:xfrm>
          <a:off x="676275" y="75723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81</xdr:row>
      <xdr:rowOff>19050</xdr:rowOff>
    </xdr:from>
    <xdr:to>
      <xdr:col>2</xdr:col>
      <xdr:colOff>161925</xdr:colOff>
      <xdr:row>86</xdr:row>
      <xdr:rowOff>133350</xdr:rowOff>
    </xdr:to>
    <xdr:sp textlink="">
      <xdr:nvSpPr>
        <xdr:cNvPr id="348845" name="Rectangle 301">
          <a:extLst>
            <a:ext uri="{FF2B5EF4-FFF2-40B4-BE49-F238E27FC236}">
              <a16:creationId xmlns:a16="http://schemas.microsoft.com/office/drawing/2014/main" id="{00000000-0008-0000-1000-0000AD520500}"/>
            </a:ext>
          </a:extLst>
        </xdr:cNvPr>
        <xdr:cNvSpPr>
          <a:spLocks noChangeArrowheads="1"/>
        </xdr:cNvSpPr>
      </xdr:nvSpPr>
      <xdr:spPr bwMode="auto">
        <a:xfrm>
          <a:off x="666750" y="74866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89</xdr:row>
      <xdr:rowOff>104775</xdr:rowOff>
    </xdr:from>
    <xdr:to>
      <xdr:col>4</xdr:col>
      <xdr:colOff>9525</xdr:colOff>
      <xdr:row>94</xdr:row>
      <xdr:rowOff>85725</xdr:rowOff>
    </xdr:to>
    <xdr:sp textlink="">
      <xdr:nvSpPr>
        <xdr:cNvPr id="348846" name="AutoShape 302">
          <a:extLst>
            <a:ext uri="{FF2B5EF4-FFF2-40B4-BE49-F238E27FC236}">
              <a16:creationId xmlns:a16="http://schemas.microsoft.com/office/drawing/2014/main" id="{00000000-0008-0000-1000-0000AE520500}"/>
            </a:ext>
          </a:extLst>
        </xdr:cNvPr>
        <xdr:cNvSpPr>
          <a:spLocks noChangeArrowheads="1"/>
        </xdr:cNvSpPr>
      </xdr:nvSpPr>
      <xdr:spPr bwMode="auto">
        <a:xfrm>
          <a:off x="676275" y="82581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89</xdr:row>
      <xdr:rowOff>19050</xdr:rowOff>
    </xdr:from>
    <xdr:to>
      <xdr:col>2</xdr:col>
      <xdr:colOff>161925</xdr:colOff>
      <xdr:row>94</xdr:row>
      <xdr:rowOff>133350</xdr:rowOff>
    </xdr:to>
    <xdr:sp textlink="">
      <xdr:nvSpPr>
        <xdr:cNvPr id="348847" name="Rectangle 303">
          <a:extLst>
            <a:ext uri="{FF2B5EF4-FFF2-40B4-BE49-F238E27FC236}">
              <a16:creationId xmlns:a16="http://schemas.microsoft.com/office/drawing/2014/main" id="{00000000-0008-0000-1000-0000AF520500}"/>
            </a:ext>
          </a:extLst>
        </xdr:cNvPr>
        <xdr:cNvSpPr>
          <a:spLocks noChangeArrowheads="1"/>
        </xdr:cNvSpPr>
      </xdr:nvSpPr>
      <xdr:spPr bwMode="auto">
        <a:xfrm>
          <a:off x="666750" y="81724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97</xdr:row>
      <xdr:rowOff>104775</xdr:rowOff>
    </xdr:from>
    <xdr:to>
      <xdr:col>4</xdr:col>
      <xdr:colOff>9525</xdr:colOff>
      <xdr:row>102</xdr:row>
      <xdr:rowOff>85725</xdr:rowOff>
    </xdr:to>
    <xdr:sp textlink="">
      <xdr:nvSpPr>
        <xdr:cNvPr id="348848" name="AutoShape 304">
          <a:extLst>
            <a:ext uri="{FF2B5EF4-FFF2-40B4-BE49-F238E27FC236}">
              <a16:creationId xmlns:a16="http://schemas.microsoft.com/office/drawing/2014/main" id="{00000000-0008-0000-1000-0000B0520500}"/>
            </a:ext>
          </a:extLst>
        </xdr:cNvPr>
        <xdr:cNvSpPr>
          <a:spLocks noChangeArrowheads="1"/>
        </xdr:cNvSpPr>
      </xdr:nvSpPr>
      <xdr:spPr bwMode="auto">
        <a:xfrm>
          <a:off x="676275" y="89439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97</xdr:row>
      <xdr:rowOff>19050</xdr:rowOff>
    </xdr:from>
    <xdr:to>
      <xdr:col>2</xdr:col>
      <xdr:colOff>161925</xdr:colOff>
      <xdr:row>102</xdr:row>
      <xdr:rowOff>133350</xdr:rowOff>
    </xdr:to>
    <xdr:sp textlink="">
      <xdr:nvSpPr>
        <xdr:cNvPr id="348849" name="Rectangle 305">
          <a:extLst>
            <a:ext uri="{FF2B5EF4-FFF2-40B4-BE49-F238E27FC236}">
              <a16:creationId xmlns:a16="http://schemas.microsoft.com/office/drawing/2014/main" id="{00000000-0008-0000-1000-0000B1520500}"/>
            </a:ext>
          </a:extLst>
        </xdr:cNvPr>
        <xdr:cNvSpPr>
          <a:spLocks noChangeArrowheads="1"/>
        </xdr:cNvSpPr>
      </xdr:nvSpPr>
      <xdr:spPr bwMode="auto">
        <a:xfrm>
          <a:off x="666750" y="88582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105</xdr:row>
      <xdr:rowOff>104775</xdr:rowOff>
    </xdr:from>
    <xdr:to>
      <xdr:col>4</xdr:col>
      <xdr:colOff>9525</xdr:colOff>
      <xdr:row>110</xdr:row>
      <xdr:rowOff>85725</xdr:rowOff>
    </xdr:to>
    <xdr:sp textlink="">
      <xdr:nvSpPr>
        <xdr:cNvPr id="348850" name="AutoShape 306">
          <a:extLst>
            <a:ext uri="{FF2B5EF4-FFF2-40B4-BE49-F238E27FC236}">
              <a16:creationId xmlns:a16="http://schemas.microsoft.com/office/drawing/2014/main" id="{00000000-0008-0000-1000-0000B2520500}"/>
            </a:ext>
          </a:extLst>
        </xdr:cNvPr>
        <xdr:cNvSpPr>
          <a:spLocks noChangeArrowheads="1"/>
        </xdr:cNvSpPr>
      </xdr:nvSpPr>
      <xdr:spPr bwMode="auto">
        <a:xfrm>
          <a:off x="676275" y="9629775"/>
          <a:ext cx="342900" cy="323850"/>
        </a:xfrm>
        <a:prstGeom prst="flowChartDelay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105</xdr:row>
      <xdr:rowOff>19050</xdr:rowOff>
    </xdr:from>
    <xdr:to>
      <xdr:col>2</xdr:col>
      <xdr:colOff>161925</xdr:colOff>
      <xdr:row>110</xdr:row>
      <xdr:rowOff>133350</xdr:rowOff>
    </xdr:to>
    <xdr:sp textlink="">
      <xdr:nvSpPr>
        <xdr:cNvPr id="348851" name="Rectangle 307">
          <a:extLst>
            <a:ext uri="{FF2B5EF4-FFF2-40B4-BE49-F238E27FC236}">
              <a16:creationId xmlns:a16="http://schemas.microsoft.com/office/drawing/2014/main" id="{00000000-0008-0000-1000-0000B3520500}"/>
            </a:ext>
          </a:extLst>
        </xdr:cNvPr>
        <xdr:cNvSpPr>
          <a:spLocks noChangeArrowheads="1"/>
        </xdr:cNvSpPr>
      </xdr:nvSpPr>
      <xdr:spPr bwMode="auto">
        <a:xfrm>
          <a:off x="666750" y="9544050"/>
          <a:ext cx="1428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rtlCol="0" anchor="ctr" upright="1"/>
      <a:lstStyle>
        <a:defPPr algn="ctr">
          <a:defRPr kumimoji="1" sz="1100"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&#65279;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/Relationships>
</file>

<file path=xl/worksheets/_rels/sheet2.xml.rels>&#65279;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/Relationships>
</file>

<file path=xl/worksheets/_rels/sheet3.xml.rels>&#65279;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/Relationships>
</file>

<file path=xl/worksheets/_rels/sheet4.xml.rels>&#65279;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/Relationships>
</file>

<file path=xl/worksheets/_rels/sheet5.xml.rels>&#65279;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/Relationships>
</file>

<file path=xl/worksheets/_rels/sheet6.xml.rels>&#65279;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 /></Relationships>
</file>

<file path=xl/worksheets/_rels/sheet7.xml.rels>&#65279;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 /></Relationships>
</file>

<file path=xl/worksheets/_rels/sheet8.xml.rels>&#65279;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 /></Relationships>
</file>

<file path=xl/worksheets/_rels/sheet9.xml.rels>&#65279;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 /></Relationships>
</file>

<file path=xl/worksheets/_rels/sheet10.xml.rels>&#65279;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 /></Relationships>
</file>

<file path=xl/worksheets/_rels/sheet11.xml.rels>&#65279;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 /></Relationships>
</file>

<file path=xl/worksheets/_rels/sheet13.xml.rels>&#65279;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 /></Relationships>
</file>

<file path=xl/worksheets/_rels/sheet14.xml.rels>&#65279;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 /></Relationships>
</file>

<file path=xl/worksheets/_rels/sheet15.xml.rels>&#65279;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 /></Relationships>
</file>

<file path=xl/worksheets/_rels/sheet16.xml.rels>&#65279;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 /></Relationships>
</file>

<file path=xl/worksheets/_rels/sheet17.xml.rels>&#65279;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B1:AC114"/>
  <sheetViews>
    <sheetView showGridLines="0" view="pageBreakPreview" zoomScale="130" zoomScaleNormal="123" zoomScaleSheetLayoutView="130" workbookViewId="0">
      <selection activeCell="V16" sqref="V16"/>
    </sheetView>
  </sheetViews>
  <sheetFormatPr defaultColWidth="9.0703125" defaultRowHeight="12" x14ac:dyDescent="0.25"/>
  <cols>
    <col min="1" max="1" width="0.92578125" style="1" customWidth="1"/>
    <col min="2" max="2" width="8.92578125" style="1" customWidth="1"/>
    <col min="3" max="17" width="2.7109375" style="1" customWidth="1"/>
    <col min="18" max="18" width="2.92578125" style="1" customWidth="1"/>
    <col min="19" max="19" width="5.7109375" style="1" customWidth="1"/>
    <col min="20" max="20" width="2.7109375" style="1" customWidth="1"/>
    <col min="21" max="27" width="5.7109375" style="1" customWidth="1"/>
    <col min="28" max="16384" width="9.0703125" style="1"/>
  </cols>
  <sheetData>
    <row r="1" spans="2:29" x14ac:dyDescent="0.25">
      <c r="B1" s="56" t="s">
        <v>19</v>
      </c>
      <c r="C1" s="112" t="str">
        <f>'白紙(5m)'!C1</f>
        <v>長田（花山町2丁目他）配水管取替工事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4</v>
      </c>
    </row>
    <row r="2" spans="2:29" ht="12" customHeight="1" x14ac:dyDescent="0.25">
      <c r="S2" s="12"/>
      <c r="T2" s="3"/>
      <c r="U2" s="114" t="s">
        <v>23</v>
      </c>
      <c r="V2" s="114"/>
      <c r="W2" s="2"/>
      <c r="X2" s="12"/>
      <c r="Y2" s="114">
        <v>75</v>
      </c>
      <c r="Z2" s="114"/>
      <c r="AA2" s="2"/>
      <c r="AC2" s="1">
        <f>IF(AC1=4,0,IF(Y2&lt;=250,5,0))</f>
        <v>0</v>
      </c>
    </row>
    <row r="3" spans="2:29" ht="12" customHeight="1" x14ac:dyDescent="0.25">
      <c r="S3" s="44" t="s">
        <v>12</v>
      </c>
      <c r="T3" s="15"/>
      <c r="U3" s="115"/>
      <c r="V3" s="115"/>
      <c r="W3" s="17" t="s">
        <v>15</v>
      </c>
      <c r="X3" s="44" t="s">
        <v>14</v>
      </c>
      <c r="Y3" s="115"/>
      <c r="Z3" s="115"/>
      <c r="AA3" s="17" t="s">
        <v>20</v>
      </c>
      <c r="AC3" s="1">
        <f>IF(Y2&gt;250,6,0)</f>
        <v>0</v>
      </c>
    </row>
    <row r="4" spans="2:29" ht="6.75" customHeight="1" x14ac:dyDescent="0.25">
      <c r="S4" s="18"/>
      <c r="U4" s="45"/>
      <c r="V4" s="45"/>
      <c r="X4" s="18"/>
      <c r="Y4" s="45"/>
      <c r="Z4" s="45"/>
    </row>
    <row r="5" spans="2:29" ht="21.75" customHeight="1" x14ac:dyDescent="0.25">
      <c r="B5" s="46" t="s">
        <v>16</v>
      </c>
    </row>
    <row r="6" spans="2:29" ht="6.75" customHeight="1" thickBot="1" x14ac:dyDescent="0.3"/>
    <row r="7" spans="2:29" ht="14.25" customHeight="1" x14ac:dyDescent="0.25">
      <c r="B7" s="116" t="s">
        <v>0</v>
      </c>
      <c r="C7" s="108" t="s">
        <v>3</v>
      </c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09"/>
      <c r="R7" s="117" t="s">
        <v>1</v>
      </c>
      <c r="S7" s="117"/>
      <c r="T7" s="117"/>
      <c r="U7" s="108" t="s">
        <v>2</v>
      </c>
      <c r="V7" s="109"/>
      <c r="W7" s="110" t="s">
        <v>4</v>
      </c>
      <c r="X7" s="110"/>
      <c r="Y7" s="110"/>
      <c r="Z7" s="110"/>
      <c r="AA7" s="111"/>
    </row>
    <row r="8" spans="2:29" ht="10.5" customHeight="1" x14ac:dyDescent="0.25">
      <c r="B8" s="96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20"/>
      <c r="R8" s="119"/>
      <c r="S8" s="119"/>
      <c r="T8" s="119"/>
      <c r="U8" s="74" t="s">
        <v>6</v>
      </c>
      <c r="V8" s="75" t="s">
        <v>35</v>
      </c>
      <c r="W8" s="70" t="s">
        <v>6</v>
      </c>
      <c r="X8" s="32" t="s">
        <v>7</v>
      </c>
      <c r="Y8" s="32" t="s">
        <v>8</v>
      </c>
      <c r="Z8" s="33" t="s">
        <v>9</v>
      </c>
      <c r="AA8" s="34" t="s">
        <v>10</v>
      </c>
    </row>
    <row r="9" spans="2:29" ht="6" customHeight="1" x14ac:dyDescent="0.2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25">
      <c r="B10" s="96">
        <f>IF(S10="","",1)</f>
        <v>1</v>
      </c>
      <c r="C10" s="3"/>
      <c r="E10" s="13" t="str">
        <f>IF(F10="","",IF(F10=0,"","L="))</f>
        <v>L=</v>
      </c>
      <c r="F10" s="97">
        <v>1</v>
      </c>
      <c r="G10" s="97"/>
      <c r="H10" s="14" t="str">
        <f>IF(F10="","",IF(F10=0,"","m"))</f>
        <v>m</v>
      </c>
      <c r="K10" s="13" t="str">
        <f>IF(L10="","",IF(L10=0,"","L="))</f>
        <v>L=</v>
      </c>
      <c r="L10" s="97">
        <v>1</v>
      </c>
      <c r="M10" s="97"/>
      <c r="N10" s="14" t="str">
        <f>IF(L10="","",IF(L10=0,"","m"))</f>
        <v>m</v>
      </c>
      <c r="Q10" s="2"/>
      <c r="R10" s="106" t="str">
        <f>IF(OR(S10="入力ｴﾗｰ",S10=0,S10="")=TRUE,"",IF(F10="","甲",IF(F10=0,"甲","")))</f>
        <v/>
      </c>
      <c r="S10" s="101">
        <f>IF((F10+I15+L10+O15)=0,"",IF((F10+I15+L10+O15)&gt;SUM($AC$1:$AC$3),"入力ｴﾗｰ",SUM($AC$1:$AC$3)-(F10+I15+L10+O15)))</f>
        <v>1</v>
      </c>
      <c r="T10" s="102" t="str">
        <f>IF(S10="","",IF(S10="入力ｴﾗｰ","","m"))</f>
        <v>m</v>
      </c>
      <c r="U10" s="94">
        <f>IF(B10="","",COUNT(F10,I15,L10,O15)-IF(S10=0,1,0)-V10)</f>
        <v>2</v>
      </c>
      <c r="V10" s="95">
        <v>1</v>
      </c>
      <c r="W10" s="104">
        <v>3</v>
      </c>
      <c r="X10" s="103"/>
      <c r="Y10" s="103"/>
      <c r="Z10" s="107"/>
      <c r="AA10" s="99"/>
    </row>
    <row r="11" spans="2:29" ht="3" customHeight="1" x14ac:dyDescent="0.25">
      <c r="B11" s="96"/>
      <c r="C11" s="3"/>
      <c r="G11" s="3"/>
      <c r="H11" s="2"/>
      <c r="K11" s="3"/>
      <c r="Q11" s="2"/>
      <c r="R11" s="106"/>
      <c r="S11" s="101"/>
      <c r="T11" s="102"/>
      <c r="U11" s="94"/>
      <c r="V11" s="95"/>
      <c r="W11" s="104"/>
      <c r="X11" s="103"/>
      <c r="Y11" s="103"/>
      <c r="Z11" s="107"/>
      <c r="AA11" s="99"/>
    </row>
    <row r="12" spans="2:29" ht="3" customHeight="1" x14ac:dyDescent="0.25">
      <c r="B12" s="96"/>
      <c r="C12" s="3"/>
      <c r="F12" s="2"/>
      <c r="G12" s="3"/>
      <c r="H12" s="2"/>
      <c r="I12" s="3"/>
      <c r="K12" s="3"/>
      <c r="Q12" s="2"/>
      <c r="R12" s="106"/>
      <c r="S12" s="101"/>
      <c r="T12" s="102"/>
      <c r="U12" s="94"/>
      <c r="V12" s="95"/>
      <c r="W12" s="104"/>
      <c r="X12" s="103"/>
      <c r="Y12" s="103"/>
      <c r="Z12" s="107"/>
      <c r="AA12" s="99"/>
    </row>
    <row r="13" spans="2:29" ht="3" customHeight="1" x14ac:dyDescent="0.25">
      <c r="B13" s="96"/>
      <c r="C13" s="3"/>
      <c r="E13" s="6"/>
      <c r="F13" s="8"/>
      <c r="G13" s="7"/>
      <c r="H13" s="8"/>
      <c r="I13" s="7"/>
      <c r="J13" s="6"/>
      <c r="K13" s="7"/>
      <c r="L13" s="6"/>
      <c r="Q13" s="2"/>
      <c r="R13" s="105" t="str">
        <f>IF(R10="甲","",IF(OR(S10=0,S10="")=TRUE,"",IF(S10="入力ｴﾗｰ","","乙")))</f>
        <v>乙</v>
      </c>
      <c r="S13" s="101"/>
      <c r="U13" s="94"/>
      <c r="V13" s="95"/>
      <c r="W13" s="104"/>
      <c r="X13" s="103"/>
      <c r="Y13" s="103"/>
      <c r="Z13" s="107"/>
      <c r="AA13" s="99"/>
    </row>
    <row r="14" spans="2:29" ht="3" customHeight="1" x14ac:dyDescent="0.25">
      <c r="B14" s="96"/>
      <c r="C14" s="3"/>
      <c r="F14" s="2"/>
      <c r="G14" s="3"/>
      <c r="H14" s="2"/>
      <c r="K14" s="3"/>
      <c r="Q14" s="2"/>
      <c r="R14" s="105"/>
      <c r="S14" s="101"/>
      <c r="U14" s="94"/>
      <c r="V14" s="95"/>
      <c r="W14" s="104"/>
      <c r="X14" s="103"/>
      <c r="Y14" s="103"/>
      <c r="Z14" s="107"/>
      <c r="AA14" s="99"/>
    </row>
    <row r="15" spans="2:29" ht="15" customHeight="1" x14ac:dyDescent="0.25">
      <c r="B15" s="96"/>
      <c r="C15" s="3"/>
      <c r="G15" s="18"/>
      <c r="H15" s="13" t="str">
        <f>IF(I15="","",IF(I15=0,"","L="))</f>
        <v>L=</v>
      </c>
      <c r="I15" s="97">
        <v>1</v>
      </c>
      <c r="J15" s="97"/>
      <c r="K15" s="14" t="str">
        <f>IF(I15="","",IF(I15=0,"","m"))</f>
        <v>m</v>
      </c>
      <c r="N15" s="13" t="str">
        <f>IF(O15="","",IF(O15=0,"","L="))</f>
        <v/>
      </c>
      <c r="O15" s="97"/>
      <c r="P15" s="97"/>
      <c r="Q15" s="24" t="str">
        <f>IF(O15="","",IF(O15=0,"","m"))</f>
        <v/>
      </c>
      <c r="R15" s="105"/>
      <c r="S15" s="101"/>
      <c r="U15" s="94"/>
      <c r="V15" s="95"/>
      <c r="W15" s="104"/>
      <c r="X15" s="103"/>
      <c r="Y15" s="103"/>
      <c r="Z15" s="107"/>
      <c r="AA15" s="99"/>
      <c r="AC15" s="1">
        <f>IF(U10="",0,IF(U10&gt;SUM(W10:AA15),U10-SUM(W10:AA15),0))</f>
        <v>0</v>
      </c>
    </row>
    <row r="16" spans="2:29" ht="6" customHeight="1" x14ac:dyDescent="0.2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2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25">
      <c r="B18" s="96" t="str">
        <f>IF(S18="","",IF(B10="","",1+B10))</f>
        <v/>
      </c>
      <c r="C18" s="3"/>
      <c r="E18" s="13" t="str">
        <f>IF(F18="","",IF(F18=0,"","L="))</f>
        <v/>
      </c>
      <c r="F18" s="97"/>
      <c r="G18" s="97"/>
      <c r="H18" s="14" t="str">
        <f>IF(F18="","",IF(F18=0,"","m"))</f>
        <v/>
      </c>
      <c r="K18" s="13" t="str">
        <f>IF(L18="","",IF(L18=0,"","L="))</f>
        <v/>
      </c>
      <c r="L18" s="97"/>
      <c r="M18" s="97"/>
      <c r="N18" s="14" t="str">
        <f>IF(L18="","",IF(L18=0,"","m"))</f>
        <v/>
      </c>
      <c r="Q18" s="2"/>
      <c r="R18" s="106" t="str">
        <f>IF(OR(S18="入力ｴﾗｰ",S18=0,S18="")=TRUE,"",IF(F18="","甲",IF(F18=0,"甲","")))</f>
        <v/>
      </c>
      <c r="S18" s="101" t="str">
        <f>IF((F18+I23+L18+O23)=0,"",IF((F18+I23+L18+O23)&gt;SUM($AC$1:$AC$3),"入力ｴﾗｰ",SUM($AC$1:$AC$3)-(F18+I23+L18+O23)))</f>
        <v/>
      </c>
      <c r="T18" s="102" t="str">
        <f>IF(S18="","",IF(S18="入力ｴﾗｰ","","m"))</f>
        <v/>
      </c>
      <c r="U18" s="94" t="str">
        <f>IF(B18="","",COUNT(F18,I23,L18,O23)-IF(S18=0,1,0)-V18)</f>
        <v/>
      </c>
      <c r="V18" s="95"/>
      <c r="W18" s="104"/>
      <c r="X18" s="103"/>
      <c r="Y18" s="103"/>
      <c r="Z18" s="103"/>
      <c r="AA18" s="99"/>
    </row>
    <row r="19" spans="2:29" ht="3" customHeight="1" x14ac:dyDescent="0.25">
      <c r="B19" s="96"/>
      <c r="C19" s="3"/>
      <c r="G19" s="3"/>
      <c r="H19" s="2"/>
      <c r="K19" s="3"/>
      <c r="Q19" s="2"/>
      <c r="R19" s="106"/>
      <c r="S19" s="101"/>
      <c r="T19" s="102"/>
      <c r="U19" s="94"/>
      <c r="V19" s="95"/>
      <c r="W19" s="104"/>
      <c r="X19" s="103"/>
      <c r="Y19" s="103"/>
      <c r="Z19" s="103"/>
      <c r="AA19" s="99"/>
    </row>
    <row r="20" spans="2:29" ht="3" customHeight="1" x14ac:dyDescent="0.25">
      <c r="B20" s="96"/>
      <c r="C20" s="3"/>
      <c r="F20" s="2"/>
      <c r="G20" s="3"/>
      <c r="H20" s="2"/>
      <c r="I20" s="3"/>
      <c r="K20" s="3"/>
      <c r="Q20" s="2"/>
      <c r="R20" s="106"/>
      <c r="S20" s="101"/>
      <c r="T20" s="102"/>
      <c r="U20" s="94"/>
      <c r="V20" s="95"/>
      <c r="W20" s="104"/>
      <c r="X20" s="103"/>
      <c r="Y20" s="103"/>
      <c r="Z20" s="103"/>
      <c r="AA20" s="99"/>
    </row>
    <row r="21" spans="2:29" ht="3" customHeight="1" x14ac:dyDescent="0.25">
      <c r="B21" s="96"/>
      <c r="C21" s="3"/>
      <c r="E21" s="6"/>
      <c r="F21" s="8"/>
      <c r="G21" s="7"/>
      <c r="H21" s="8"/>
      <c r="I21" s="7"/>
      <c r="J21" s="8"/>
      <c r="K21" s="7"/>
      <c r="L21" s="6"/>
      <c r="Q21" s="2"/>
      <c r="R21" s="105" t="str">
        <f>IF(R18="甲","",IF(OR(S18=0,S18="")=TRUE,"",IF(S18="入力ｴﾗｰ","","乙")))</f>
        <v/>
      </c>
      <c r="S21" s="101"/>
      <c r="U21" s="94"/>
      <c r="V21" s="95"/>
      <c r="W21" s="104"/>
      <c r="X21" s="103"/>
      <c r="Y21" s="103"/>
      <c r="Z21" s="103"/>
      <c r="AA21" s="99"/>
    </row>
    <row r="22" spans="2:29" ht="3" customHeight="1" x14ac:dyDescent="0.25">
      <c r="B22" s="96"/>
      <c r="C22" s="3"/>
      <c r="F22" s="2"/>
      <c r="G22" s="3"/>
      <c r="H22" s="2"/>
      <c r="K22" s="3"/>
      <c r="Q22" s="2"/>
      <c r="R22" s="105"/>
      <c r="S22" s="101"/>
      <c r="U22" s="94"/>
      <c r="V22" s="95"/>
      <c r="W22" s="104"/>
      <c r="X22" s="103"/>
      <c r="Y22" s="103"/>
      <c r="Z22" s="103"/>
      <c r="AA22" s="99"/>
    </row>
    <row r="23" spans="2:29" ht="15" customHeight="1" x14ac:dyDescent="0.25">
      <c r="B23" s="96"/>
      <c r="C23" s="3"/>
      <c r="G23" s="18"/>
      <c r="H23" s="13" t="str">
        <f>IF(I23="","",IF(I23=0,"","L="))</f>
        <v/>
      </c>
      <c r="I23" s="97"/>
      <c r="J23" s="97"/>
      <c r="K23" s="14" t="str">
        <f>IF(I23="","",IF(I23=0,"","m"))</f>
        <v/>
      </c>
      <c r="N23" s="13" t="str">
        <f>IF(O23="","",IF(O23=0,"","L="))</f>
        <v/>
      </c>
      <c r="O23" s="97"/>
      <c r="P23" s="97"/>
      <c r="Q23" s="24" t="str">
        <f>IF(O23="","",IF(O23=0,"","m"))</f>
        <v/>
      </c>
      <c r="R23" s="105"/>
      <c r="S23" s="101"/>
      <c r="U23" s="94"/>
      <c r="V23" s="95"/>
      <c r="W23" s="104"/>
      <c r="X23" s="103"/>
      <c r="Y23" s="103"/>
      <c r="Z23" s="103"/>
      <c r="AA23" s="99"/>
      <c r="AC23" s="1">
        <f>IF(U18="",0,IF(U18&gt;SUM(W18:AA23),U18-SUM(W18:AA23),0))</f>
        <v>0</v>
      </c>
    </row>
    <row r="24" spans="2:29" ht="6" customHeight="1" x14ac:dyDescent="0.2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2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25">
      <c r="B26" s="96" t="str">
        <f>IF(S26="","",IF(B18="","",1+B18))</f>
        <v/>
      </c>
      <c r="C26" s="3"/>
      <c r="E26" s="13" t="str">
        <f>IF(F26="","",IF(F26=0,"","L="))</f>
        <v/>
      </c>
      <c r="F26" s="97"/>
      <c r="G26" s="97"/>
      <c r="H26" s="14" t="str">
        <f>IF(F26="","",IF(F26=0,"","m"))</f>
        <v/>
      </c>
      <c r="K26" s="13" t="str">
        <f>IF(L26="","",IF(L26=0,"","L="))</f>
        <v/>
      </c>
      <c r="L26" s="97"/>
      <c r="M26" s="97"/>
      <c r="N26" s="14" t="str">
        <f>IF(L26="","",IF(L26=0,"","m"))</f>
        <v/>
      </c>
      <c r="R26" s="98" t="str">
        <f>IF(OR(S26="入力ｴﾗｰ",S26=0,S26="")=TRUE,"",IF(F26="","甲",IF(F26=0,"甲","")))</f>
        <v/>
      </c>
      <c r="S26" s="101" t="str">
        <f>IF((F26+I31+L26+O31)=0,"",IF((F26+I31+L26+O31)&gt;SUM($AC$1:$AC$3),"入力ｴﾗｰ",SUM($AC$1:$AC$3)-(F26+I31+L26+O31)))</f>
        <v/>
      </c>
      <c r="T26" s="102" t="str">
        <f>IF(S26="","",IF(S26="入力ｴﾗｰ","","m"))</f>
        <v/>
      </c>
      <c r="U26" s="94" t="str">
        <f>IF(B26="","",COUNT(F26,I31,L26,O31)-IF(S26=0,1,0)-V26)</f>
        <v/>
      </c>
      <c r="V26" s="95"/>
      <c r="W26" s="104"/>
      <c r="X26" s="103"/>
      <c r="Y26" s="103"/>
      <c r="Z26" s="103"/>
      <c r="AA26" s="99"/>
    </row>
    <row r="27" spans="2:29" ht="3" customHeight="1" x14ac:dyDescent="0.25">
      <c r="B27" s="96"/>
      <c r="C27" s="3"/>
      <c r="G27" s="3"/>
      <c r="H27" s="2"/>
      <c r="K27" s="3"/>
      <c r="R27" s="98"/>
      <c r="S27" s="101"/>
      <c r="T27" s="102"/>
      <c r="U27" s="94"/>
      <c r="V27" s="95"/>
      <c r="W27" s="104"/>
      <c r="X27" s="103"/>
      <c r="Y27" s="103"/>
      <c r="Z27" s="103"/>
      <c r="AA27" s="99"/>
    </row>
    <row r="28" spans="2:29" ht="3" customHeight="1" x14ac:dyDescent="0.25">
      <c r="B28" s="96"/>
      <c r="C28" s="3"/>
      <c r="G28" s="3"/>
      <c r="H28" s="2"/>
      <c r="I28" s="3"/>
      <c r="K28" s="3"/>
      <c r="R28" s="98"/>
      <c r="S28" s="101"/>
      <c r="T28" s="102"/>
      <c r="U28" s="94"/>
      <c r="V28" s="95"/>
      <c r="W28" s="104"/>
      <c r="X28" s="103"/>
      <c r="Y28" s="103"/>
      <c r="Z28" s="103"/>
      <c r="AA28" s="99"/>
    </row>
    <row r="29" spans="2:29" ht="3" customHeight="1" x14ac:dyDescent="0.25">
      <c r="B29" s="96"/>
      <c r="C29" s="3"/>
      <c r="E29" s="6"/>
      <c r="F29" s="6"/>
      <c r="G29" s="7"/>
      <c r="H29" s="8"/>
      <c r="I29" s="7"/>
      <c r="J29" s="8"/>
      <c r="K29" s="7"/>
      <c r="L29" s="6"/>
      <c r="R29" s="100" t="str">
        <f>IF(R26="甲","",IF(OR(S26=0,S26="")=TRUE,"",IF(S26="入力ｴﾗｰ","","乙")))</f>
        <v/>
      </c>
      <c r="S29" s="101"/>
      <c r="U29" s="94"/>
      <c r="V29" s="95"/>
      <c r="W29" s="104"/>
      <c r="X29" s="103"/>
      <c r="Y29" s="103"/>
      <c r="Z29" s="103"/>
      <c r="AA29" s="99"/>
    </row>
    <row r="30" spans="2:29" ht="3" customHeight="1" x14ac:dyDescent="0.25">
      <c r="B30" s="96"/>
      <c r="C30" s="3"/>
      <c r="F30" s="2"/>
      <c r="G30" s="3"/>
      <c r="H30" s="2"/>
      <c r="J30" s="2"/>
      <c r="K30" s="3"/>
      <c r="R30" s="100"/>
      <c r="S30" s="101"/>
      <c r="U30" s="94"/>
      <c r="V30" s="95"/>
      <c r="W30" s="104"/>
      <c r="X30" s="103"/>
      <c r="Y30" s="103"/>
      <c r="Z30" s="103"/>
      <c r="AA30" s="99"/>
    </row>
    <row r="31" spans="2:29" ht="15" customHeight="1" x14ac:dyDescent="0.25">
      <c r="B31" s="96"/>
      <c r="C31" s="3"/>
      <c r="G31" s="18"/>
      <c r="H31" s="13" t="str">
        <f>IF(I31="","",IF(I31=0,"","L="))</f>
        <v/>
      </c>
      <c r="I31" s="97"/>
      <c r="J31" s="97"/>
      <c r="K31" s="14" t="str">
        <f>IF(I31="","",IF(I31=0,"","m"))</f>
        <v/>
      </c>
      <c r="N31" s="13" t="str">
        <f>IF(O31="","",IF(O31=0,"","L="))</f>
        <v/>
      </c>
      <c r="O31" s="97"/>
      <c r="P31" s="97"/>
      <c r="Q31" s="14" t="str">
        <f>IF(O31="","",IF(O31=0,"","m"))</f>
        <v/>
      </c>
      <c r="R31" s="100"/>
      <c r="S31" s="101"/>
      <c r="U31" s="94"/>
      <c r="V31" s="95"/>
      <c r="W31" s="104"/>
      <c r="X31" s="103"/>
      <c r="Y31" s="103"/>
      <c r="Z31" s="103"/>
      <c r="AA31" s="99"/>
      <c r="AC31" s="1">
        <f>IF(U26="",0,IF(U26&gt;SUM(W26:AA31),U26-SUM(W26:AA31),0))</f>
        <v>0</v>
      </c>
    </row>
    <row r="32" spans="2:29" ht="6" customHeight="1" x14ac:dyDescent="0.2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2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25">
      <c r="B34" s="96" t="str">
        <f>IF(S34="","",IF(B26="","",1+B26))</f>
        <v/>
      </c>
      <c r="C34" s="3"/>
      <c r="E34" s="13" t="str">
        <f>IF(F34="","",IF(F34=0,"","L="))</f>
        <v/>
      </c>
      <c r="F34" s="97"/>
      <c r="G34" s="97"/>
      <c r="H34" s="14" t="str">
        <f>IF(F34="","",IF(F34=0,"","m"))</f>
        <v/>
      </c>
      <c r="K34" s="13" t="str">
        <f>IF(L34="","",IF(L34=0,"","L="))</f>
        <v/>
      </c>
      <c r="L34" s="97"/>
      <c r="M34" s="97"/>
      <c r="N34" s="14" t="str">
        <f>IF(L34="","",IF(L34=0,"","m"))</f>
        <v/>
      </c>
      <c r="R34" s="98" t="str">
        <f>IF(OR(S34="入力ｴﾗｰ",S34=0,S34="")=TRUE,"",IF(F34="","甲",IF(F34=0,"甲","")))</f>
        <v/>
      </c>
      <c r="S34" s="101" t="str">
        <f>IF((F34+I39+L34+O39)=0,"",IF((F34+I39+L34+O39)&gt;SUM($AC$1:$AC$3),"入力ｴﾗｰ",SUM($AC$1:$AC$3)-(F34+I39+L34+O39)))</f>
        <v/>
      </c>
      <c r="T34" s="102" t="str">
        <f>IF(S34="","",IF(S34="入力ｴﾗｰ","","m"))</f>
        <v/>
      </c>
      <c r="U34" s="94" t="str">
        <f>IF(B34="","",COUNT(F34,I39,L34,O39)-IF(S34=0,1,0)-V34)</f>
        <v/>
      </c>
      <c r="V34" s="95"/>
      <c r="W34" s="104"/>
      <c r="X34" s="103"/>
      <c r="Y34" s="103"/>
      <c r="Z34" s="103"/>
      <c r="AA34" s="99"/>
    </row>
    <row r="35" spans="2:29" ht="3" customHeight="1" x14ac:dyDescent="0.25">
      <c r="B35" s="96"/>
      <c r="C35" s="3"/>
      <c r="G35" s="3"/>
      <c r="H35" s="2"/>
      <c r="K35" s="3"/>
      <c r="R35" s="98"/>
      <c r="S35" s="101"/>
      <c r="T35" s="102"/>
      <c r="U35" s="94"/>
      <c r="V35" s="95"/>
      <c r="W35" s="104"/>
      <c r="X35" s="103"/>
      <c r="Y35" s="103"/>
      <c r="Z35" s="103"/>
      <c r="AA35" s="99"/>
    </row>
    <row r="36" spans="2:29" ht="3" customHeight="1" x14ac:dyDescent="0.25">
      <c r="B36" s="96"/>
      <c r="C36" s="3"/>
      <c r="G36" s="3"/>
      <c r="H36" s="2"/>
      <c r="K36" s="3"/>
      <c r="R36" s="98"/>
      <c r="S36" s="101"/>
      <c r="T36" s="102"/>
      <c r="U36" s="94"/>
      <c r="V36" s="95"/>
      <c r="W36" s="104"/>
      <c r="X36" s="103"/>
      <c r="Y36" s="103"/>
      <c r="Z36" s="103"/>
      <c r="AA36" s="99"/>
    </row>
    <row r="37" spans="2:29" ht="3" customHeight="1" x14ac:dyDescent="0.25">
      <c r="B37" s="96"/>
      <c r="C37" s="3"/>
      <c r="E37" s="6"/>
      <c r="F37" s="6"/>
      <c r="G37" s="7"/>
      <c r="H37" s="8"/>
      <c r="I37" s="7"/>
      <c r="J37" s="8"/>
      <c r="K37" s="7"/>
      <c r="L37" s="6"/>
      <c r="R37" s="100" t="str">
        <f>IF(R34="甲","",IF(OR(S34=0,S34="")=TRUE,"",IF(S34="入力ｴﾗｰ","","乙")))</f>
        <v/>
      </c>
      <c r="S37" s="101"/>
      <c r="U37" s="94"/>
      <c r="V37" s="95"/>
      <c r="W37" s="104"/>
      <c r="X37" s="103"/>
      <c r="Y37" s="103"/>
      <c r="Z37" s="103"/>
      <c r="AA37" s="99"/>
    </row>
    <row r="38" spans="2:29" ht="3" customHeight="1" x14ac:dyDescent="0.25">
      <c r="B38" s="96"/>
      <c r="C38" s="3"/>
      <c r="F38" s="2"/>
      <c r="G38" s="3"/>
      <c r="H38" s="2"/>
      <c r="J38" s="2"/>
      <c r="K38" s="3"/>
      <c r="R38" s="100"/>
      <c r="S38" s="101"/>
      <c r="U38" s="94"/>
      <c r="V38" s="95"/>
      <c r="W38" s="104"/>
      <c r="X38" s="103"/>
      <c r="Y38" s="103"/>
      <c r="Z38" s="103"/>
      <c r="AA38" s="99"/>
    </row>
    <row r="39" spans="2:29" ht="15" customHeight="1" x14ac:dyDescent="0.25">
      <c r="B39" s="96"/>
      <c r="C39" s="3"/>
      <c r="G39" s="18"/>
      <c r="H39" s="13" t="str">
        <f>IF(I39="","",IF(I39=0,"","L="))</f>
        <v/>
      </c>
      <c r="I39" s="97"/>
      <c r="J39" s="97"/>
      <c r="K39" s="14" t="str">
        <f>IF(I39="","",IF(I39=0,"","m"))</f>
        <v/>
      </c>
      <c r="N39" s="13" t="str">
        <f>IF(O39="","",IF(O39=0,"","L="))</f>
        <v/>
      </c>
      <c r="O39" s="97"/>
      <c r="P39" s="97"/>
      <c r="Q39" s="14" t="str">
        <f>IF(O39="","",IF(O39=0,"","m"))</f>
        <v/>
      </c>
      <c r="R39" s="100"/>
      <c r="S39" s="101"/>
      <c r="U39" s="94"/>
      <c r="V39" s="95"/>
      <c r="W39" s="104"/>
      <c r="X39" s="103"/>
      <c r="Y39" s="103"/>
      <c r="Z39" s="103"/>
      <c r="AA39" s="99"/>
      <c r="AC39" s="1">
        <f>IF(U34="",0,IF(U34&gt;SUM(W34:AA39),U34-SUM(W34:AA39),0))</f>
        <v>0</v>
      </c>
    </row>
    <row r="40" spans="2:29" ht="6" customHeight="1" x14ac:dyDescent="0.2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2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25">
      <c r="B42" s="96" t="str">
        <f>IF(S42="","",IF(B34="","",1+B34))</f>
        <v/>
      </c>
      <c r="C42" s="3"/>
      <c r="E42" s="13" t="str">
        <f>IF(F42="","",IF(F42=0,"","L="))</f>
        <v/>
      </c>
      <c r="F42" s="97"/>
      <c r="G42" s="97"/>
      <c r="H42" s="14" t="str">
        <f>IF(F42="","",IF(F42=0,"","m"))</f>
        <v/>
      </c>
      <c r="K42" s="13" t="str">
        <f>IF(L42="","",IF(L42=0,"","L="))</f>
        <v/>
      </c>
      <c r="L42" s="97"/>
      <c r="M42" s="97"/>
      <c r="N42" s="14" t="str">
        <f>IF(L42="","",IF(L42=0,"","m"))</f>
        <v/>
      </c>
      <c r="R42" s="98" t="str">
        <f>IF(OR(S42="入力ｴﾗｰ",S42=0,S42="")=TRUE,"",IF(F42="","甲",IF(F42=0,"甲","")))</f>
        <v/>
      </c>
      <c r="S42" s="101" t="str">
        <f>IF((F42+I47+L42+O47)=0,"",IF((F42+I47+L42+O47)&gt;SUM($AC$1:$AC$3),"入力ｴﾗｰ",SUM($AC$1:$AC$3)-(F42+I47+L42+O47)))</f>
        <v/>
      </c>
      <c r="T42" s="102" t="str">
        <f>IF(S42="","",IF(S42="入力ｴﾗｰ","","m"))</f>
        <v/>
      </c>
      <c r="U42" s="94" t="str">
        <f>IF(B42="","",COUNT(F42,I47,L42,O47)-IF(S42=0,1,0)-V42)</f>
        <v/>
      </c>
      <c r="V42" s="95"/>
      <c r="W42" s="104"/>
      <c r="X42" s="103"/>
      <c r="Y42" s="103"/>
      <c r="Z42" s="103"/>
      <c r="AA42" s="99"/>
    </row>
    <row r="43" spans="2:29" ht="3" customHeight="1" x14ac:dyDescent="0.25">
      <c r="B43" s="96"/>
      <c r="C43" s="3"/>
      <c r="G43" s="3"/>
      <c r="H43" s="2"/>
      <c r="K43" s="3"/>
      <c r="R43" s="98"/>
      <c r="S43" s="101"/>
      <c r="T43" s="102"/>
      <c r="U43" s="94"/>
      <c r="V43" s="95"/>
      <c r="W43" s="104"/>
      <c r="X43" s="103"/>
      <c r="Y43" s="103"/>
      <c r="Z43" s="103"/>
      <c r="AA43" s="99"/>
    </row>
    <row r="44" spans="2:29" ht="3" customHeight="1" x14ac:dyDescent="0.25">
      <c r="B44" s="96"/>
      <c r="C44" s="3"/>
      <c r="G44" s="3"/>
      <c r="H44" s="2"/>
      <c r="K44" s="3"/>
      <c r="R44" s="98"/>
      <c r="S44" s="101"/>
      <c r="T44" s="102"/>
      <c r="U44" s="94"/>
      <c r="V44" s="95"/>
      <c r="W44" s="104"/>
      <c r="X44" s="103"/>
      <c r="Y44" s="103"/>
      <c r="Z44" s="103"/>
      <c r="AA44" s="99"/>
    </row>
    <row r="45" spans="2:29" ht="3" customHeight="1" x14ac:dyDescent="0.25">
      <c r="B45" s="96"/>
      <c r="C45" s="3"/>
      <c r="E45" s="6"/>
      <c r="F45" s="6"/>
      <c r="G45" s="7"/>
      <c r="H45" s="8"/>
      <c r="I45" s="7"/>
      <c r="J45" s="8"/>
      <c r="K45" s="7"/>
      <c r="L45" s="6"/>
      <c r="R45" s="100" t="str">
        <f>IF(R42="甲","",IF(OR(S42=0,S42="")=TRUE,"",IF(S42="入力ｴﾗｰ","","乙")))</f>
        <v/>
      </c>
      <c r="S45" s="101"/>
      <c r="U45" s="94"/>
      <c r="V45" s="95"/>
      <c r="W45" s="104"/>
      <c r="X45" s="103"/>
      <c r="Y45" s="103"/>
      <c r="Z45" s="103"/>
      <c r="AA45" s="99"/>
    </row>
    <row r="46" spans="2:29" ht="3" customHeight="1" x14ac:dyDescent="0.25">
      <c r="B46" s="96"/>
      <c r="C46" s="3"/>
      <c r="F46" s="2"/>
      <c r="G46" s="3"/>
      <c r="H46" s="2"/>
      <c r="J46" s="2"/>
      <c r="K46" s="3"/>
      <c r="R46" s="100"/>
      <c r="S46" s="101"/>
      <c r="U46" s="94"/>
      <c r="V46" s="95"/>
      <c r="W46" s="104"/>
      <c r="X46" s="103"/>
      <c r="Y46" s="103"/>
      <c r="Z46" s="103"/>
      <c r="AA46" s="99"/>
    </row>
    <row r="47" spans="2:29" ht="15" customHeight="1" x14ac:dyDescent="0.25">
      <c r="B47" s="96"/>
      <c r="C47" s="3"/>
      <c r="G47" s="18"/>
      <c r="H47" s="13" t="str">
        <f>IF(I47="","",IF(I47=0,"","L="))</f>
        <v/>
      </c>
      <c r="I47" s="97"/>
      <c r="J47" s="97"/>
      <c r="K47" s="14" t="str">
        <f>IF(I47="","",IF(I47=0,"","m"))</f>
        <v/>
      </c>
      <c r="N47" s="13" t="str">
        <f>IF(O47="","",IF(O47=0,"","L="))</f>
        <v/>
      </c>
      <c r="O47" s="97"/>
      <c r="P47" s="97"/>
      <c r="Q47" s="14" t="str">
        <f>IF(O47="","",IF(O47=0,"","m"))</f>
        <v/>
      </c>
      <c r="R47" s="100"/>
      <c r="S47" s="101"/>
      <c r="U47" s="94"/>
      <c r="V47" s="95"/>
      <c r="W47" s="104"/>
      <c r="X47" s="103"/>
      <c r="Y47" s="103"/>
      <c r="Z47" s="103"/>
      <c r="AA47" s="99"/>
      <c r="AC47" s="1">
        <f>IF(U42="",0,IF(U42&gt;SUM(W42:AA47),U42-SUM(W42:AA47),0))</f>
        <v>0</v>
      </c>
    </row>
    <row r="48" spans="2:29" ht="6" customHeight="1" x14ac:dyDescent="0.2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2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25">
      <c r="B50" s="96" t="str">
        <f>IF(S50="","",IF(B42="","",1+B42))</f>
        <v/>
      </c>
      <c r="C50" s="3"/>
      <c r="E50" s="13" t="str">
        <f>IF(F50="","",IF(F50=0,"","L="))</f>
        <v/>
      </c>
      <c r="F50" s="97"/>
      <c r="G50" s="97"/>
      <c r="H50" s="14" t="str">
        <f>IF(F50="","",IF(F50=0,"","m"))</f>
        <v/>
      </c>
      <c r="K50" s="13" t="str">
        <f>IF(L50="","",IF(L50=0,"","L="))</f>
        <v/>
      </c>
      <c r="L50" s="97"/>
      <c r="M50" s="97"/>
      <c r="N50" s="14" t="str">
        <f>IF(L50="","",IF(L50=0,"","m"))</f>
        <v/>
      </c>
      <c r="R50" s="98" t="str">
        <f>IF(OR(S50="入力ｴﾗｰ",S50=0,S50="")=TRUE,"",IF(F50="","甲",IF(F50=0,"甲","")))</f>
        <v/>
      </c>
      <c r="S50" s="101" t="str">
        <f>IF((F50+I55+L50+O55)=0,"",IF((F50+I55+L50+O55)&gt;SUM($AC$1:$AC$3),"入力ｴﾗｰ",SUM($AC$1:$AC$3)-(F50+I55+L50+O55)))</f>
        <v/>
      </c>
      <c r="T50" s="102" t="str">
        <f>IF(S50="","",IF(S50="入力ｴﾗｰ","","m"))</f>
        <v/>
      </c>
      <c r="U50" s="94" t="str">
        <f>IF(B50="","",COUNT(F50,I55,L50,O55)-IF(S50=0,1,0)-V50)</f>
        <v/>
      </c>
      <c r="V50" s="95"/>
      <c r="W50" s="104"/>
      <c r="X50" s="103"/>
      <c r="Y50" s="103"/>
      <c r="Z50" s="103"/>
      <c r="AA50" s="99"/>
    </row>
    <row r="51" spans="2:29" ht="3" customHeight="1" x14ac:dyDescent="0.25">
      <c r="B51" s="96"/>
      <c r="C51" s="3"/>
      <c r="G51" s="3"/>
      <c r="I51" s="3"/>
      <c r="K51" s="3"/>
      <c r="R51" s="98"/>
      <c r="S51" s="101"/>
      <c r="T51" s="102"/>
      <c r="U51" s="94"/>
      <c r="V51" s="95"/>
      <c r="W51" s="104"/>
      <c r="X51" s="103"/>
      <c r="Y51" s="103"/>
      <c r="Z51" s="103"/>
      <c r="AA51" s="99"/>
    </row>
    <row r="52" spans="2:29" ht="3" customHeight="1" x14ac:dyDescent="0.25">
      <c r="B52" s="96"/>
      <c r="C52" s="3"/>
      <c r="G52" s="3"/>
      <c r="I52" s="3"/>
      <c r="K52" s="3"/>
      <c r="R52" s="98"/>
      <c r="S52" s="101"/>
      <c r="T52" s="102"/>
      <c r="U52" s="94"/>
      <c r="V52" s="95"/>
      <c r="W52" s="104"/>
      <c r="X52" s="103"/>
      <c r="Y52" s="103"/>
      <c r="Z52" s="103"/>
      <c r="AA52" s="99"/>
    </row>
    <row r="53" spans="2:29" ht="3" customHeight="1" x14ac:dyDescent="0.25">
      <c r="B53" s="96"/>
      <c r="C53" s="3"/>
      <c r="E53" s="6"/>
      <c r="F53" s="6"/>
      <c r="G53" s="7"/>
      <c r="H53" s="6"/>
      <c r="I53" s="7"/>
      <c r="J53" s="6"/>
      <c r="K53" s="7"/>
      <c r="L53" s="6"/>
      <c r="R53" s="100" t="str">
        <f>IF(R50="甲","",IF(OR(S50=0,S50="")=TRUE,"",IF(S50="入力ｴﾗｰ","","乙")))</f>
        <v/>
      </c>
      <c r="S53" s="101"/>
      <c r="U53" s="94"/>
      <c r="V53" s="95"/>
      <c r="W53" s="104"/>
      <c r="X53" s="103"/>
      <c r="Y53" s="103"/>
      <c r="Z53" s="103"/>
      <c r="AA53" s="99"/>
    </row>
    <row r="54" spans="2:29" ht="3" customHeight="1" x14ac:dyDescent="0.25">
      <c r="B54" s="96"/>
      <c r="C54" s="3"/>
      <c r="F54" s="2"/>
      <c r="G54" s="3"/>
      <c r="I54" s="3"/>
      <c r="K54" s="3"/>
      <c r="R54" s="100"/>
      <c r="S54" s="101"/>
      <c r="U54" s="94"/>
      <c r="V54" s="95"/>
      <c r="W54" s="104"/>
      <c r="X54" s="103"/>
      <c r="Y54" s="103"/>
      <c r="Z54" s="103"/>
      <c r="AA54" s="99"/>
    </row>
    <row r="55" spans="2:29" ht="15" customHeight="1" x14ac:dyDescent="0.25">
      <c r="B55" s="96"/>
      <c r="C55" s="3"/>
      <c r="G55" s="18"/>
      <c r="H55" s="13" t="str">
        <f>IF(I55="","",IF(I55=0,"","L="))</f>
        <v/>
      </c>
      <c r="I55" s="97"/>
      <c r="J55" s="97"/>
      <c r="K55" s="14" t="str">
        <f>IF(I55="","",IF(I55=0,"","m"))</f>
        <v/>
      </c>
      <c r="N55" s="13" t="str">
        <f>IF(O55="","",IF(O55=0,"","L="))</f>
        <v/>
      </c>
      <c r="O55" s="97"/>
      <c r="P55" s="97"/>
      <c r="Q55" s="14" t="str">
        <f>IF(O55="","",IF(O55=0,"","m"))</f>
        <v/>
      </c>
      <c r="R55" s="100"/>
      <c r="S55" s="101"/>
      <c r="U55" s="94"/>
      <c r="V55" s="95"/>
      <c r="W55" s="104"/>
      <c r="X55" s="103"/>
      <c r="Y55" s="103"/>
      <c r="Z55" s="103"/>
      <c r="AA55" s="99"/>
      <c r="AC55" s="1">
        <f>IF(U50="",0,IF(U50&gt;SUM(W50:AA55),U50-SUM(W50:AA55),0))</f>
        <v>0</v>
      </c>
    </row>
    <row r="56" spans="2:29" ht="6" customHeight="1" x14ac:dyDescent="0.2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2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25">
      <c r="B58" s="96" t="str">
        <f>IF(S58="","",IF(B50="","",1+B50))</f>
        <v/>
      </c>
      <c r="C58" s="3"/>
      <c r="E58" s="13" t="str">
        <f>IF(F58="","",IF(F58=0,"","L="))</f>
        <v/>
      </c>
      <c r="F58" s="97"/>
      <c r="G58" s="97"/>
      <c r="H58" s="14" t="str">
        <f>IF(F58="","",IF(F58=0,"","m"))</f>
        <v/>
      </c>
      <c r="K58" s="13" t="str">
        <f>IF(L58="","",IF(L58=0,"","L="))</f>
        <v/>
      </c>
      <c r="L58" s="97"/>
      <c r="M58" s="97"/>
      <c r="N58" s="14" t="str">
        <f>IF(L58="","",IF(L58=0,"","m"))</f>
        <v/>
      </c>
      <c r="R58" s="98" t="str">
        <f>IF(OR(S58="入力ｴﾗｰ",S58=0,S58="")=TRUE,"",IF(F58="","甲",IF(F58=0,"甲","")))</f>
        <v/>
      </c>
      <c r="S58" s="101" t="str">
        <f>IF((F58+I63+L58+O63)=0,"",IF((F58+I63+L58+O63)&gt;SUM($AC$1:$AC$3),"入力ｴﾗｰ",SUM($AC$1:$AC$3)-(F58+I63+L58+O63)))</f>
        <v/>
      </c>
      <c r="T58" s="102" t="str">
        <f>IF(S58="","",IF(S58="入力ｴﾗｰ","","m"))</f>
        <v/>
      </c>
      <c r="U58" s="94" t="str">
        <f>IF(B58="","",COUNT(F58,I63,L58,O63)-IF(S58=0,1,0)-V58)</f>
        <v/>
      </c>
      <c r="V58" s="95"/>
      <c r="W58" s="104"/>
      <c r="X58" s="103"/>
      <c r="Y58" s="103"/>
      <c r="Z58" s="103"/>
      <c r="AA58" s="99"/>
    </row>
    <row r="59" spans="2:29" ht="3" customHeight="1" x14ac:dyDescent="0.25">
      <c r="B59" s="96"/>
      <c r="C59" s="3"/>
      <c r="G59" s="3"/>
      <c r="I59" s="3"/>
      <c r="J59" s="2"/>
      <c r="K59" s="3"/>
      <c r="R59" s="98"/>
      <c r="S59" s="101"/>
      <c r="T59" s="102"/>
      <c r="U59" s="94"/>
      <c r="V59" s="95"/>
      <c r="W59" s="104"/>
      <c r="X59" s="103"/>
      <c r="Y59" s="103"/>
      <c r="Z59" s="103"/>
      <c r="AA59" s="99"/>
    </row>
    <row r="60" spans="2:29" ht="3" customHeight="1" x14ac:dyDescent="0.25">
      <c r="B60" s="96"/>
      <c r="C60" s="3"/>
      <c r="G60" s="3"/>
      <c r="I60" s="3"/>
      <c r="J60" s="2"/>
      <c r="K60" s="3"/>
      <c r="R60" s="98"/>
      <c r="S60" s="101"/>
      <c r="T60" s="102"/>
      <c r="U60" s="94"/>
      <c r="V60" s="95"/>
      <c r="W60" s="104"/>
      <c r="X60" s="103"/>
      <c r="Y60" s="103"/>
      <c r="Z60" s="103"/>
      <c r="AA60" s="99"/>
    </row>
    <row r="61" spans="2:29" ht="3" customHeight="1" x14ac:dyDescent="0.25">
      <c r="B61" s="96"/>
      <c r="C61" s="3"/>
      <c r="E61" s="6"/>
      <c r="F61" s="6"/>
      <c r="G61" s="7"/>
      <c r="H61" s="6"/>
      <c r="I61" s="7"/>
      <c r="J61" s="8"/>
      <c r="K61" s="7"/>
      <c r="L61" s="6"/>
      <c r="R61" s="100" t="str">
        <f>IF(R58="甲","",IF(OR(S58=0,S58="")=TRUE,"",IF(S58="入力ｴﾗｰ","","乙")))</f>
        <v/>
      </c>
      <c r="S61" s="101"/>
      <c r="U61" s="94"/>
      <c r="V61" s="95"/>
      <c r="W61" s="104"/>
      <c r="X61" s="103"/>
      <c r="Y61" s="103"/>
      <c r="Z61" s="103"/>
      <c r="AA61" s="99"/>
    </row>
    <row r="62" spans="2:29" ht="3" customHeight="1" x14ac:dyDescent="0.25">
      <c r="B62" s="96"/>
      <c r="C62" s="3"/>
      <c r="F62" s="2"/>
      <c r="G62" s="3"/>
      <c r="I62" s="3"/>
      <c r="J62" s="2"/>
      <c r="K62" s="3"/>
      <c r="R62" s="100"/>
      <c r="S62" s="101"/>
      <c r="U62" s="94"/>
      <c r="V62" s="95"/>
      <c r="W62" s="104"/>
      <c r="X62" s="103"/>
      <c r="Y62" s="103"/>
      <c r="Z62" s="103"/>
      <c r="AA62" s="99"/>
    </row>
    <row r="63" spans="2:29" ht="15" customHeight="1" x14ac:dyDescent="0.25">
      <c r="B63" s="96"/>
      <c r="C63" s="3"/>
      <c r="G63" s="18"/>
      <c r="H63" s="13" t="str">
        <f>IF(I63="","",IF(I63=0,"","L="))</f>
        <v/>
      </c>
      <c r="I63" s="97"/>
      <c r="J63" s="97"/>
      <c r="K63" s="14" t="str">
        <f>IF(I63="","",IF(I63=0,"","m"))</f>
        <v/>
      </c>
      <c r="N63" s="13" t="str">
        <f>IF(O63="","",IF(O63=0,"","L="))</f>
        <v/>
      </c>
      <c r="O63" s="97"/>
      <c r="P63" s="97"/>
      <c r="Q63" s="14" t="str">
        <f>IF(O63="","",IF(O63=0,"","m"))</f>
        <v/>
      </c>
      <c r="R63" s="100"/>
      <c r="S63" s="101"/>
      <c r="U63" s="94"/>
      <c r="V63" s="95"/>
      <c r="W63" s="104"/>
      <c r="X63" s="103"/>
      <c r="Y63" s="103"/>
      <c r="Z63" s="103"/>
      <c r="AA63" s="99"/>
      <c r="AC63" s="1">
        <f>IF(U58="",0,IF(U58&gt;SUM(W58:AA63),U58-SUM(W58:AA63),0))</f>
        <v>0</v>
      </c>
    </row>
    <row r="64" spans="2:29" ht="6" customHeight="1" x14ac:dyDescent="0.2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2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25">
      <c r="B66" s="96" t="str">
        <f>IF(S66="","",IF(B58="","",1+B58))</f>
        <v/>
      </c>
      <c r="C66" s="3"/>
      <c r="E66" s="13" t="str">
        <f>IF(F66="","",IF(F66=0,"","L="))</f>
        <v/>
      </c>
      <c r="F66" s="97"/>
      <c r="G66" s="97"/>
      <c r="H66" s="14" t="str">
        <f>IF(F66="","",IF(F66=0,"","m"))</f>
        <v/>
      </c>
      <c r="K66" s="13" t="str">
        <f>IF(L66="","",IF(L66=0,"","L="))</f>
        <v/>
      </c>
      <c r="L66" s="97"/>
      <c r="M66" s="97"/>
      <c r="N66" s="14" t="str">
        <f>IF(L66="","",IF(L66=0,"","m"))</f>
        <v/>
      </c>
      <c r="R66" s="98" t="str">
        <f>IF(OR(S66="入力ｴﾗｰ",S66=0,S66="")=TRUE,"",IF(F66="","甲",IF(F66=0,"甲","")))</f>
        <v/>
      </c>
      <c r="S66" s="101" t="str">
        <f>IF((F66+I71+L66+O71)=0,"",IF((F66+I71+L66+O71)&gt;SUM($AC$1:$AC$3),"入力ｴﾗｰ",SUM($AC$1:$AC$3)-(F66+I71+L66+O71)))</f>
        <v/>
      </c>
      <c r="T66" s="102" t="str">
        <f>IF(S66="","",IF(S66="入力ｴﾗｰ","","m"))</f>
        <v/>
      </c>
      <c r="U66" s="94" t="str">
        <f>IF(B66="","",COUNT(F66,I71,L66,O71)-IF(S66=0,1,0)-V66)</f>
        <v/>
      </c>
      <c r="V66" s="95"/>
      <c r="W66" s="104"/>
      <c r="X66" s="103"/>
      <c r="Y66" s="103"/>
      <c r="Z66" s="103"/>
      <c r="AA66" s="99"/>
    </row>
    <row r="67" spans="2:29" ht="3" customHeight="1" x14ac:dyDescent="0.25">
      <c r="B67" s="96"/>
      <c r="C67" s="3"/>
      <c r="G67" s="3"/>
      <c r="H67" s="2"/>
      <c r="K67" s="3"/>
      <c r="R67" s="98"/>
      <c r="S67" s="101"/>
      <c r="T67" s="102"/>
      <c r="U67" s="94"/>
      <c r="V67" s="95"/>
      <c r="W67" s="104"/>
      <c r="X67" s="103"/>
      <c r="Y67" s="103"/>
      <c r="Z67" s="103"/>
      <c r="AA67" s="99"/>
    </row>
    <row r="68" spans="2:29" ht="3" customHeight="1" x14ac:dyDescent="0.25">
      <c r="B68" s="96"/>
      <c r="C68" s="3"/>
      <c r="G68" s="3"/>
      <c r="H68" s="2"/>
      <c r="K68" s="3"/>
      <c r="R68" s="98"/>
      <c r="S68" s="101"/>
      <c r="T68" s="102"/>
      <c r="U68" s="94"/>
      <c r="V68" s="95"/>
      <c r="W68" s="104"/>
      <c r="X68" s="103"/>
      <c r="Y68" s="103"/>
      <c r="Z68" s="103"/>
      <c r="AA68" s="99"/>
    </row>
    <row r="69" spans="2:29" ht="3" customHeight="1" x14ac:dyDescent="0.25">
      <c r="B69" s="96"/>
      <c r="C69" s="3"/>
      <c r="E69" s="6"/>
      <c r="F69" s="8"/>
      <c r="G69" s="7"/>
      <c r="H69" s="8"/>
      <c r="I69" s="7"/>
      <c r="J69" s="8"/>
      <c r="K69" s="7"/>
      <c r="L69" s="6"/>
      <c r="R69" s="100" t="str">
        <f>IF(R66="甲","",IF(OR(S66=0,S66="")=TRUE,"",IF(S66="入力ｴﾗｰ","","乙")))</f>
        <v/>
      </c>
      <c r="S69" s="101"/>
      <c r="U69" s="94"/>
      <c r="V69" s="95"/>
      <c r="W69" s="104"/>
      <c r="X69" s="103"/>
      <c r="Y69" s="103"/>
      <c r="Z69" s="103"/>
      <c r="AA69" s="99"/>
    </row>
    <row r="70" spans="2:29" ht="3" customHeight="1" x14ac:dyDescent="0.25">
      <c r="B70" s="96"/>
      <c r="C70" s="3"/>
      <c r="F70" s="2"/>
      <c r="G70" s="3"/>
      <c r="H70" s="2"/>
      <c r="K70" s="3"/>
      <c r="R70" s="100"/>
      <c r="S70" s="101"/>
      <c r="U70" s="94"/>
      <c r="V70" s="95"/>
      <c r="W70" s="104"/>
      <c r="X70" s="103"/>
      <c r="Y70" s="103"/>
      <c r="Z70" s="103"/>
      <c r="AA70" s="99"/>
    </row>
    <row r="71" spans="2:29" ht="15" customHeight="1" x14ac:dyDescent="0.25">
      <c r="B71" s="96"/>
      <c r="C71" s="3"/>
      <c r="G71" s="18"/>
      <c r="H71" s="13" t="str">
        <f>IF(I71="","",IF(I71=0,"","L="))</f>
        <v/>
      </c>
      <c r="I71" s="97"/>
      <c r="J71" s="97"/>
      <c r="K71" s="14" t="str">
        <f>IF(I71="","",IF(I71=0,"","m"))</f>
        <v/>
      </c>
      <c r="N71" s="13" t="str">
        <f>IF(O71="","",IF(O71=0,"","L="))</f>
        <v/>
      </c>
      <c r="O71" s="97"/>
      <c r="P71" s="97"/>
      <c r="Q71" s="14" t="str">
        <f>IF(O71="","",IF(O71=0,"","m"))</f>
        <v/>
      </c>
      <c r="R71" s="100"/>
      <c r="S71" s="101"/>
      <c r="U71" s="94"/>
      <c r="V71" s="95"/>
      <c r="W71" s="104"/>
      <c r="X71" s="103"/>
      <c r="Y71" s="103"/>
      <c r="Z71" s="103"/>
      <c r="AA71" s="99"/>
      <c r="AC71" s="1">
        <f>IF(U66="",0,IF(U66&gt;SUM(W66:AA71),U66-SUM(W66:AA71),0))</f>
        <v>0</v>
      </c>
    </row>
    <row r="72" spans="2:29" ht="6" customHeight="1" x14ac:dyDescent="0.2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2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25">
      <c r="B74" s="96" t="str">
        <f>IF(S74="","",IF(B66="","",1+B66))</f>
        <v/>
      </c>
      <c r="C74" s="3"/>
      <c r="E74" s="13" t="str">
        <f>IF(F74="","",IF(F74=0,"","L="))</f>
        <v/>
      </c>
      <c r="F74" s="97"/>
      <c r="G74" s="97"/>
      <c r="H74" s="14" t="str">
        <f>IF(F74="","",IF(F74=0,"","m"))</f>
        <v/>
      </c>
      <c r="K74" s="13" t="str">
        <f>IF(L74="","",IF(L74=0,"","L="))</f>
        <v/>
      </c>
      <c r="L74" s="97"/>
      <c r="M74" s="97"/>
      <c r="N74" s="14" t="str">
        <f>IF(L74="","",IF(L74=0,"","m"))</f>
        <v/>
      </c>
      <c r="R74" s="98" t="str">
        <f>IF(OR(S74="入力ｴﾗｰ",S74=0,S74="")=TRUE,"",IF(F74="","甲",IF(F74=0,"甲","")))</f>
        <v/>
      </c>
      <c r="S74" s="101" t="str">
        <f>IF((F74+I79+L74+O79)=0,"",IF((F74+I79+L74+O79)&gt;SUM($AC$1:$AC$3),"入力ｴﾗｰ",SUM($AC$1:$AC$3)-(F74+I79+L74+O79)))</f>
        <v/>
      </c>
      <c r="T74" s="102" t="str">
        <f>IF(S74="","",IF(S74="入力ｴﾗｰ","","m"))</f>
        <v/>
      </c>
      <c r="U74" s="94" t="str">
        <f>IF(B74="","",COUNT(F74,I79,L74,O79)-IF(S74=0,1,0)-V74)</f>
        <v/>
      </c>
      <c r="V74" s="95"/>
      <c r="W74" s="104"/>
      <c r="X74" s="103"/>
      <c r="Y74" s="103"/>
      <c r="Z74" s="103"/>
      <c r="AA74" s="99"/>
    </row>
    <row r="75" spans="2:29" ht="3" customHeight="1" x14ac:dyDescent="0.25">
      <c r="B75" s="96"/>
      <c r="C75" s="3"/>
      <c r="G75" s="3"/>
      <c r="H75" s="2"/>
      <c r="K75" s="3"/>
      <c r="R75" s="98"/>
      <c r="S75" s="101"/>
      <c r="T75" s="102"/>
      <c r="U75" s="94"/>
      <c r="V75" s="95"/>
      <c r="W75" s="104"/>
      <c r="X75" s="103"/>
      <c r="Y75" s="103"/>
      <c r="Z75" s="103"/>
      <c r="AA75" s="99"/>
    </row>
    <row r="76" spans="2:29" ht="3" customHeight="1" x14ac:dyDescent="0.25">
      <c r="B76" s="96"/>
      <c r="C76" s="3"/>
      <c r="G76" s="3"/>
      <c r="H76" s="2"/>
      <c r="K76" s="3"/>
      <c r="R76" s="98"/>
      <c r="S76" s="101"/>
      <c r="T76" s="102"/>
      <c r="U76" s="94"/>
      <c r="V76" s="95"/>
      <c r="W76" s="104"/>
      <c r="X76" s="103"/>
      <c r="Y76" s="103"/>
      <c r="Z76" s="103"/>
      <c r="AA76" s="99"/>
    </row>
    <row r="77" spans="2:29" ht="3" customHeight="1" x14ac:dyDescent="0.25">
      <c r="B77" s="96"/>
      <c r="C77" s="3"/>
      <c r="E77" s="6"/>
      <c r="F77" s="8"/>
      <c r="G77" s="7"/>
      <c r="H77" s="8"/>
      <c r="I77" s="7"/>
      <c r="J77" s="8"/>
      <c r="K77" s="7"/>
      <c r="L77" s="6"/>
      <c r="R77" s="100" t="str">
        <f>IF(R74="甲","",IF(OR(S74=0,S74="")=TRUE,"",IF(S74="入力ｴﾗｰ","","乙")))</f>
        <v/>
      </c>
      <c r="S77" s="101"/>
      <c r="U77" s="94"/>
      <c r="V77" s="95"/>
      <c r="W77" s="104"/>
      <c r="X77" s="103"/>
      <c r="Y77" s="103"/>
      <c r="Z77" s="103"/>
      <c r="AA77" s="99"/>
    </row>
    <row r="78" spans="2:29" ht="3" customHeight="1" x14ac:dyDescent="0.25">
      <c r="B78" s="96"/>
      <c r="C78" s="3"/>
      <c r="F78" s="2"/>
      <c r="G78" s="3"/>
      <c r="H78" s="2"/>
      <c r="J78" s="2"/>
      <c r="K78" s="3"/>
      <c r="R78" s="100"/>
      <c r="S78" s="101"/>
      <c r="U78" s="94"/>
      <c r="V78" s="95"/>
      <c r="W78" s="104"/>
      <c r="X78" s="103"/>
      <c r="Y78" s="103"/>
      <c r="Z78" s="103"/>
      <c r="AA78" s="99"/>
    </row>
    <row r="79" spans="2:29" ht="15" customHeight="1" x14ac:dyDescent="0.25">
      <c r="B79" s="96"/>
      <c r="C79" s="3"/>
      <c r="G79" s="18"/>
      <c r="H79" s="13" t="str">
        <f>IF(I79="","",IF(I79=0,"","L="))</f>
        <v/>
      </c>
      <c r="I79" s="97"/>
      <c r="J79" s="97"/>
      <c r="K79" s="14" t="str">
        <f>IF(I79="","",IF(I79=0,"","m"))</f>
        <v/>
      </c>
      <c r="N79" s="13" t="str">
        <f>IF(O79="","",IF(O79=0,"","L="))</f>
        <v/>
      </c>
      <c r="O79" s="97"/>
      <c r="P79" s="97"/>
      <c r="Q79" s="14" t="str">
        <f>IF(O79="","",IF(O79=0,"","m"))</f>
        <v/>
      </c>
      <c r="R79" s="100"/>
      <c r="S79" s="101"/>
      <c r="U79" s="94"/>
      <c r="V79" s="95"/>
      <c r="W79" s="104"/>
      <c r="X79" s="103"/>
      <c r="Y79" s="103"/>
      <c r="Z79" s="103"/>
      <c r="AA79" s="99"/>
      <c r="AC79" s="1">
        <f>IF(U74="",0,IF(U74&gt;SUM(W74:AA79),U74-SUM(W74:AA79),0))</f>
        <v>0</v>
      </c>
    </row>
    <row r="80" spans="2:29" ht="6" customHeight="1" x14ac:dyDescent="0.2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2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25">
      <c r="B82" s="96" t="str">
        <f>IF(S82="","",IF(B74="","",1+B74))</f>
        <v/>
      </c>
      <c r="C82" s="3"/>
      <c r="E82" s="13" t="str">
        <f>IF(F82="","",IF(F82=0,"","L="))</f>
        <v/>
      </c>
      <c r="F82" s="97"/>
      <c r="G82" s="97"/>
      <c r="H82" s="14" t="str">
        <f>IF(F82="","",IF(F82=0,"","m"))</f>
        <v/>
      </c>
      <c r="K82" s="13" t="str">
        <f>IF(L82="","",IF(L82=0,"","L="))</f>
        <v/>
      </c>
      <c r="L82" s="97"/>
      <c r="M82" s="97"/>
      <c r="N82" s="14" t="str">
        <f>IF(L82="","",IF(L82=0,"","m"))</f>
        <v/>
      </c>
      <c r="R82" s="98" t="str">
        <f>IF(OR(S82="入力ｴﾗｰ",S82=0,S82="")=TRUE,"",IF(F82="","甲",IF(F82=0,"甲","")))</f>
        <v/>
      </c>
      <c r="S82" s="101" t="str">
        <f>IF((F82+I87+L82+O87)=0,"",IF((F82+I87+L82+O87)&gt;SUM($AC$1:$AC$3),"入力ｴﾗｰ",SUM($AC$1:$AC$3)-(F82+I87+L82+O87)))</f>
        <v/>
      </c>
      <c r="T82" s="102" t="str">
        <f>IF(S82="","",IF(S82="入力ｴﾗｰ","","m"))</f>
        <v/>
      </c>
      <c r="U82" s="94" t="str">
        <f>IF(B82="","",COUNT(F82,I87,L82,O87)-IF(S82=0,1,0)-V82)</f>
        <v/>
      </c>
      <c r="V82" s="95"/>
      <c r="W82" s="104"/>
      <c r="X82" s="103"/>
      <c r="Y82" s="103"/>
      <c r="Z82" s="103"/>
      <c r="AA82" s="99"/>
    </row>
    <row r="83" spans="2:29" ht="3" customHeight="1" x14ac:dyDescent="0.25">
      <c r="B83" s="96"/>
      <c r="C83" s="3"/>
      <c r="G83" s="3"/>
      <c r="H83" s="2"/>
      <c r="K83" s="3"/>
      <c r="R83" s="98"/>
      <c r="S83" s="101"/>
      <c r="T83" s="102"/>
      <c r="U83" s="94"/>
      <c r="V83" s="95"/>
      <c r="W83" s="104"/>
      <c r="X83" s="103"/>
      <c r="Y83" s="103"/>
      <c r="Z83" s="103"/>
      <c r="AA83" s="99"/>
    </row>
    <row r="84" spans="2:29" ht="3" customHeight="1" x14ac:dyDescent="0.25">
      <c r="B84" s="96"/>
      <c r="C84" s="3"/>
      <c r="G84" s="3"/>
      <c r="H84" s="2"/>
      <c r="K84" s="3"/>
      <c r="R84" s="98"/>
      <c r="S84" s="101"/>
      <c r="T84" s="102"/>
      <c r="U84" s="94"/>
      <c r="V84" s="95"/>
      <c r="W84" s="104"/>
      <c r="X84" s="103"/>
      <c r="Y84" s="103"/>
      <c r="Z84" s="103"/>
      <c r="AA84" s="99"/>
    </row>
    <row r="85" spans="2:29" ht="3" customHeight="1" x14ac:dyDescent="0.25">
      <c r="B85" s="96"/>
      <c r="C85" s="3"/>
      <c r="E85" s="6"/>
      <c r="F85" s="6"/>
      <c r="G85" s="7"/>
      <c r="H85" s="8"/>
      <c r="I85" s="7"/>
      <c r="J85" s="8"/>
      <c r="K85" s="7"/>
      <c r="L85" s="6"/>
      <c r="R85" s="100" t="str">
        <f>IF(R82="甲","",IF(OR(S82=0,S82="")=TRUE,"",IF(S82="入力ｴﾗｰ","","乙")))</f>
        <v/>
      </c>
      <c r="S85" s="101"/>
      <c r="U85" s="94"/>
      <c r="V85" s="95"/>
      <c r="W85" s="104"/>
      <c r="X85" s="103"/>
      <c r="Y85" s="103"/>
      <c r="Z85" s="103"/>
      <c r="AA85" s="99"/>
    </row>
    <row r="86" spans="2:29" ht="3" customHeight="1" x14ac:dyDescent="0.25">
      <c r="B86" s="96"/>
      <c r="C86" s="3"/>
      <c r="F86" s="2"/>
      <c r="G86" s="3"/>
      <c r="H86" s="2"/>
      <c r="K86" s="3"/>
      <c r="R86" s="100"/>
      <c r="S86" s="101"/>
      <c r="U86" s="94"/>
      <c r="V86" s="95"/>
      <c r="W86" s="104"/>
      <c r="X86" s="103"/>
      <c r="Y86" s="103"/>
      <c r="Z86" s="103"/>
      <c r="AA86" s="99"/>
    </row>
    <row r="87" spans="2:29" ht="15" customHeight="1" x14ac:dyDescent="0.25">
      <c r="B87" s="96"/>
      <c r="C87" s="3"/>
      <c r="G87" s="18"/>
      <c r="H87" s="13" t="str">
        <f>IF(I87="","",IF(I87=0,"","L="))</f>
        <v/>
      </c>
      <c r="I87" s="97"/>
      <c r="J87" s="97"/>
      <c r="K87" s="14" t="str">
        <f>IF(I87="","",IF(I87=0,"","m"))</f>
        <v/>
      </c>
      <c r="N87" s="13" t="str">
        <f>IF(O87="","",IF(O87=0,"","L="))</f>
        <v/>
      </c>
      <c r="O87" s="97"/>
      <c r="P87" s="97"/>
      <c r="Q87" s="14" t="str">
        <f>IF(O87="","",IF(O87=0,"","m"))</f>
        <v/>
      </c>
      <c r="R87" s="100"/>
      <c r="S87" s="101"/>
      <c r="U87" s="94"/>
      <c r="V87" s="95"/>
      <c r="W87" s="104"/>
      <c r="X87" s="103"/>
      <c r="Y87" s="103"/>
      <c r="Z87" s="103"/>
      <c r="AA87" s="99"/>
      <c r="AC87" s="1">
        <f>IF(U82="",0,IF(U82&gt;SUM(W82:AA87),U82-SUM(W82:AA87),0))</f>
        <v>0</v>
      </c>
    </row>
    <row r="88" spans="2:29" ht="6" customHeight="1" x14ac:dyDescent="0.2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2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25">
      <c r="B90" s="96" t="str">
        <f>IF(S90="","",IF(B82="","",1+B82))</f>
        <v/>
      </c>
      <c r="C90" s="3"/>
      <c r="E90" s="13" t="str">
        <f>IF(F90="","",IF(F90=0,"","L="))</f>
        <v/>
      </c>
      <c r="F90" s="97"/>
      <c r="G90" s="97"/>
      <c r="H90" s="14" t="str">
        <f>IF(F90="","",IF(F90=0,"","m"))</f>
        <v/>
      </c>
      <c r="K90" s="13" t="str">
        <f>IF(L90="","",IF(L90=0,"","L="))</f>
        <v/>
      </c>
      <c r="L90" s="97"/>
      <c r="M90" s="97"/>
      <c r="N90" s="14" t="str">
        <f>IF(L90="","",IF(L90=0,"","m"))</f>
        <v/>
      </c>
      <c r="R90" s="98" t="str">
        <f>IF(OR(S90="入力ｴﾗｰ",S90=0,S90="")=TRUE,"",IF(F90="","甲",IF(F90=0,"甲","")))</f>
        <v/>
      </c>
      <c r="S90" s="101"/>
      <c r="T90" s="102" t="str">
        <f>IF(S90="","",IF(S90="入力ｴﾗｰ","","m"))</f>
        <v/>
      </c>
      <c r="U90" s="94" t="str">
        <f>IF(B90="","",COUNT(F90,I95,L90,O95)-IF(S90=0,1,0)-V90)</f>
        <v/>
      </c>
      <c r="V90" s="95"/>
      <c r="W90" s="104"/>
      <c r="X90" s="103"/>
      <c r="Y90" s="103"/>
      <c r="Z90" s="103"/>
      <c r="AA90" s="99"/>
    </row>
    <row r="91" spans="2:29" ht="3" customHeight="1" x14ac:dyDescent="0.25">
      <c r="B91" s="96"/>
      <c r="C91" s="3"/>
      <c r="G91" s="3"/>
      <c r="H91" s="2"/>
      <c r="K91" s="3"/>
      <c r="R91" s="98"/>
      <c r="S91" s="101"/>
      <c r="T91" s="102"/>
      <c r="U91" s="94"/>
      <c r="V91" s="95"/>
      <c r="W91" s="104"/>
      <c r="X91" s="103"/>
      <c r="Y91" s="103"/>
      <c r="Z91" s="103"/>
      <c r="AA91" s="99"/>
    </row>
    <row r="92" spans="2:29" ht="3" customHeight="1" x14ac:dyDescent="0.25">
      <c r="B92" s="96"/>
      <c r="C92" s="3"/>
      <c r="G92" s="3"/>
      <c r="H92" s="2"/>
      <c r="K92" s="3"/>
      <c r="R92" s="98"/>
      <c r="S92" s="101"/>
      <c r="T92" s="102"/>
      <c r="U92" s="94"/>
      <c r="V92" s="95"/>
      <c r="W92" s="104"/>
      <c r="X92" s="103"/>
      <c r="Y92" s="103"/>
      <c r="Z92" s="103"/>
      <c r="AA92" s="99"/>
    </row>
    <row r="93" spans="2:29" ht="3" customHeight="1" x14ac:dyDescent="0.25">
      <c r="B93" s="96"/>
      <c r="C93" s="3"/>
      <c r="E93" s="6"/>
      <c r="F93" s="6"/>
      <c r="G93" s="7"/>
      <c r="H93" s="8"/>
      <c r="I93" s="7"/>
      <c r="J93" s="8"/>
      <c r="K93" s="7"/>
      <c r="L93" s="6"/>
      <c r="R93" s="100" t="str">
        <f>IF(R90="甲","",IF(OR(S90=0,S90="")=TRUE,"",IF(S90="入力ｴﾗｰ","","乙")))</f>
        <v/>
      </c>
      <c r="S93" s="101"/>
      <c r="U93" s="94"/>
      <c r="V93" s="95"/>
      <c r="W93" s="104"/>
      <c r="X93" s="103"/>
      <c r="Y93" s="103"/>
      <c r="Z93" s="103"/>
      <c r="AA93" s="99"/>
    </row>
    <row r="94" spans="2:29" ht="3" customHeight="1" x14ac:dyDescent="0.25">
      <c r="B94" s="96"/>
      <c r="C94" s="3"/>
      <c r="F94" s="2"/>
      <c r="G94" s="3"/>
      <c r="H94" s="2"/>
      <c r="K94" s="3"/>
      <c r="R94" s="100"/>
      <c r="S94" s="101"/>
      <c r="U94" s="94"/>
      <c r="V94" s="95"/>
      <c r="W94" s="104"/>
      <c r="X94" s="103"/>
      <c r="Y94" s="103"/>
      <c r="Z94" s="103"/>
      <c r="AA94" s="99"/>
    </row>
    <row r="95" spans="2:29" ht="15" customHeight="1" x14ac:dyDescent="0.25">
      <c r="B95" s="96"/>
      <c r="C95" s="3"/>
      <c r="G95" s="18"/>
      <c r="H95" s="13" t="str">
        <f>IF(I95="","",IF(I95=0,"","L="))</f>
        <v/>
      </c>
      <c r="I95" s="97"/>
      <c r="J95" s="97"/>
      <c r="K95" s="14" t="str">
        <f>IF(I95="","",IF(I95=0,"","m"))</f>
        <v/>
      </c>
      <c r="N95" s="13" t="str">
        <f>IF(O95="","",IF(O95=0,"","L="))</f>
        <v/>
      </c>
      <c r="O95" s="97"/>
      <c r="P95" s="97"/>
      <c r="Q95" s="14" t="str">
        <f>IF(O95="","",IF(O95=0,"","m"))</f>
        <v/>
      </c>
      <c r="R95" s="100"/>
      <c r="S95" s="101"/>
      <c r="U95" s="94"/>
      <c r="V95" s="95"/>
      <c r="W95" s="104"/>
      <c r="X95" s="103"/>
      <c r="Y95" s="103"/>
      <c r="Z95" s="103"/>
      <c r="AA95" s="99"/>
      <c r="AC95" s="1">
        <f>IF(U90="",0,IF(U90&gt;SUM(W90:AA95),U90-SUM(W90:AA95),0))</f>
        <v>0</v>
      </c>
    </row>
    <row r="96" spans="2:29" ht="6" customHeight="1" x14ac:dyDescent="0.2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2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25">
      <c r="B98" s="96" t="str">
        <f>IF(S98="","",IF(B90="","",1+B90))</f>
        <v/>
      </c>
      <c r="C98" s="3"/>
      <c r="E98" s="13" t="str">
        <f>IF(F98="","",IF(F98=0,"","L="))</f>
        <v/>
      </c>
      <c r="F98" s="97"/>
      <c r="G98" s="97"/>
      <c r="H98" s="14" t="str">
        <f>IF(F98="","",IF(F98=0,"","m"))</f>
        <v/>
      </c>
      <c r="K98" s="13" t="str">
        <f>IF(L98="","",IF(L98=0,"","L="))</f>
        <v/>
      </c>
      <c r="L98" s="97"/>
      <c r="M98" s="97"/>
      <c r="N98" s="14" t="str">
        <f>IF(L98="","",IF(L98=0,"","m"))</f>
        <v/>
      </c>
      <c r="R98" s="98" t="str">
        <f>IF(OR(S98="入力ｴﾗｰ",S98=0,S98="")=TRUE,"",IF(F98="","甲",IF(F98=0,"甲","")))</f>
        <v/>
      </c>
      <c r="S98" s="101" t="str">
        <f>IF((F98+I103+L98+O103)=0,"",IF((F98+I103+L98+O103)&gt;SUM($AC$1:$AC$3),"入力ｴﾗｰ",SUM($AC$1:$AC$3)-(F98+I103+L98+O103)))</f>
        <v/>
      </c>
      <c r="T98" s="102" t="str">
        <f>IF(S98="","",IF(S98="入力ｴﾗｰ","","m"))</f>
        <v/>
      </c>
      <c r="U98" s="94" t="str">
        <f>IF(B98="","",COUNT(F98,I103,L98,O103)-IF(S98=0,1,0)-V98)</f>
        <v/>
      </c>
      <c r="V98" s="95"/>
      <c r="W98" s="104"/>
      <c r="X98" s="103"/>
      <c r="Y98" s="103"/>
      <c r="Z98" s="103"/>
      <c r="AA98" s="99"/>
    </row>
    <row r="99" spans="2:29" ht="3" customHeight="1" x14ac:dyDescent="0.25">
      <c r="B99" s="96"/>
      <c r="C99" s="3"/>
      <c r="G99" s="3"/>
      <c r="H99" s="2"/>
      <c r="K99" s="3"/>
      <c r="R99" s="98"/>
      <c r="S99" s="101"/>
      <c r="T99" s="102"/>
      <c r="U99" s="94"/>
      <c r="V99" s="95"/>
      <c r="W99" s="104"/>
      <c r="X99" s="103"/>
      <c r="Y99" s="103"/>
      <c r="Z99" s="103"/>
      <c r="AA99" s="99"/>
    </row>
    <row r="100" spans="2:29" ht="3" customHeight="1" x14ac:dyDescent="0.25">
      <c r="B100" s="96"/>
      <c r="C100" s="3"/>
      <c r="G100" s="3"/>
      <c r="H100" s="2"/>
      <c r="K100" s="3"/>
      <c r="R100" s="98"/>
      <c r="S100" s="101"/>
      <c r="T100" s="102"/>
      <c r="U100" s="94"/>
      <c r="V100" s="95"/>
      <c r="W100" s="104"/>
      <c r="X100" s="103"/>
      <c r="Y100" s="103"/>
      <c r="Z100" s="103"/>
      <c r="AA100" s="99"/>
    </row>
    <row r="101" spans="2:29" ht="3" customHeight="1" x14ac:dyDescent="0.25">
      <c r="B101" s="96"/>
      <c r="C101" s="3"/>
      <c r="E101" s="6"/>
      <c r="F101" s="6"/>
      <c r="G101" s="7"/>
      <c r="H101" s="8"/>
      <c r="I101" s="7"/>
      <c r="J101" s="8"/>
      <c r="K101" s="7"/>
      <c r="L101" s="6"/>
      <c r="R101" s="100" t="str">
        <f>IF(R98="甲","",IF(OR(S98=0,S98="")=TRUE,"",IF(S98="入力ｴﾗｰ","","乙")))</f>
        <v/>
      </c>
      <c r="S101" s="101"/>
      <c r="U101" s="94"/>
      <c r="V101" s="95"/>
      <c r="W101" s="104"/>
      <c r="X101" s="103"/>
      <c r="Y101" s="103"/>
      <c r="Z101" s="103"/>
      <c r="AA101" s="99"/>
    </row>
    <row r="102" spans="2:29" ht="3" customHeight="1" x14ac:dyDescent="0.25">
      <c r="B102" s="96"/>
      <c r="C102" s="3"/>
      <c r="F102" s="2"/>
      <c r="G102" s="3"/>
      <c r="H102" s="2"/>
      <c r="K102" s="3"/>
      <c r="R102" s="100"/>
      <c r="S102" s="101"/>
      <c r="U102" s="94"/>
      <c r="V102" s="95"/>
      <c r="W102" s="104"/>
      <c r="X102" s="103"/>
      <c r="Y102" s="103"/>
      <c r="Z102" s="103"/>
      <c r="AA102" s="99"/>
    </row>
    <row r="103" spans="2:29" ht="15" customHeight="1" x14ac:dyDescent="0.25">
      <c r="B103" s="96"/>
      <c r="C103" s="3"/>
      <c r="G103" s="18"/>
      <c r="H103" s="13" t="str">
        <f>IF(I103="","",IF(I103=0,"","L="))</f>
        <v/>
      </c>
      <c r="I103" s="97"/>
      <c r="J103" s="97"/>
      <c r="K103" s="14" t="str">
        <f>IF(I103="","",IF(I103=0,"","m"))</f>
        <v/>
      </c>
      <c r="N103" s="13" t="str">
        <f>IF(O103="","",IF(O103=0,"","L="))</f>
        <v/>
      </c>
      <c r="O103" s="97"/>
      <c r="P103" s="97"/>
      <c r="Q103" s="14" t="str">
        <f>IF(O103="","",IF(O103=0,"","m"))</f>
        <v/>
      </c>
      <c r="R103" s="100"/>
      <c r="S103" s="101"/>
      <c r="U103" s="94"/>
      <c r="V103" s="95"/>
      <c r="W103" s="104"/>
      <c r="X103" s="103"/>
      <c r="Y103" s="103"/>
      <c r="Z103" s="103"/>
      <c r="AA103" s="99"/>
      <c r="AC103" s="1">
        <f>IF(U98="",0,IF(U98&gt;SUM(W98:AA103),U98-SUM(W98:AA103),0))</f>
        <v>0</v>
      </c>
    </row>
    <row r="104" spans="2:29" ht="6" customHeight="1" x14ac:dyDescent="0.2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2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25">
      <c r="B106" s="96"/>
      <c r="C106" s="3"/>
      <c r="E106" s="13" t="str">
        <f>IF(F106="","",IF(F106=0,"","L="))</f>
        <v/>
      </c>
      <c r="F106" s="97"/>
      <c r="G106" s="97"/>
      <c r="H106" s="14" t="str">
        <f>IF(F106="","",IF(F106=0,"","m"))</f>
        <v/>
      </c>
      <c r="K106" s="13" t="str">
        <f>IF(L106="","",IF(L106=0,"","L="))</f>
        <v/>
      </c>
      <c r="L106" s="97"/>
      <c r="M106" s="97"/>
      <c r="N106" s="14" t="str">
        <f>IF(L106="","",IF(L106=0,"","m"))</f>
        <v/>
      </c>
      <c r="R106" s="98" t="str">
        <f>IF(OR(S106="入力ｴﾗｰ",S106=0,S106="")=TRUE,"",IF(F106="","甲",IF(F106=0,"甲","")))</f>
        <v/>
      </c>
      <c r="S106" s="101" t="str">
        <f>IF((F106+I111+L106+O111)=0,"",IF((F106+I111+L106+O111)&gt;SUM($AC$1:$AC$3),"入力ｴﾗｰ",SUM($AC$1:$AC$3)-(F106+I111+L106+O111)))</f>
        <v/>
      </c>
      <c r="T106" s="102" t="str">
        <f>IF(S106="","",IF(S106="入力ｴﾗｰ","","m"))</f>
        <v/>
      </c>
      <c r="U106" s="94" t="str">
        <f>IF(B106="","",COUNT(F106,I111,L106,O111)-IF(S106=0,1,0)-V106)</f>
        <v/>
      </c>
      <c r="V106" s="95"/>
      <c r="W106" s="104"/>
      <c r="X106" s="103"/>
      <c r="Y106" s="103"/>
      <c r="Z106" s="103"/>
      <c r="AA106" s="99"/>
    </row>
    <row r="107" spans="2:29" ht="3" customHeight="1" x14ac:dyDescent="0.25">
      <c r="B107" s="96"/>
      <c r="C107" s="3"/>
      <c r="G107" s="3"/>
      <c r="H107" s="2"/>
      <c r="K107" s="3"/>
      <c r="R107" s="98"/>
      <c r="S107" s="101"/>
      <c r="T107" s="102"/>
      <c r="U107" s="94"/>
      <c r="V107" s="95"/>
      <c r="W107" s="104"/>
      <c r="X107" s="103"/>
      <c r="Y107" s="103"/>
      <c r="Z107" s="103"/>
      <c r="AA107" s="99"/>
    </row>
    <row r="108" spans="2:29" ht="3" customHeight="1" x14ac:dyDescent="0.25">
      <c r="B108" s="96"/>
      <c r="C108" s="3"/>
      <c r="G108" s="3"/>
      <c r="H108" s="2"/>
      <c r="K108" s="3"/>
      <c r="R108" s="98"/>
      <c r="S108" s="101"/>
      <c r="T108" s="102"/>
      <c r="U108" s="94"/>
      <c r="V108" s="95"/>
      <c r="W108" s="104"/>
      <c r="X108" s="103"/>
      <c r="Y108" s="103"/>
      <c r="Z108" s="103"/>
      <c r="AA108" s="99"/>
    </row>
    <row r="109" spans="2:29" ht="3" customHeight="1" x14ac:dyDescent="0.25">
      <c r="B109" s="96"/>
      <c r="C109" s="3"/>
      <c r="E109" s="6"/>
      <c r="F109" s="6"/>
      <c r="G109" s="7"/>
      <c r="H109" s="8"/>
      <c r="I109" s="7"/>
      <c r="J109" s="8"/>
      <c r="K109" s="7"/>
      <c r="L109" s="6"/>
      <c r="R109" s="100" t="str">
        <f>IF(R106="甲","",IF(OR(S106=0,S106="")=TRUE,"",IF(S106="入力ｴﾗｰ","","乙")))</f>
        <v/>
      </c>
      <c r="S109" s="101"/>
      <c r="U109" s="94"/>
      <c r="V109" s="95"/>
      <c r="W109" s="104"/>
      <c r="X109" s="103"/>
      <c r="Y109" s="103"/>
      <c r="Z109" s="103"/>
      <c r="AA109" s="99"/>
    </row>
    <row r="110" spans="2:29" ht="3" customHeight="1" x14ac:dyDescent="0.25">
      <c r="B110" s="96"/>
      <c r="C110" s="3"/>
      <c r="F110" s="2"/>
      <c r="G110" s="3"/>
      <c r="H110" s="2"/>
      <c r="K110" s="3"/>
      <c r="R110" s="100"/>
      <c r="S110" s="101"/>
      <c r="U110" s="94"/>
      <c r="V110" s="95"/>
      <c r="W110" s="104"/>
      <c r="X110" s="103"/>
      <c r="Y110" s="103"/>
      <c r="Z110" s="103"/>
      <c r="AA110" s="99"/>
    </row>
    <row r="111" spans="2:29" ht="15" customHeight="1" x14ac:dyDescent="0.25">
      <c r="B111" s="96"/>
      <c r="C111" s="3"/>
      <c r="G111" s="18"/>
      <c r="H111" s="13" t="str">
        <f>IF(I111="","",IF(I111=0,"","L="))</f>
        <v/>
      </c>
      <c r="I111" s="97"/>
      <c r="J111" s="97"/>
      <c r="K111" s="14" t="str">
        <f>IF(I111="","",IF(I111=0,"","m"))</f>
        <v/>
      </c>
      <c r="N111" s="13" t="str">
        <f>IF(O111="","",IF(O111=0,"","L="))</f>
        <v/>
      </c>
      <c r="O111" s="97"/>
      <c r="P111" s="97"/>
      <c r="Q111" s="14" t="str">
        <f>IF(O111="","",IF(O111=0,"","m"))</f>
        <v/>
      </c>
      <c r="R111" s="100"/>
      <c r="S111" s="101"/>
      <c r="U111" s="94"/>
      <c r="V111" s="95"/>
      <c r="W111" s="104"/>
      <c r="X111" s="103"/>
      <c r="Y111" s="103"/>
      <c r="Z111" s="103"/>
      <c r="AA111" s="99"/>
      <c r="AC111" s="1">
        <f>IF(U106="",0,IF(U106&gt;SUM(W106:AA111),U106-SUM(W106:AA111),0))</f>
        <v>0</v>
      </c>
    </row>
    <row r="112" spans="2:29" ht="6" customHeight="1" x14ac:dyDescent="0.2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25">
      <c r="B113" s="84" t="s">
        <v>17</v>
      </c>
      <c r="C113" s="85"/>
      <c r="D113" s="85"/>
      <c r="E113" s="85"/>
      <c r="F113" s="86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3">
      <c r="B114" s="87"/>
      <c r="C114" s="88"/>
      <c r="D114" s="88"/>
      <c r="E114" s="88"/>
      <c r="F114" s="89"/>
      <c r="G114" s="25" t="str">
        <f>U2</f>
        <v>NS</v>
      </c>
      <c r="H114" s="88">
        <f>Y2</f>
        <v>75</v>
      </c>
      <c r="I114" s="88"/>
      <c r="J114" s="89"/>
      <c r="K114" s="90">
        <f>IF(B10="",0,LARGE(B10:B111,1))</f>
        <v>1</v>
      </c>
      <c r="L114" s="91"/>
      <c r="M114" s="21"/>
      <c r="N114" s="25"/>
      <c r="O114" s="20"/>
      <c r="P114" s="20"/>
      <c r="Q114" s="21"/>
      <c r="R114" s="92">
        <f>SUM(S10:S111)</f>
        <v>1</v>
      </c>
      <c r="S114" s="93"/>
      <c r="T114" s="20"/>
      <c r="U114" s="51">
        <f t="shared" ref="U114:AA114" si="0">SUM(U10:U111)</f>
        <v>2</v>
      </c>
      <c r="V114" s="79">
        <f t="shared" si="0"/>
        <v>1</v>
      </c>
      <c r="W114" s="73">
        <f t="shared" si="0"/>
        <v>3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S10:S15"/>
    <mergeCell ref="T10:T12"/>
    <mergeCell ref="C1:Q1"/>
    <mergeCell ref="U2:V3"/>
    <mergeCell ref="I15:J15"/>
    <mergeCell ref="O15:P15"/>
    <mergeCell ref="Y2:Z3"/>
    <mergeCell ref="B7:B8"/>
    <mergeCell ref="C7:Q8"/>
    <mergeCell ref="R7:T8"/>
    <mergeCell ref="AA10:AA15"/>
    <mergeCell ref="R13:R15"/>
    <mergeCell ref="Y10:Y15"/>
    <mergeCell ref="Z10:Z15"/>
    <mergeCell ref="U7:V7"/>
    <mergeCell ref="W7:AA7"/>
    <mergeCell ref="B26:B31"/>
    <mergeCell ref="F26:G26"/>
    <mergeCell ref="L26:M26"/>
    <mergeCell ref="R26:R28"/>
    <mergeCell ref="W26:W31"/>
    <mergeCell ref="X26:X31"/>
    <mergeCell ref="I31:J31"/>
    <mergeCell ref="O31:P31"/>
    <mergeCell ref="B10:B15"/>
    <mergeCell ref="F10:G10"/>
    <mergeCell ref="S18:S23"/>
    <mergeCell ref="T18:T20"/>
    <mergeCell ref="U10:U15"/>
    <mergeCell ref="V10:V15"/>
    <mergeCell ref="W10:W15"/>
    <mergeCell ref="X10:X15"/>
    <mergeCell ref="B18:B23"/>
    <mergeCell ref="F18:G18"/>
    <mergeCell ref="L18:M18"/>
    <mergeCell ref="R18:R20"/>
    <mergeCell ref="I23:J23"/>
    <mergeCell ref="O23:P23"/>
    <mergeCell ref="L10:M10"/>
    <mergeCell ref="R10:R12"/>
    <mergeCell ref="B34:B39"/>
    <mergeCell ref="F34:G34"/>
    <mergeCell ref="O39:P39"/>
    <mergeCell ref="L34:M34"/>
    <mergeCell ref="I39:J39"/>
    <mergeCell ref="U34:U39"/>
    <mergeCell ref="V34:V39"/>
    <mergeCell ref="AA18:AA23"/>
    <mergeCell ref="R21:R23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S34:S39"/>
    <mergeCell ref="T34:T36"/>
    <mergeCell ref="U26:U31"/>
    <mergeCell ref="V26:V31"/>
    <mergeCell ref="Y26:Y31"/>
    <mergeCell ref="Z26:Z31"/>
    <mergeCell ref="AA34:AA39"/>
    <mergeCell ref="W34:W39"/>
    <mergeCell ref="X34:X39"/>
    <mergeCell ref="Y34:Y39"/>
    <mergeCell ref="B42:B47"/>
    <mergeCell ref="F42:G42"/>
    <mergeCell ref="L42:M42"/>
    <mergeCell ref="R42:R44"/>
    <mergeCell ref="W42:W47"/>
    <mergeCell ref="X42:X47"/>
    <mergeCell ref="I47:J47"/>
    <mergeCell ref="O47:P47"/>
    <mergeCell ref="S42:S47"/>
    <mergeCell ref="T42:T44"/>
    <mergeCell ref="AA42:AA47"/>
    <mergeCell ref="R45:R47"/>
    <mergeCell ref="S50:S55"/>
    <mergeCell ref="T50:T52"/>
    <mergeCell ref="U42:U47"/>
    <mergeCell ref="V42:V47"/>
    <mergeCell ref="Y42:Y47"/>
    <mergeCell ref="Z42:Z47"/>
    <mergeCell ref="AA50:AA55"/>
    <mergeCell ref="R53:R55"/>
    <mergeCell ref="U50:U55"/>
    <mergeCell ref="V50:V55"/>
    <mergeCell ref="Y50:Y55"/>
    <mergeCell ref="Z50:Z55"/>
    <mergeCell ref="R50:R52"/>
    <mergeCell ref="W50:W55"/>
    <mergeCell ref="X50:X55"/>
    <mergeCell ref="Z34:Z39"/>
    <mergeCell ref="R37:R39"/>
    <mergeCell ref="R34:R36"/>
    <mergeCell ref="B66:B71"/>
    <mergeCell ref="F66:G66"/>
    <mergeCell ref="L66:M66"/>
    <mergeCell ref="R66:R68"/>
    <mergeCell ref="W66:W71"/>
    <mergeCell ref="X66:X71"/>
    <mergeCell ref="B58:B63"/>
    <mergeCell ref="F58:G58"/>
    <mergeCell ref="L58:M58"/>
    <mergeCell ref="R58:R60"/>
    <mergeCell ref="W58:W63"/>
    <mergeCell ref="X58:X63"/>
    <mergeCell ref="I63:J63"/>
    <mergeCell ref="O63:P63"/>
    <mergeCell ref="S58:S63"/>
    <mergeCell ref="T58:T60"/>
    <mergeCell ref="B50:B55"/>
    <mergeCell ref="F50:G50"/>
    <mergeCell ref="L50:M50"/>
    <mergeCell ref="I55:J55"/>
    <mergeCell ref="O55:P55"/>
    <mergeCell ref="B74:B79"/>
    <mergeCell ref="F74:G74"/>
    <mergeCell ref="O79:P79"/>
    <mergeCell ref="U74:U79"/>
    <mergeCell ref="V74:V79"/>
    <mergeCell ref="I71:J71"/>
    <mergeCell ref="O71:P71"/>
    <mergeCell ref="AA58:AA63"/>
    <mergeCell ref="R61:R63"/>
    <mergeCell ref="S66:S71"/>
    <mergeCell ref="T66:T68"/>
    <mergeCell ref="U58:U63"/>
    <mergeCell ref="V58:V63"/>
    <mergeCell ref="Y58:Y63"/>
    <mergeCell ref="Z58:Z63"/>
    <mergeCell ref="AA66:AA71"/>
    <mergeCell ref="R69:R71"/>
    <mergeCell ref="S74:S79"/>
    <mergeCell ref="T74:T76"/>
    <mergeCell ref="U66:U71"/>
    <mergeCell ref="V66:V71"/>
    <mergeCell ref="Y66:Y71"/>
    <mergeCell ref="Z66:Z71"/>
    <mergeCell ref="AA74:AA79"/>
    <mergeCell ref="B90:B95"/>
    <mergeCell ref="F90:G90"/>
    <mergeCell ref="L90:M90"/>
    <mergeCell ref="R90:R92"/>
    <mergeCell ref="W90:W95"/>
    <mergeCell ref="X90:X95"/>
    <mergeCell ref="I95:J95"/>
    <mergeCell ref="O95:P95"/>
    <mergeCell ref="B82:B87"/>
    <mergeCell ref="F82:G82"/>
    <mergeCell ref="L82:M82"/>
    <mergeCell ref="R82:R84"/>
    <mergeCell ref="W82:W87"/>
    <mergeCell ref="X82:X87"/>
    <mergeCell ref="I87:J87"/>
    <mergeCell ref="O87:P87"/>
    <mergeCell ref="S82:S87"/>
    <mergeCell ref="T82:T84"/>
    <mergeCell ref="L74:M74"/>
    <mergeCell ref="I79:J79"/>
    <mergeCell ref="AA82:AA87"/>
    <mergeCell ref="R85:R87"/>
    <mergeCell ref="S90:S95"/>
    <mergeCell ref="T90:T92"/>
    <mergeCell ref="U82:U87"/>
    <mergeCell ref="V82:V87"/>
    <mergeCell ref="Y82:Y87"/>
    <mergeCell ref="Z82:Z87"/>
    <mergeCell ref="AA90:AA95"/>
    <mergeCell ref="R93:R95"/>
    <mergeCell ref="U90:U95"/>
    <mergeCell ref="V90:V95"/>
    <mergeCell ref="Y90:Y95"/>
    <mergeCell ref="Z90:Z95"/>
    <mergeCell ref="W74:W79"/>
    <mergeCell ref="X74:X79"/>
    <mergeCell ref="Y74:Y79"/>
    <mergeCell ref="Z74:Z79"/>
    <mergeCell ref="R77:R79"/>
    <mergeCell ref="R74:R76"/>
    <mergeCell ref="B98:B103"/>
    <mergeCell ref="F98:G98"/>
    <mergeCell ref="L98:M98"/>
    <mergeCell ref="R98:R100"/>
    <mergeCell ref="W98:W103"/>
    <mergeCell ref="X98:X103"/>
    <mergeCell ref="I103:J103"/>
    <mergeCell ref="O103:P103"/>
    <mergeCell ref="S98:S103"/>
    <mergeCell ref="T98:T100"/>
    <mergeCell ref="AA98:AA103"/>
    <mergeCell ref="R101:R103"/>
    <mergeCell ref="S106:S111"/>
    <mergeCell ref="T106:T108"/>
    <mergeCell ref="U98:U103"/>
    <mergeCell ref="V98:V103"/>
    <mergeCell ref="AA106:AA111"/>
    <mergeCell ref="R109:R111"/>
    <mergeCell ref="I111:J111"/>
    <mergeCell ref="O111:P111"/>
    <mergeCell ref="Y98:Y103"/>
    <mergeCell ref="Z98:Z103"/>
    <mergeCell ref="Y106:Y111"/>
    <mergeCell ref="Z106:Z111"/>
    <mergeCell ref="W106:W111"/>
    <mergeCell ref="X106:X111"/>
    <mergeCell ref="B113:F114"/>
    <mergeCell ref="H114:J114"/>
    <mergeCell ref="K114:L114"/>
    <mergeCell ref="R114:S114"/>
    <mergeCell ref="U106:U111"/>
    <mergeCell ref="V106:V111"/>
    <mergeCell ref="B106:B111"/>
    <mergeCell ref="F106:G106"/>
    <mergeCell ref="L106:M106"/>
    <mergeCell ref="R106:R108"/>
  </mergeCells>
  <phoneticPr fontId="2"/>
  <conditionalFormatting sqref="S10:S15 S18:S23 S26:S31 S34:S39 S42:S47 S50:S55 S58:S63 S66:S71 S74:S79 S82:S87 S90:S95 S98:S103 S106:S111">
    <cfRule type="cellIs" dxfId="23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5"/>
  <dimension ref="B1:AC114"/>
  <sheetViews>
    <sheetView showGridLines="0" view="pageBreakPreview" zoomScale="85" zoomScaleNormal="123" zoomScaleSheetLayoutView="85" workbookViewId="0">
      <selection activeCell="C2" sqref="C2"/>
    </sheetView>
  </sheetViews>
  <sheetFormatPr defaultColWidth="9.0703125" defaultRowHeight="12" x14ac:dyDescent="0.25"/>
  <cols>
    <col min="1" max="1" width="0.92578125" style="1" customWidth="1"/>
    <col min="2" max="2" width="8.92578125" style="1" customWidth="1"/>
    <col min="3" max="17" width="2.7109375" style="1" customWidth="1"/>
    <col min="18" max="18" width="2.92578125" style="1" customWidth="1"/>
    <col min="19" max="19" width="5.7109375" style="1" customWidth="1"/>
    <col min="20" max="20" width="2.7109375" style="1" customWidth="1"/>
    <col min="21" max="27" width="5.7109375" style="1" customWidth="1"/>
    <col min="28" max="16384" width="9.0703125" style="1"/>
  </cols>
  <sheetData>
    <row r="1" spans="2:29" x14ac:dyDescent="0.25">
      <c r="B1" s="56" t="s">
        <v>19</v>
      </c>
      <c r="C1" s="112" t="s">
        <v>46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25">
      <c r="S2" s="12"/>
      <c r="T2" s="3"/>
      <c r="U2" s="114" t="s">
        <v>23</v>
      </c>
      <c r="V2" s="114"/>
      <c r="W2" s="2"/>
      <c r="X2" s="12"/>
      <c r="Y2" s="114">
        <v>150</v>
      </c>
      <c r="Z2" s="114"/>
      <c r="AA2" s="2"/>
      <c r="AC2" s="1">
        <f>IF(AC1=4,0,IF(Y2&lt;=250,5,0))</f>
        <v>5</v>
      </c>
    </row>
    <row r="3" spans="2:29" ht="12" customHeight="1" x14ac:dyDescent="0.25">
      <c r="S3" s="44" t="s">
        <v>12</v>
      </c>
      <c r="T3" s="15"/>
      <c r="U3" s="115"/>
      <c r="V3" s="115"/>
      <c r="W3" s="17" t="s">
        <v>15</v>
      </c>
      <c r="X3" s="44" t="s">
        <v>14</v>
      </c>
      <c r="Y3" s="115"/>
      <c r="Z3" s="115"/>
      <c r="AA3" s="17" t="s">
        <v>20</v>
      </c>
      <c r="AC3" s="1">
        <f>IF(Y2&gt;250,6,0)</f>
        <v>0</v>
      </c>
    </row>
    <row r="4" spans="2:29" ht="6.75" customHeight="1" x14ac:dyDescent="0.25">
      <c r="S4" s="18"/>
      <c r="U4" s="45"/>
      <c r="V4" s="45"/>
      <c r="X4" s="18"/>
      <c r="Y4" s="45"/>
      <c r="Z4" s="45"/>
    </row>
    <row r="5" spans="2:29" ht="21.75" customHeight="1" x14ac:dyDescent="0.25">
      <c r="B5" s="46" t="s">
        <v>16</v>
      </c>
    </row>
    <row r="6" spans="2:29" ht="6.75" customHeight="1" thickBot="1" x14ac:dyDescent="0.3"/>
    <row r="7" spans="2:29" ht="14.25" customHeight="1" x14ac:dyDescent="0.25">
      <c r="B7" s="116" t="s">
        <v>0</v>
      </c>
      <c r="C7" s="108" t="s">
        <v>3</v>
      </c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09"/>
      <c r="R7" s="117" t="s">
        <v>1</v>
      </c>
      <c r="S7" s="117"/>
      <c r="T7" s="117"/>
      <c r="U7" s="108" t="s">
        <v>2</v>
      </c>
      <c r="V7" s="109"/>
      <c r="W7" s="110" t="s">
        <v>4</v>
      </c>
      <c r="X7" s="110"/>
      <c r="Y7" s="110"/>
      <c r="Z7" s="110"/>
      <c r="AA7" s="111"/>
    </row>
    <row r="8" spans="2:29" ht="10.5" customHeight="1" x14ac:dyDescent="0.25">
      <c r="B8" s="96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20"/>
      <c r="R8" s="119"/>
      <c r="S8" s="119"/>
      <c r="T8" s="119"/>
      <c r="U8" s="74" t="s">
        <v>6</v>
      </c>
      <c r="V8" s="75" t="s">
        <v>35</v>
      </c>
      <c r="W8" s="70" t="s">
        <v>6</v>
      </c>
      <c r="X8" s="32" t="s">
        <v>7</v>
      </c>
      <c r="Y8" s="32" t="s">
        <v>8</v>
      </c>
      <c r="Z8" s="33" t="s">
        <v>9</v>
      </c>
      <c r="AA8" s="34" t="s">
        <v>10</v>
      </c>
    </row>
    <row r="9" spans="2:29" ht="6" customHeight="1" x14ac:dyDescent="0.2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25">
      <c r="B10" s="96" t="str">
        <f>IF(S10="","",1)</f>
        <v/>
      </c>
      <c r="C10" s="3"/>
      <c r="E10" s="13" t="str">
        <f>IF(F10="","",IF(F10=0,"","L="))</f>
        <v/>
      </c>
      <c r="F10" s="97"/>
      <c r="G10" s="97"/>
      <c r="H10" s="14" t="str">
        <f>IF(F10="","",IF(F10=0,"","m"))</f>
        <v/>
      </c>
      <c r="K10" s="13" t="str">
        <f>IF(L10="","",IF(L10=0,"","L="))</f>
        <v/>
      </c>
      <c r="L10" s="97"/>
      <c r="M10" s="97"/>
      <c r="N10" s="14" t="str">
        <f>IF(L10="","",IF(L10=0,"","m"))</f>
        <v/>
      </c>
      <c r="Q10" s="2"/>
      <c r="R10" s="106" t="str">
        <f>IF(OR(S10="入力ｴﾗｰ",S10=0,S10="")=TRUE,"",IF(F10="","甲",IF(F10=0,"甲","")))</f>
        <v/>
      </c>
      <c r="S10" s="101" t="str">
        <f>IF((F10+I15+L10+O15)=0,"",IF((F10+I15+L10+O15)&gt;SUM($AC$1:$AC$3),"入力ｴﾗｰ",SUM($AC$1:$AC$3)-(F10+I15+L10+O15)))</f>
        <v/>
      </c>
      <c r="T10" s="102" t="str">
        <f>IF(S10="","",IF(S10="入力ｴﾗｰ","","m"))</f>
        <v/>
      </c>
      <c r="U10" s="94" t="str">
        <f>IF(B10="","",COUNT(F10,I15,L10,O15)-IF(S10=0,1,0)-V10)</f>
        <v/>
      </c>
      <c r="V10" s="95"/>
      <c r="W10" s="104"/>
      <c r="X10" s="103"/>
      <c r="Y10" s="103"/>
      <c r="Z10" s="107"/>
      <c r="AA10" s="99"/>
    </row>
    <row r="11" spans="2:29" ht="3" customHeight="1" x14ac:dyDescent="0.25">
      <c r="B11" s="96"/>
      <c r="C11" s="3"/>
      <c r="G11" s="3"/>
      <c r="H11" s="2"/>
      <c r="K11" s="3"/>
      <c r="L11" s="2"/>
      <c r="M11" s="3"/>
      <c r="Q11" s="2"/>
      <c r="R11" s="106"/>
      <c r="S11" s="101"/>
      <c r="T11" s="102"/>
      <c r="U11" s="94"/>
      <c r="V11" s="95"/>
      <c r="W11" s="104"/>
      <c r="X11" s="103"/>
      <c r="Y11" s="103"/>
      <c r="Z11" s="107"/>
      <c r="AA11" s="99"/>
    </row>
    <row r="12" spans="2:29" ht="3" customHeight="1" x14ac:dyDescent="0.25">
      <c r="B12" s="96"/>
      <c r="C12" s="3"/>
      <c r="F12" s="2"/>
      <c r="G12" s="3"/>
      <c r="H12" s="2"/>
      <c r="I12" s="3"/>
      <c r="K12" s="3"/>
      <c r="L12" s="2"/>
      <c r="M12" s="3"/>
      <c r="Q12" s="2"/>
      <c r="R12" s="106"/>
      <c r="S12" s="101"/>
      <c r="T12" s="102"/>
      <c r="U12" s="94"/>
      <c r="V12" s="95"/>
      <c r="W12" s="104"/>
      <c r="X12" s="103"/>
      <c r="Y12" s="103"/>
      <c r="Z12" s="107"/>
      <c r="AA12" s="99"/>
    </row>
    <row r="13" spans="2:29" ht="3" customHeight="1" x14ac:dyDescent="0.25">
      <c r="B13" s="96"/>
      <c r="C13" s="3"/>
      <c r="E13" s="6"/>
      <c r="F13" s="8"/>
      <c r="G13" s="7"/>
      <c r="H13" s="8"/>
      <c r="I13" s="7"/>
      <c r="J13" s="6"/>
      <c r="K13" s="7"/>
      <c r="L13" s="8"/>
      <c r="M13" s="7"/>
      <c r="N13" s="6"/>
      <c r="Q13" s="2"/>
      <c r="R13" s="105" t="str">
        <f>IF(R10="甲","",IF(OR(S10=0,S10="")=TRUE,"",IF(S10="入力ｴﾗｰ","","乙")))</f>
        <v/>
      </c>
      <c r="S13" s="101"/>
      <c r="U13" s="94"/>
      <c r="V13" s="95"/>
      <c r="W13" s="104"/>
      <c r="X13" s="103"/>
      <c r="Y13" s="103"/>
      <c r="Z13" s="107"/>
      <c r="AA13" s="99"/>
    </row>
    <row r="14" spans="2:29" ht="3" customHeight="1" x14ac:dyDescent="0.25">
      <c r="B14" s="96"/>
      <c r="C14" s="3"/>
      <c r="F14" s="2"/>
      <c r="G14" s="3"/>
      <c r="H14" s="2"/>
      <c r="K14" s="3"/>
      <c r="L14" s="2"/>
      <c r="M14" s="3"/>
      <c r="Q14" s="2"/>
      <c r="R14" s="105"/>
      <c r="S14" s="101"/>
      <c r="U14" s="94"/>
      <c r="V14" s="95"/>
      <c r="W14" s="104"/>
      <c r="X14" s="103"/>
      <c r="Y14" s="103"/>
      <c r="Z14" s="107"/>
      <c r="AA14" s="99"/>
    </row>
    <row r="15" spans="2:29" ht="15" customHeight="1" x14ac:dyDescent="0.25">
      <c r="B15" s="96"/>
      <c r="C15" s="3"/>
      <c r="G15" s="18"/>
      <c r="H15" s="13" t="str">
        <f>IF(I15="","",IF(I15=0,"","L="))</f>
        <v/>
      </c>
      <c r="I15" s="97"/>
      <c r="J15" s="97"/>
      <c r="K15" s="14" t="str">
        <f>IF(I15="","",IF(I15=0,"","m"))</f>
        <v/>
      </c>
      <c r="N15" s="13" t="str">
        <f>IF(O15="","",IF(O15=0,"","L="))</f>
        <v/>
      </c>
      <c r="O15" s="97"/>
      <c r="P15" s="97"/>
      <c r="Q15" s="24" t="str">
        <f>IF(O15="","",IF(O15=0,"","m"))</f>
        <v/>
      </c>
      <c r="R15" s="105"/>
      <c r="S15" s="101"/>
      <c r="U15" s="94"/>
      <c r="V15" s="95"/>
      <c r="W15" s="104"/>
      <c r="X15" s="103"/>
      <c r="Y15" s="103"/>
      <c r="Z15" s="107"/>
      <c r="AA15" s="99"/>
      <c r="AC15" s="1">
        <f>IF(U10="",0,IF(U10&gt;SUM(W10:AA15),U10-SUM(W10:AA15),0))</f>
        <v>0</v>
      </c>
    </row>
    <row r="16" spans="2:29" ht="6" customHeight="1" x14ac:dyDescent="0.2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2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25">
      <c r="B18" s="96" t="str">
        <f>IF(S18="","",IF(B10="","",1+B10))</f>
        <v/>
      </c>
      <c r="C18" s="3"/>
      <c r="E18" s="13" t="str">
        <f>IF(F18="","",IF(F18=0,"","L="))</f>
        <v/>
      </c>
      <c r="F18" s="97"/>
      <c r="G18" s="97"/>
      <c r="H18" s="14" t="str">
        <f>IF(F18="","",IF(F18=0,"","m"))</f>
        <v/>
      </c>
      <c r="K18" s="13" t="str">
        <f>IF(L18="","",IF(L18=0,"","L="))</f>
        <v/>
      </c>
      <c r="L18" s="97"/>
      <c r="M18" s="97"/>
      <c r="N18" s="14" t="str">
        <f>IF(L18="","",IF(L18=0,"","m"))</f>
        <v/>
      </c>
      <c r="Q18" s="2"/>
      <c r="R18" s="106" t="str">
        <f>IF(OR(S18="入力ｴﾗｰ",S18=0,S18="")=TRUE,"",IF(F18="","甲",IF(F18=0,"甲","")))</f>
        <v/>
      </c>
      <c r="S18" s="101" t="str">
        <f>IF((F18+I23+L18+O23)=0,"",IF((F18+I23+L18+O23)&gt;SUM($AC$1:$AC$3),"入力ｴﾗｰ",SUM($AC$1:$AC$3)-(F18+I23+L18+O23)))</f>
        <v/>
      </c>
      <c r="T18" s="102" t="str">
        <f>IF(S18="","",IF(S18="入力ｴﾗｰ","","m"))</f>
        <v/>
      </c>
      <c r="U18" s="94" t="str">
        <f>IF(B18="","",COUNT(F18,I23,L18,O23)-IF(S18=0,1,0)-V18)</f>
        <v/>
      </c>
      <c r="V18" s="95"/>
      <c r="W18" s="104"/>
      <c r="X18" s="103"/>
      <c r="Y18" s="103"/>
      <c r="Z18" s="103"/>
      <c r="AA18" s="99"/>
    </row>
    <row r="19" spans="2:29" ht="3" customHeight="1" x14ac:dyDescent="0.25">
      <c r="B19" s="96"/>
      <c r="C19" s="3"/>
      <c r="G19" s="3"/>
      <c r="H19" s="2"/>
      <c r="K19" s="3"/>
      <c r="L19" s="2"/>
      <c r="M19" s="3"/>
      <c r="Q19" s="2"/>
      <c r="R19" s="106"/>
      <c r="S19" s="101"/>
      <c r="T19" s="102"/>
      <c r="U19" s="94"/>
      <c r="V19" s="95"/>
      <c r="W19" s="104"/>
      <c r="X19" s="103"/>
      <c r="Y19" s="103"/>
      <c r="Z19" s="103"/>
      <c r="AA19" s="99"/>
    </row>
    <row r="20" spans="2:29" ht="3" customHeight="1" x14ac:dyDescent="0.25">
      <c r="B20" s="96"/>
      <c r="C20" s="3"/>
      <c r="F20" s="2"/>
      <c r="G20" s="3"/>
      <c r="H20" s="2"/>
      <c r="I20" s="3"/>
      <c r="K20" s="3"/>
      <c r="L20" s="2"/>
      <c r="M20" s="3"/>
      <c r="Q20" s="2"/>
      <c r="R20" s="106"/>
      <c r="S20" s="101"/>
      <c r="T20" s="102"/>
      <c r="U20" s="94"/>
      <c r="V20" s="95"/>
      <c r="W20" s="104"/>
      <c r="X20" s="103"/>
      <c r="Y20" s="103"/>
      <c r="Z20" s="103"/>
      <c r="AA20" s="99"/>
    </row>
    <row r="21" spans="2:29" ht="3" customHeight="1" x14ac:dyDescent="0.25">
      <c r="B21" s="96"/>
      <c r="C21" s="3"/>
      <c r="E21" s="6"/>
      <c r="F21" s="8"/>
      <c r="G21" s="7"/>
      <c r="H21" s="8"/>
      <c r="I21" s="7"/>
      <c r="J21" s="6"/>
      <c r="K21" s="7"/>
      <c r="L21" s="8"/>
      <c r="M21" s="7"/>
      <c r="N21" s="6"/>
      <c r="Q21" s="2"/>
      <c r="R21" s="105" t="str">
        <f>IF(R18="甲","",IF(OR(S18=0,S18="")=TRUE,"",IF(S18="入力ｴﾗｰ","","乙")))</f>
        <v/>
      </c>
      <c r="S21" s="101"/>
      <c r="U21" s="94"/>
      <c r="V21" s="95"/>
      <c r="W21" s="104"/>
      <c r="X21" s="103"/>
      <c r="Y21" s="103"/>
      <c r="Z21" s="103"/>
      <c r="AA21" s="99"/>
    </row>
    <row r="22" spans="2:29" ht="3" customHeight="1" x14ac:dyDescent="0.25">
      <c r="B22" s="96"/>
      <c r="C22" s="3"/>
      <c r="F22" s="2"/>
      <c r="G22" s="3"/>
      <c r="H22" s="2"/>
      <c r="K22" s="3"/>
      <c r="L22" s="2"/>
      <c r="M22" s="3"/>
      <c r="Q22" s="2"/>
      <c r="R22" s="105"/>
      <c r="S22" s="101"/>
      <c r="U22" s="94"/>
      <c r="V22" s="95"/>
      <c r="W22" s="104"/>
      <c r="X22" s="103"/>
      <c r="Y22" s="103"/>
      <c r="Z22" s="103"/>
      <c r="AA22" s="99"/>
    </row>
    <row r="23" spans="2:29" ht="15" customHeight="1" x14ac:dyDescent="0.25">
      <c r="B23" s="96"/>
      <c r="C23" s="3"/>
      <c r="G23" s="18"/>
      <c r="H23" s="13" t="str">
        <f>IF(I23="","",IF(I23=0,"","L="))</f>
        <v/>
      </c>
      <c r="I23" s="97"/>
      <c r="J23" s="97"/>
      <c r="K23" s="14" t="str">
        <f>IF(I23="","",IF(I23=0,"","m"))</f>
        <v/>
      </c>
      <c r="N23" s="13" t="str">
        <f>IF(O23="","",IF(O23=0,"","L="))</f>
        <v/>
      </c>
      <c r="O23" s="97"/>
      <c r="P23" s="97"/>
      <c r="Q23" s="24" t="str">
        <f>IF(O23="","",IF(O23=0,"","m"))</f>
        <v/>
      </c>
      <c r="R23" s="105"/>
      <c r="S23" s="101"/>
      <c r="U23" s="94"/>
      <c r="V23" s="95"/>
      <c r="W23" s="104"/>
      <c r="X23" s="103"/>
      <c r="Y23" s="103"/>
      <c r="Z23" s="103"/>
      <c r="AA23" s="99"/>
      <c r="AC23" s="1">
        <f>IF(U18="",0,IF(U18&gt;SUM(W18:AA23),U18-SUM(W18:AA23),0))</f>
        <v>0</v>
      </c>
    </row>
    <row r="24" spans="2:29" ht="6" customHeight="1" x14ac:dyDescent="0.2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2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25">
      <c r="B26" s="96" t="str">
        <f>IF(S26="","",IF(B18="","",1+B18))</f>
        <v/>
      </c>
      <c r="C26" s="3"/>
      <c r="E26" s="13" t="str">
        <f>IF(F26="","",IF(F26=0,"","L="))</f>
        <v/>
      </c>
      <c r="F26" s="97"/>
      <c r="G26" s="97"/>
      <c r="H26" s="14"/>
      <c r="K26" s="13" t="str">
        <f>IF(L26="","",IF(L26=0,"","L="))</f>
        <v/>
      </c>
      <c r="L26" s="97"/>
      <c r="M26" s="97"/>
      <c r="N26" s="14" t="str">
        <f>IF(L26="","",IF(L26=0,"","m"))</f>
        <v/>
      </c>
      <c r="Q26" s="2"/>
      <c r="R26" s="106" t="str">
        <f>IF(OR(S26="入力ｴﾗｰ",S26=0,S26="")=TRUE,"",IF(F26="","甲",IF(F26=0,"甲","")))</f>
        <v/>
      </c>
      <c r="S26" s="101" t="str">
        <f>IF((F26+I31+L26+O31)=0,"",IF((F26+I31+L26+O31)&gt;SUM($AC$1:$AC$3),"入力ｴﾗｰ",SUM($AC$1:$AC$3)-(F26+I31+L26+O31)))</f>
        <v/>
      </c>
      <c r="T26" s="102" t="str">
        <f>IF(S26="","",IF(S26="入力ｴﾗｰ","","m"))</f>
        <v/>
      </c>
      <c r="U26" s="94" t="str">
        <f>IF(B26="","",COUNT(F26,I31,L26,O31)-IF(S26=0,1,0)-V26)</f>
        <v/>
      </c>
      <c r="V26" s="95"/>
      <c r="W26" s="104"/>
      <c r="X26" s="103"/>
      <c r="Y26" s="103"/>
      <c r="Z26" s="103"/>
      <c r="AA26" s="99"/>
    </row>
    <row r="27" spans="2:29" ht="3" customHeight="1" x14ac:dyDescent="0.25">
      <c r="B27" s="96"/>
      <c r="C27" s="3"/>
      <c r="G27" s="3"/>
      <c r="H27" s="2"/>
      <c r="K27" s="3"/>
      <c r="L27" s="2"/>
      <c r="M27" s="3"/>
      <c r="Q27" s="2"/>
      <c r="R27" s="106"/>
      <c r="S27" s="101"/>
      <c r="T27" s="102"/>
      <c r="U27" s="94"/>
      <c r="V27" s="95"/>
      <c r="W27" s="104"/>
      <c r="X27" s="103"/>
      <c r="Y27" s="103"/>
      <c r="Z27" s="103"/>
      <c r="AA27" s="99"/>
    </row>
    <row r="28" spans="2:29" ht="3" customHeight="1" x14ac:dyDescent="0.25">
      <c r="B28" s="96"/>
      <c r="C28" s="3"/>
      <c r="G28" s="3"/>
      <c r="H28" s="2"/>
      <c r="K28" s="3"/>
      <c r="L28" s="2"/>
      <c r="M28" s="3"/>
      <c r="Q28" s="2"/>
      <c r="R28" s="106"/>
      <c r="S28" s="101"/>
      <c r="T28" s="102"/>
      <c r="U28" s="94"/>
      <c r="V28" s="95"/>
      <c r="W28" s="104"/>
      <c r="X28" s="103"/>
      <c r="Y28" s="103"/>
      <c r="Z28" s="103"/>
      <c r="AA28" s="99"/>
    </row>
    <row r="29" spans="2:29" ht="3" customHeight="1" x14ac:dyDescent="0.25">
      <c r="B29" s="96"/>
      <c r="C29" s="3"/>
      <c r="E29" s="6"/>
      <c r="F29" s="6"/>
      <c r="G29" s="7"/>
      <c r="H29" s="8"/>
      <c r="I29" s="7"/>
      <c r="J29" s="8"/>
      <c r="K29" s="7"/>
      <c r="L29" s="8"/>
      <c r="M29" s="7"/>
      <c r="N29" s="6"/>
      <c r="Q29" s="2"/>
      <c r="R29" s="105" t="str">
        <f>IF(R26="甲","",IF(OR(S26=0,S26="")=TRUE,"",IF(S26="入力ｴﾗｰ","","乙")))</f>
        <v/>
      </c>
      <c r="S29" s="101"/>
      <c r="U29" s="94"/>
      <c r="V29" s="95"/>
      <c r="W29" s="104"/>
      <c r="X29" s="103"/>
      <c r="Y29" s="103"/>
      <c r="Z29" s="103"/>
      <c r="AA29" s="99"/>
    </row>
    <row r="30" spans="2:29" ht="3" customHeight="1" x14ac:dyDescent="0.25">
      <c r="B30" s="96"/>
      <c r="C30" s="3"/>
      <c r="F30" s="2"/>
      <c r="G30" s="3"/>
      <c r="H30" s="2"/>
      <c r="J30" s="2"/>
      <c r="K30" s="3"/>
      <c r="L30" s="2"/>
      <c r="M30" s="3"/>
      <c r="Q30" s="2"/>
      <c r="R30" s="105"/>
      <c r="S30" s="101"/>
      <c r="U30" s="94"/>
      <c r="V30" s="95"/>
      <c r="W30" s="104"/>
      <c r="X30" s="103"/>
      <c r="Y30" s="103"/>
      <c r="Z30" s="103"/>
      <c r="AA30" s="99"/>
    </row>
    <row r="31" spans="2:29" ht="15" customHeight="1" x14ac:dyDescent="0.25">
      <c r="B31" s="96"/>
      <c r="C31" s="3"/>
      <c r="G31" s="18"/>
      <c r="H31" s="13" t="str">
        <f>IF(I31="","",IF(I31=0,"","L="))</f>
        <v/>
      </c>
      <c r="I31" s="97"/>
      <c r="J31" s="97"/>
      <c r="K31" s="14"/>
      <c r="N31" s="13" t="str">
        <f>IF(O31="","",IF(O31=0,"","L="))</f>
        <v/>
      </c>
      <c r="O31" s="97"/>
      <c r="P31" s="97"/>
      <c r="Q31" s="24" t="str">
        <f>IF(O31="","",IF(O31=0,"","m"))</f>
        <v/>
      </c>
      <c r="R31" s="105"/>
      <c r="S31" s="101"/>
      <c r="U31" s="94"/>
      <c r="V31" s="95"/>
      <c r="W31" s="104"/>
      <c r="X31" s="103"/>
      <c r="Y31" s="103"/>
      <c r="Z31" s="103"/>
      <c r="AA31" s="99"/>
      <c r="AC31" s="1">
        <f>IF(U26="",0,IF(U26&gt;SUM(W26:AA31),U26-SUM(W26:AA31),0))</f>
        <v>0</v>
      </c>
    </row>
    <row r="32" spans="2:29" ht="6" customHeight="1" x14ac:dyDescent="0.2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7"/>
      <c r="R32" s="16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2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0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25">
      <c r="B34" s="96" t="str">
        <f>IF(S34="","",IF(B26="","",1+B26))</f>
        <v/>
      </c>
      <c r="C34" s="3"/>
      <c r="E34" s="13" t="str">
        <f>IF(F34="","",IF(F34=0,"","L="))</f>
        <v/>
      </c>
      <c r="F34" s="97"/>
      <c r="G34" s="97"/>
      <c r="H34" s="14"/>
      <c r="K34" s="13" t="str">
        <f>IF(L34="","",IF(L34=0,"","L="))</f>
        <v/>
      </c>
      <c r="L34" s="97"/>
      <c r="M34" s="97"/>
      <c r="N34" s="14" t="str">
        <f>IF(L34="","",IF(L34=0,"","m"))</f>
        <v/>
      </c>
      <c r="Q34" s="2"/>
      <c r="R34" s="106" t="str">
        <f>IF(OR(S34="入力ｴﾗｰ",S34=0,S34="")=TRUE,"",IF(F34="","甲",IF(F34=0,"甲","")))</f>
        <v/>
      </c>
      <c r="S34" s="101" t="str">
        <f>IF((F34+I39+L34+O39)=0,"",IF((F34+I39+L34+O39)&gt;SUM($AC$1:$AC$3),"入力ｴﾗｰ",SUM($AC$1:$AC$3)-(F34+I39+L34+O39)))</f>
        <v/>
      </c>
      <c r="T34" s="102" t="str">
        <f>IF(S34="","",IF(S34="入力ｴﾗｰ","","m"))</f>
        <v/>
      </c>
      <c r="U34" s="94" t="str">
        <f>IF(B34="","",COUNT(F34,I39,L34,O39)-IF(S34=0,1,0)-V34)</f>
        <v/>
      </c>
      <c r="V34" s="95"/>
      <c r="W34" s="104"/>
      <c r="X34" s="103"/>
      <c r="Y34" s="103"/>
      <c r="Z34" s="103"/>
      <c r="AA34" s="99"/>
    </row>
    <row r="35" spans="2:29" ht="3" customHeight="1" x14ac:dyDescent="0.25">
      <c r="B35" s="96"/>
      <c r="C35" s="3"/>
      <c r="G35" s="3"/>
      <c r="H35" s="2"/>
      <c r="K35" s="3"/>
      <c r="L35" s="2"/>
      <c r="M35" s="3"/>
      <c r="Q35" s="2"/>
      <c r="R35" s="106"/>
      <c r="S35" s="101"/>
      <c r="T35" s="102"/>
      <c r="U35" s="94"/>
      <c r="V35" s="95"/>
      <c r="W35" s="104"/>
      <c r="X35" s="103"/>
      <c r="Y35" s="103"/>
      <c r="Z35" s="103"/>
      <c r="AA35" s="99"/>
    </row>
    <row r="36" spans="2:29" ht="3" customHeight="1" x14ac:dyDescent="0.25">
      <c r="B36" s="96"/>
      <c r="C36" s="3"/>
      <c r="G36" s="3"/>
      <c r="H36" s="2"/>
      <c r="K36" s="3"/>
      <c r="L36" s="2"/>
      <c r="M36" s="3"/>
      <c r="Q36" s="2"/>
      <c r="R36" s="106"/>
      <c r="S36" s="101"/>
      <c r="T36" s="102"/>
      <c r="U36" s="94"/>
      <c r="V36" s="95"/>
      <c r="W36" s="104"/>
      <c r="X36" s="103"/>
      <c r="Y36" s="103"/>
      <c r="Z36" s="103"/>
      <c r="AA36" s="99"/>
    </row>
    <row r="37" spans="2:29" ht="3" customHeight="1" x14ac:dyDescent="0.25">
      <c r="B37" s="96"/>
      <c r="C37" s="3"/>
      <c r="E37" s="6"/>
      <c r="F37" s="6"/>
      <c r="G37" s="7"/>
      <c r="H37" s="8"/>
      <c r="I37" s="7"/>
      <c r="J37" s="8"/>
      <c r="K37" s="7"/>
      <c r="L37" s="8"/>
      <c r="M37" s="7"/>
      <c r="N37" s="6"/>
      <c r="Q37" s="2"/>
      <c r="R37" s="105" t="str">
        <f>IF(R34="甲","",IF(OR(S34=0,S34="")=TRUE,"",IF(S34="入力ｴﾗｰ","","乙")))</f>
        <v/>
      </c>
      <c r="S37" s="101"/>
      <c r="U37" s="94"/>
      <c r="V37" s="95"/>
      <c r="W37" s="104"/>
      <c r="X37" s="103"/>
      <c r="Y37" s="103"/>
      <c r="Z37" s="103"/>
      <c r="AA37" s="99"/>
    </row>
    <row r="38" spans="2:29" ht="3" customHeight="1" x14ac:dyDescent="0.25">
      <c r="B38" s="96"/>
      <c r="C38" s="3"/>
      <c r="F38" s="2"/>
      <c r="G38" s="3"/>
      <c r="H38" s="2"/>
      <c r="J38" s="2"/>
      <c r="K38" s="3"/>
      <c r="L38" s="2"/>
      <c r="M38" s="3"/>
      <c r="Q38" s="2"/>
      <c r="R38" s="105"/>
      <c r="S38" s="101"/>
      <c r="U38" s="94"/>
      <c r="V38" s="95"/>
      <c r="W38" s="104"/>
      <c r="X38" s="103"/>
      <c r="Y38" s="103"/>
      <c r="Z38" s="103"/>
      <c r="AA38" s="99"/>
    </row>
    <row r="39" spans="2:29" ht="15" customHeight="1" x14ac:dyDescent="0.25">
      <c r="B39" s="96"/>
      <c r="C39" s="3"/>
      <c r="G39" s="18"/>
      <c r="H39" s="13" t="str">
        <f>IF(I39="","",IF(I39=0,"","L="))</f>
        <v/>
      </c>
      <c r="I39" s="97"/>
      <c r="J39" s="97"/>
      <c r="K39" s="14"/>
      <c r="N39" s="13" t="str">
        <f>IF(O39="","",IF(O39=0,"","L="))</f>
        <v/>
      </c>
      <c r="O39" s="97"/>
      <c r="P39" s="97"/>
      <c r="Q39" s="24" t="str">
        <f>IF(O39="","",IF(O39=0,"","m"))</f>
        <v/>
      </c>
      <c r="R39" s="105"/>
      <c r="S39" s="101"/>
      <c r="U39" s="94"/>
      <c r="V39" s="95"/>
      <c r="W39" s="104"/>
      <c r="X39" s="103"/>
      <c r="Y39" s="103"/>
      <c r="Z39" s="103"/>
      <c r="AA39" s="99"/>
      <c r="AC39" s="1">
        <f>IF(U34="",0,IF(U34&gt;SUM(W34:AA39),U34-SUM(W34:AA39),0))</f>
        <v>0</v>
      </c>
    </row>
    <row r="40" spans="2:29" ht="6" customHeight="1" x14ac:dyDescent="0.2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/>
      <c r="R40" s="16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2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0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25">
      <c r="B42" s="96" t="str">
        <f>IF(S42="","",IF(B34="","",1+B34))</f>
        <v/>
      </c>
      <c r="C42" s="3"/>
      <c r="E42" s="13" t="str">
        <f>IF(F42="","",IF(F42=0,"","L="))</f>
        <v/>
      </c>
      <c r="F42" s="97"/>
      <c r="G42" s="97"/>
      <c r="H42" s="14"/>
      <c r="K42" s="13" t="str">
        <f>IF(L42="","",IF(L42=0,"","L="))</f>
        <v/>
      </c>
      <c r="L42" s="97"/>
      <c r="M42" s="97"/>
      <c r="N42" s="14" t="str">
        <f>IF(L42="","",IF(L42=0,"","m"))</f>
        <v/>
      </c>
      <c r="Q42" s="2"/>
      <c r="R42" s="106" t="str">
        <f>IF(OR(S42="入力ｴﾗｰ",S42=0,S42="")=TRUE,"",IF(F42="","甲",IF(F42=0,"甲","")))</f>
        <v/>
      </c>
      <c r="S42" s="101" t="str">
        <f>IF((F42+I47+L42+O47)=0,"",IF((F42+I47+L42+O47)&gt;SUM($AC$1:$AC$3),"入力ｴﾗｰ",SUM($AC$1:$AC$3)-(F42+I47+L42+O47)))</f>
        <v/>
      </c>
      <c r="T42" s="102" t="str">
        <f>IF(S42="","",IF(S42="入力ｴﾗｰ","","m"))</f>
        <v/>
      </c>
      <c r="U42" s="94" t="str">
        <f>IF(B42="","",COUNT(F42,I47,L42,O47)-IF(S42=0,1,0)-V42)</f>
        <v/>
      </c>
      <c r="V42" s="95"/>
      <c r="W42" s="104"/>
      <c r="X42" s="103"/>
      <c r="Y42" s="103"/>
      <c r="Z42" s="103"/>
      <c r="AA42" s="99"/>
    </row>
    <row r="43" spans="2:29" ht="3" customHeight="1" x14ac:dyDescent="0.25">
      <c r="B43" s="96"/>
      <c r="C43" s="3"/>
      <c r="G43" s="3"/>
      <c r="H43" s="2"/>
      <c r="K43" s="3"/>
      <c r="L43" s="2"/>
      <c r="M43" s="3"/>
      <c r="Q43" s="2"/>
      <c r="R43" s="106"/>
      <c r="S43" s="101"/>
      <c r="T43" s="102"/>
      <c r="U43" s="94"/>
      <c r="V43" s="95"/>
      <c r="W43" s="104"/>
      <c r="X43" s="103"/>
      <c r="Y43" s="103"/>
      <c r="Z43" s="103"/>
      <c r="AA43" s="99"/>
    </row>
    <row r="44" spans="2:29" ht="3" customHeight="1" x14ac:dyDescent="0.25">
      <c r="B44" s="96"/>
      <c r="C44" s="3"/>
      <c r="G44" s="3"/>
      <c r="H44" s="2"/>
      <c r="K44" s="3"/>
      <c r="L44" s="2"/>
      <c r="M44" s="3"/>
      <c r="Q44" s="2"/>
      <c r="R44" s="106"/>
      <c r="S44" s="101"/>
      <c r="T44" s="102"/>
      <c r="U44" s="94"/>
      <c r="V44" s="95"/>
      <c r="W44" s="104"/>
      <c r="X44" s="103"/>
      <c r="Y44" s="103"/>
      <c r="Z44" s="103"/>
      <c r="AA44" s="99"/>
    </row>
    <row r="45" spans="2:29" ht="3" customHeight="1" x14ac:dyDescent="0.25">
      <c r="B45" s="96"/>
      <c r="C45" s="3"/>
      <c r="E45" s="6"/>
      <c r="F45" s="6"/>
      <c r="G45" s="7"/>
      <c r="H45" s="8"/>
      <c r="I45" s="7"/>
      <c r="J45" s="8"/>
      <c r="K45" s="7"/>
      <c r="L45" s="8"/>
      <c r="M45" s="7"/>
      <c r="N45" s="6"/>
      <c r="Q45" s="2"/>
      <c r="R45" s="105" t="str">
        <f>IF(R42="甲","",IF(OR(S42=0,S42="")=TRUE,"",IF(S42="入力ｴﾗｰ","","乙")))</f>
        <v/>
      </c>
      <c r="S45" s="101"/>
      <c r="U45" s="94"/>
      <c r="V45" s="95"/>
      <c r="W45" s="104"/>
      <c r="X45" s="103"/>
      <c r="Y45" s="103"/>
      <c r="Z45" s="103"/>
      <c r="AA45" s="99"/>
    </row>
    <row r="46" spans="2:29" ht="3" customHeight="1" x14ac:dyDescent="0.25">
      <c r="B46" s="96"/>
      <c r="C46" s="3"/>
      <c r="F46" s="2"/>
      <c r="G46" s="3"/>
      <c r="H46" s="2"/>
      <c r="J46" s="2"/>
      <c r="K46" s="3"/>
      <c r="L46" s="2"/>
      <c r="M46" s="3"/>
      <c r="Q46" s="2"/>
      <c r="R46" s="105"/>
      <c r="S46" s="101"/>
      <c r="U46" s="94"/>
      <c r="V46" s="95"/>
      <c r="W46" s="104"/>
      <c r="X46" s="103"/>
      <c r="Y46" s="103"/>
      <c r="Z46" s="103"/>
      <c r="AA46" s="99"/>
    </row>
    <row r="47" spans="2:29" ht="15" customHeight="1" x14ac:dyDescent="0.25">
      <c r="B47" s="96"/>
      <c r="C47" s="3"/>
      <c r="G47" s="18"/>
      <c r="H47" s="13" t="str">
        <f>IF(I47="","",IF(I47=0,"","L="))</f>
        <v/>
      </c>
      <c r="I47" s="97"/>
      <c r="J47" s="97"/>
      <c r="K47" s="14"/>
      <c r="N47" s="13" t="str">
        <f>IF(O47="","",IF(O47=0,"","L="))</f>
        <v/>
      </c>
      <c r="O47" s="97"/>
      <c r="P47" s="97"/>
      <c r="Q47" s="24" t="str">
        <f>IF(O47="","",IF(O47=0,"","m"))</f>
        <v/>
      </c>
      <c r="R47" s="105"/>
      <c r="S47" s="101"/>
      <c r="U47" s="94"/>
      <c r="V47" s="95"/>
      <c r="W47" s="104"/>
      <c r="X47" s="103"/>
      <c r="Y47" s="103"/>
      <c r="Z47" s="103"/>
      <c r="AA47" s="99"/>
      <c r="AC47" s="1">
        <f>IF(U42="",0,IF(U42&gt;SUM(W42:AA47),U42-SUM(W42:AA47),0))</f>
        <v>0</v>
      </c>
    </row>
    <row r="48" spans="2:29" ht="6" customHeight="1" x14ac:dyDescent="0.2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  <c r="R48" s="16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2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0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25">
      <c r="B50" s="96" t="str">
        <f>IF(S50="","",IF(B42="","",1+B42))</f>
        <v/>
      </c>
      <c r="C50" s="3"/>
      <c r="E50" s="13" t="str">
        <f>IF(F50="","",IF(F50=0,"","L="))</f>
        <v/>
      </c>
      <c r="F50" s="97"/>
      <c r="G50" s="97"/>
      <c r="H50" s="14"/>
      <c r="K50" s="13" t="str">
        <f>IF(L50="","",IF(L50=0,"","L="))</f>
        <v/>
      </c>
      <c r="L50" s="97"/>
      <c r="M50" s="97"/>
      <c r="N50" s="14" t="str">
        <f>IF(L50="","",IF(L50=0,"","m"))</f>
        <v/>
      </c>
      <c r="Q50" s="2"/>
      <c r="R50" s="106" t="str">
        <f>IF(OR(S50="入力ｴﾗｰ",S50=0,S50="")=TRUE,"",IF(F50="","甲",IF(F50=0,"甲","")))</f>
        <v/>
      </c>
      <c r="S50" s="101" t="str">
        <f>IF((F50+I55+L50+O55)=0,"",IF((F50+I55+L50+O55)&gt;SUM($AC$1:$AC$3),"入力ｴﾗｰ",SUM($AC$1:$AC$3)-(F50+I55+L50+O55)))</f>
        <v/>
      </c>
      <c r="T50" s="102" t="str">
        <f>IF(S50="","",IF(S50="入力ｴﾗｰ","","m"))</f>
        <v/>
      </c>
      <c r="U50" s="94" t="str">
        <f>IF(B50="","",COUNT(F50,I55,L50,O55)-IF(S50=0,1,0)-V50)</f>
        <v/>
      </c>
      <c r="V50" s="95"/>
      <c r="W50" s="104"/>
      <c r="X50" s="103"/>
      <c r="Y50" s="103"/>
      <c r="Z50" s="103"/>
      <c r="AA50" s="99"/>
    </row>
    <row r="51" spans="2:29" ht="3" customHeight="1" x14ac:dyDescent="0.25">
      <c r="B51" s="96"/>
      <c r="C51" s="3"/>
      <c r="G51" s="3"/>
      <c r="H51" s="2"/>
      <c r="K51" s="3"/>
      <c r="L51" s="2"/>
      <c r="M51" s="3"/>
      <c r="Q51" s="2"/>
      <c r="R51" s="106"/>
      <c r="S51" s="101"/>
      <c r="T51" s="102"/>
      <c r="U51" s="94"/>
      <c r="V51" s="95"/>
      <c r="W51" s="104"/>
      <c r="X51" s="103"/>
      <c r="Y51" s="103"/>
      <c r="Z51" s="103"/>
      <c r="AA51" s="99"/>
    </row>
    <row r="52" spans="2:29" ht="3" customHeight="1" x14ac:dyDescent="0.25">
      <c r="B52" s="96"/>
      <c r="C52" s="3"/>
      <c r="G52" s="3"/>
      <c r="H52" s="2"/>
      <c r="J52" s="4"/>
      <c r="K52" s="5"/>
      <c r="L52" s="55"/>
      <c r="M52" s="5"/>
      <c r="N52" s="4"/>
      <c r="Q52" s="2"/>
      <c r="R52" s="106"/>
      <c r="S52" s="101"/>
      <c r="T52" s="102"/>
      <c r="U52" s="94"/>
      <c r="V52" s="95"/>
      <c r="W52" s="104"/>
      <c r="X52" s="103"/>
      <c r="Y52" s="103"/>
      <c r="Z52" s="103"/>
      <c r="AA52" s="99"/>
    </row>
    <row r="53" spans="2:29" ht="3" customHeight="1" x14ac:dyDescent="0.25">
      <c r="B53" s="96"/>
      <c r="C53" s="3"/>
      <c r="E53" s="6"/>
      <c r="F53" s="6"/>
      <c r="G53" s="7"/>
      <c r="H53" s="8"/>
      <c r="I53" s="7"/>
      <c r="J53" s="8"/>
      <c r="K53" s="7"/>
      <c r="L53" s="8"/>
      <c r="M53" s="7"/>
      <c r="N53" s="6"/>
      <c r="Q53" s="2"/>
      <c r="R53" s="105" t="str">
        <f>IF(R50="甲","",IF(OR(S50=0,S50="")=TRUE,"",IF(S50="入力ｴﾗｰ","","乙")))</f>
        <v/>
      </c>
      <c r="S53" s="101"/>
      <c r="U53" s="94"/>
      <c r="V53" s="95"/>
      <c r="W53" s="104"/>
      <c r="X53" s="103"/>
      <c r="Y53" s="103"/>
      <c r="Z53" s="103"/>
      <c r="AA53" s="99"/>
    </row>
    <row r="54" spans="2:29" ht="3" customHeight="1" x14ac:dyDescent="0.25">
      <c r="B54" s="96"/>
      <c r="C54" s="3"/>
      <c r="F54" s="2"/>
      <c r="G54" s="3"/>
      <c r="H54" s="2"/>
      <c r="K54" s="3"/>
      <c r="L54" s="2"/>
      <c r="M54" s="3"/>
      <c r="Q54" s="2"/>
      <c r="R54" s="105"/>
      <c r="S54" s="101"/>
      <c r="U54" s="94"/>
      <c r="V54" s="95"/>
      <c r="W54" s="104"/>
      <c r="X54" s="103"/>
      <c r="Y54" s="103"/>
      <c r="Z54" s="103"/>
      <c r="AA54" s="99"/>
    </row>
    <row r="55" spans="2:29" ht="15" customHeight="1" x14ac:dyDescent="0.25">
      <c r="B55" s="96"/>
      <c r="C55" s="3"/>
      <c r="G55" s="18"/>
      <c r="H55" s="13" t="str">
        <f>IF(I55="","",IF(I55=0,"","L="))</f>
        <v/>
      </c>
      <c r="I55" s="97"/>
      <c r="J55" s="97"/>
      <c r="K55" s="14"/>
      <c r="N55" s="13" t="str">
        <f>IF(O55="","",IF(O55=0,"","L="))</f>
        <v/>
      </c>
      <c r="O55" s="97"/>
      <c r="P55" s="97"/>
      <c r="Q55" s="24" t="str">
        <f>IF(O55="","",IF(O55=0,"","m"))</f>
        <v/>
      </c>
      <c r="R55" s="105"/>
      <c r="S55" s="101"/>
      <c r="U55" s="94"/>
      <c r="V55" s="95"/>
      <c r="W55" s="104"/>
      <c r="X55" s="103"/>
      <c r="Y55" s="103"/>
      <c r="Z55" s="103"/>
      <c r="AA55" s="99"/>
      <c r="AC55" s="1">
        <f>IF(U50="",0,IF(U50&gt;SUM(W50:AA55),U50-SUM(W50:AA55),0))</f>
        <v>0</v>
      </c>
    </row>
    <row r="56" spans="2:29" ht="6" customHeight="1" x14ac:dyDescent="0.2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7"/>
      <c r="R56" s="16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2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1"/>
      <c r="R57" s="10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25">
      <c r="B58" s="96" t="str">
        <f>IF(S58="","",IF(B50="","",1+B50))</f>
        <v/>
      </c>
      <c r="C58" s="3"/>
      <c r="E58" s="13" t="str">
        <f>IF(F58="","",IF(F58=0,"","L="))</f>
        <v/>
      </c>
      <c r="F58" s="97"/>
      <c r="G58" s="97"/>
      <c r="H58" s="14"/>
      <c r="K58" s="13" t="str">
        <f>IF(L58="","",IF(L58=0,"","L="))</f>
        <v/>
      </c>
      <c r="L58" s="97"/>
      <c r="M58" s="97"/>
      <c r="N58" s="14" t="str">
        <f>IF(L58="","",IF(L58=0,"","m"))</f>
        <v/>
      </c>
      <c r="Q58" s="2"/>
      <c r="R58" s="106" t="str">
        <f>IF(OR(S58="入力ｴﾗｰ",S58=0,S58="")=TRUE,"",IF(F58="","甲",IF(F58=0,"甲","")))</f>
        <v/>
      </c>
      <c r="S58" s="101" t="str">
        <f>IF((F58+I63+L58+O63)=0,"",IF((F58+I63+L58+O63)&gt;SUM($AC$1:$AC$3),"入力ｴﾗｰ",SUM($AC$1:$AC$3)-(F58+I63+L58+O63)))</f>
        <v/>
      </c>
      <c r="T58" s="102" t="str">
        <f>IF(S58="","",IF(S58="入力ｴﾗｰ","","m"))</f>
        <v/>
      </c>
      <c r="U58" s="94" t="str">
        <f>IF(B58="","",COUNT(F58,I63,L58,O63)-IF(S58=0,1,0)-V58)</f>
        <v/>
      </c>
      <c r="V58" s="95"/>
      <c r="W58" s="104"/>
      <c r="X58" s="103"/>
      <c r="Y58" s="103"/>
      <c r="Z58" s="103"/>
      <c r="AA58" s="99"/>
    </row>
    <row r="59" spans="2:29" ht="3" customHeight="1" x14ac:dyDescent="0.25">
      <c r="B59" s="96"/>
      <c r="C59" s="3"/>
      <c r="G59" s="3"/>
      <c r="H59" s="2"/>
      <c r="K59" s="3"/>
      <c r="L59" s="2"/>
      <c r="M59" s="3"/>
      <c r="Q59" s="2"/>
      <c r="R59" s="106"/>
      <c r="S59" s="101"/>
      <c r="T59" s="102"/>
      <c r="U59" s="94"/>
      <c r="V59" s="95"/>
      <c r="W59" s="104"/>
      <c r="X59" s="103"/>
      <c r="Y59" s="103"/>
      <c r="Z59" s="103"/>
      <c r="AA59" s="99"/>
    </row>
    <row r="60" spans="2:29" ht="3" customHeight="1" x14ac:dyDescent="0.25">
      <c r="B60" s="96"/>
      <c r="C60" s="3"/>
      <c r="G60" s="3"/>
      <c r="H60" s="2"/>
      <c r="K60" s="3"/>
      <c r="L60" s="55"/>
      <c r="M60" s="5"/>
      <c r="N60" s="4"/>
      <c r="Q60" s="2"/>
      <c r="R60" s="106"/>
      <c r="S60" s="101"/>
      <c r="T60" s="102"/>
      <c r="U60" s="94"/>
      <c r="V60" s="95"/>
      <c r="W60" s="104"/>
      <c r="X60" s="103"/>
      <c r="Y60" s="103"/>
      <c r="Z60" s="103"/>
      <c r="AA60" s="99"/>
    </row>
    <row r="61" spans="2:29" ht="3" customHeight="1" x14ac:dyDescent="0.25">
      <c r="B61" s="96"/>
      <c r="C61" s="3"/>
      <c r="E61" s="6"/>
      <c r="F61" s="6"/>
      <c r="G61" s="7"/>
      <c r="H61" s="8"/>
      <c r="I61" s="7"/>
      <c r="J61" s="8"/>
      <c r="K61" s="7"/>
      <c r="L61" s="8"/>
      <c r="M61" s="7"/>
      <c r="N61" s="6"/>
      <c r="Q61" s="2"/>
      <c r="R61" s="105" t="str">
        <f>IF(R58="甲","",IF(OR(S58=0,S58="")=TRUE,"",IF(S58="入力ｴﾗｰ","","乙")))</f>
        <v/>
      </c>
      <c r="S61" s="101"/>
      <c r="U61" s="94"/>
      <c r="V61" s="95"/>
      <c r="W61" s="104"/>
      <c r="X61" s="103"/>
      <c r="Y61" s="103"/>
      <c r="Z61" s="103"/>
      <c r="AA61" s="99"/>
    </row>
    <row r="62" spans="2:29" ht="3" customHeight="1" x14ac:dyDescent="0.25">
      <c r="B62" s="96"/>
      <c r="C62" s="3"/>
      <c r="F62" s="2"/>
      <c r="G62" s="3"/>
      <c r="H62" s="2"/>
      <c r="J62" s="2"/>
      <c r="K62" s="3"/>
      <c r="L62" s="2"/>
      <c r="M62" s="3"/>
      <c r="Q62" s="2"/>
      <c r="R62" s="105"/>
      <c r="S62" s="101"/>
      <c r="U62" s="94"/>
      <c r="V62" s="95"/>
      <c r="W62" s="104"/>
      <c r="X62" s="103"/>
      <c r="Y62" s="103"/>
      <c r="Z62" s="103"/>
      <c r="AA62" s="99"/>
    </row>
    <row r="63" spans="2:29" ht="15" customHeight="1" x14ac:dyDescent="0.25">
      <c r="B63" s="96"/>
      <c r="C63" s="3"/>
      <c r="G63" s="18"/>
      <c r="H63" s="13" t="str">
        <f>IF(I63="","",IF(I63=0,"","L="))</f>
        <v/>
      </c>
      <c r="I63" s="97"/>
      <c r="J63" s="97"/>
      <c r="K63" s="14"/>
      <c r="N63" s="13" t="str">
        <f>IF(O63="","",IF(O63=0,"","L="))</f>
        <v/>
      </c>
      <c r="O63" s="97"/>
      <c r="P63" s="97"/>
      <c r="Q63" s="24" t="str">
        <f>IF(O63="","",IF(O63=0,"","m"))</f>
        <v/>
      </c>
      <c r="R63" s="105"/>
      <c r="S63" s="101"/>
      <c r="U63" s="94"/>
      <c r="V63" s="95"/>
      <c r="W63" s="104"/>
      <c r="X63" s="103"/>
      <c r="Y63" s="103"/>
      <c r="Z63" s="103"/>
      <c r="AA63" s="99"/>
      <c r="AC63" s="1">
        <f>IF(U58="",0,IF(U58&gt;SUM(W58:AA63),U58-SUM(W58:AA63),0))</f>
        <v>0</v>
      </c>
    </row>
    <row r="64" spans="2:29" ht="6" customHeight="1" x14ac:dyDescent="0.2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6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2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1"/>
      <c r="R65" s="10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25">
      <c r="B66" s="96" t="str">
        <f>IF(S66="","",IF(B58="","",1+B58))</f>
        <v/>
      </c>
      <c r="C66" s="3"/>
      <c r="E66" s="13" t="str">
        <f>IF(F66="","",IF(F66=0,"","L="))</f>
        <v/>
      </c>
      <c r="F66" s="97"/>
      <c r="G66" s="97"/>
      <c r="H66" s="14"/>
      <c r="K66" s="13" t="str">
        <f>IF(L66="","",IF(L66=0,"","L="))</f>
        <v/>
      </c>
      <c r="L66" s="97"/>
      <c r="M66" s="97"/>
      <c r="N66" s="14" t="str">
        <f>IF(L66="","",IF(L66=0,"","m"))</f>
        <v/>
      </c>
      <c r="Q66" s="2"/>
      <c r="R66" s="106" t="str">
        <f>IF(OR(S66="入力ｴﾗｰ",S66=0,S66="")=TRUE,"",IF(F66="","甲",IF(F66=0,"甲","")))</f>
        <v/>
      </c>
      <c r="S66" s="101" t="str">
        <f>IF((F66+I71+L66+O71)=0,"",IF((F66+I71+L66+O71)&gt;SUM($AC$1:$AC$3),"入力ｴﾗｰ",SUM($AC$1:$AC$3)-(F66+I71+L66+O71)))</f>
        <v/>
      </c>
      <c r="T66" s="102" t="str">
        <f>IF(S66="","",IF(S66="入力ｴﾗｰ","","m"))</f>
        <v/>
      </c>
      <c r="U66" s="94" t="str">
        <f>IF(B66="","",COUNT(F66,I71,L66,O71)-IF(S66=0,1,0)-V66)</f>
        <v/>
      </c>
      <c r="V66" s="95"/>
      <c r="W66" s="104"/>
      <c r="X66" s="103"/>
      <c r="Y66" s="103"/>
      <c r="Z66" s="103"/>
      <c r="AA66" s="99"/>
    </row>
    <row r="67" spans="2:29" ht="3" customHeight="1" x14ac:dyDescent="0.25">
      <c r="B67" s="96"/>
      <c r="C67" s="3"/>
      <c r="G67" s="3"/>
      <c r="H67" s="2"/>
      <c r="K67" s="3"/>
      <c r="L67" s="2"/>
      <c r="M67" s="3"/>
      <c r="Q67" s="2"/>
      <c r="R67" s="106"/>
      <c r="S67" s="101"/>
      <c r="T67" s="102"/>
      <c r="U67" s="94"/>
      <c r="V67" s="95"/>
      <c r="W67" s="104"/>
      <c r="X67" s="103"/>
      <c r="Y67" s="103"/>
      <c r="Z67" s="103"/>
      <c r="AA67" s="99"/>
    </row>
    <row r="68" spans="2:29" ht="3" customHeight="1" x14ac:dyDescent="0.25">
      <c r="B68" s="96"/>
      <c r="C68" s="3"/>
      <c r="G68" s="3"/>
      <c r="H68" s="2"/>
      <c r="K68" s="3"/>
      <c r="L68" s="2"/>
      <c r="M68" s="5"/>
      <c r="N68" s="4"/>
      <c r="Q68" s="2"/>
      <c r="R68" s="106"/>
      <c r="S68" s="101"/>
      <c r="T68" s="102"/>
      <c r="U68" s="94"/>
      <c r="V68" s="95"/>
      <c r="W68" s="104"/>
      <c r="X68" s="103"/>
      <c r="Y68" s="103"/>
      <c r="Z68" s="103"/>
      <c r="AA68" s="99"/>
    </row>
    <row r="69" spans="2:29" ht="3" customHeight="1" x14ac:dyDescent="0.25">
      <c r="B69" s="96"/>
      <c r="C69" s="3"/>
      <c r="E69" s="6"/>
      <c r="F69" s="6"/>
      <c r="G69" s="7"/>
      <c r="H69" s="8"/>
      <c r="I69" s="7"/>
      <c r="J69" s="8"/>
      <c r="K69" s="7"/>
      <c r="L69" s="8"/>
      <c r="M69" s="7"/>
      <c r="N69" s="6"/>
      <c r="Q69" s="2"/>
      <c r="R69" s="105" t="str">
        <f>IF(R66="甲","",IF(OR(S66=0,S66="")=TRUE,"",IF(S66="入力ｴﾗｰ","","乙")))</f>
        <v/>
      </c>
      <c r="S69" s="101"/>
      <c r="U69" s="94"/>
      <c r="V69" s="95"/>
      <c r="W69" s="104"/>
      <c r="X69" s="103"/>
      <c r="Y69" s="103"/>
      <c r="Z69" s="103"/>
      <c r="AA69" s="99"/>
    </row>
    <row r="70" spans="2:29" ht="3" customHeight="1" x14ac:dyDescent="0.25">
      <c r="B70" s="96"/>
      <c r="C70" s="3"/>
      <c r="F70" s="2"/>
      <c r="G70" s="3"/>
      <c r="H70" s="2"/>
      <c r="K70" s="3"/>
      <c r="L70" s="2"/>
      <c r="M70" s="3"/>
      <c r="Q70" s="2"/>
      <c r="R70" s="105"/>
      <c r="S70" s="101"/>
      <c r="U70" s="94"/>
      <c r="V70" s="95"/>
      <c r="W70" s="104"/>
      <c r="X70" s="103"/>
      <c r="Y70" s="103"/>
      <c r="Z70" s="103"/>
      <c r="AA70" s="99"/>
    </row>
    <row r="71" spans="2:29" ht="15" customHeight="1" x14ac:dyDescent="0.25">
      <c r="B71" s="96"/>
      <c r="C71" s="3"/>
      <c r="G71" s="18"/>
      <c r="H71" s="13" t="str">
        <f>IF(I71="","",IF(I71=0,"","L="))</f>
        <v/>
      </c>
      <c r="I71" s="97"/>
      <c r="J71" s="97"/>
      <c r="K71" s="14"/>
      <c r="N71" s="13" t="str">
        <f>IF(O71="","",IF(O71=0,"","L="))</f>
        <v/>
      </c>
      <c r="O71" s="97"/>
      <c r="P71" s="97"/>
      <c r="Q71" s="24" t="str">
        <f>IF(O71="","",IF(O71=0,"","m"))</f>
        <v/>
      </c>
      <c r="R71" s="105"/>
      <c r="S71" s="101"/>
      <c r="U71" s="94"/>
      <c r="V71" s="95"/>
      <c r="W71" s="104"/>
      <c r="X71" s="103"/>
      <c r="Y71" s="103"/>
      <c r="Z71" s="103"/>
      <c r="AA71" s="99"/>
      <c r="AC71" s="1">
        <f>IF(U66="",0,IF(U66&gt;SUM(W66:AA71),U66-SUM(W66:AA71),0))</f>
        <v>0</v>
      </c>
    </row>
    <row r="72" spans="2:29" ht="6" customHeight="1" x14ac:dyDescent="0.2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/>
      <c r="R72" s="16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2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1"/>
      <c r="R73" s="10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25">
      <c r="B74" s="96" t="str">
        <f>IF(S74="","",IF(B66="","",1+B66))</f>
        <v/>
      </c>
      <c r="C74" s="3"/>
      <c r="E74" s="13" t="str">
        <f>IF(F74="","",IF(F74=0,"","L="))</f>
        <v/>
      </c>
      <c r="F74" s="97"/>
      <c r="G74" s="97"/>
      <c r="H74" s="14"/>
      <c r="K74" s="13" t="str">
        <f>IF(L74="","",IF(L74=0,"","L="))</f>
        <v/>
      </c>
      <c r="L74" s="97"/>
      <c r="M74" s="97"/>
      <c r="N74" s="14" t="str">
        <f>IF(L74="","",IF(L74=0,"","m"))</f>
        <v/>
      </c>
      <c r="Q74" s="2"/>
      <c r="R74" s="106" t="str">
        <f>IF(OR(S74="入力ｴﾗｰ",S74=0,S74="")=TRUE,"",IF(F74="","甲",IF(F74=0,"甲","")))</f>
        <v/>
      </c>
      <c r="S74" s="101" t="str">
        <f>IF((F74+I79+L74+O79)=0,"",IF((F74+I79+L74+O79)&gt;SUM($AC$1:$AC$3),"入力ｴﾗｰ",SUM($AC$1:$AC$3)-(F74+I79+L74+O79)))</f>
        <v/>
      </c>
      <c r="T74" s="102" t="str">
        <f>IF(S74="","",IF(S74="入力ｴﾗｰ","","m"))</f>
        <v/>
      </c>
      <c r="U74" s="94" t="str">
        <f>IF(B74="","",COUNT(F74,I79,L74,O79)-IF(S74=0,1,0)-V74)</f>
        <v/>
      </c>
      <c r="V74" s="95"/>
      <c r="W74" s="104"/>
      <c r="X74" s="103"/>
      <c r="Y74" s="103"/>
      <c r="Z74" s="103"/>
      <c r="AA74" s="99"/>
    </row>
    <row r="75" spans="2:29" ht="3" customHeight="1" x14ac:dyDescent="0.25">
      <c r="B75" s="96"/>
      <c r="C75" s="3"/>
      <c r="G75" s="3"/>
      <c r="H75" s="2"/>
      <c r="K75" s="3"/>
      <c r="L75" s="2"/>
      <c r="M75" s="3"/>
      <c r="Q75" s="2"/>
      <c r="R75" s="106"/>
      <c r="S75" s="101"/>
      <c r="T75" s="102"/>
      <c r="U75" s="94"/>
      <c r="V75" s="95"/>
      <c r="W75" s="104"/>
      <c r="X75" s="103"/>
      <c r="Y75" s="103"/>
      <c r="Z75" s="103"/>
      <c r="AA75" s="99"/>
    </row>
    <row r="76" spans="2:29" ht="3" customHeight="1" x14ac:dyDescent="0.25">
      <c r="B76" s="96"/>
      <c r="C76" s="3"/>
      <c r="G76" s="3"/>
      <c r="H76" s="2"/>
      <c r="K76" s="3"/>
      <c r="L76" s="2"/>
      <c r="M76" s="5"/>
      <c r="N76" s="4"/>
      <c r="Q76" s="2"/>
      <c r="R76" s="106"/>
      <c r="S76" s="101"/>
      <c r="T76" s="102"/>
      <c r="U76" s="94"/>
      <c r="V76" s="95"/>
      <c r="W76" s="104"/>
      <c r="X76" s="103"/>
      <c r="Y76" s="103"/>
      <c r="Z76" s="103"/>
      <c r="AA76" s="99"/>
    </row>
    <row r="77" spans="2:29" ht="3" customHeight="1" x14ac:dyDescent="0.25">
      <c r="B77" s="96"/>
      <c r="C77" s="3"/>
      <c r="E77" s="6"/>
      <c r="F77" s="6"/>
      <c r="G77" s="7"/>
      <c r="H77" s="8"/>
      <c r="I77" s="7"/>
      <c r="J77" s="8"/>
      <c r="K77" s="7"/>
      <c r="L77" s="8"/>
      <c r="M77" s="7"/>
      <c r="N77" s="6"/>
      <c r="Q77" s="2"/>
      <c r="R77" s="105" t="str">
        <f>IF(R74="甲","",IF(OR(S74=0,S74="")=TRUE,"",IF(S74="入力ｴﾗｰ","","乙")))</f>
        <v/>
      </c>
      <c r="S77" s="101"/>
      <c r="U77" s="94"/>
      <c r="V77" s="95"/>
      <c r="W77" s="104"/>
      <c r="X77" s="103"/>
      <c r="Y77" s="103"/>
      <c r="Z77" s="103"/>
      <c r="AA77" s="99"/>
    </row>
    <row r="78" spans="2:29" ht="3" customHeight="1" x14ac:dyDescent="0.25">
      <c r="B78" s="96"/>
      <c r="C78" s="3"/>
      <c r="F78" s="2"/>
      <c r="G78" s="3"/>
      <c r="H78" s="2"/>
      <c r="J78" s="2"/>
      <c r="K78" s="3"/>
      <c r="L78" s="2"/>
      <c r="M78" s="3"/>
      <c r="Q78" s="2"/>
      <c r="R78" s="105"/>
      <c r="S78" s="101"/>
      <c r="U78" s="94"/>
      <c r="V78" s="95"/>
      <c r="W78" s="104"/>
      <c r="X78" s="103"/>
      <c r="Y78" s="103"/>
      <c r="Z78" s="103"/>
      <c r="AA78" s="99"/>
    </row>
    <row r="79" spans="2:29" ht="15" customHeight="1" x14ac:dyDescent="0.25">
      <c r="B79" s="96"/>
      <c r="C79" s="3"/>
      <c r="G79" s="18"/>
      <c r="H79" s="13" t="str">
        <f>IF(I79="","",IF(I79=0,"","L="))</f>
        <v/>
      </c>
      <c r="I79" s="97"/>
      <c r="J79" s="97"/>
      <c r="K79" s="14"/>
      <c r="N79" s="13" t="str">
        <f>IF(O79="","",IF(O79=0,"","L="))</f>
        <v/>
      </c>
      <c r="O79" s="97"/>
      <c r="P79" s="97"/>
      <c r="Q79" s="24" t="str">
        <f>IF(O79="","",IF(O79=0,"","m"))</f>
        <v/>
      </c>
      <c r="R79" s="105"/>
      <c r="S79" s="101"/>
      <c r="U79" s="94"/>
      <c r="V79" s="95"/>
      <c r="W79" s="104"/>
      <c r="X79" s="103"/>
      <c r="Y79" s="103"/>
      <c r="Z79" s="103"/>
      <c r="AA79" s="99"/>
      <c r="AC79" s="1">
        <f>IF(U74="",0,IF(U74&gt;SUM(W74:AA79),U74-SUM(W74:AA79),0))</f>
        <v>0</v>
      </c>
    </row>
    <row r="80" spans="2:29" ht="6" customHeight="1" x14ac:dyDescent="0.2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7"/>
      <c r="R80" s="16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2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1"/>
      <c r="R81" s="10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25">
      <c r="B82" s="96" t="str">
        <f>IF(S82="","",IF(B74="","",1+B74))</f>
        <v/>
      </c>
      <c r="C82" s="3"/>
      <c r="E82" s="13" t="str">
        <f>IF(F82="","",IF(F82=0,"","L="))</f>
        <v/>
      </c>
      <c r="F82" s="97"/>
      <c r="G82" s="97"/>
      <c r="H82" s="14"/>
      <c r="K82" s="13" t="str">
        <f>IF(L82="","",IF(L82=0,"","L="))</f>
        <v/>
      </c>
      <c r="L82" s="97"/>
      <c r="M82" s="97"/>
      <c r="N82" s="14" t="str">
        <f>IF(L82="","",IF(L82=0,"","m"))</f>
        <v/>
      </c>
      <c r="Q82" s="2"/>
      <c r="R82" s="106" t="str">
        <f>IF(OR(S82="入力ｴﾗｰ",S82=0,S82="")=TRUE,"",IF(F82="","甲",IF(F82=0,"甲","")))</f>
        <v/>
      </c>
      <c r="S82" s="101" t="str">
        <f>IF((F82+I87+L82+O87)=0,"",IF((F82+I87+L82+O87)&gt;SUM($AC$1:$AC$3),"入力ｴﾗｰ",SUM($AC$1:$AC$3)-(F82+I87+L82+O87)))</f>
        <v/>
      </c>
      <c r="T82" s="102" t="str">
        <f>IF(S82="","",IF(S82="入力ｴﾗｰ","","m"))</f>
        <v/>
      </c>
      <c r="U82" s="94" t="str">
        <f>IF(B82="","",COUNT(F82,I87,L82,O87)-IF(S82=0,1,0)-V82)</f>
        <v/>
      </c>
      <c r="V82" s="95"/>
      <c r="W82" s="104"/>
      <c r="X82" s="103"/>
      <c r="Y82" s="103"/>
      <c r="Z82" s="103"/>
      <c r="AA82" s="99"/>
    </row>
    <row r="83" spans="2:29" ht="3" customHeight="1" x14ac:dyDescent="0.25">
      <c r="B83" s="96"/>
      <c r="C83" s="3"/>
      <c r="G83" s="3"/>
      <c r="H83" s="2"/>
      <c r="K83" s="3"/>
      <c r="L83" s="2"/>
      <c r="M83" s="3"/>
      <c r="Q83" s="2"/>
      <c r="R83" s="106"/>
      <c r="S83" s="101"/>
      <c r="T83" s="102"/>
      <c r="U83" s="94"/>
      <c r="V83" s="95"/>
      <c r="W83" s="104"/>
      <c r="X83" s="103"/>
      <c r="Y83" s="103"/>
      <c r="Z83" s="103"/>
      <c r="AA83" s="99"/>
    </row>
    <row r="84" spans="2:29" ht="3" customHeight="1" x14ac:dyDescent="0.25">
      <c r="B84" s="96"/>
      <c r="C84" s="3"/>
      <c r="G84" s="3"/>
      <c r="H84" s="2"/>
      <c r="K84" s="3"/>
      <c r="L84" s="2"/>
      <c r="M84" s="5"/>
      <c r="N84" s="4"/>
      <c r="Q84" s="2"/>
      <c r="R84" s="106"/>
      <c r="S84" s="101"/>
      <c r="T84" s="102"/>
      <c r="U84" s="94"/>
      <c r="V84" s="95"/>
      <c r="W84" s="104"/>
      <c r="X84" s="103"/>
      <c r="Y84" s="103"/>
      <c r="Z84" s="103"/>
      <c r="AA84" s="99"/>
    </row>
    <row r="85" spans="2:29" ht="3" customHeight="1" x14ac:dyDescent="0.25">
      <c r="B85" s="96"/>
      <c r="C85" s="3"/>
      <c r="E85" s="6"/>
      <c r="F85" s="6"/>
      <c r="G85" s="7"/>
      <c r="H85" s="8"/>
      <c r="I85" s="7"/>
      <c r="J85" s="8"/>
      <c r="K85" s="7"/>
      <c r="L85" s="8"/>
      <c r="M85" s="7"/>
      <c r="N85" s="6"/>
      <c r="Q85" s="2"/>
      <c r="R85" s="105" t="str">
        <f>IF(R82="甲","",IF(OR(S82=0,S82="")=TRUE,"",IF(S82="入力ｴﾗｰ","","乙")))</f>
        <v/>
      </c>
      <c r="S85" s="101"/>
      <c r="U85" s="94"/>
      <c r="V85" s="95"/>
      <c r="W85" s="104"/>
      <c r="X85" s="103"/>
      <c r="Y85" s="103"/>
      <c r="Z85" s="103"/>
      <c r="AA85" s="99"/>
    </row>
    <row r="86" spans="2:29" ht="3" customHeight="1" x14ac:dyDescent="0.25">
      <c r="B86" s="96"/>
      <c r="C86" s="3"/>
      <c r="F86" s="2"/>
      <c r="G86" s="3"/>
      <c r="H86" s="2"/>
      <c r="K86" s="3"/>
      <c r="L86" s="2"/>
      <c r="M86" s="3"/>
      <c r="Q86" s="2"/>
      <c r="R86" s="105"/>
      <c r="S86" s="101"/>
      <c r="U86" s="94"/>
      <c r="V86" s="95"/>
      <c r="W86" s="104"/>
      <c r="X86" s="103"/>
      <c r="Y86" s="103"/>
      <c r="Z86" s="103"/>
      <c r="AA86" s="99"/>
    </row>
    <row r="87" spans="2:29" ht="15" customHeight="1" x14ac:dyDescent="0.25">
      <c r="B87" s="96"/>
      <c r="C87" s="3"/>
      <c r="G87" s="18"/>
      <c r="H87" s="13" t="str">
        <f>IF(I87="","",IF(I87=0,"","L="))</f>
        <v/>
      </c>
      <c r="I87" s="97"/>
      <c r="J87" s="97"/>
      <c r="K87" s="14"/>
      <c r="N87" s="13" t="str">
        <f>IF(O87="","",IF(O87=0,"","L="))</f>
        <v/>
      </c>
      <c r="O87" s="97"/>
      <c r="P87" s="97"/>
      <c r="Q87" s="24" t="str">
        <f>IF(O87="","",IF(O87=0,"","m"))</f>
        <v/>
      </c>
      <c r="R87" s="105"/>
      <c r="S87" s="101"/>
      <c r="U87" s="94"/>
      <c r="V87" s="95"/>
      <c r="W87" s="104"/>
      <c r="X87" s="103"/>
      <c r="Y87" s="103"/>
      <c r="Z87" s="103"/>
      <c r="AA87" s="99"/>
      <c r="AC87" s="1">
        <f>IF(U82="",0,IF(U82&gt;SUM(W82:AA87),U82-SUM(W82:AA87),0))</f>
        <v>0</v>
      </c>
    </row>
    <row r="88" spans="2:29" ht="6" customHeight="1" x14ac:dyDescent="0.2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/>
      <c r="R88" s="16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2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1"/>
      <c r="R89" s="10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25">
      <c r="B90" s="96" t="str">
        <f>IF(S90="","",IF(B82="","",1+B82))</f>
        <v/>
      </c>
      <c r="C90" s="3"/>
      <c r="E90" s="13" t="str">
        <f>IF(F90="","",IF(F90=0,"","L="))</f>
        <v/>
      </c>
      <c r="F90" s="97"/>
      <c r="G90" s="97"/>
      <c r="H90" s="14"/>
      <c r="K90" s="13" t="str">
        <f>IF(L90="","",IF(L90=0,"","L="))</f>
        <v/>
      </c>
      <c r="L90" s="97"/>
      <c r="M90" s="97"/>
      <c r="N90" s="14" t="str">
        <f>IF(L90="","",IF(L90=0,"","m"))</f>
        <v/>
      </c>
      <c r="Q90" s="2"/>
      <c r="R90" s="106" t="str">
        <f>IF(OR(S90="入力ｴﾗｰ",S90=0,S90="")=TRUE,"",IF(F90="","甲",IF(F90=0,"甲","")))</f>
        <v/>
      </c>
      <c r="S90" s="101" t="str">
        <f>IF((F90+I95+L90+O95)=0,"",IF((F90+I95+L90+O95)&gt;SUM($AC$1:$AC$3),"入力ｴﾗｰ",SUM($AC$1:$AC$3)-(F90+I95+L90+O95)))</f>
        <v/>
      </c>
      <c r="T90" s="102" t="str">
        <f>IF(S90="","",IF(S90="入力ｴﾗｰ","","m"))</f>
        <v/>
      </c>
      <c r="U90" s="94" t="str">
        <f>IF(B90="","",COUNT(F90,I95,L90,O95)-IF(S90=0,1,0)-V90)</f>
        <v/>
      </c>
      <c r="V90" s="95"/>
      <c r="W90" s="104"/>
      <c r="X90" s="103"/>
      <c r="Y90" s="103"/>
      <c r="Z90" s="103"/>
      <c r="AA90" s="99"/>
    </row>
    <row r="91" spans="2:29" ht="3" customHeight="1" x14ac:dyDescent="0.25">
      <c r="B91" s="96"/>
      <c r="C91" s="3"/>
      <c r="G91" s="3"/>
      <c r="H91" s="2"/>
      <c r="K91" s="3"/>
      <c r="L91" s="2"/>
      <c r="M91" s="3"/>
      <c r="Q91" s="2"/>
      <c r="R91" s="106"/>
      <c r="S91" s="101"/>
      <c r="T91" s="102"/>
      <c r="U91" s="94"/>
      <c r="V91" s="95"/>
      <c r="W91" s="104"/>
      <c r="X91" s="103"/>
      <c r="Y91" s="103"/>
      <c r="Z91" s="103"/>
      <c r="AA91" s="99"/>
    </row>
    <row r="92" spans="2:29" ht="3" customHeight="1" x14ac:dyDescent="0.25">
      <c r="B92" s="96"/>
      <c r="C92" s="3"/>
      <c r="G92" s="3"/>
      <c r="H92" s="2"/>
      <c r="K92" s="3"/>
      <c r="L92" s="2"/>
      <c r="M92" s="5"/>
      <c r="N92" s="4"/>
      <c r="Q92" s="2"/>
      <c r="R92" s="106"/>
      <c r="S92" s="101"/>
      <c r="T92" s="102"/>
      <c r="U92" s="94"/>
      <c r="V92" s="95"/>
      <c r="W92" s="104"/>
      <c r="X92" s="103"/>
      <c r="Y92" s="103"/>
      <c r="Z92" s="103"/>
      <c r="AA92" s="99"/>
    </row>
    <row r="93" spans="2:29" ht="3" customHeight="1" x14ac:dyDescent="0.25">
      <c r="B93" s="96"/>
      <c r="C93" s="3"/>
      <c r="E93" s="6"/>
      <c r="F93" s="6"/>
      <c r="G93" s="7"/>
      <c r="H93" s="8"/>
      <c r="I93" s="7"/>
      <c r="J93" s="8"/>
      <c r="K93" s="7"/>
      <c r="L93" s="8"/>
      <c r="M93" s="7"/>
      <c r="N93" s="6"/>
      <c r="Q93" s="2"/>
      <c r="R93" s="105" t="str">
        <f>IF(R90="甲","",IF(OR(S90=0,S90="")=TRUE,"",IF(S90="入力ｴﾗｰ","","乙")))</f>
        <v/>
      </c>
      <c r="S93" s="101"/>
      <c r="U93" s="94"/>
      <c r="V93" s="95"/>
      <c r="W93" s="104"/>
      <c r="X93" s="103"/>
      <c r="Y93" s="103"/>
      <c r="Z93" s="103"/>
      <c r="AA93" s="99"/>
    </row>
    <row r="94" spans="2:29" ht="3" customHeight="1" x14ac:dyDescent="0.25">
      <c r="B94" s="96"/>
      <c r="C94" s="3"/>
      <c r="F94" s="2"/>
      <c r="G94" s="3"/>
      <c r="H94" s="2"/>
      <c r="K94" s="3"/>
      <c r="L94" s="2"/>
      <c r="M94" s="3"/>
      <c r="Q94" s="2"/>
      <c r="R94" s="105"/>
      <c r="S94" s="101"/>
      <c r="U94" s="94"/>
      <c r="V94" s="95"/>
      <c r="W94" s="104"/>
      <c r="X94" s="103"/>
      <c r="Y94" s="103"/>
      <c r="Z94" s="103"/>
      <c r="AA94" s="99"/>
    </row>
    <row r="95" spans="2:29" ht="15" customHeight="1" x14ac:dyDescent="0.25">
      <c r="B95" s="96"/>
      <c r="C95" s="3"/>
      <c r="G95" s="18"/>
      <c r="H95" s="13" t="str">
        <f>IF(I95="","",IF(I95=0,"","L="))</f>
        <v/>
      </c>
      <c r="I95" s="97"/>
      <c r="J95" s="97"/>
      <c r="K95" s="14"/>
      <c r="N95" s="13" t="str">
        <f>IF(O95="","",IF(O95=0,"","L="))</f>
        <v/>
      </c>
      <c r="O95" s="97"/>
      <c r="P95" s="97"/>
      <c r="Q95" s="24" t="str">
        <f>IF(O95="","",IF(O95=0,"","m"))</f>
        <v/>
      </c>
      <c r="R95" s="105"/>
      <c r="S95" s="101"/>
      <c r="U95" s="94"/>
      <c r="V95" s="95"/>
      <c r="W95" s="104"/>
      <c r="X95" s="103"/>
      <c r="Y95" s="103"/>
      <c r="Z95" s="103"/>
      <c r="AA95" s="99"/>
      <c r="AC95" s="1">
        <f>IF(U90="",0,IF(U90&gt;SUM(W90:AA95),U90-SUM(W90:AA95),0))</f>
        <v>0</v>
      </c>
    </row>
    <row r="96" spans="2:29" ht="6" customHeight="1" x14ac:dyDescent="0.2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7"/>
      <c r="R96" s="16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2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1"/>
      <c r="R97" s="10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25">
      <c r="B98" s="96" t="str">
        <f>IF(S98="","",IF(B90="","",1+B90))</f>
        <v/>
      </c>
      <c r="C98" s="3"/>
      <c r="E98" s="13" t="str">
        <f>IF(F98="","",IF(F98=0,"","L="))</f>
        <v/>
      </c>
      <c r="F98" s="97"/>
      <c r="G98" s="97"/>
      <c r="H98" s="14"/>
      <c r="K98" s="13" t="str">
        <f>IF(L98="","",IF(L98=0,"","L="))</f>
        <v/>
      </c>
      <c r="L98" s="97"/>
      <c r="M98" s="97"/>
      <c r="N98" s="14" t="str">
        <f>IF(L98="","",IF(L98=0,"","m"))</f>
        <v/>
      </c>
      <c r="Q98" s="2"/>
      <c r="R98" s="106" t="str">
        <f>IF(OR(S98="入力ｴﾗｰ",S98=0,S98="")=TRUE,"",IF(F98="","甲",IF(F98=0,"甲","")))</f>
        <v/>
      </c>
      <c r="S98" s="101" t="str">
        <f>IF((F98+I103+L98+O103)=0,"",IF((F98+I103+L98+O103)&gt;SUM($AC$1:$AC$3),"入力ｴﾗｰ",SUM($AC$1:$AC$3)-(F98+I103+L98+O103)))</f>
        <v/>
      </c>
      <c r="T98" s="102" t="str">
        <f>IF(S98="","",IF(S98="入力ｴﾗｰ","","m"))</f>
        <v/>
      </c>
      <c r="U98" s="94" t="str">
        <f>IF(B98="","",COUNT(F98,I103,L98,O103)-IF(S98=0,1,0)-V98)</f>
        <v/>
      </c>
      <c r="V98" s="95"/>
      <c r="W98" s="104"/>
      <c r="X98" s="103"/>
      <c r="Y98" s="103"/>
      <c r="Z98" s="103"/>
      <c r="AA98" s="99"/>
    </row>
    <row r="99" spans="2:29" ht="3" customHeight="1" x14ac:dyDescent="0.25">
      <c r="B99" s="96"/>
      <c r="C99" s="3"/>
      <c r="G99" s="3"/>
      <c r="H99" s="2"/>
      <c r="K99" s="3"/>
      <c r="L99" s="2"/>
      <c r="M99" s="3"/>
      <c r="Q99" s="2"/>
      <c r="R99" s="106"/>
      <c r="S99" s="101"/>
      <c r="T99" s="102"/>
      <c r="U99" s="94"/>
      <c r="V99" s="95"/>
      <c r="W99" s="104"/>
      <c r="X99" s="103"/>
      <c r="Y99" s="103"/>
      <c r="Z99" s="103"/>
      <c r="AA99" s="99"/>
    </row>
    <row r="100" spans="2:29" ht="3" customHeight="1" x14ac:dyDescent="0.25">
      <c r="B100" s="96"/>
      <c r="C100" s="3"/>
      <c r="G100" s="3"/>
      <c r="H100" s="2"/>
      <c r="K100" s="3"/>
      <c r="L100" s="2"/>
      <c r="M100" s="5"/>
      <c r="N100" s="4"/>
      <c r="Q100" s="2"/>
      <c r="R100" s="106"/>
      <c r="S100" s="101"/>
      <c r="T100" s="102"/>
      <c r="U100" s="94"/>
      <c r="V100" s="95"/>
      <c r="W100" s="104"/>
      <c r="X100" s="103"/>
      <c r="Y100" s="103"/>
      <c r="Z100" s="103"/>
      <c r="AA100" s="99"/>
    </row>
    <row r="101" spans="2:29" ht="3" customHeight="1" x14ac:dyDescent="0.25">
      <c r="B101" s="96"/>
      <c r="C101" s="3"/>
      <c r="E101" s="6"/>
      <c r="F101" s="6"/>
      <c r="G101" s="7"/>
      <c r="H101" s="8"/>
      <c r="I101" s="7"/>
      <c r="J101" s="8"/>
      <c r="K101" s="7"/>
      <c r="L101" s="8"/>
      <c r="M101" s="7"/>
      <c r="N101" s="6"/>
      <c r="Q101" s="2"/>
      <c r="R101" s="105" t="str">
        <f>IF(R98="甲","",IF(OR(S98=0,S98="")=TRUE,"",IF(S98="入力ｴﾗｰ","","乙")))</f>
        <v/>
      </c>
      <c r="S101" s="101"/>
      <c r="U101" s="94"/>
      <c r="V101" s="95"/>
      <c r="W101" s="104"/>
      <c r="X101" s="103"/>
      <c r="Y101" s="103"/>
      <c r="Z101" s="103"/>
      <c r="AA101" s="99"/>
    </row>
    <row r="102" spans="2:29" ht="3" customHeight="1" x14ac:dyDescent="0.25">
      <c r="B102" s="96"/>
      <c r="C102" s="3"/>
      <c r="F102" s="2"/>
      <c r="G102" s="3"/>
      <c r="H102" s="2"/>
      <c r="K102" s="3"/>
      <c r="L102" s="2"/>
      <c r="M102" s="3"/>
      <c r="Q102" s="2"/>
      <c r="R102" s="105"/>
      <c r="S102" s="101"/>
      <c r="U102" s="94"/>
      <c r="V102" s="95"/>
      <c r="W102" s="104"/>
      <c r="X102" s="103"/>
      <c r="Y102" s="103"/>
      <c r="Z102" s="103"/>
      <c r="AA102" s="99"/>
    </row>
    <row r="103" spans="2:29" ht="15" customHeight="1" x14ac:dyDescent="0.25">
      <c r="B103" s="96"/>
      <c r="C103" s="3"/>
      <c r="G103" s="18"/>
      <c r="H103" s="13" t="str">
        <f>IF(I103="","",IF(I103=0,"","L="))</f>
        <v/>
      </c>
      <c r="I103" s="97"/>
      <c r="J103" s="97"/>
      <c r="K103" s="14"/>
      <c r="N103" s="13" t="str">
        <f>IF(O103="","",IF(O103=0,"","L="))</f>
        <v/>
      </c>
      <c r="O103" s="97"/>
      <c r="P103" s="97"/>
      <c r="Q103" s="24" t="str">
        <f>IF(O103="","",IF(O103=0,"","m"))</f>
        <v/>
      </c>
      <c r="R103" s="105"/>
      <c r="S103" s="101"/>
      <c r="U103" s="94"/>
      <c r="V103" s="95"/>
      <c r="W103" s="104"/>
      <c r="X103" s="103"/>
      <c r="Y103" s="103"/>
      <c r="Z103" s="103"/>
      <c r="AA103" s="99"/>
      <c r="AC103" s="1">
        <f>IF(U98="",0,IF(U98&gt;SUM(W98:AA103),U98-SUM(W98:AA103),0))</f>
        <v>0</v>
      </c>
    </row>
    <row r="104" spans="2:29" ht="6" customHeight="1" x14ac:dyDescent="0.2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7"/>
      <c r="R104" s="16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2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1"/>
      <c r="R105" s="10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25">
      <c r="B106" s="96"/>
      <c r="C106" s="3"/>
      <c r="E106" s="13" t="str">
        <f>IF(F106="","",IF(F106=0,"","L="))</f>
        <v/>
      </c>
      <c r="F106" s="97"/>
      <c r="G106" s="97"/>
      <c r="H106" s="14"/>
      <c r="K106" s="13" t="str">
        <f>IF(L106="","",IF(L106=0,"","L="))</f>
        <v/>
      </c>
      <c r="L106" s="97"/>
      <c r="M106" s="97"/>
      <c r="N106" s="14" t="str">
        <f>IF(L106="","",IF(L106=0,"","m"))</f>
        <v/>
      </c>
      <c r="Q106" s="2"/>
      <c r="R106" s="106" t="str">
        <f>IF(OR(S106="入力ｴﾗｰ",S106=0,S106="")=TRUE,"",IF(F106="","甲",IF(F106=0,"甲","")))</f>
        <v/>
      </c>
      <c r="S106" s="101" t="str">
        <f>IF((F106+I111+L106+O111)=0,"",IF((F106+I111+L106+O111)&gt;SUM($AC$1:$AC$3),"入力ｴﾗｰ",SUM($AC$1:$AC$3)-(F106+I111+L106+O111)))</f>
        <v/>
      </c>
      <c r="T106" s="102" t="str">
        <f>IF(S106="","",IF(S106="入力ｴﾗｰ","","m"))</f>
        <v/>
      </c>
      <c r="U106" s="94" t="str">
        <f>IF(B106="","",COUNT(F106,I111,L106,O111)-IF(S106=0,1,0)-V106)</f>
        <v/>
      </c>
      <c r="V106" s="95"/>
      <c r="W106" s="104"/>
      <c r="X106" s="103"/>
      <c r="Y106" s="103"/>
      <c r="Z106" s="103"/>
      <c r="AA106" s="99"/>
    </row>
    <row r="107" spans="2:29" ht="3" customHeight="1" x14ac:dyDescent="0.25">
      <c r="B107" s="96"/>
      <c r="C107" s="3"/>
      <c r="G107" s="3"/>
      <c r="H107" s="2"/>
      <c r="K107" s="3"/>
      <c r="L107" s="2"/>
      <c r="M107" s="3"/>
      <c r="Q107" s="2"/>
      <c r="R107" s="106"/>
      <c r="S107" s="101"/>
      <c r="T107" s="102"/>
      <c r="U107" s="94"/>
      <c r="V107" s="95"/>
      <c r="W107" s="104"/>
      <c r="X107" s="103"/>
      <c r="Y107" s="103"/>
      <c r="Z107" s="103"/>
      <c r="AA107" s="99"/>
    </row>
    <row r="108" spans="2:29" ht="3" customHeight="1" x14ac:dyDescent="0.25">
      <c r="B108" s="96"/>
      <c r="C108" s="3"/>
      <c r="G108" s="3"/>
      <c r="H108" s="2"/>
      <c r="K108" s="3"/>
      <c r="L108" s="2"/>
      <c r="M108" s="5"/>
      <c r="N108" s="4"/>
      <c r="Q108" s="2"/>
      <c r="R108" s="106"/>
      <c r="S108" s="101"/>
      <c r="T108" s="102"/>
      <c r="U108" s="94"/>
      <c r="V108" s="95"/>
      <c r="W108" s="104"/>
      <c r="X108" s="103"/>
      <c r="Y108" s="103"/>
      <c r="Z108" s="103"/>
      <c r="AA108" s="99"/>
    </row>
    <row r="109" spans="2:29" ht="3" customHeight="1" x14ac:dyDescent="0.25">
      <c r="B109" s="96"/>
      <c r="C109" s="3"/>
      <c r="E109" s="6"/>
      <c r="F109" s="6"/>
      <c r="G109" s="7"/>
      <c r="H109" s="8"/>
      <c r="I109" s="7"/>
      <c r="J109" s="8"/>
      <c r="K109" s="7"/>
      <c r="L109" s="8"/>
      <c r="M109" s="7"/>
      <c r="N109" s="6"/>
      <c r="Q109" s="2"/>
      <c r="R109" s="105" t="str">
        <f>IF(R106="甲","",IF(OR(S106=0,S106="")=TRUE,"",IF(S106="入力ｴﾗｰ","","乙")))</f>
        <v/>
      </c>
      <c r="S109" s="101"/>
      <c r="U109" s="94"/>
      <c r="V109" s="95"/>
      <c r="W109" s="104"/>
      <c r="X109" s="103"/>
      <c r="Y109" s="103"/>
      <c r="Z109" s="103"/>
      <c r="AA109" s="99"/>
    </row>
    <row r="110" spans="2:29" ht="3" customHeight="1" x14ac:dyDescent="0.25">
      <c r="B110" s="96"/>
      <c r="C110" s="3"/>
      <c r="F110" s="2"/>
      <c r="G110" s="3"/>
      <c r="H110" s="2"/>
      <c r="K110" s="3"/>
      <c r="L110" s="2"/>
      <c r="M110" s="3"/>
      <c r="Q110" s="2"/>
      <c r="R110" s="105"/>
      <c r="S110" s="101"/>
      <c r="U110" s="94"/>
      <c r="V110" s="95"/>
      <c r="W110" s="104"/>
      <c r="X110" s="103"/>
      <c r="Y110" s="103"/>
      <c r="Z110" s="103"/>
      <c r="AA110" s="99"/>
    </row>
    <row r="111" spans="2:29" ht="15" customHeight="1" x14ac:dyDescent="0.25">
      <c r="B111" s="96"/>
      <c r="C111" s="3"/>
      <c r="G111" s="18"/>
      <c r="H111" s="13" t="str">
        <f>IF(I111="","",IF(I111=0,"","L="))</f>
        <v/>
      </c>
      <c r="I111" s="97"/>
      <c r="J111" s="97"/>
      <c r="K111" s="14"/>
      <c r="N111" s="13" t="str">
        <f>IF(O111="","",IF(O111=0,"","L="))</f>
        <v/>
      </c>
      <c r="O111" s="97"/>
      <c r="P111" s="97"/>
      <c r="Q111" s="24" t="str">
        <f>IF(O111="","",IF(O111=0,"","m"))</f>
        <v/>
      </c>
      <c r="R111" s="105"/>
      <c r="S111" s="101"/>
      <c r="U111" s="94"/>
      <c r="V111" s="95"/>
      <c r="W111" s="104"/>
      <c r="X111" s="103"/>
      <c r="Y111" s="103"/>
      <c r="Z111" s="103"/>
      <c r="AA111" s="99"/>
      <c r="AC111" s="1">
        <f>IF(U106="",0,IF(U106&gt;SUM(W106:AA111),U106-SUM(W106:AA111),0))</f>
        <v>0</v>
      </c>
    </row>
    <row r="112" spans="2:29" ht="6" customHeight="1" x14ac:dyDescent="0.2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25">
      <c r="B113" s="84" t="s">
        <v>17</v>
      </c>
      <c r="C113" s="85"/>
      <c r="D113" s="85"/>
      <c r="E113" s="85"/>
      <c r="F113" s="86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3">
      <c r="B114" s="87"/>
      <c r="C114" s="88"/>
      <c r="D114" s="88"/>
      <c r="E114" s="88"/>
      <c r="F114" s="89"/>
      <c r="G114" s="25" t="str">
        <f>U2</f>
        <v>NS</v>
      </c>
      <c r="H114" s="88">
        <f>Y2</f>
        <v>150</v>
      </c>
      <c r="I114" s="88"/>
      <c r="J114" s="89"/>
      <c r="K114" s="90">
        <f>IF(B10="",0,LARGE(B10:B111,1))</f>
        <v>0</v>
      </c>
      <c r="L114" s="91"/>
      <c r="M114" s="21"/>
      <c r="N114" s="25"/>
      <c r="O114" s="20"/>
      <c r="P114" s="20"/>
      <c r="Q114" s="21"/>
      <c r="R114" s="92">
        <f>SUM(S10:S111)</f>
        <v>0</v>
      </c>
      <c r="S114" s="93"/>
      <c r="T114" s="20"/>
      <c r="U114" s="51">
        <f t="shared" ref="U114:AA114" si="0">SUM(U10:U111)</f>
        <v>0</v>
      </c>
      <c r="V114" s="79">
        <f t="shared" si="0"/>
        <v>0</v>
      </c>
      <c r="W114" s="73">
        <f t="shared" si="0"/>
        <v>0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B113:F114"/>
    <mergeCell ref="H114:J114"/>
    <mergeCell ref="K114:L114"/>
    <mergeCell ref="R114:S114"/>
    <mergeCell ref="U106:U111"/>
    <mergeCell ref="V106:V111"/>
    <mergeCell ref="B106:B111"/>
    <mergeCell ref="F106:G106"/>
    <mergeCell ref="L106:M106"/>
    <mergeCell ref="R106:R108"/>
    <mergeCell ref="W106:W111"/>
    <mergeCell ref="X106:X111"/>
    <mergeCell ref="I111:J111"/>
    <mergeCell ref="O111:P111"/>
    <mergeCell ref="Y98:Y103"/>
    <mergeCell ref="Z98:Z103"/>
    <mergeCell ref="Y106:Y111"/>
    <mergeCell ref="Z106:Z111"/>
    <mergeCell ref="AA98:AA103"/>
    <mergeCell ref="R101:R103"/>
    <mergeCell ref="S106:S111"/>
    <mergeCell ref="T106:T108"/>
    <mergeCell ref="U98:U103"/>
    <mergeCell ref="V98:V103"/>
    <mergeCell ref="AA106:AA111"/>
    <mergeCell ref="R109:R111"/>
    <mergeCell ref="B98:B103"/>
    <mergeCell ref="F98:G98"/>
    <mergeCell ref="L98:M98"/>
    <mergeCell ref="R98:R100"/>
    <mergeCell ref="W98:W103"/>
    <mergeCell ref="X98:X103"/>
    <mergeCell ref="I103:J103"/>
    <mergeCell ref="O103:P103"/>
    <mergeCell ref="S98:S103"/>
    <mergeCell ref="T98:T100"/>
    <mergeCell ref="B90:B95"/>
    <mergeCell ref="F90:G90"/>
    <mergeCell ref="L90:M90"/>
    <mergeCell ref="R90:R92"/>
    <mergeCell ref="W90:W95"/>
    <mergeCell ref="X90:X95"/>
    <mergeCell ref="I95:J95"/>
    <mergeCell ref="O95:P95"/>
    <mergeCell ref="AA82:AA87"/>
    <mergeCell ref="R85:R87"/>
    <mergeCell ref="S90:S95"/>
    <mergeCell ref="T90:T92"/>
    <mergeCell ref="U82:U87"/>
    <mergeCell ref="V82:V87"/>
    <mergeCell ref="Y82:Y87"/>
    <mergeCell ref="Z82:Z87"/>
    <mergeCell ref="AA90:AA95"/>
    <mergeCell ref="R93:R95"/>
    <mergeCell ref="U90:U95"/>
    <mergeCell ref="V90:V95"/>
    <mergeCell ref="Y90:Y95"/>
    <mergeCell ref="Z90:Z95"/>
    <mergeCell ref="AA74:AA79"/>
    <mergeCell ref="R77:R79"/>
    <mergeCell ref="B82:B87"/>
    <mergeCell ref="F82:G82"/>
    <mergeCell ref="L82:M82"/>
    <mergeCell ref="R82:R84"/>
    <mergeCell ref="W82:W87"/>
    <mergeCell ref="X82:X87"/>
    <mergeCell ref="I87:J87"/>
    <mergeCell ref="O87:P87"/>
    <mergeCell ref="S82:S87"/>
    <mergeCell ref="T82:T84"/>
    <mergeCell ref="Y74:Y79"/>
    <mergeCell ref="Z74:Z79"/>
    <mergeCell ref="B74:B79"/>
    <mergeCell ref="F74:G74"/>
    <mergeCell ref="L74:M74"/>
    <mergeCell ref="R74:R76"/>
    <mergeCell ref="W74:W79"/>
    <mergeCell ref="X74:X79"/>
    <mergeCell ref="I79:J79"/>
    <mergeCell ref="O79:P79"/>
    <mergeCell ref="U74:U79"/>
    <mergeCell ref="V74:V79"/>
    <mergeCell ref="S74:S79"/>
    <mergeCell ref="T74:T76"/>
    <mergeCell ref="B66:B71"/>
    <mergeCell ref="F66:G66"/>
    <mergeCell ref="L66:M66"/>
    <mergeCell ref="R66:R68"/>
    <mergeCell ref="W66:W71"/>
    <mergeCell ref="X66:X71"/>
    <mergeCell ref="I71:J71"/>
    <mergeCell ref="O71:P71"/>
    <mergeCell ref="AA58:AA63"/>
    <mergeCell ref="R61:R63"/>
    <mergeCell ref="S66:S71"/>
    <mergeCell ref="T66:T68"/>
    <mergeCell ref="U58:U63"/>
    <mergeCell ref="V58:V63"/>
    <mergeCell ref="Y58:Y63"/>
    <mergeCell ref="Z58:Z63"/>
    <mergeCell ref="AA66:AA71"/>
    <mergeCell ref="R69:R71"/>
    <mergeCell ref="U66:U71"/>
    <mergeCell ref="V66:V71"/>
    <mergeCell ref="Y66:Y71"/>
    <mergeCell ref="Z66:Z71"/>
    <mergeCell ref="B58:B63"/>
    <mergeCell ref="F58:G58"/>
    <mergeCell ref="L58:M58"/>
    <mergeCell ref="R58:R60"/>
    <mergeCell ref="W58:W63"/>
    <mergeCell ref="X58:X63"/>
    <mergeCell ref="I63:J63"/>
    <mergeCell ref="O63:P63"/>
    <mergeCell ref="S58:S63"/>
    <mergeCell ref="T58:T60"/>
    <mergeCell ref="B50:B55"/>
    <mergeCell ref="F50:G50"/>
    <mergeCell ref="L50:M50"/>
    <mergeCell ref="R50:R52"/>
    <mergeCell ref="W50:W55"/>
    <mergeCell ref="X50:X55"/>
    <mergeCell ref="I55:J55"/>
    <mergeCell ref="O55:P55"/>
    <mergeCell ref="AA42:AA47"/>
    <mergeCell ref="R45:R47"/>
    <mergeCell ref="S50:S55"/>
    <mergeCell ref="T50:T52"/>
    <mergeCell ref="U42:U47"/>
    <mergeCell ref="V42:V47"/>
    <mergeCell ref="Y42:Y47"/>
    <mergeCell ref="Z42:Z47"/>
    <mergeCell ref="AA50:AA55"/>
    <mergeCell ref="R53:R55"/>
    <mergeCell ref="U50:U55"/>
    <mergeCell ref="V50:V55"/>
    <mergeCell ref="Y50:Y55"/>
    <mergeCell ref="Z50:Z55"/>
    <mergeCell ref="AA34:AA39"/>
    <mergeCell ref="R37:R39"/>
    <mergeCell ref="B42:B47"/>
    <mergeCell ref="F42:G42"/>
    <mergeCell ref="L42:M42"/>
    <mergeCell ref="R42:R44"/>
    <mergeCell ref="W42:W47"/>
    <mergeCell ref="X42:X47"/>
    <mergeCell ref="I47:J47"/>
    <mergeCell ref="O47:P47"/>
    <mergeCell ref="S42:S47"/>
    <mergeCell ref="T42:T44"/>
    <mergeCell ref="Y34:Y39"/>
    <mergeCell ref="Z34:Z39"/>
    <mergeCell ref="B34:B39"/>
    <mergeCell ref="F34:G34"/>
    <mergeCell ref="L34:M34"/>
    <mergeCell ref="R34:R36"/>
    <mergeCell ref="W34:W39"/>
    <mergeCell ref="X34:X39"/>
    <mergeCell ref="I39:J39"/>
    <mergeCell ref="O39:P39"/>
    <mergeCell ref="U34:U39"/>
    <mergeCell ref="V34:V39"/>
    <mergeCell ref="S34:S39"/>
    <mergeCell ref="T34:T36"/>
    <mergeCell ref="B26:B31"/>
    <mergeCell ref="F26:G26"/>
    <mergeCell ref="L26:M26"/>
    <mergeCell ref="R26:R28"/>
    <mergeCell ref="W26:W31"/>
    <mergeCell ref="X26:X31"/>
    <mergeCell ref="I31:J31"/>
    <mergeCell ref="O31:P31"/>
    <mergeCell ref="AA18:AA23"/>
    <mergeCell ref="R21:R23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U26:U31"/>
    <mergeCell ref="V26:V31"/>
    <mergeCell ref="Y26:Y31"/>
    <mergeCell ref="Z26:Z31"/>
    <mergeCell ref="C1:Q1"/>
    <mergeCell ref="U2:V3"/>
    <mergeCell ref="I15:J15"/>
    <mergeCell ref="O15:P15"/>
    <mergeCell ref="B18:B23"/>
    <mergeCell ref="F18:G18"/>
    <mergeCell ref="L18:M18"/>
    <mergeCell ref="R18:R20"/>
    <mergeCell ref="I23:J23"/>
    <mergeCell ref="O23:P23"/>
    <mergeCell ref="B10:B15"/>
    <mergeCell ref="F10:G10"/>
    <mergeCell ref="R13:R15"/>
    <mergeCell ref="S18:S23"/>
    <mergeCell ref="T18:T20"/>
    <mergeCell ref="U10:U15"/>
    <mergeCell ref="V10:V15"/>
    <mergeCell ref="U7:V7"/>
    <mergeCell ref="Y2:Z3"/>
    <mergeCell ref="B7:B8"/>
    <mergeCell ref="C7:Q8"/>
    <mergeCell ref="R7:T8"/>
    <mergeCell ref="L10:M10"/>
    <mergeCell ref="R10:R12"/>
    <mergeCell ref="S10:S15"/>
    <mergeCell ref="T10:T12"/>
    <mergeCell ref="AA10:AA15"/>
    <mergeCell ref="W10:W15"/>
    <mergeCell ref="X10:X15"/>
    <mergeCell ref="Y10:Y15"/>
    <mergeCell ref="Z10:Z15"/>
    <mergeCell ref="W7:AA7"/>
  </mergeCells>
  <phoneticPr fontId="2"/>
  <conditionalFormatting sqref="S10:S15 S18:S23 S26:S31 S34:S39 S42:S47 S50:S55 S58:S63 S66:S71 S74:S79 S82:S87 S90:S95 S98:S103 S106:S111">
    <cfRule type="cellIs" dxfId="22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"/>
  <dimension ref="B1:AC114"/>
  <sheetViews>
    <sheetView showGridLines="0" view="pageBreakPreview" topLeftCell="A4" zoomScale="115" zoomScaleNormal="123" zoomScaleSheetLayoutView="115" workbookViewId="0">
      <selection activeCell="J17" sqref="J17"/>
    </sheetView>
  </sheetViews>
  <sheetFormatPr defaultColWidth="9.0703125" defaultRowHeight="12" x14ac:dyDescent="0.25"/>
  <cols>
    <col min="1" max="1" width="0.92578125" style="1" customWidth="1"/>
    <col min="2" max="2" width="8.92578125" style="1" customWidth="1"/>
    <col min="3" max="17" width="2.7109375" style="1" customWidth="1"/>
    <col min="18" max="18" width="2.92578125" style="1" customWidth="1"/>
    <col min="19" max="19" width="5.7109375" style="1" customWidth="1"/>
    <col min="20" max="20" width="2.7109375" style="1" customWidth="1"/>
    <col min="21" max="27" width="5.7109375" style="1" customWidth="1"/>
    <col min="28" max="16384" width="9.0703125" style="1"/>
  </cols>
  <sheetData>
    <row r="1" spans="2:29" x14ac:dyDescent="0.25">
      <c r="B1" s="56" t="s">
        <v>19</v>
      </c>
      <c r="C1" s="112" t="str">
        <f>'白紙(5m)'!C1</f>
        <v>長田（花山町2丁目他）配水管取替工事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25">
      <c r="S2" s="12"/>
      <c r="T2" s="3"/>
      <c r="U2" s="114" t="s">
        <v>23</v>
      </c>
      <c r="V2" s="114"/>
      <c r="W2" s="2"/>
      <c r="X2" s="12"/>
      <c r="Y2" s="114">
        <v>300</v>
      </c>
      <c r="Z2" s="114"/>
      <c r="AA2" s="2"/>
      <c r="AC2" s="1">
        <f>IF(AC1=4,0,IF(Y2&lt;=250,5,0))</f>
        <v>0</v>
      </c>
    </row>
    <row r="3" spans="2:29" ht="12" customHeight="1" x14ac:dyDescent="0.25">
      <c r="S3" s="44" t="s">
        <v>12</v>
      </c>
      <c r="T3" s="15"/>
      <c r="U3" s="115"/>
      <c r="V3" s="115"/>
      <c r="W3" s="17" t="s">
        <v>15</v>
      </c>
      <c r="X3" s="44" t="s">
        <v>14</v>
      </c>
      <c r="Y3" s="115"/>
      <c r="Z3" s="115"/>
      <c r="AA3" s="17" t="s">
        <v>20</v>
      </c>
      <c r="AC3" s="1">
        <f>IF(Y2&gt;250,6,0)</f>
        <v>6</v>
      </c>
    </row>
    <row r="4" spans="2:29" ht="6.75" customHeight="1" x14ac:dyDescent="0.25">
      <c r="S4" s="18"/>
      <c r="U4" s="45"/>
      <c r="V4" s="45"/>
      <c r="X4" s="18"/>
      <c r="Y4" s="45"/>
      <c r="Z4" s="45"/>
    </row>
    <row r="5" spans="2:29" ht="21.75" customHeight="1" x14ac:dyDescent="0.25">
      <c r="B5" s="46" t="s">
        <v>16</v>
      </c>
    </row>
    <row r="6" spans="2:29" ht="6.75" customHeight="1" thickBot="1" x14ac:dyDescent="0.3"/>
    <row r="7" spans="2:29" ht="14.25" customHeight="1" x14ac:dyDescent="0.25">
      <c r="B7" s="116" t="s">
        <v>0</v>
      </c>
      <c r="C7" s="108" t="s">
        <v>3</v>
      </c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09"/>
      <c r="R7" s="117" t="s">
        <v>1</v>
      </c>
      <c r="S7" s="117"/>
      <c r="T7" s="117"/>
      <c r="U7" s="108" t="s">
        <v>2</v>
      </c>
      <c r="V7" s="109"/>
      <c r="W7" s="110" t="s">
        <v>4</v>
      </c>
      <c r="X7" s="110"/>
      <c r="Y7" s="110"/>
      <c r="Z7" s="110"/>
      <c r="AA7" s="111"/>
    </row>
    <row r="8" spans="2:29" ht="10.5" customHeight="1" x14ac:dyDescent="0.25">
      <c r="B8" s="96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20"/>
      <c r="R8" s="119"/>
      <c r="S8" s="119"/>
      <c r="T8" s="119"/>
      <c r="U8" s="74" t="s">
        <v>6</v>
      </c>
      <c r="V8" s="75" t="s">
        <v>35</v>
      </c>
      <c r="W8" s="70" t="s">
        <v>6</v>
      </c>
      <c r="X8" s="32" t="s">
        <v>7</v>
      </c>
      <c r="Y8" s="32" t="s">
        <v>8</v>
      </c>
      <c r="Z8" s="33" t="s">
        <v>9</v>
      </c>
      <c r="AA8" s="34" t="s">
        <v>10</v>
      </c>
    </row>
    <row r="9" spans="2:29" ht="6" customHeight="1" x14ac:dyDescent="0.2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25">
      <c r="B10" s="96">
        <f>IF(S10="","",1)</f>
        <v>1</v>
      </c>
      <c r="C10" s="3"/>
      <c r="E10" s="13" t="str">
        <f>IF(F10="","",IF(F10=0,"","L="))</f>
        <v>L=</v>
      </c>
      <c r="F10" s="97">
        <v>1</v>
      </c>
      <c r="G10" s="97"/>
      <c r="H10" s="14" t="str">
        <f>IF(F10="","",IF(F10=0,"","m"))</f>
        <v>m</v>
      </c>
      <c r="K10" s="13" t="str">
        <f>IF(L10="","",IF(L10=0,"","L="))</f>
        <v/>
      </c>
      <c r="L10" s="97"/>
      <c r="M10" s="97"/>
      <c r="N10" s="14" t="str">
        <f>IF(L10="","",IF(L10=0,"","m"))</f>
        <v/>
      </c>
      <c r="Q10" s="2"/>
      <c r="R10" s="106" t="str">
        <f>IF(OR(S10="入力ｴﾗｰ",S10=0,S10="")=TRUE,"",IF(F10="","甲",IF(F10=0,"甲","")))</f>
        <v/>
      </c>
      <c r="S10" s="101">
        <f>IF((F10+I15+L10+O15)=0,"",IF((F10+I15+L10+O15)&gt;SUM($AC$1:$AC$3),"入力ｴﾗｰ",SUM($AC$1:$AC$3)-(F10+I15+L10+O15)))</f>
        <v>5</v>
      </c>
      <c r="T10" s="102" t="str">
        <f>IF(S10="","",IF(S10="入力ｴﾗｰ","","m"))</f>
        <v>m</v>
      </c>
      <c r="U10" s="94">
        <f>IF(B10="","",COUNT(F10,I15,L10,O15)-IF(S10=0,1,0)-V10)</f>
        <v>1</v>
      </c>
      <c r="V10" s="95"/>
      <c r="W10" s="104">
        <v>1</v>
      </c>
      <c r="X10" s="103"/>
      <c r="Y10" s="103"/>
      <c r="Z10" s="107"/>
      <c r="AA10" s="99"/>
    </row>
    <row r="11" spans="2:29" ht="3" customHeight="1" x14ac:dyDescent="0.25">
      <c r="B11" s="96"/>
      <c r="C11" s="3"/>
      <c r="G11" s="3"/>
      <c r="H11" s="2"/>
      <c r="K11" s="3"/>
      <c r="L11" s="2"/>
      <c r="M11" s="3"/>
      <c r="O11" s="3"/>
      <c r="Q11" s="2"/>
      <c r="R11" s="106"/>
      <c r="S11" s="101"/>
      <c r="T11" s="102"/>
      <c r="U11" s="94"/>
      <c r="V11" s="95"/>
      <c r="W11" s="104"/>
      <c r="X11" s="103"/>
      <c r="Y11" s="103"/>
      <c r="Z11" s="107"/>
      <c r="AA11" s="99"/>
    </row>
    <row r="12" spans="2:29" ht="3" customHeight="1" x14ac:dyDescent="0.25">
      <c r="B12" s="96"/>
      <c r="C12" s="3"/>
      <c r="F12" s="2"/>
      <c r="G12" s="3"/>
      <c r="H12" s="2"/>
      <c r="I12" s="3"/>
      <c r="K12" s="3"/>
      <c r="L12" s="2"/>
      <c r="M12" s="3"/>
      <c r="N12" s="2"/>
      <c r="O12" s="3"/>
      <c r="Q12" s="2"/>
      <c r="R12" s="106"/>
      <c r="S12" s="101"/>
      <c r="T12" s="102"/>
      <c r="U12" s="94"/>
      <c r="V12" s="95"/>
      <c r="W12" s="104"/>
      <c r="X12" s="103"/>
      <c r="Y12" s="103"/>
      <c r="Z12" s="107"/>
      <c r="AA12" s="99"/>
    </row>
    <row r="13" spans="2:29" ht="3" customHeight="1" x14ac:dyDescent="0.25">
      <c r="B13" s="96"/>
      <c r="C13" s="3"/>
      <c r="E13" s="66"/>
      <c r="F13" s="65"/>
      <c r="G13" s="64"/>
      <c r="H13" s="65"/>
      <c r="I13" s="64"/>
      <c r="J13" s="66"/>
      <c r="K13" s="64"/>
      <c r="L13" s="65"/>
      <c r="M13" s="64"/>
      <c r="N13" s="66"/>
      <c r="O13" s="64"/>
      <c r="P13" s="66"/>
      <c r="Q13" s="2"/>
      <c r="R13" s="105" t="str">
        <f>IF(R10="甲","",IF(OR(S10=0,S10="")=TRUE,"",IF(S10="入力ｴﾗｰ","","乙")))</f>
        <v>乙</v>
      </c>
      <c r="S13" s="101"/>
      <c r="U13" s="94"/>
      <c r="V13" s="95"/>
      <c r="W13" s="104"/>
      <c r="X13" s="103"/>
      <c r="Y13" s="103"/>
      <c r="Z13" s="107"/>
      <c r="AA13" s="99"/>
    </row>
    <row r="14" spans="2:29" ht="3" customHeight="1" x14ac:dyDescent="0.25">
      <c r="B14" s="96"/>
      <c r="C14" s="3"/>
      <c r="F14" s="2"/>
      <c r="G14" s="3"/>
      <c r="H14" s="2"/>
      <c r="K14" s="3"/>
      <c r="L14" s="2"/>
      <c r="M14" s="3"/>
      <c r="O14" s="3"/>
      <c r="Q14" s="2"/>
      <c r="R14" s="105"/>
      <c r="S14" s="101"/>
      <c r="U14" s="94"/>
      <c r="V14" s="95"/>
      <c r="W14" s="104"/>
      <c r="X14" s="103"/>
      <c r="Y14" s="103"/>
      <c r="Z14" s="107"/>
      <c r="AA14" s="99"/>
    </row>
    <row r="15" spans="2:29" ht="15" customHeight="1" x14ac:dyDescent="0.25">
      <c r="B15" s="96"/>
      <c r="C15" s="3"/>
      <c r="G15" s="18"/>
      <c r="H15" s="13" t="str">
        <f>IF(I15="","",IF(I15=0,"","L="))</f>
        <v/>
      </c>
      <c r="I15" s="97"/>
      <c r="J15" s="97"/>
      <c r="K15" s="14" t="str">
        <f>IF(I15="","",IF(I15=0,"","m"))</f>
        <v/>
      </c>
      <c r="N15" s="13" t="str">
        <f>IF(O15="","",IF(O15=0,"","L="))</f>
        <v/>
      </c>
      <c r="O15" s="97"/>
      <c r="P15" s="97"/>
      <c r="Q15" s="24" t="str">
        <f>IF(O15="","",IF(O15=0,"","m"))</f>
        <v/>
      </c>
      <c r="R15" s="105"/>
      <c r="S15" s="101"/>
      <c r="U15" s="94"/>
      <c r="V15" s="95"/>
      <c r="W15" s="104"/>
      <c r="X15" s="103"/>
      <c r="Y15" s="103"/>
      <c r="Z15" s="107"/>
      <c r="AA15" s="99"/>
      <c r="AC15" s="1">
        <f>IF(U10="",0,IF(U10&gt;SUM(W10:AA15),U10-SUM(W10:AA15),0))</f>
        <v>0</v>
      </c>
    </row>
    <row r="16" spans="2:29" ht="6" customHeight="1" x14ac:dyDescent="0.2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2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25">
      <c r="B18" s="96" t="str">
        <f>IF(S18="","",IF(B10="","",1+B10))</f>
        <v/>
      </c>
      <c r="C18" s="3"/>
      <c r="E18" s="13" t="str">
        <f>IF(F18="","",IF(F18=0,"","L="))</f>
        <v/>
      </c>
      <c r="F18" s="97"/>
      <c r="G18" s="97"/>
      <c r="H18" s="14" t="str">
        <f>IF(F18="","",IF(F18=0,"","m"))</f>
        <v/>
      </c>
      <c r="K18" s="13" t="str">
        <f>IF(L18="","",IF(L18=0,"","L="))</f>
        <v/>
      </c>
      <c r="L18" s="97"/>
      <c r="M18" s="97"/>
      <c r="N18" s="14" t="str">
        <f>IF(L18="","",IF(L18=0,"","m"))</f>
        <v/>
      </c>
      <c r="Q18" s="2"/>
      <c r="R18" s="106" t="str">
        <f>IF(OR(S18="入力ｴﾗｰ",S18=0,S18="")=TRUE,"",IF(F18="","甲",IF(F18=0,"甲","")))</f>
        <v/>
      </c>
      <c r="S18" s="101" t="str">
        <f>IF((F18+I23+L18+O23)=0,"",IF((F18+I23+L18+O23)&gt;SUM($AC$1:$AC$3),"入力ｴﾗｰ",SUM($AC$1:$AC$3)-(F18+I23+L18+O23)))</f>
        <v/>
      </c>
      <c r="T18" s="102" t="str">
        <f>IF(S18="","",IF(S18="入力ｴﾗｰ","","m"))</f>
        <v/>
      </c>
      <c r="U18" s="94" t="str">
        <f>IF(B18="","",COUNT(F18,I23,L18,O23)-IF(S18=0,1,0)-V18)</f>
        <v/>
      </c>
      <c r="V18" s="95"/>
      <c r="W18" s="104"/>
      <c r="X18" s="103"/>
      <c r="Y18" s="103"/>
      <c r="Z18" s="103"/>
      <c r="AA18" s="99"/>
    </row>
    <row r="19" spans="2:29" ht="3" customHeight="1" x14ac:dyDescent="0.25">
      <c r="B19" s="96"/>
      <c r="C19" s="3"/>
      <c r="G19" s="3"/>
      <c r="H19" s="2"/>
      <c r="K19" s="3"/>
      <c r="L19" s="2"/>
      <c r="M19" s="3"/>
      <c r="O19" s="3"/>
      <c r="Q19" s="2"/>
      <c r="R19" s="106"/>
      <c r="S19" s="101"/>
      <c r="T19" s="102"/>
      <c r="U19" s="94"/>
      <c r="V19" s="95"/>
      <c r="W19" s="104"/>
      <c r="X19" s="103"/>
      <c r="Y19" s="103"/>
      <c r="Z19" s="103"/>
      <c r="AA19" s="99"/>
    </row>
    <row r="20" spans="2:29" ht="3" customHeight="1" x14ac:dyDescent="0.25">
      <c r="B20" s="96"/>
      <c r="C20" s="3"/>
      <c r="E20" s="67"/>
      <c r="F20" s="68"/>
      <c r="G20" s="69"/>
      <c r="H20" s="68"/>
      <c r="I20" s="69"/>
      <c r="J20" s="67"/>
      <c r="K20" s="69"/>
      <c r="L20" s="68"/>
      <c r="M20" s="69"/>
      <c r="N20" s="67"/>
      <c r="O20" s="69"/>
      <c r="P20" s="67"/>
      <c r="Q20" s="2"/>
      <c r="R20" s="106"/>
      <c r="S20" s="101"/>
      <c r="T20" s="102"/>
      <c r="U20" s="94"/>
      <c r="V20" s="95"/>
      <c r="W20" s="104"/>
      <c r="X20" s="103"/>
      <c r="Y20" s="103"/>
      <c r="Z20" s="103"/>
      <c r="AA20" s="99"/>
    </row>
    <row r="21" spans="2:29" ht="3" customHeight="1" x14ac:dyDescent="0.25">
      <c r="B21" s="96"/>
      <c r="C21" s="3"/>
      <c r="F21" s="2"/>
      <c r="G21" s="3"/>
      <c r="H21" s="2"/>
      <c r="I21" s="3"/>
      <c r="J21" s="2"/>
      <c r="K21" s="3"/>
      <c r="L21" s="2"/>
      <c r="M21" s="3"/>
      <c r="O21" s="3"/>
      <c r="Q21" s="2"/>
      <c r="R21" s="105" t="str">
        <f>IF(R18="甲","",IF(OR(S18=0,S18="")=TRUE,"",IF(S18="入力ｴﾗｰ","","乙")))</f>
        <v/>
      </c>
      <c r="S21" s="101"/>
      <c r="U21" s="94"/>
      <c r="V21" s="95"/>
      <c r="W21" s="104"/>
      <c r="X21" s="103"/>
      <c r="Y21" s="103"/>
      <c r="Z21" s="103"/>
      <c r="AA21" s="99"/>
    </row>
    <row r="22" spans="2:29" ht="3" customHeight="1" x14ac:dyDescent="0.25">
      <c r="B22" s="96"/>
      <c r="C22" s="3"/>
      <c r="F22" s="2"/>
      <c r="G22" s="3"/>
      <c r="H22" s="2"/>
      <c r="K22" s="3"/>
      <c r="L22" s="2"/>
      <c r="M22" s="3"/>
      <c r="O22" s="3"/>
      <c r="Q22" s="2"/>
      <c r="R22" s="105"/>
      <c r="S22" s="101"/>
      <c r="U22" s="94"/>
      <c r="V22" s="95"/>
      <c r="W22" s="104"/>
      <c r="X22" s="103"/>
      <c r="Y22" s="103"/>
      <c r="Z22" s="103"/>
      <c r="AA22" s="99"/>
    </row>
    <row r="23" spans="2:29" ht="15" customHeight="1" x14ac:dyDescent="0.25">
      <c r="B23" s="96"/>
      <c r="C23" s="3"/>
      <c r="G23" s="18"/>
      <c r="H23" s="13" t="str">
        <f>IF(I23="","",IF(I23=0,"","L="))</f>
        <v/>
      </c>
      <c r="I23" s="97"/>
      <c r="J23" s="97"/>
      <c r="K23" s="14" t="str">
        <f>IF(I23="","",IF(I23=0,"","m"))</f>
        <v/>
      </c>
      <c r="N23" s="13" t="str">
        <f>IF(O23="","",IF(O23=0,"","L="))</f>
        <v/>
      </c>
      <c r="O23" s="97"/>
      <c r="P23" s="97"/>
      <c r="Q23" s="24" t="str">
        <f>IF(O23="","",IF(O23=0,"","m"))</f>
        <v/>
      </c>
      <c r="R23" s="105"/>
      <c r="S23" s="101"/>
      <c r="U23" s="94"/>
      <c r="V23" s="95"/>
      <c r="W23" s="104"/>
      <c r="X23" s="103"/>
      <c r="Y23" s="103"/>
      <c r="Z23" s="103"/>
      <c r="AA23" s="99"/>
      <c r="AC23" s="1">
        <f>IF(U18="",0,IF(U18&gt;SUM(W18:AA23),U18-SUM(W18:AA23),0))</f>
        <v>0</v>
      </c>
    </row>
    <row r="24" spans="2:29" ht="6" customHeight="1" x14ac:dyDescent="0.2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2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25">
      <c r="B26" s="96" t="str">
        <f>IF(S26="","",IF(B18="","",1+B18))</f>
        <v/>
      </c>
      <c r="C26" s="3"/>
      <c r="E26" s="13" t="str">
        <f>IF(F26="","",IF(F26=0,"","L="))</f>
        <v/>
      </c>
      <c r="F26" s="97"/>
      <c r="G26" s="97"/>
      <c r="H26" s="14" t="str">
        <f>IF(F26="","",IF(F26=0,"","m"))</f>
        <v/>
      </c>
      <c r="K26" s="13" t="str">
        <f>IF(L26="","",IF(L26=0,"","L="))</f>
        <v/>
      </c>
      <c r="L26" s="97"/>
      <c r="M26" s="97"/>
      <c r="N26" s="14" t="str">
        <f>IF(L26="","",IF(L26=0,"","m"))</f>
        <v/>
      </c>
      <c r="R26" s="98" t="str">
        <f>IF(OR(S26="入力ｴﾗｰ",S26=0,S26="")=TRUE,"",IF(F26="","甲",IF(F26=0,"甲","")))</f>
        <v/>
      </c>
      <c r="S26" s="101" t="str">
        <f>IF((F26+I31+L26+O31)=0,"",IF((F26+I31+L26+O31)&gt;SUM($AC$1:$AC$3),"入力ｴﾗｰ",SUM($AC$1:$AC$3)-(F26+I31+L26+O31)))</f>
        <v/>
      </c>
      <c r="T26" s="102" t="str">
        <f>IF(S26="","",IF(S26="入力ｴﾗｰ","","m"))</f>
        <v/>
      </c>
      <c r="U26" s="94" t="str">
        <f>IF(B26="","",COUNT(F26,I31,L26,O31)-IF(S26=0,1,0)-V26)</f>
        <v/>
      </c>
      <c r="V26" s="95"/>
      <c r="W26" s="104"/>
      <c r="X26" s="103"/>
      <c r="Y26" s="103"/>
      <c r="Z26" s="103"/>
      <c r="AA26" s="99"/>
    </row>
    <row r="27" spans="2:29" ht="3" customHeight="1" x14ac:dyDescent="0.25">
      <c r="B27" s="96"/>
      <c r="C27" s="3"/>
      <c r="G27" s="3"/>
      <c r="H27" s="2"/>
      <c r="K27" s="3"/>
      <c r="L27" s="2"/>
      <c r="M27" s="3"/>
      <c r="O27" s="3"/>
      <c r="R27" s="98"/>
      <c r="S27" s="101"/>
      <c r="T27" s="102"/>
      <c r="U27" s="94"/>
      <c r="V27" s="95"/>
      <c r="W27" s="104"/>
      <c r="X27" s="103"/>
      <c r="Y27" s="103"/>
      <c r="Z27" s="103"/>
      <c r="AA27" s="99"/>
    </row>
    <row r="28" spans="2:29" ht="3" customHeight="1" x14ac:dyDescent="0.25">
      <c r="B28" s="96"/>
      <c r="C28" s="3"/>
      <c r="G28" s="3"/>
      <c r="H28" s="2"/>
      <c r="I28" s="3"/>
      <c r="K28" s="3"/>
      <c r="L28" s="2"/>
      <c r="M28" s="3"/>
      <c r="O28" s="3"/>
      <c r="R28" s="98"/>
      <c r="S28" s="101"/>
      <c r="T28" s="102"/>
      <c r="U28" s="94"/>
      <c r="V28" s="95"/>
      <c r="W28" s="104"/>
      <c r="X28" s="103"/>
      <c r="Y28" s="103"/>
      <c r="Z28" s="103"/>
      <c r="AA28" s="99"/>
    </row>
    <row r="29" spans="2:29" ht="3" customHeight="1" x14ac:dyDescent="0.25">
      <c r="B29" s="96"/>
      <c r="C29" s="3"/>
      <c r="E29" s="66"/>
      <c r="F29" s="66"/>
      <c r="G29" s="64"/>
      <c r="H29" s="65"/>
      <c r="I29" s="64"/>
      <c r="J29" s="65"/>
      <c r="K29" s="64"/>
      <c r="L29" s="65"/>
      <c r="M29" s="64"/>
      <c r="N29" s="66"/>
      <c r="O29" s="64"/>
      <c r="P29" s="66"/>
      <c r="R29" s="100" t="str">
        <f>IF(R26="甲","",IF(OR(S26=0,S26="")=TRUE,"",IF(S26="入力ｴﾗｰ","","乙")))</f>
        <v/>
      </c>
      <c r="S29" s="101"/>
      <c r="U29" s="94"/>
      <c r="V29" s="95"/>
      <c r="W29" s="104"/>
      <c r="X29" s="103"/>
      <c r="Y29" s="103"/>
      <c r="Z29" s="103"/>
      <c r="AA29" s="99"/>
    </row>
    <row r="30" spans="2:29" ht="3" customHeight="1" x14ac:dyDescent="0.25">
      <c r="B30" s="96"/>
      <c r="C30" s="3"/>
      <c r="F30" s="2"/>
      <c r="G30" s="3"/>
      <c r="H30" s="2"/>
      <c r="J30" s="2"/>
      <c r="K30" s="3"/>
      <c r="L30" s="2"/>
      <c r="M30" s="3"/>
      <c r="O30" s="3"/>
      <c r="R30" s="100"/>
      <c r="S30" s="101"/>
      <c r="U30" s="94"/>
      <c r="V30" s="95"/>
      <c r="W30" s="104"/>
      <c r="X30" s="103"/>
      <c r="Y30" s="103"/>
      <c r="Z30" s="103"/>
      <c r="AA30" s="99"/>
    </row>
    <row r="31" spans="2:29" ht="15" customHeight="1" x14ac:dyDescent="0.25">
      <c r="B31" s="96"/>
      <c r="C31" s="3"/>
      <c r="G31" s="18"/>
      <c r="H31" s="13" t="str">
        <f>IF(I31="","",IF(I31=0,"","L="))</f>
        <v/>
      </c>
      <c r="I31" s="97"/>
      <c r="J31" s="97"/>
      <c r="K31" s="14" t="str">
        <f>IF(I31="","",IF(I31=0,"","m"))</f>
        <v/>
      </c>
      <c r="N31" s="13" t="str">
        <f>IF(O31="","",IF(O31=0,"","L="))</f>
        <v/>
      </c>
      <c r="O31" s="97"/>
      <c r="P31" s="97"/>
      <c r="Q31" s="14" t="str">
        <f>IF(O31="","",IF(O31=0,"","m"))</f>
        <v/>
      </c>
      <c r="R31" s="100"/>
      <c r="S31" s="101"/>
      <c r="U31" s="94"/>
      <c r="V31" s="95"/>
      <c r="W31" s="104"/>
      <c r="X31" s="103"/>
      <c r="Y31" s="103"/>
      <c r="Z31" s="103"/>
      <c r="AA31" s="99"/>
      <c r="AC31" s="1">
        <f>IF(U26="",0,IF(U26&gt;SUM(W26:AA31),U26-SUM(W26:AA31),0))</f>
        <v>0</v>
      </c>
    </row>
    <row r="32" spans="2:29" ht="6" customHeight="1" x14ac:dyDescent="0.2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2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25">
      <c r="B34" s="96" t="str">
        <f>IF(S34="","",IF(B26="","",1+B26))</f>
        <v/>
      </c>
      <c r="C34" s="3"/>
      <c r="E34" s="13" t="str">
        <f>IF(F34="","",IF(F34=0,"","L="))</f>
        <v/>
      </c>
      <c r="F34" s="97"/>
      <c r="G34" s="97"/>
      <c r="H34" s="14" t="str">
        <f>IF(F34="","",IF(F34=0,"","m"))</f>
        <v/>
      </c>
      <c r="K34" s="13" t="str">
        <f>IF(L34="","",IF(L34=0,"","L="))</f>
        <v/>
      </c>
      <c r="L34" s="97"/>
      <c r="M34" s="97"/>
      <c r="N34" s="14" t="str">
        <f>IF(L34="","",IF(L34=0,"","m"))</f>
        <v/>
      </c>
      <c r="R34" s="98" t="str">
        <f>IF(OR(S34="入力ｴﾗｰ",S34=0,S34="")=TRUE,"",IF(F34="","甲",IF(F34=0,"甲","")))</f>
        <v/>
      </c>
      <c r="S34" s="101" t="str">
        <f>IF((F34+I39+L34+O39)=0,"",IF((F34+I39+L34+O39)&gt;SUM($AC$1:$AC$3),"入力ｴﾗｰ",SUM($AC$1:$AC$3)-(F34+I39+L34+O39)))</f>
        <v/>
      </c>
      <c r="T34" s="102" t="str">
        <f>IF(S34="","",IF(S34="入力ｴﾗｰ","","m"))</f>
        <v/>
      </c>
      <c r="U34" s="94" t="str">
        <f>IF(B34="","",COUNT(F34,I39,L34,O39)-IF(S34=0,1,0)-V34)</f>
        <v/>
      </c>
      <c r="V34" s="95"/>
      <c r="W34" s="104"/>
      <c r="X34" s="103"/>
      <c r="Y34" s="103"/>
      <c r="Z34" s="103"/>
      <c r="AA34" s="99"/>
    </row>
    <row r="35" spans="2:29" ht="3" customHeight="1" x14ac:dyDescent="0.25">
      <c r="B35" s="96"/>
      <c r="C35" s="3"/>
      <c r="G35" s="3"/>
      <c r="H35" s="2"/>
      <c r="K35" s="3"/>
      <c r="L35" s="2"/>
      <c r="M35" s="3"/>
      <c r="O35" s="3"/>
      <c r="R35" s="98"/>
      <c r="S35" s="101"/>
      <c r="T35" s="102"/>
      <c r="U35" s="94"/>
      <c r="V35" s="95"/>
      <c r="W35" s="104"/>
      <c r="X35" s="103"/>
      <c r="Y35" s="103"/>
      <c r="Z35" s="103"/>
      <c r="AA35" s="99"/>
    </row>
    <row r="36" spans="2:29" ht="3" customHeight="1" x14ac:dyDescent="0.25">
      <c r="B36" s="96"/>
      <c r="C36" s="3"/>
      <c r="E36" s="67"/>
      <c r="F36" s="67"/>
      <c r="G36" s="69"/>
      <c r="H36" s="68"/>
      <c r="I36" s="67"/>
      <c r="J36" s="67"/>
      <c r="K36" s="69"/>
      <c r="L36" s="68"/>
      <c r="M36" s="69"/>
      <c r="N36" s="67"/>
      <c r="O36" s="69"/>
      <c r="P36" s="67"/>
      <c r="R36" s="98"/>
      <c r="S36" s="101"/>
      <c r="T36" s="102"/>
      <c r="U36" s="94"/>
      <c r="V36" s="95"/>
      <c r="W36" s="104"/>
      <c r="X36" s="103"/>
      <c r="Y36" s="103"/>
      <c r="Z36" s="103"/>
      <c r="AA36" s="99"/>
    </row>
    <row r="37" spans="2:29" ht="3" customHeight="1" x14ac:dyDescent="0.25">
      <c r="B37" s="96"/>
      <c r="C37" s="3"/>
      <c r="G37" s="3"/>
      <c r="H37" s="2"/>
      <c r="I37" s="3"/>
      <c r="J37" s="2"/>
      <c r="K37" s="3"/>
      <c r="L37" s="2"/>
      <c r="M37" s="3"/>
      <c r="O37" s="3"/>
      <c r="R37" s="100" t="str">
        <f>IF(R34="甲","",IF(OR(S34=0,S34="")=TRUE,"",IF(S34="入力ｴﾗｰ","","乙")))</f>
        <v/>
      </c>
      <c r="S37" s="101"/>
      <c r="U37" s="94"/>
      <c r="V37" s="95"/>
      <c r="W37" s="104"/>
      <c r="X37" s="103"/>
      <c r="Y37" s="103"/>
      <c r="Z37" s="103"/>
      <c r="AA37" s="99"/>
    </row>
    <row r="38" spans="2:29" ht="3" customHeight="1" x14ac:dyDescent="0.25">
      <c r="B38" s="96"/>
      <c r="C38" s="3"/>
      <c r="F38" s="2"/>
      <c r="G38" s="3"/>
      <c r="H38" s="2"/>
      <c r="J38" s="2"/>
      <c r="K38" s="3"/>
      <c r="L38" s="2"/>
      <c r="M38" s="3"/>
      <c r="O38" s="3"/>
      <c r="R38" s="100"/>
      <c r="S38" s="101"/>
      <c r="U38" s="94"/>
      <c r="V38" s="95"/>
      <c r="W38" s="104"/>
      <c r="X38" s="103"/>
      <c r="Y38" s="103"/>
      <c r="Z38" s="103"/>
      <c r="AA38" s="99"/>
    </row>
    <row r="39" spans="2:29" ht="15" customHeight="1" x14ac:dyDescent="0.25">
      <c r="B39" s="96"/>
      <c r="C39" s="3"/>
      <c r="G39" s="18"/>
      <c r="H39" s="13" t="str">
        <f>IF(I39="","",IF(I39=0,"","L="))</f>
        <v/>
      </c>
      <c r="I39" s="97"/>
      <c r="J39" s="97"/>
      <c r="K39" s="14" t="str">
        <f>IF(I39="","",IF(I39=0,"","m"))</f>
        <v/>
      </c>
      <c r="N39" s="13" t="str">
        <f>IF(O39="","",IF(O39=0,"","L="))</f>
        <v/>
      </c>
      <c r="O39" s="97"/>
      <c r="P39" s="97"/>
      <c r="Q39" s="14" t="str">
        <f>IF(O39="","",IF(O39=0,"","m"))</f>
        <v/>
      </c>
      <c r="R39" s="100"/>
      <c r="S39" s="101"/>
      <c r="U39" s="94"/>
      <c r="V39" s="95"/>
      <c r="W39" s="104"/>
      <c r="X39" s="103"/>
      <c r="Y39" s="103"/>
      <c r="Z39" s="103"/>
      <c r="AA39" s="99"/>
      <c r="AC39" s="1">
        <f>IF(U34="",0,IF(U34&gt;SUM(W34:AA39),U34-SUM(W34:AA39),0))</f>
        <v>0</v>
      </c>
    </row>
    <row r="40" spans="2:29" ht="6" customHeight="1" x14ac:dyDescent="0.2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2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25">
      <c r="B42" s="96" t="str">
        <f>IF(S42="","",IF(B34="","",1+B34))</f>
        <v/>
      </c>
      <c r="C42" s="3"/>
      <c r="E42" s="13" t="str">
        <f>IF(F42="","",IF(F42=0,"","L="))</f>
        <v/>
      </c>
      <c r="F42" s="97"/>
      <c r="G42" s="97"/>
      <c r="H42" s="14" t="str">
        <f>IF(F42="","",IF(F42=0,"","m"))</f>
        <v/>
      </c>
      <c r="K42" s="13" t="str">
        <f>IF(L42="","",IF(L42=0,"","L="))</f>
        <v/>
      </c>
      <c r="L42" s="97"/>
      <c r="M42" s="97"/>
      <c r="N42" s="14" t="str">
        <f>IF(L42="","",IF(L42=0,"","m"))</f>
        <v/>
      </c>
      <c r="R42" s="98" t="str">
        <f>IF(OR(S42="入力ｴﾗｰ",S42=0,S42="")=TRUE,"",IF(F42="","甲",IF(F42=0,"甲","")))</f>
        <v/>
      </c>
      <c r="S42" s="101" t="str">
        <f>IF((F42+I47+L42+O47)=0,"",IF((F42+I47+L42+O47)&gt;SUM($AC$1:$AC$3),"入力ｴﾗｰ",SUM($AC$1:$AC$3)-(F42+I47+L42+O47)))</f>
        <v/>
      </c>
      <c r="T42" s="102" t="str">
        <f>IF(S42="","",IF(S42="入力ｴﾗｰ","","m"))</f>
        <v/>
      </c>
      <c r="U42" s="94" t="str">
        <f>IF(B42="","",COUNT(F42,I47,L42,O47)-IF(S42=0,1,0)-V42)</f>
        <v/>
      </c>
      <c r="V42" s="95"/>
      <c r="W42" s="104"/>
      <c r="X42" s="103"/>
      <c r="Y42" s="103"/>
      <c r="Z42" s="103"/>
      <c r="AA42" s="99"/>
    </row>
    <row r="43" spans="2:29" ht="3" customHeight="1" x14ac:dyDescent="0.25">
      <c r="B43" s="96"/>
      <c r="C43" s="3"/>
      <c r="G43" s="3"/>
      <c r="H43" s="2"/>
      <c r="K43" s="3"/>
      <c r="M43" s="3"/>
      <c r="O43" s="3"/>
      <c r="R43" s="98"/>
      <c r="S43" s="101"/>
      <c r="T43" s="102"/>
      <c r="U43" s="94"/>
      <c r="V43" s="95"/>
      <c r="W43" s="104"/>
      <c r="X43" s="103"/>
      <c r="Y43" s="103"/>
      <c r="Z43" s="103"/>
      <c r="AA43" s="99"/>
    </row>
    <row r="44" spans="2:29" ht="3" customHeight="1" x14ac:dyDescent="0.25">
      <c r="B44" s="96"/>
      <c r="C44" s="3"/>
      <c r="G44" s="3"/>
      <c r="H44" s="2"/>
      <c r="K44" s="3"/>
      <c r="M44" s="3"/>
      <c r="O44" s="3"/>
      <c r="R44" s="98"/>
      <c r="S44" s="101"/>
      <c r="T44" s="102"/>
      <c r="U44" s="94"/>
      <c r="V44" s="95"/>
      <c r="W44" s="104"/>
      <c r="X44" s="103"/>
      <c r="Y44" s="103"/>
      <c r="Z44" s="103"/>
      <c r="AA44" s="99"/>
    </row>
    <row r="45" spans="2:29" ht="3" customHeight="1" x14ac:dyDescent="0.25">
      <c r="B45" s="96"/>
      <c r="C45" s="3"/>
      <c r="E45" s="66"/>
      <c r="F45" s="66"/>
      <c r="G45" s="64"/>
      <c r="H45" s="65"/>
      <c r="I45" s="64"/>
      <c r="J45" s="65"/>
      <c r="K45" s="64"/>
      <c r="L45" s="66"/>
      <c r="M45" s="64"/>
      <c r="N45" s="66"/>
      <c r="O45" s="64"/>
      <c r="P45" s="66"/>
      <c r="R45" s="100" t="str">
        <f>IF(R42="甲","",IF(OR(S42=0,S42="")=TRUE,"",IF(S42="入力ｴﾗｰ","","乙")))</f>
        <v/>
      </c>
      <c r="S45" s="101"/>
      <c r="U45" s="94"/>
      <c r="V45" s="95"/>
      <c r="W45" s="104"/>
      <c r="X45" s="103"/>
      <c r="Y45" s="103"/>
      <c r="Z45" s="103"/>
      <c r="AA45" s="99"/>
    </row>
    <row r="46" spans="2:29" ht="3" customHeight="1" x14ac:dyDescent="0.25">
      <c r="B46" s="96"/>
      <c r="C46" s="3"/>
      <c r="F46" s="2"/>
      <c r="G46" s="3"/>
      <c r="H46" s="2"/>
      <c r="J46" s="2"/>
      <c r="K46" s="3"/>
      <c r="M46" s="3"/>
      <c r="O46" s="3"/>
      <c r="R46" s="100"/>
      <c r="S46" s="101"/>
      <c r="U46" s="94"/>
      <c r="V46" s="95"/>
      <c r="W46" s="104"/>
      <c r="X46" s="103"/>
      <c r="Y46" s="103"/>
      <c r="Z46" s="103"/>
      <c r="AA46" s="99"/>
    </row>
    <row r="47" spans="2:29" ht="15" customHeight="1" x14ac:dyDescent="0.25">
      <c r="B47" s="96"/>
      <c r="C47" s="3"/>
      <c r="G47" s="18"/>
      <c r="H47" s="13" t="str">
        <f>IF(I47="","",IF(I47=0,"","L="))</f>
        <v/>
      </c>
      <c r="I47" s="97"/>
      <c r="J47" s="97"/>
      <c r="K47" s="14" t="str">
        <f>IF(I47="","",IF(I47=0,"","m"))</f>
        <v/>
      </c>
      <c r="N47" s="13" t="str">
        <f>IF(O47="","",IF(O47=0,"","L="))</f>
        <v/>
      </c>
      <c r="O47" s="97"/>
      <c r="P47" s="97"/>
      <c r="Q47" s="14" t="str">
        <f>IF(O47="","",IF(O47=0,"","m"))</f>
        <v/>
      </c>
      <c r="R47" s="100"/>
      <c r="S47" s="101"/>
      <c r="U47" s="94"/>
      <c r="V47" s="95"/>
      <c r="W47" s="104"/>
      <c r="X47" s="103"/>
      <c r="Y47" s="103"/>
      <c r="Z47" s="103"/>
      <c r="AA47" s="99"/>
      <c r="AC47" s="1">
        <f>IF(U42="",0,IF(U42&gt;SUM(W42:AA47),U42-SUM(W42:AA47),0))</f>
        <v>0</v>
      </c>
    </row>
    <row r="48" spans="2:29" ht="6" customHeight="1" x14ac:dyDescent="0.2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2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25">
      <c r="B50" s="96" t="str">
        <f>IF(S50="","",IF(B42="","",1+B42))</f>
        <v/>
      </c>
      <c r="C50" s="3"/>
      <c r="E50" s="13" t="str">
        <f>IF(F50="","",IF(F50=0,"","L="))</f>
        <v/>
      </c>
      <c r="F50" s="97"/>
      <c r="G50" s="97"/>
      <c r="H50" s="14" t="str">
        <f>IF(F50="","",IF(F50=0,"","m"))</f>
        <v/>
      </c>
      <c r="K50" s="13" t="str">
        <f>IF(L50="","",IF(L50=0,"","L="))</f>
        <v/>
      </c>
      <c r="L50" s="97"/>
      <c r="M50" s="97"/>
      <c r="N50" s="14" t="str">
        <f>IF(L50="","",IF(L50=0,"","m"))</f>
        <v/>
      </c>
      <c r="R50" s="98" t="str">
        <f>IF(OR(S50="入力ｴﾗｰ",S50=0,S50="")=TRUE,"",IF(F50="","甲",IF(F50=0,"甲","")))</f>
        <v/>
      </c>
      <c r="S50" s="101" t="str">
        <f>IF((F50+I55+L50+O55)=0,"",IF((F50+I55+L50+O55)&gt;SUM($AC$1:$AC$3),"入力ｴﾗｰ",SUM($AC$1:$AC$3)-(F50+I55+L50+O55)))</f>
        <v/>
      </c>
      <c r="T50" s="102" t="str">
        <f>IF(S50="","",IF(S50="入力ｴﾗｰ","","m"))</f>
        <v/>
      </c>
      <c r="U50" s="94" t="str">
        <f>IF(B50="","",COUNT(F50,I55,L50,O55)-IF(S50=0,1,0)-V50)</f>
        <v/>
      </c>
      <c r="V50" s="95"/>
      <c r="W50" s="104"/>
      <c r="X50" s="103"/>
      <c r="Y50" s="103"/>
      <c r="Z50" s="103"/>
      <c r="AA50" s="99"/>
    </row>
    <row r="51" spans="2:29" ht="3" customHeight="1" x14ac:dyDescent="0.25">
      <c r="B51" s="96"/>
      <c r="C51" s="3"/>
      <c r="G51" s="3"/>
      <c r="I51" s="3"/>
      <c r="K51" s="3"/>
      <c r="L51" s="2"/>
      <c r="O51" s="3"/>
      <c r="R51" s="98"/>
      <c r="S51" s="101"/>
      <c r="T51" s="102"/>
      <c r="U51" s="94"/>
      <c r="V51" s="95"/>
      <c r="W51" s="104"/>
      <c r="X51" s="103"/>
      <c r="Y51" s="103"/>
      <c r="Z51" s="103"/>
      <c r="AA51" s="99"/>
    </row>
    <row r="52" spans="2:29" ht="3" customHeight="1" x14ac:dyDescent="0.25">
      <c r="B52" s="96"/>
      <c r="C52" s="3"/>
      <c r="E52" s="67"/>
      <c r="F52" s="67"/>
      <c r="G52" s="69"/>
      <c r="H52" s="67"/>
      <c r="I52" s="69"/>
      <c r="J52" s="67"/>
      <c r="K52" s="69"/>
      <c r="L52" s="68"/>
      <c r="M52" s="67"/>
      <c r="N52" s="67"/>
      <c r="O52" s="69"/>
      <c r="P52" s="67"/>
      <c r="R52" s="98"/>
      <c r="S52" s="101"/>
      <c r="T52" s="102"/>
      <c r="U52" s="94"/>
      <c r="V52" s="95"/>
      <c r="W52" s="104"/>
      <c r="X52" s="103"/>
      <c r="Y52" s="103"/>
      <c r="Z52" s="103"/>
      <c r="AA52" s="99"/>
    </row>
    <row r="53" spans="2:29" ht="3" customHeight="1" x14ac:dyDescent="0.25">
      <c r="B53" s="96"/>
      <c r="C53" s="3"/>
      <c r="G53" s="3"/>
      <c r="I53" s="3"/>
      <c r="K53" s="3"/>
      <c r="L53" s="2"/>
      <c r="O53" s="3"/>
      <c r="R53" s="100" t="str">
        <f>IF(R50="甲","",IF(OR(S50=0,S50="")=TRUE,"",IF(S50="入力ｴﾗｰ","","乙")))</f>
        <v/>
      </c>
      <c r="S53" s="101"/>
      <c r="U53" s="94"/>
      <c r="V53" s="95"/>
      <c r="W53" s="104"/>
      <c r="X53" s="103"/>
      <c r="Y53" s="103"/>
      <c r="Z53" s="103"/>
      <c r="AA53" s="99"/>
    </row>
    <row r="54" spans="2:29" ht="3" customHeight="1" x14ac:dyDescent="0.25">
      <c r="B54" s="96"/>
      <c r="C54" s="3"/>
      <c r="F54" s="2"/>
      <c r="G54" s="3"/>
      <c r="I54" s="3"/>
      <c r="K54" s="3"/>
      <c r="L54" s="2"/>
      <c r="O54" s="3"/>
      <c r="R54" s="100"/>
      <c r="S54" s="101"/>
      <c r="U54" s="94"/>
      <c r="V54" s="95"/>
      <c r="W54" s="104"/>
      <c r="X54" s="103"/>
      <c r="Y54" s="103"/>
      <c r="Z54" s="103"/>
      <c r="AA54" s="99"/>
    </row>
    <row r="55" spans="2:29" ht="15" customHeight="1" x14ac:dyDescent="0.25">
      <c r="B55" s="96"/>
      <c r="C55" s="3"/>
      <c r="G55" s="18"/>
      <c r="H55" s="13" t="str">
        <f>IF(I55="","",IF(I55=0,"","L="))</f>
        <v/>
      </c>
      <c r="I55" s="97"/>
      <c r="J55" s="97"/>
      <c r="K55" s="14" t="str">
        <f>IF(I55="","",IF(I55=0,"","m"))</f>
        <v/>
      </c>
      <c r="N55" s="13" t="str">
        <f>IF(O55="","",IF(O55=0,"","L="))</f>
        <v/>
      </c>
      <c r="O55" s="97"/>
      <c r="P55" s="97"/>
      <c r="Q55" s="14" t="str">
        <f>IF(O55="","",IF(O55=0,"","m"))</f>
        <v/>
      </c>
      <c r="R55" s="100"/>
      <c r="S55" s="101"/>
      <c r="U55" s="94"/>
      <c r="V55" s="95"/>
      <c r="W55" s="104"/>
      <c r="X55" s="103"/>
      <c r="Y55" s="103"/>
      <c r="Z55" s="103"/>
      <c r="AA55" s="99"/>
      <c r="AC55" s="1">
        <f>IF(U50="",0,IF(U50&gt;SUM(W50:AA55),U50-SUM(W50:AA55),0))</f>
        <v>0</v>
      </c>
    </row>
    <row r="56" spans="2:29" ht="6" customHeight="1" x14ac:dyDescent="0.2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2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25">
      <c r="B58" s="96" t="str">
        <f>IF(S58="","",IF(B50="","",1+B50))</f>
        <v/>
      </c>
      <c r="C58" s="3"/>
      <c r="E58" s="13" t="str">
        <f>IF(F58="","",IF(F58=0,"","L="))</f>
        <v/>
      </c>
      <c r="F58" s="97"/>
      <c r="G58" s="97"/>
      <c r="H58" s="14" t="str">
        <f>IF(F58="","",IF(F58=0,"","m"))</f>
        <v/>
      </c>
      <c r="K58" s="13" t="str">
        <f>IF(L58="","",IF(L58=0,"","L="))</f>
        <v/>
      </c>
      <c r="L58" s="97"/>
      <c r="M58" s="97"/>
      <c r="N58" s="14" t="str">
        <f>IF(L58="","",IF(L58=0,"","m"))</f>
        <v/>
      </c>
      <c r="R58" s="98" t="str">
        <f>IF(OR(S58="入力ｴﾗｰ",S58=0,S58="")=TRUE,"",IF(F58="","甲",IF(F58=0,"甲","")))</f>
        <v/>
      </c>
      <c r="S58" s="101" t="str">
        <f>IF((F58+I63+L58+O63)=0,"",IF((F58+I63+L58+O63)&gt;SUM($AC$1:$AC$3),"入力ｴﾗｰ",SUM($AC$1:$AC$3)-(F58+I63+L58+O63)))</f>
        <v/>
      </c>
      <c r="T58" s="102" t="str">
        <f>IF(S58="","",IF(S58="入力ｴﾗｰ","","m"))</f>
        <v/>
      </c>
      <c r="U58" s="94" t="str">
        <f>IF(B58="","",COUNT(F58,I63,L58,O63)-IF(S58=0,1,0)-V58)</f>
        <v/>
      </c>
      <c r="V58" s="95"/>
      <c r="W58" s="104"/>
      <c r="X58" s="103"/>
      <c r="Y58" s="103"/>
      <c r="Z58" s="103"/>
      <c r="AA58" s="99"/>
    </row>
    <row r="59" spans="2:29" ht="3" customHeight="1" x14ac:dyDescent="0.25">
      <c r="B59" s="96"/>
      <c r="C59" s="3"/>
      <c r="G59" s="3"/>
      <c r="I59" s="3"/>
      <c r="J59" s="2"/>
      <c r="K59" s="3"/>
      <c r="L59" s="2"/>
      <c r="M59" s="3"/>
      <c r="O59" s="3"/>
      <c r="R59" s="98"/>
      <c r="S59" s="101"/>
      <c r="T59" s="102"/>
      <c r="U59" s="94"/>
      <c r="V59" s="95"/>
      <c r="W59" s="104"/>
      <c r="X59" s="103"/>
      <c r="Y59" s="103"/>
      <c r="Z59" s="103"/>
      <c r="AA59" s="99"/>
    </row>
    <row r="60" spans="2:29" ht="3" customHeight="1" x14ac:dyDescent="0.25">
      <c r="B60" s="96"/>
      <c r="C60" s="3"/>
      <c r="G60" s="3"/>
      <c r="H60" s="67"/>
      <c r="I60" s="69"/>
      <c r="J60" s="68"/>
      <c r="K60" s="69"/>
      <c r="L60" s="68"/>
      <c r="M60" s="69"/>
      <c r="N60" s="67"/>
      <c r="O60" s="69"/>
      <c r="P60" s="67"/>
      <c r="R60" s="98"/>
      <c r="S60" s="101"/>
      <c r="T60" s="102"/>
      <c r="U60" s="94"/>
      <c r="V60" s="95"/>
      <c r="W60" s="104"/>
      <c r="X60" s="103"/>
      <c r="Y60" s="103"/>
      <c r="Z60" s="103"/>
      <c r="AA60" s="99"/>
    </row>
    <row r="61" spans="2:29" ht="3" customHeight="1" x14ac:dyDescent="0.25">
      <c r="B61" s="96"/>
      <c r="C61" s="3"/>
      <c r="E61" s="66"/>
      <c r="F61" s="66"/>
      <c r="G61" s="64"/>
      <c r="I61" s="3"/>
      <c r="J61" s="2"/>
      <c r="K61" s="3"/>
      <c r="L61" s="2"/>
      <c r="M61" s="3"/>
      <c r="O61" s="3"/>
      <c r="R61" s="100" t="str">
        <f>IF(R58="甲","",IF(OR(S58=0,S58="")=TRUE,"",IF(S58="入力ｴﾗｰ","","乙")))</f>
        <v/>
      </c>
      <c r="S61" s="101"/>
      <c r="U61" s="94"/>
      <c r="V61" s="95"/>
      <c r="W61" s="104"/>
      <c r="X61" s="103"/>
      <c r="Y61" s="103"/>
      <c r="Z61" s="103"/>
      <c r="AA61" s="99"/>
    </row>
    <row r="62" spans="2:29" ht="3" customHeight="1" x14ac:dyDescent="0.25">
      <c r="B62" s="96"/>
      <c r="C62" s="3"/>
      <c r="F62" s="2"/>
      <c r="G62" s="3"/>
      <c r="I62" s="3"/>
      <c r="J62" s="2"/>
      <c r="K62" s="3"/>
      <c r="L62" s="2"/>
      <c r="M62" s="3"/>
      <c r="O62" s="3"/>
      <c r="R62" s="100"/>
      <c r="S62" s="101"/>
      <c r="U62" s="94"/>
      <c r="V62" s="95"/>
      <c r="W62" s="104"/>
      <c r="X62" s="103"/>
      <c r="Y62" s="103"/>
      <c r="Z62" s="103"/>
      <c r="AA62" s="99"/>
    </row>
    <row r="63" spans="2:29" ht="15" customHeight="1" x14ac:dyDescent="0.25">
      <c r="B63" s="96"/>
      <c r="C63" s="3"/>
      <c r="G63" s="18"/>
      <c r="H63" s="13" t="str">
        <f>IF(I63="","",IF(I63=0,"","L="))</f>
        <v/>
      </c>
      <c r="I63" s="97"/>
      <c r="J63" s="97"/>
      <c r="K63" s="14" t="str">
        <f>IF(I63="","",IF(I63=0,"","m"))</f>
        <v/>
      </c>
      <c r="N63" s="13" t="str">
        <f>IF(O63="","",IF(O63=0,"","L="))</f>
        <v/>
      </c>
      <c r="O63" s="97"/>
      <c r="P63" s="97"/>
      <c r="Q63" s="14" t="str">
        <f>IF(O63="","",IF(O63=0,"","m"))</f>
        <v/>
      </c>
      <c r="R63" s="100"/>
      <c r="S63" s="101"/>
      <c r="U63" s="94"/>
      <c r="V63" s="95"/>
      <c r="W63" s="104"/>
      <c r="X63" s="103"/>
      <c r="Y63" s="103"/>
      <c r="Z63" s="103"/>
      <c r="AA63" s="99"/>
      <c r="AC63" s="1">
        <f>IF(U58="",0,IF(U58&gt;SUM(W58:AA63),U58-SUM(W58:AA63),0))</f>
        <v>0</v>
      </c>
    </row>
    <row r="64" spans="2:29" ht="6" customHeight="1" x14ac:dyDescent="0.2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2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25">
      <c r="B66" s="96" t="str">
        <f>IF(S66="","",IF(B58="","",1+B58))</f>
        <v/>
      </c>
      <c r="C66" s="3"/>
      <c r="E66" s="13" t="str">
        <f>IF(F66="","",IF(F66=0,"","L="))</f>
        <v/>
      </c>
      <c r="F66" s="97"/>
      <c r="G66" s="97"/>
      <c r="H66" s="14" t="str">
        <f>IF(F66="","",IF(F66=0,"","m"))</f>
        <v/>
      </c>
      <c r="K66" s="13" t="str">
        <f>IF(L66="","",IF(L66=0,"","L="))</f>
        <v/>
      </c>
      <c r="L66" s="97"/>
      <c r="M66" s="97"/>
      <c r="N66" s="14" t="str">
        <f>IF(L66="","",IF(L66=0,"","m"))</f>
        <v/>
      </c>
      <c r="R66" s="98" t="str">
        <f>IF(OR(S66="入力ｴﾗｰ",S66=0,S66="")=TRUE,"",IF(F66="","甲",IF(F66=0,"甲","")))</f>
        <v/>
      </c>
      <c r="S66" s="101" t="str">
        <f>IF((F66+I71+L66+O71)=0,"",IF((F66+I71+L66+O71)&gt;SUM($AC$1:$AC$3),"入力ｴﾗｰ",SUM($AC$1:$AC$3)-(F66+I71+L66+O71)))</f>
        <v/>
      </c>
      <c r="T66" s="102" t="str">
        <f>IF(S66="","",IF(S66="入力ｴﾗｰ","","m"))</f>
        <v/>
      </c>
      <c r="U66" s="94" t="str">
        <f>IF(B66="","",COUNT(F66,I71,L66,O71)-IF(S66=0,1,0)-V66)</f>
        <v/>
      </c>
      <c r="V66" s="95"/>
      <c r="W66" s="104"/>
      <c r="X66" s="103"/>
      <c r="Y66" s="103"/>
      <c r="Z66" s="103"/>
      <c r="AA66" s="99"/>
    </row>
    <row r="67" spans="2:29" ht="3" customHeight="1" x14ac:dyDescent="0.25">
      <c r="B67" s="96"/>
      <c r="C67" s="3"/>
      <c r="G67" s="3"/>
      <c r="H67" s="2"/>
      <c r="K67" s="3"/>
      <c r="L67" s="2"/>
      <c r="M67" s="3"/>
      <c r="O67" s="3"/>
      <c r="R67" s="98"/>
      <c r="S67" s="101"/>
      <c r="T67" s="102"/>
      <c r="U67" s="94"/>
      <c r="V67" s="95"/>
      <c r="W67" s="104"/>
      <c r="X67" s="103"/>
      <c r="Y67" s="103"/>
      <c r="Z67" s="103"/>
      <c r="AA67" s="99"/>
    </row>
    <row r="68" spans="2:29" ht="3" customHeight="1" x14ac:dyDescent="0.25">
      <c r="B68" s="96"/>
      <c r="C68" s="3"/>
      <c r="E68" s="67"/>
      <c r="F68" s="67"/>
      <c r="G68" s="69"/>
      <c r="H68" s="68"/>
      <c r="I68" s="67"/>
      <c r="J68" s="67"/>
      <c r="K68" s="69"/>
      <c r="L68" s="68"/>
      <c r="M68" s="69"/>
      <c r="N68" s="67"/>
      <c r="O68" s="69"/>
      <c r="P68" s="67"/>
      <c r="R68" s="98"/>
      <c r="S68" s="101"/>
      <c r="T68" s="102"/>
      <c r="U68" s="94"/>
      <c r="V68" s="95"/>
      <c r="W68" s="104"/>
      <c r="X68" s="103"/>
      <c r="Y68" s="103"/>
      <c r="Z68" s="103"/>
      <c r="AA68" s="99"/>
    </row>
    <row r="69" spans="2:29" ht="3" customHeight="1" x14ac:dyDescent="0.25">
      <c r="B69" s="96"/>
      <c r="C69" s="3"/>
      <c r="F69" s="2"/>
      <c r="G69" s="3"/>
      <c r="H69" s="2"/>
      <c r="I69" s="3"/>
      <c r="J69" s="2"/>
      <c r="K69" s="3"/>
      <c r="L69" s="2"/>
      <c r="M69" s="3"/>
      <c r="O69" s="3"/>
      <c r="R69" s="100" t="str">
        <f>IF(R66="甲","",IF(OR(S66=0,S66="")=TRUE,"",IF(S66="入力ｴﾗｰ","","乙")))</f>
        <v/>
      </c>
      <c r="S69" s="101"/>
      <c r="U69" s="94"/>
      <c r="V69" s="95"/>
      <c r="W69" s="104"/>
      <c r="X69" s="103"/>
      <c r="Y69" s="103"/>
      <c r="Z69" s="103"/>
      <c r="AA69" s="99"/>
    </row>
    <row r="70" spans="2:29" ht="3" customHeight="1" x14ac:dyDescent="0.25">
      <c r="B70" s="96"/>
      <c r="C70" s="3"/>
      <c r="F70" s="2"/>
      <c r="G70" s="3"/>
      <c r="H70" s="2"/>
      <c r="K70" s="3"/>
      <c r="L70" s="2"/>
      <c r="M70" s="3"/>
      <c r="O70" s="3"/>
      <c r="R70" s="100"/>
      <c r="S70" s="101"/>
      <c r="U70" s="94"/>
      <c r="V70" s="95"/>
      <c r="W70" s="104"/>
      <c r="X70" s="103"/>
      <c r="Y70" s="103"/>
      <c r="Z70" s="103"/>
      <c r="AA70" s="99"/>
    </row>
    <row r="71" spans="2:29" ht="15" customHeight="1" x14ac:dyDescent="0.25">
      <c r="B71" s="96"/>
      <c r="C71" s="3"/>
      <c r="G71" s="18"/>
      <c r="H71" s="13" t="str">
        <f>IF(I71="","",IF(I71=0,"","L="))</f>
        <v/>
      </c>
      <c r="I71" s="97"/>
      <c r="J71" s="97"/>
      <c r="K71" s="14" t="str">
        <f>IF(I71="","",IF(I71=0,"","m"))</f>
        <v/>
      </c>
      <c r="N71" s="13" t="str">
        <f>IF(O71="","",IF(O71=0,"","L="))</f>
        <v/>
      </c>
      <c r="O71" s="97"/>
      <c r="P71" s="97"/>
      <c r="Q71" s="14" t="str">
        <f>IF(O71="","",IF(O71=0,"","m"))</f>
        <v/>
      </c>
      <c r="R71" s="100"/>
      <c r="S71" s="101"/>
      <c r="U71" s="94"/>
      <c r="V71" s="95"/>
      <c r="W71" s="104"/>
      <c r="X71" s="103"/>
      <c r="Y71" s="103"/>
      <c r="Z71" s="103"/>
      <c r="AA71" s="99"/>
      <c r="AC71" s="1">
        <f>IF(U66="",0,IF(U66&gt;SUM(W66:AA71),U66-SUM(W66:AA71),0))</f>
        <v>0</v>
      </c>
    </row>
    <row r="72" spans="2:29" ht="6" customHeight="1" x14ac:dyDescent="0.2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2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25">
      <c r="B74" s="96" t="str">
        <f>IF(S74="","",IF(B66="","",1+B66))</f>
        <v/>
      </c>
      <c r="C74" s="3"/>
      <c r="E74" s="13" t="str">
        <f>IF(F74="","",IF(F74=0,"","L="))</f>
        <v/>
      </c>
      <c r="F74" s="97"/>
      <c r="G74" s="97"/>
      <c r="H74" s="14" t="str">
        <f>IF(F74="","",IF(F74=0,"","m"))</f>
        <v/>
      </c>
      <c r="K74" s="13" t="str">
        <f>IF(L74="","",IF(L74=0,"","L="))</f>
        <v/>
      </c>
      <c r="L74" s="97"/>
      <c r="M74" s="97"/>
      <c r="N74" s="14" t="str">
        <f>IF(L74="","",IF(L74=0,"","m"))</f>
        <v/>
      </c>
      <c r="R74" s="98" t="str">
        <f>IF(OR(S74="入力ｴﾗｰ",S74=0,S74="")=TRUE,"",IF(F74="","甲",IF(F74=0,"甲","")))</f>
        <v/>
      </c>
      <c r="S74" s="101" t="str">
        <f>IF((F74+I79+L74+O79)=0,"",IF((F74+I79+L74+O79)&gt;SUM($AC$1:$AC$3),"入力ｴﾗｰ",SUM($AC$1:$AC$3)-(F74+I79+L74+O79)))</f>
        <v/>
      </c>
      <c r="T74" s="102" t="str">
        <f>IF(S74="","",IF(S74="入力ｴﾗｰ","","m"))</f>
        <v/>
      </c>
      <c r="U74" s="94" t="str">
        <f>IF(B74="","",COUNT(F74,I79,L74,O79)-IF(S74=0,1,0)-V74)</f>
        <v/>
      </c>
      <c r="V74" s="95"/>
      <c r="W74" s="104"/>
      <c r="X74" s="103"/>
      <c r="Y74" s="103"/>
      <c r="Z74" s="103"/>
      <c r="AA74" s="99"/>
    </row>
    <row r="75" spans="2:29" ht="3" customHeight="1" x14ac:dyDescent="0.25">
      <c r="B75" s="96"/>
      <c r="C75" s="3"/>
      <c r="G75" s="3"/>
      <c r="H75" s="2"/>
      <c r="K75" s="3"/>
      <c r="L75" s="2"/>
      <c r="M75" s="3"/>
      <c r="O75" s="3"/>
      <c r="R75" s="98"/>
      <c r="S75" s="101"/>
      <c r="T75" s="102"/>
      <c r="U75" s="94"/>
      <c r="V75" s="95"/>
      <c r="W75" s="104"/>
      <c r="X75" s="103"/>
      <c r="Y75" s="103"/>
      <c r="Z75" s="103"/>
      <c r="AA75" s="99"/>
    </row>
    <row r="76" spans="2:29" ht="3" customHeight="1" x14ac:dyDescent="0.25">
      <c r="B76" s="96"/>
      <c r="C76" s="3"/>
      <c r="G76" s="3"/>
      <c r="H76" s="2"/>
      <c r="I76" s="67"/>
      <c r="J76" s="67"/>
      <c r="K76" s="69"/>
      <c r="L76" s="68"/>
      <c r="M76" s="69"/>
      <c r="N76" s="67"/>
      <c r="O76" s="69"/>
      <c r="P76" s="67"/>
      <c r="R76" s="98"/>
      <c r="S76" s="101"/>
      <c r="T76" s="102"/>
      <c r="U76" s="94"/>
      <c r="V76" s="95"/>
      <c r="W76" s="104"/>
      <c r="X76" s="103"/>
      <c r="Y76" s="103"/>
      <c r="Z76" s="103"/>
      <c r="AA76" s="99"/>
    </row>
    <row r="77" spans="2:29" ht="3" customHeight="1" x14ac:dyDescent="0.25">
      <c r="B77" s="96"/>
      <c r="C77" s="3"/>
      <c r="E77" s="66"/>
      <c r="F77" s="65"/>
      <c r="G77" s="64"/>
      <c r="H77" s="65"/>
      <c r="J77" s="2"/>
      <c r="K77" s="3"/>
      <c r="L77" s="2"/>
      <c r="M77" s="3"/>
      <c r="O77" s="3"/>
      <c r="R77" s="100" t="str">
        <f>IF(R74="甲","",IF(OR(S74=0,S74="")=TRUE,"",IF(S74="入力ｴﾗｰ","","乙")))</f>
        <v/>
      </c>
      <c r="S77" s="101"/>
      <c r="U77" s="94"/>
      <c r="V77" s="95"/>
      <c r="W77" s="104"/>
      <c r="X77" s="103"/>
      <c r="Y77" s="103"/>
      <c r="Z77" s="103"/>
      <c r="AA77" s="99"/>
    </row>
    <row r="78" spans="2:29" ht="3" customHeight="1" x14ac:dyDescent="0.25">
      <c r="B78" s="96"/>
      <c r="C78" s="3"/>
      <c r="F78" s="2"/>
      <c r="G78" s="3"/>
      <c r="H78" s="2"/>
      <c r="J78" s="2"/>
      <c r="K78" s="3"/>
      <c r="L78" s="2"/>
      <c r="M78" s="3"/>
      <c r="O78" s="3"/>
      <c r="R78" s="100"/>
      <c r="S78" s="101"/>
      <c r="U78" s="94"/>
      <c r="V78" s="95"/>
      <c r="W78" s="104"/>
      <c r="X78" s="103"/>
      <c r="Y78" s="103"/>
      <c r="Z78" s="103"/>
      <c r="AA78" s="99"/>
    </row>
    <row r="79" spans="2:29" ht="15" customHeight="1" x14ac:dyDescent="0.25">
      <c r="B79" s="96"/>
      <c r="C79" s="3"/>
      <c r="G79" s="18"/>
      <c r="H79" s="13" t="str">
        <f>IF(I79="","",IF(I79=0,"","L="))</f>
        <v/>
      </c>
      <c r="I79" s="97"/>
      <c r="J79" s="97"/>
      <c r="K79" s="14" t="str">
        <f>IF(I79="","",IF(I79=0,"","m"))</f>
        <v/>
      </c>
      <c r="N79" s="13" t="str">
        <f>IF(O79="","",IF(O79=0,"","L="))</f>
        <v/>
      </c>
      <c r="O79" s="97"/>
      <c r="P79" s="97"/>
      <c r="Q79" s="14" t="str">
        <f>IF(O79="","",IF(O79=0,"","m"))</f>
        <v/>
      </c>
      <c r="R79" s="100"/>
      <c r="S79" s="101"/>
      <c r="U79" s="94"/>
      <c r="V79" s="95"/>
      <c r="W79" s="104"/>
      <c r="X79" s="103"/>
      <c r="Y79" s="103"/>
      <c r="Z79" s="103"/>
      <c r="AA79" s="99"/>
      <c r="AC79" s="1">
        <f>IF(U74="",0,IF(U74&gt;SUM(W74:AA79),U74-SUM(W74:AA79),0))</f>
        <v>0</v>
      </c>
    </row>
    <row r="80" spans="2:29" ht="6" customHeight="1" x14ac:dyDescent="0.2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2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25">
      <c r="B82" s="96" t="str">
        <f>IF(S82="","",IF(B74="","",1+B74))</f>
        <v/>
      </c>
      <c r="C82" s="3"/>
      <c r="E82" s="13" t="str">
        <f>IF(F82="","",IF(F82=0,"","L="))</f>
        <v/>
      </c>
      <c r="F82" s="97"/>
      <c r="G82" s="97"/>
      <c r="H82" s="14" t="str">
        <f>IF(F82="","",IF(F82=0,"","m"))</f>
        <v/>
      </c>
      <c r="K82" s="13" t="str">
        <f>IF(L82="","",IF(L82=0,"","L="))</f>
        <v/>
      </c>
      <c r="L82" s="97"/>
      <c r="M82" s="97"/>
      <c r="N82" s="14" t="str">
        <f>IF(L82="","",IF(L82=0,"","m"))</f>
        <v/>
      </c>
      <c r="R82" s="98" t="str">
        <f>IF(OR(S82="入力ｴﾗｰ",S82=0,S82="")=TRUE,"",IF(F82="","甲",IF(F82=0,"甲","")))</f>
        <v/>
      </c>
      <c r="S82" s="101" t="str">
        <f>IF((F82+I87+L82+O87)=0,"",IF((F82+I87+L82+O87)&gt;SUM($AC$1:$AC$3),"入力ｴﾗｰ",SUM($AC$1:$AC$3)-(F82+I87+L82+O87)))</f>
        <v/>
      </c>
      <c r="T82" s="102" t="str">
        <f>IF(S82="","",IF(S82="入力ｴﾗｰ","","m"))</f>
        <v/>
      </c>
      <c r="U82" s="94" t="str">
        <f>IF(B82="","",COUNT(F82,I87,L82,O87)-IF(S82=0,1,0)-V82)</f>
        <v/>
      </c>
      <c r="V82" s="95"/>
      <c r="W82" s="104"/>
      <c r="X82" s="103"/>
      <c r="Y82" s="103"/>
      <c r="Z82" s="103"/>
      <c r="AA82" s="99"/>
    </row>
    <row r="83" spans="2:29" ht="3" customHeight="1" x14ac:dyDescent="0.25">
      <c r="B83" s="96"/>
      <c r="C83" s="3"/>
      <c r="G83" s="3"/>
      <c r="I83" s="3"/>
      <c r="K83" s="3"/>
      <c r="L83" s="2"/>
      <c r="M83" s="3"/>
      <c r="O83" s="3"/>
      <c r="R83" s="98"/>
      <c r="S83" s="101"/>
      <c r="T83" s="102"/>
      <c r="U83" s="94"/>
      <c r="V83" s="95"/>
      <c r="W83" s="104"/>
      <c r="X83" s="103"/>
      <c r="Y83" s="103"/>
      <c r="Z83" s="103"/>
      <c r="AA83" s="99"/>
    </row>
    <row r="84" spans="2:29" ht="3" customHeight="1" x14ac:dyDescent="0.25">
      <c r="B84" s="96"/>
      <c r="C84" s="3"/>
      <c r="E84" s="67"/>
      <c r="F84" s="67"/>
      <c r="G84" s="69"/>
      <c r="H84" s="67"/>
      <c r="I84" s="69"/>
      <c r="J84" s="67"/>
      <c r="K84" s="69"/>
      <c r="L84" s="68"/>
      <c r="M84" s="69"/>
      <c r="N84" s="67"/>
      <c r="O84" s="69"/>
      <c r="P84" s="67"/>
      <c r="R84" s="98"/>
      <c r="S84" s="101"/>
      <c r="T84" s="102"/>
      <c r="U84" s="94"/>
      <c r="V84" s="95"/>
      <c r="W84" s="104"/>
      <c r="X84" s="103"/>
      <c r="Y84" s="103"/>
      <c r="Z84" s="103"/>
      <c r="AA84" s="99"/>
    </row>
    <row r="85" spans="2:29" ht="3" customHeight="1" x14ac:dyDescent="0.25">
      <c r="B85" s="96"/>
      <c r="C85" s="3"/>
      <c r="G85" s="3"/>
      <c r="H85" s="2"/>
      <c r="I85" s="3"/>
      <c r="J85" s="2"/>
      <c r="K85" s="3"/>
      <c r="L85" s="2"/>
      <c r="M85" s="3"/>
      <c r="O85" s="3"/>
      <c r="R85" s="100" t="str">
        <f>IF(R82="甲","",IF(OR(S82=0,S82="")=TRUE,"",IF(S82="入力ｴﾗｰ","","乙")))</f>
        <v/>
      </c>
      <c r="S85" s="101"/>
      <c r="U85" s="94"/>
      <c r="V85" s="95"/>
      <c r="W85" s="104"/>
      <c r="X85" s="103"/>
      <c r="Y85" s="103"/>
      <c r="Z85" s="103"/>
      <c r="AA85" s="99"/>
    </row>
    <row r="86" spans="2:29" ht="3" customHeight="1" x14ac:dyDescent="0.25">
      <c r="B86" s="96"/>
      <c r="C86" s="3"/>
      <c r="F86" s="2"/>
      <c r="G86" s="3"/>
      <c r="H86" s="2"/>
      <c r="K86" s="3"/>
      <c r="L86" s="2"/>
      <c r="M86" s="3"/>
      <c r="O86" s="3"/>
      <c r="R86" s="100"/>
      <c r="S86" s="101"/>
      <c r="U86" s="94"/>
      <c r="V86" s="95"/>
      <c r="W86" s="104"/>
      <c r="X86" s="103"/>
      <c r="Y86" s="103"/>
      <c r="Z86" s="103"/>
      <c r="AA86" s="99"/>
    </row>
    <row r="87" spans="2:29" ht="15" customHeight="1" x14ac:dyDescent="0.25">
      <c r="B87" s="96"/>
      <c r="C87" s="3"/>
      <c r="G87" s="18"/>
      <c r="H87" s="13" t="str">
        <f>IF(I87="","",IF(I87=0,"","L="))</f>
        <v/>
      </c>
      <c r="I87" s="97"/>
      <c r="J87" s="97"/>
      <c r="K87" s="14" t="str">
        <f>IF(I87="","",IF(I87=0,"","m"))</f>
        <v/>
      </c>
      <c r="N87" s="13" t="str">
        <f>IF(O87="","",IF(O87=0,"","L="))</f>
        <v/>
      </c>
      <c r="O87" s="97"/>
      <c r="P87" s="97"/>
      <c r="Q87" s="14" t="str">
        <f>IF(O87="","",IF(O87=0,"","m"))</f>
        <v/>
      </c>
      <c r="R87" s="100"/>
      <c r="S87" s="101"/>
      <c r="U87" s="94"/>
      <c r="V87" s="95"/>
      <c r="W87" s="104"/>
      <c r="X87" s="103"/>
      <c r="Y87" s="103"/>
      <c r="Z87" s="103"/>
      <c r="AA87" s="99"/>
      <c r="AC87" s="1">
        <f>IF(U82="",0,IF(U82&gt;SUM(W82:AA87),U82-SUM(W82:AA87),0))</f>
        <v>0</v>
      </c>
    </row>
    <row r="88" spans="2:29" ht="6" customHeight="1" x14ac:dyDescent="0.2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2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25">
      <c r="B90" s="96" t="str">
        <f>IF(S90="","",IF(B82="","",1+B82))</f>
        <v/>
      </c>
      <c r="C90" s="3"/>
      <c r="E90" s="13" t="str">
        <f>IF(F90="","",IF(F90=0,"","L="))</f>
        <v/>
      </c>
      <c r="F90" s="97"/>
      <c r="G90" s="97"/>
      <c r="H90" s="14" t="str">
        <f>IF(F90="","",IF(F90=0,"","m"))</f>
        <v/>
      </c>
      <c r="K90" s="13" t="str">
        <f>IF(L90="","",IF(L90=0,"","L="))</f>
        <v/>
      </c>
      <c r="L90" s="97"/>
      <c r="M90" s="97"/>
      <c r="N90" s="14" t="str">
        <f>IF(L90="","",IF(L90=0,"","m"))</f>
        <v/>
      </c>
      <c r="R90" s="98" t="str">
        <f>IF(OR(S90="入力ｴﾗｰ",S90=0,S90="")=TRUE,"",IF(F90="","甲",IF(F90=0,"甲","")))</f>
        <v/>
      </c>
      <c r="S90" s="101" t="str">
        <f>IF((F90+I95+L90+O95)=0,"",IF((F90+I95+L90+O95)&gt;SUM($AC$1:$AC$3),"入力ｴﾗｰ",SUM($AC$1:$AC$3)-(F90+I95+L90+O95)))</f>
        <v/>
      </c>
      <c r="T90" s="102" t="str">
        <f>IF(S90="","",IF(S90="入力ｴﾗｰ","","m"))</f>
        <v/>
      </c>
      <c r="U90" s="94" t="str">
        <f>IF(B90="","",COUNT(F90,I95,L90,O95)-IF(S90=0,1,0)-V90)</f>
        <v/>
      </c>
      <c r="V90" s="95"/>
      <c r="W90" s="104"/>
      <c r="X90" s="103"/>
      <c r="Y90" s="103"/>
      <c r="Z90" s="103"/>
      <c r="AA90" s="99"/>
    </row>
    <row r="91" spans="2:29" ht="3" customHeight="1" x14ac:dyDescent="0.25">
      <c r="B91" s="96"/>
      <c r="C91" s="3"/>
      <c r="G91" s="3"/>
      <c r="H91" s="2"/>
      <c r="K91" s="3"/>
      <c r="L91" s="2"/>
      <c r="M91" s="3"/>
      <c r="O91" s="3"/>
      <c r="R91" s="98"/>
      <c r="S91" s="101"/>
      <c r="T91" s="102"/>
      <c r="U91" s="94"/>
      <c r="V91" s="95"/>
      <c r="W91" s="104"/>
      <c r="X91" s="103"/>
      <c r="Y91" s="103"/>
      <c r="Z91" s="103"/>
      <c r="AA91" s="99"/>
    </row>
    <row r="92" spans="2:29" ht="3" customHeight="1" x14ac:dyDescent="0.25">
      <c r="B92" s="96"/>
      <c r="C92" s="3"/>
      <c r="G92" s="3"/>
      <c r="H92" s="68"/>
      <c r="I92" s="67"/>
      <c r="J92" s="67"/>
      <c r="K92" s="69"/>
      <c r="L92" s="68"/>
      <c r="M92" s="69"/>
      <c r="N92" s="67"/>
      <c r="O92" s="69"/>
      <c r="P92" s="67"/>
      <c r="R92" s="98"/>
      <c r="S92" s="101"/>
      <c r="T92" s="102"/>
      <c r="U92" s="94"/>
      <c r="V92" s="95"/>
      <c r="W92" s="104"/>
      <c r="X92" s="103"/>
      <c r="Y92" s="103"/>
      <c r="Z92" s="103"/>
      <c r="AA92" s="99"/>
    </row>
    <row r="93" spans="2:29" ht="3" customHeight="1" x14ac:dyDescent="0.25">
      <c r="B93" s="96"/>
      <c r="C93" s="3"/>
      <c r="E93" s="66"/>
      <c r="F93" s="65"/>
      <c r="G93" s="64"/>
      <c r="H93" s="2"/>
      <c r="I93" s="3"/>
      <c r="J93" s="2"/>
      <c r="K93" s="3"/>
      <c r="L93" s="2"/>
      <c r="M93" s="3"/>
      <c r="O93" s="3"/>
      <c r="R93" s="100" t="str">
        <f>IF(R90="甲","",IF(OR(S90=0,S90="")=TRUE,"",IF(S90="入力ｴﾗｰ","","乙")))</f>
        <v/>
      </c>
      <c r="S93" s="101"/>
      <c r="U93" s="94"/>
      <c r="V93" s="95"/>
      <c r="W93" s="104"/>
      <c r="X93" s="103"/>
      <c r="Y93" s="103"/>
      <c r="Z93" s="103"/>
      <c r="AA93" s="99"/>
    </row>
    <row r="94" spans="2:29" ht="3" customHeight="1" x14ac:dyDescent="0.25">
      <c r="B94" s="96"/>
      <c r="C94" s="3"/>
      <c r="F94" s="2"/>
      <c r="G94" s="3"/>
      <c r="H94" s="2"/>
      <c r="K94" s="3"/>
      <c r="L94" s="2"/>
      <c r="M94" s="3"/>
      <c r="O94" s="3"/>
      <c r="R94" s="100"/>
      <c r="S94" s="101"/>
      <c r="U94" s="94"/>
      <c r="V94" s="95"/>
      <c r="W94" s="104"/>
      <c r="X94" s="103"/>
      <c r="Y94" s="103"/>
      <c r="Z94" s="103"/>
      <c r="AA94" s="99"/>
    </row>
    <row r="95" spans="2:29" ht="15" customHeight="1" x14ac:dyDescent="0.25">
      <c r="B95" s="96"/>
      <c r="C95" s="3"/>
      <c r="G95" s="18"/>
      <c r="H95" s="13" t="str">
        <f>IF(I95="","",IF(I95=0,"","L="))</f>
        <v/>
      </c>
      <c r="I95" s="97"/>
      <c r="J95" s="97"/>
      <c r="K95" s="14" t="str">
        <f>IF(I95="","",IF(I95=0,"","m"))</f>
        <v/>
      </c>
      <c r="N95" s="13" t="str">
        <f>IF(O95="","",IF(O95=0,"","L="))</f>
        <v/>
      </c>
      <c r="O95" s="97"/>
      <c r="P95" s="97"/>
      <c r="Q95" s="14" t="str">
        <f>IF(O95="","",IF(O95=0,"","m"))</f>
        <v/>
      </c>
      <c r="R95" s="100"/>
      <c r="S95" s="101"/>
      <c r="U95" s="94"/>
      <c r="V95" s="95"/>
      <c r="W95" s="104"/>
      <c r="X95" s="103"/>
      <c r="Y95" s="103"/>
      <c r="Z95" s="103"/>
      <c r="AA95" s="99"/>
      <c r="AC95" s="1">
        <f>IF(U90="",0,IF(U90&gt;SUM(W90:AA95),U90-SUM(W90:AA95),0))</f>
        <v>0</v>
      </c>
    </row>
    <row r="96" spans="2:29" ht="6" customHeight="1" x14ac:dyDescent="0.2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2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25">
      <c r="B98" s="96" t="str">
        <f>IF(S98="","",IF(B90="","",1+B90))</f>
        <v/>
      </c>
      <c r="C98" s="3"/>
      <c r="E98" s="13" t="str">
        <f>IF(F98="","",IF(F98=0,"","L="))</f>
        <v/>
      </c>
      <c r="F98" s="97"/>
      <c r="G98" s="97"/>
      <c r="H98" s="14" t="str">
        <f>IF(F98="","",IF(F98=0,"","m"))</f>
        <v/>
      </c>
      <c r="K98" s="13" t="str">
        <f>IF(L98="","",IF(L98=0,"","L="))</f>
        <v/>
      </c>
      <c r="L98" s="97"/>
      <c r="M98" s="97"/>
      <c r="N98" s="14" t="str">
        <f>IF(L98="","",IF(L98=0,"","m"))</f>
        <v/>
      </c>
      <c r="R98" s="98" t="str">
        <f>IF(OR(S98="入力ｴﾗｰ",S98=0,S98="")=TRUE,"",IF(F98="","甲",IF(F98=0,"甲","")))</f>
        <v/>
      </c>
      <c r="S98" s="101" t="str">
        <f>IF((F98+I103+L98+O103)=0,"",IF((F98+I103+L98+O103)&gt;SUM($AC$1:$AC$3),"入力ｴﾗｰ",SUM($AC$1:$AC$3)-(F98+I103+L98+O103)))</f>
        <v/>
      </c>
      <c r="T98" s="102" t="str">
        <f>IF(S98="","",IF(S98="入力ｴﾗｰ","","m"))</f>
        <v/>
      </c>
      <c r="U98" s="94" t="str">
        <f>IF(B98="","",COUNT(F98,I103,L98,O103)-IF(S98=0,1,0)-V98)</f>
        <v/>
      </c>
      <c r="V98" s="95"/>
      <c r="W98" s="104"/>
      <c r="X98" s="103"/>
      <c r="Y98" s="103"/>
      <c r="Z98" s="103"/>
      <c r="AA98" s="99"/>
    </row>
    <row r="99" spans="2:29" ht="3" customHeight="1" x14ac:dyDescent="0.25">
      <c r="B99" s="96"/>
      <c r="C99" s="3"/>
      <c r="G99" s="3"/>
      <c r="H99" s="2"/>
      <c r="K99" s="3"/>
      <c r="L99" s="2"/>
      <c r="M99" s="3"/>
      <c r="O99" s="3"/>
      <c r="R99" s="98"/>
      <c r="S99" s="101"/>
      <c r="T99" s="102"/>
      <c r="U99" s="94"/>
      <c r="V99" s="95"/>
      <c r="W99" s="104"/>
      <c r="X99" s="103"/>
      <c r="Y99" s="103"/>
      <c r="Z99" s="103"/>
      <c r="AA99" s="99"/>
    </row>
    <row r="100" spans="2:29" ht="3" customHeight="1" x14ac:dyDescent="0.25">
      <c r="B100" s="96"/>
      <c r="C100" s="3"/>
      <c r="E100" s="67"/>
      <c r="F100" s="67"/>
      <c r="G100" s="69"/>
      <c r="H100" s="68"/>
      <c r="I100" s="67"/>
      <c r="J100" s="67"/>
      <c r="K100" s="69"/>
      <c r="L100" s="68"/>
      <c r="M100" s="69"/>
      <c r="N100" s="67"/>
      <c r="O100" s="69"/>
      <c r="P100" s="67"/>
      <c r="R100" s="98"/>
      <c r="S100" s="101"/>
      <c r="T100" s="102"/>
      <c r="U100" s="94"/>
      <c r="V100" s="95"/>
      <c r="W100" s="104"/>
      <c r="X100" s="103"/>
      <c r="Y100" s="103"/>
      <c r="Z100" s="103"/>
      <c r="AA100" s="99"/>
    </row>
    <row r="101" spans="2:29" ht="3" customHeight="1" x14ac:dyDescent="0.25">
      <c r="B101" s="96"/>
      <c r="C101" s="3"/>
      <c r="F101" s="2"/>
      <c r="G101" s="3"/>
      <c r="H101" s="2"/>
      <c r="I101" s="3"/>
      <c r="J101" s="2"/>
      <c r="K101" s="3"/>
      <c r="L101" s="2"/>
      <c r="M101" s="3"/>
      <c r="O101" s="3"/>
      <c r="R101" s="100" t="str">
        <f>IF(R98="甲","",IF(OR(S98=0,S98="")=TRUE,"",IF(S98="入力ｴﾗｰ","","乙")))</f>
        <v/>
      </c>
      <c r="S101" s="101"/>
      <c r="U101" s="94"/>
      <c r="V101" s="95"/>
      <c r="W101" s="104"/>
      <c r="X101" s="103"/>
      <c r="Y101" s="103"/>
      <c r="Z101" s="103"/>
      <c r="AA101" s="99"/>
    </row>
    <row r="102" spans="2:29" ht="3" customHeight="1" x14ac:dyDescent="0.25">
      <c r="B102" s="96"/>
      <c r="C102" s="3"/>
      <c r="F102" s="2"/>
      <c r="G102" s="3"/>
      <c r="H102" s="2"/>
      <c r="K102" s="3"/>
      <c r="L102" s="2"/>
      <c r="M102" s="3"/>
      <c r="O102" s="3"/>
      <c r="R102" s="100"/>
      <c r="S102" s="101"/>
      <c r="U102" s="94"/>
      <c r="V102" s="95"/>
      <c r="W102" s="104"/>
      <c r="X102" s="103"/>
      <c r="Y102" s="103"/>
      <c r="Z102" s="103"/>
      <c r="AA102" s="99"/>
    </row>
    <row r="103" spans="2:29" ht="15" customHeight="1" x14ac:dyDescent="0.25">
      <c r="B103" s="96"/>
      <c r="C103" s="3"/>
      <c r="G103" s="18"/>
      <c r="H103" s="13" t="str">
        <f>IF(I103="","",IF(I103=0,"","L="))</f>
        <v/>
      </c>
      <c r="I103" s="97"/>
      <c r="J103" s="97"/>
      <c r="K103" s="14" t="str">
        <f>IF(I103="","",IF(I103=0,"","m"))</f>
        <v/>
      </c>
      <c r="N103" s="13" t="str">
        <f>IF(O103="","",IF(O103=0,"","L="))</f>
        <v/>
      </c>
      <c r="O103" s="97"/>
      <c r="P103" s="97"/>
      <c r="Q103" s="14" t="str">
        <f>IF(O103="","",IF(O103=0,"","m"))</f>
        <v/>
      </c>
      <c r="R103" s="100"/>
      <c r="S103" s="101"/>
      <c r="U103" s="94"/>
      <c r="V103" s="95"/>
      <c r="W103" s="104"/>
      <c r="X103" s="103"/>
      <c r="Y103" s="103"/>
      <c r="Z103" s="103"/>
      <c r="AA103" s="99"/>
      <c r="AC103" s="1">
        <f>IF(U98="",0,IF(U98&gt;SUM(W98:AA103),U98-SUM(W98:AA103),0))</f>
        <v>0</v>
      </c>
    </row>
    <row r="104" spans="2:29" ht="6" customHeight="1" x14ac:dyDescent="0.2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2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25">
      <c r="B106" s="96" t="str">
        <f>IF(S106="","",IF(B98="","",1+B98))</f>
        <v/>
      </c>
      <c r="C106" s="3"/>
      <c r="E106" s="13" t="str">
        <f>IF(F106="","",IF(F106=0,"","L="))</f>
        <v/>
      </c>
      <c r="F106" s="97"/>
      <c r="G106" s="97"/>
      <c r="H106" s="14" t="str">
        <f>IF(F106="","",IF(F106=0,"","m"))</f>
        <v/>
      </c>
      <c r="K106" s="13" t="str">
        <f>IF(L106="","",IF(L106=0,"","L="))</f>
        <v/>
      </c>
      <c r="L106" s="97"/>
      <c r="M106" s="97"/>
      <c r="N106" s="14" t="str">
        <f>IF(L106="","",IF(L106=0,"","m"))</f>
        <v/>
      </c>
      <c r="R106" s="98" t="str">
        <f>IF(OR(S106="入力ｴﾗｰ",S106=0,S106="")=TRUE,"",IF(F106="","甲",IF(F106=0,"甲","")))</f>
        <v/>
      </c>
      <c r="S106" s="101" t="str">
        <f>IF((F106+I111+L106+O111)=0,"",IF((F106+I111+L106+O111)&gt;SUM($AC$1:$AC$3),"入力ｴﾗｰ",SUM($AC$1:$AC$3)-(F106+I111+L106+O111)))</f>
        <v/>
      </c>
      <c r="T106" s="102" t="str">
        <f>IF(S106="","",IF(S106="入力ｴﾗｰ","","m"))</f>
        <v/>
      </c>
      <c r="U106" s="94" t="str">
        <f>IF(B106="","",COUNT(F106,I111,L106,O111)-IF(S106=0,1,0)-V106)</f>
        <v/>
      </c>
      <c r="V106" s="95"/>
      <c r="W106" s="104"/>
      <c r="X106" s="103"/>
      <c r="Y106" s="103"/>
      <c r="Z106" s="103"/>
      <c r="AA106" s="99"/>
    </row>
    <row r="107" spans="2:29" ht="3" customHeight="1" x14ac:dyDescent="0.25">
      <c r="B107" s="96"/>
      <c r="C107" s="3"/>
      <c r="G107" s="3"/>
      <c r="H107" s="2"/>
      <c r="I107" s="3"/>
      <c r="K107" s="3"/>
      <c r="L107" s="2"/>
      <c r="M107" s="3"/>
      <c r="O107" s="3"/>
      <c r="R107" s="98"/>
      <c r="S107" s="101"/>
      <c r="T107" s="102"/>
      <c r="U107" s="94"/>
      <c r="V107" s="95"/>
      <c r="W107" s="104"/>
      <c r="X107" s="103"/>
      <c r="Y107" s="103"/>
      <c r="Z107" s="103"/>
      <c r="AA107" s="99"/>
    </row>
    <row r="108" spans="2:29" ht="3" customHeight="1" x14ac:dyDescent="0.25">
      <c r="B108" s="96"/>
      <c r="C108" s="3"/>
      <c r="E108" s="67"/>
      <c r="F108" s="67"/>
      <c r="G108" s="69"/>
      <c r="H108" s="68"/>
      <c r="I108" s="69"/>
      <c r="J108" s="67"/>
      <c r="K108" s="69"/>
      <c r="L108" s="68"/>
      <c r="M108" s="69"/>
      <c r="N108" s="67"/>
      <c r="O108" s="69"/>
      <c r="P108" s="67"/>
      <c r="R108" s="98"/>
      <c r="S108" s="101"/>
      <c r="T108" s="102"/>
      <c r="U108" s="94"/>
      <c r="V108" s="95"/>
      <c r="W108" s="104"/>
      <c r="X108" s="103"/>
      <c r="Y108" s="103"/>
      <c r="Z108" s="103"/>
      <c r="AA108" s="99"/>
    </row>
    <row r="109" spans="2:29" ht="3" customHeight="1" x14ac:dyDescent="0.25">
      <c r="B109" s="96"/>
      <c r="C109" s="3"/>
      <c r="G109" s="3"/>
      <c r="H109" s="2"/>
      <c r="I109" s="3"/>
      <c r="J109" s="2"/>
      <c r="K109" s="3"/>
      <c r="L109" s="2"/>
      <c r="M109" s="3"/>
      <c r="O109" s="3"/>
      <c r="R109" s="100" t="str">
        <f>IF(R106="甲","",IF(OR(S106=0,S106="")=TRUE,"",IF(S106="入力ｴﾗｰ","","乙")))</f>
        <v/>
      </c>
      <c r="S109" s="101"/>
      <c r="U109" s="94"/>
      <c r="V109" s="95"/>
      <c r="W109" s="104"/>
      <c r="X109" s="103"/>
      <c r="Y109" s="103"/>
      <c r="Z109" s="103"/>
      <c r="AA109" s="99"/>
    </row>
    <row r="110" spans="2:29" ht="3" customHeight="1" x14ac:dyDescent="0.25">
      <c r="B110" s="96"/>
      <c r="C110" s="3"/>
      <c r="F110" s="2"/>
      <c r="G110" s="3"/>
      <c r="H110" s="2"/>
      <c r="K110" s="3"/>
      <c r="L110" s="2"/>
      <c r="M110" s="3"/>
      <c r="O110" s="3"/>
      <c r="R110" s="100"/>
      <c r="S110" s="101"/>
      <c r="U110" s="94"/>
      <c r="V110" s="95"/>
      <c r="W110" s="104"/>
      <c r="X110" s="103"/>
      <c r="Y110" s="103"/>
      <c r="Z110" s="103"/>
      <c r="AA110" s="99"/>
    </row>
    <row r="111" spans="2:29" ht="15" customHeight="1" x14ac:dyDescent="0.25">
      <c r="B111" s="96"/>
      <c r="C111" s="3"/>
      <c r="G111" s="18"/>
      <c r="H111" s="13" t="str">
        <f>IF(I111="","",IF(I111=0,"","L="))</f>
        <v/>
      </c>
      <c r="I111" s="97"/>
      <c r="J111" s="97"/>
      <c r="K111" s="14" t="str">
        <f>IF(I111="","",IF(I111=0,"","m"))</f>
        <v/>
      </c>
      <c r="N111" s="13" t="str">
        <f>IF(O111="","",IF(O111=0,"","L="))</f>
        <v/>
      </c>
      <c r="O111" s="97"/>
      <c r="P111" s="97"/>
      <c r="Q111" s="14" t="str">
        <f>IF(O111="","",IF(O111=0,"","m"))</f>
        <v/>
      </c>
      <c r="R111" s="100"/>
      <c r="S111" s="101"/>
      <c r="U111" s="94"/>
      <c r="V111" s="95"/>
      <c r="W111" s="104"/>
      <c r="X111" s="103"/>
      <c r="Y111" s="103"/>
      <c r="Z111" s="103"/>
      <c r="AA111" s="99"/>
      <c r="AC111" s="1">
        <f>IF(U106="",0,IF(U106&gt;SUM(W106:AA111),U106-SUM(W106:AA111),0))</f>
        <v>0</v>
      </c>
    </row>
    <row r="112" spans="2:29" ht="6" customHeight="1" x14ac:dyDescent="0.2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25">
      <c r="B113" s="84" t="s">
        <v>17</v>
      </c>
      <c r="C113" s="85"/>
      <c r="D113" s="85"/>
      <c r="E113" s="85"/>
      <c r="F113" s="86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3">
      <c r="B114" s="87"/>
      <c r="C114" s="88"/>
      <c r="D114" s="88"/>
      <c r="E114" s="88"/>
      <c r="F114" s="89"/>
      <c r="G114" s="25" t="str">
        <f>U2</f>
        <v>NS</v>
      </c>
      <c r="H114" s="88">
        <f>Y2</f>
        <v>300</v>
      </c>
      <c r="I114" s="88"/>
      <c r="J114" s="89"/>
      <c r="K114" s="90">
        <f>IF(B10="",0,LARGE(B10:B111,1))</f>
        <v>1</v>
      </c>
      <c r="L114" s="91"/>
      <c r="M114" s="21"/>
      <c r="N114" s="25"/>
      <c r="O114" s="20"/>
      <c r="P114" s="20"/>
      <c r="Q114" s="21"/>
      <c r="R114" s="92">
        <f>SUM(S10:S111)</f>
        <v>5</v>
      </c>
      <c r="S114" s="93"/>
      <c r="T114" s="20"/>
      <c r="U114" s="51">
        <f t="shared" ref="U114:AA114" si="0">SUM(U10:U111)</f>
        <v>1</v>
      </c>
      <c r="V114" s="79">
        <f t="shared" si="0"/>
        <v>0</v>
      </c>
      <c r="W114" s="73">
        <f t="shared" si="0"/>
        <v>1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S10:S15"/>
    <mergeCell ref="T10:T12"/>
    <mergeCell ref="C1:Q1"/>
    <mergeCell ref="U2:V3"/>
    <mergeCell ref="I15:J15"/>
    <mergeCell ref="O15:P15"/>
    <mergeCell ref="Y2:Z3"/>
    <mergeCell ref="B7:B8"/>
    <mergeCell ref="C7:Q8"/>
    <mergeCell ref="R7:T8"/>
    <mergeCell ref="AA10:AA15"/>
    <mergeCell ref="R13:R15"/>
    <mergeCell ref="Y10:Y15"/>
    <mergeCell ref="Z10:Z15"/>
    <mergeCell ref="U7:V7"/>
    <mergeCell ref="W7:AA7"/>
    <mergeCell ref="B26:B31"/>
    <mergeCell ref="F26:G26"/>
    <mergeCell ref="L26:M26"/>
    <mergeCell ref="R26:R28"/>
    <mergeCell ref="W26:W31"/>
    <mergeCell ref="X26:X31"/>
    <mergeCell ref="I31:J31"/>
    <mergeCell ref="O31:P31"/>
    <mergeCell ref="B10:B15"/>
    <mergeCell ref="F10:G10"/>
    <mergeCell ref="S18:S23"/>
    <mergeCell ref="T18:T20"/>
    <mergeCell ref="U10:U15"/>
    <mergeCell ref="V10:V15"/>
    <mergeCell ref="W10:W15"/>
    <mergeCell ref="X10:X15"/>
    <mergeCell ref="B18:B23"/>
    <mergeCell ref="F18:G18"/>
    <mergeCell ref="L18:M18"/>
    <mergeCell ref="R18:R20"/>
    <mergeCell ref="I23:J23"/>
    <mergeCell ref="O23:P23"/>
    <mergeCell ref="L10:M10"/>
    <mergeCell ref="R10:R12"/>
    <mergeCell ref="B34:B39"/>
    <mergeCell ref="F34:G34"/>
    <mergeCell ref="O39:P39"/>
    <mergeCell ref="L34:M34"/>
    <mergeCell ref="I39:J39"/>
    <mergeCell ref="U34:U39"/>
    <mergeCell ref="V34:V39"/>
    <mergeCell ref="AA18:AA23"/>
    <mergeCell ref="R21:R23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S34:S39"/>
    <mergeCell ref="T34:T36"/>
    <mergeCell ref="U26:U31"/>
    <mergeCell ref="V26:V31"/>
    <mergeCell ref="Y26:Y31"/>
    <mergeCell ref="Z26:Z31"/>
    <mergeCell ref="AA34:AA39"/>
    <mergeCell ref="W34:W39"/>
    <mergeCell ref="X34:X39"/>
    <mergeCell ref="Y34:Y39"/>
    <mergeCell ref="B42:B47"/>
    <mergeCell ref="F42:G42"/>
    <mergeCell ref="L42:M42"/>
    <mergeCell ref="R42:R44"/>
    <mergeCell ref="W42:W47"/>
    <mergeCell ref="X42:X47"/>
    <mergeCell ref="I47:J47"/>
    <mergeCell ref="O47:P47"/>
    <mergeCell ref="S42:S47"/>
    <mergeCell ref="T42:T44"/>
    <mergeCell ref="AA42:AA47"/>
    <mergeCell ref="R45:R47"/>
    <mergeCell ref="S50:S55"/>
    <mergeCell ref="T50:T52"/>
    <mergeCell ref="U42:U47"/>
    <mergeCell ref="V42:V47"/>
    <mergeCell ref="Y42:Y47"/>
    <mergeCell ref="Z42:Z47"/>
    <mergeCell ref="AA50:AA55"/>
    <mergeCell ref="R53:R55"/>
    <mergeCell ref="U50:U55"/>
    <mergeCell ref="V50:V55"/>
    <mergeCell ref="Y50:Y55"/>
    <mergeCell ref="Z50:Z55"/>
    <mergeCell ref="R50:R52"/>
    <mergeCell ref="W50:W55"/>
    <mergeCell ref="X50:X55"/>
    <mergeCell ref="Z34:Z39"/>
    <mergeCell ref="R37:R39"/>
    <mergeCell ref="R34:R36"/>
    <mergeCell ref="B66:B71"/>
    <mergeCell ref="F66:G66"/>
    <mergeCell ref="L66:M66"/>
    <mergeCell ref="R66:R68"/>
    <mergeCell ref="W66:W71"/>
    <mergeCell ref="X66:X71"/>
    <mergeCell ref="B58:B63"/>
    <mergeCell ref="F58:G58"/>
    <mergeCell ref="L58:M58"/>
    <mergeCell ref="R58:R60"/>
    <mergeCell ref="W58:W63"/>
    <mergeCell ref="X58:X63"/>
    <mergeCell ref="I63:J63"/>
    <mergeCell ref="O63:P63"/>
    <mergeCell ref="S58:S63"/>
    <mergeCell ref="T58:T60"/>
    <mergeCell ref="B50:B55"/>
    <mergeCell ref="F50:G50"/>
    <mergeCell ref="L50:M50"/>
    <mergeCell ref="I55:J55"/>
    <mergeCell ref="O55:P55"/>
    <mergeCell ref="B74:B79"/>
    <mergeCell ref="F74:G74"/>
    <mergeCell ref="O79:P79"/>
    <mergeCell ref="U74:U79"/>
    <mergeCell ref="V74:V79"/>
    <mergeCell ref="I71:J71"/>
    <mergeCell ref="O71:P71"/>
    <mergeCell ref="AA58:AA63"/>
    <mergeCell ref="R61:R63"/>
    <mergeCell ref="S66:S71"/>
    <mergeCell ref="T66:T68"/>
    <mergeCell ref="U58:U63"/>
    <mergeCell ref="V58:V63"/>
    <mergeCell ref="Y58:Y63"/>
    <mergeCell ref="Z58:Z63"/>
    <mergeCell ref="AA66:AA71"/>
    <mergeCell ref="R69:R71"/>
    <mergeCell ref="S74:S79"/>
    <mergeCell ref="T74:T76"/>
    <mergeCell ref="U66:U71"/>
    <mergeCell ref="V66:V71"/>
    <mergeCell ref="Y66:Y71"/>
    <mergeCell ref="Z66:Z71"/>
    <mergeCell ref="AA74:AA79"/>
    <mergeCell ref="B90:B95"/>
    <mergeCell ref="F90:G90"/>
    <mergeCell ref="L90:M90"/>
    <mergeCell ref="R90:R92"/>
    <mergeCell ref="W90:W95"/>
    <mergeCell ref="X90:X95"/>
    <mergeCell ref="I95:J95"/>
    <mergeCell ref="O95:P95"/>
    <mergeCell ref="B82:B87"/>
    <mergeCell ref="F82:G82"/>
    <mergeCell ref="L82:M82"/>
    <mergeCell ref="R82:R84"/>
    <mergeCell ref="W82:W87"/>
    <mergeCell ref="X82:X87"/>
    <mergeCell ref="I87:J87"/>
    <mergeCell ref="O87:P87"/>
    <mergeCell ref="S82:S87"/>
    <mergeCell ref="T82:T84"/>
    <mergeCell ref="L74:M74"/>
    <mergeCell ref="I79:J79"/>
    <mergeCell ref="AA82:AA87"/>
    <mergeCell ref="R85:R87"/>
    <mergeCell ref="S90:S95"/>
    <mergeCell ref="T90:T92"/>
    <mergeCell ref="U82:U87"/>
    <mergeCell ref="V82:V87"/>
    <mergeCell ref="Y82:Y87"/>
    <mergeCell ref="Z82:Z87"/>
    <mergeCell ref="AA90:AA95"/>
    <mergeCell ref="R93:R95"/>
    <mergeCell ref="U90:U95"/>
    <mergeCell ref="V90:V95"/>
    <mergeCell ref="Y90:Y95"/>
    <mergeCell ref="Z90:Z95"/>
    <mergeCell ref="W74:W79"/>
    <mergeCell ref="X74:X79"/>
    <mergeCell ref="Y74:Y79"/>
    <mergeCell ref="Z74:Z79"/>
    <mergeCell ref="R77:R79"/>
    <mergeCell ref="R74:R76"/>
    <mergeCell ref="B98:B103"/>
    <mergeCell ref="F98:G98"/>
    <mergeCell ref="L98:M98"/>
    <mergeCell ref="R98:R100"/>
    <mergeCell ref="W98:W103"/>
    <mergeCell ref="X98:X103"/>
    <mergeCell ref="I103:J103"/>
    <mergeCell ref="O103:P103"/>
    <mergeCell ref="S98:S103"/>
    <mergeCell ref="T98:T100"/>
    <mergeCell ref="AA98:AA103"/>
    <mergeCell ref="R101:R103"/>
    <mergeCell ref="S106:S111"/>
    <mergeCell ref="T106:T108"/>
    <mergeCell ref="U98:U103"/>
    <mergeCell ref="V98:V103"/>
    <mergeCell ref="AA106:AA111"/>
    <mergeCell ref="R109:R111"/>
    <mergeCell ref="I111:J111"/>
    <mergeCell ref="O111:P111"/>
    <mergeCell ref="Y98:Y103"/>
    <mergeCell ref="Z98:Z103"/>
    <mergeCell ref="Y106:Y111"/>
    <mergeCell ref="Z106:Z111"/>
    <mergeCell ref="W106:W111"/>
    <mergeCell ref="X106:X111"/>
    <mergeCell ref="B113:F114"/>
    <mergeCell ref="H114:J114"/>
    <mergeCell ref="K114:L114"/>
    <mergeCell ref="R114:S114"/>
    <mergeCell ref="U106:U111"/>
    <mergeCell ref="V106:V111"/>
    <mergeCell ref="B106:B111"/>
    <mergeCell ref="F106:G106"/>
    <mergeCell ref="L106:M106"/>
    <mergeCell ref="R106:R108"/>
  </mergeCells>
  <phoneticPr fontId="2"/>
  <conditionalFormatting sqref="S10:S15 S18:S23 S26:S31 S34:S39 S42:S47 S50:S55 S58:S63 S66:S71 S74:S79 S82:S87 S98:S103 S106:S111">
    <cfRule type="cellIs" dxfId="21" priority="2" stopIfTrue="1" operator="equal">
      <formula>"入力ｴﾗｰ"</formula>
    </cfRule>
  </conditionalFormatting>
  <conditionalFormatting sqref="S90:S95">
    <cfRule type="cellIs" dxfId="20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B1:AC114"/>
  <sheetViews>
    <sheetView showGridLines="0" tabSelected="1" view="pageBreakPreview" zoomScale="123" zoomScaleNormal="123" zoomScaleSheetLayoutView="123" workbookViewId="0">
      <selection activeCell="V42" sqref="V42:V47"/>
    </sheetView>
  </sheetViews>
  <sheetFormatPr defaultColWidth="9.0703125" defaultRowHeight="12" x14ac:dyDescent="0.25"/>
  <cols>
    <col min="1" max="1" width="0.92578125" style="1" customWidth="1"/>
    <col min="2" max="2" width="8.92578125" style="1" customWidth="1"/>
    <col min="3" max="17" width="2.7109375" style="1" customWidth="1"/>
    <col min="18" max="18" width="2.92578125" style="1" customWidth="1"/>
    <col min="19" max="19" width="5.7109375" style="1" customWidth="1"/>
    <col min="20" max="20" width="2.7109375" style="1" customWidth="1"/>
    <col min="21" max="27" width="5.7109375" style="1" customWidth="1"/>
    <col min="28" max="16384" width="9.0703125" style="1"/>
  </cols>
  <sheetData>
    <row r="1" spans="2:29" x14ac:dyDescent="0.25">
      <c r="B1" s="56" t="s">
        <v>19</v>
      </c>
      <c r="C1" s="112" t="str">
        <f>'白紙(5m)'!C1</f>
        <v>長田（花山町2丁目他）配水管取替工事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4</v>
      </c>
    </row>
    <row r="2" spans="2:29" ht="12" customHeight="1" x14ac:dyDescent="0.25">
      <c r="S2" s="12"/>
      <c r="T2" s="3"/>
      <c r="U2" s="114" t="s">
        <v>36</v>
      </c>
      <c r="V2" s="114"/>
      <c r="W2" s="2"/>
      <c r="X2" s="12"/>
      <c r="Y2" s="114">
        <v>75</v>
      </c>
      <c r="Z2" s="114"/>
      <c r="AA2" s="2"/>
      <c r="AC2" s="1">
        <f>IF(AC1=4,0,IF(Y2&lt;=250,5,0))</f>
        <v>0</v>
      </c>
    </row>
    <row r="3" spans="2:29" ht="12" customHeight="1" x14ac:dyDescent="0.25">
      <c r="S3" s="44" t="s">
        <v>12</v>
      </c>
      <c r="T3" s="15"/>
      <c r="U3" s="115"/>
      <c r="V3" s="115"/>
      <c r="W3" s="17" t="s">
        <v>15</v>
      </c>
      <c r="X3" s="44" t="s">
        <v>14</v>
      </c>
      <c r="Y3" s="115"/>
      <c r="Z3" s="115"/>
      <c r="AA3" s="17" t="s">
        <v>20</v>
      </c>
      <c r="AC3" s="1">
        <f>IF(Y2&gt;250,6,0)</f>
        <v>0</v>
      </c>
    </row>
    <row r="4" spans="2:29" ht="6.75" customHeight="1" x14ac:dyDescent="0.25">
      <c r="S4" s="18"/>
      <c r="U4" s="45"/>
      <c r="V4" s="45"/>
      <c r="X4" s="18"/>
      <c r="Y4" s="45"/>
      <c r="Z4" s="45"/>
    </row>
    <row r="5" spans="2:29" ht="21.75" customHeight="1" x14ac:dyDescent="0.25">
      <c r="B5" s="46" t="s">
        <v>16</v>
      </c>
      <c r="U5" s="121"/>
      <c r="V5" s="121"/>
      <c r="W5" s="121"/>
      <c r="X5" s="121"/>
      <c r="Y5" s="121"/>
      <c r="Z5" s="121"/>
      <c r="AA5" s="121"/>
    </row>
    <row r="6" spans="2:29" ht="6.75" customHeight="1" thickBot="1" x14ac:dyDescent="0.3"/>
    <row r="7" spans="2:29" ht="14.25" customHeight="1" x14ac:dyDescent="0.25">
      <c r="B7" s="116" t="s">
        <v>0</v>
      </c>
      <c r="C7" s="108" t="s">
        <v>3</v>
      </c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09"/>
      <c r="R7" s="117" t="s">
        <v>1</v>
      </c>
      <c r="S7" s="117"/>
      <c r="T7" s="117"/>
      <c r="U7" s="108" t="s">
        <v>2</v>
      </c>
      <c r="V7" s="109"/>
      <c r="W7" s="110" t="s">
        <v>4</v>
      </c>
      <c r="X7" s="110"/>
      <c r="Y7" s="110"/>
      <c r="Z7" s="110"/>
      <c r="AA7" s="111"/>
    </row>
    <row r="8" spans="2:29" ht="10.5" customHeight="1" x14ac:dyDescent="0.25">
      <c r="B8" s="96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20"/>
      <c r="R8" s="119"/>
      <c r="S8" s="119"/>
      <c r="T8" s="119"/>
      <c r="U8" s="74" t="s">
        <v>39</v>
      </c>
      <c r="V8" s="75" t="s">
        <v>35</v>
      </c>
      <c r="W8" s="70" t="s">
        <v>39</v>
      </c>
      <c r="X8" s="32" t="s">
        <v>7</v>
      </c>
      <c r="Y8" s="32" t="s">
        <v>8</v>
      </c>
      <c r="Z8" s="33" t="s">
        <v>9</v>
      </c>
      <c r="AA8" s="34" t="s">
        <v>10</v>
      </c>
    </row>
    <row r="9" spans="2:29" ht="6" customHeight="1" x14ac:dyDescent="0.2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25">
      <c r="B10" s="96">
        <f>IF(S10="","",1)</f>
        <v>1</v>
      </c>
      <c r="C10" s="3"/>
      <c r="E10" s="13" t="str">
        <f>IF(F10="","",IF(F10=0,"","L="))</f>
        <v>L=</v>
      </c>
      <c r="F10" s="97">
        <v>2</v>
      </c>
      <c r="G10" s="97"/>
      <c r="H10" s="14" t="str">
        <f>IF(F10="","",IF(F10=0,"","m"))</f>
        <v>m</v>
      </c>
      <c r="K10" s="13" t="str">
        <f>IF(L10="","",IF(L10=0,"","L="))</f>
        <v/>
      </c>
      <c r="L10" s="97"/>
      <c r="M10" s="97"/>
      <c r="N10" s="14" t="str">
        <f>IF(L10="","",IF(L10=0,"","m"))</f>
        <v/>
      </c>
      <c r="Q10" s="2"/>
      <c r="R10" s="106" t="str">
        <f>IF(OR(S10="入力ｴﾗｰ",S10=0,S10="")=TRUE,"",IF(F10="","甲",IF(F10=0,"甲","")))</f>
        <v/>
      </c>
      <c r="S10" s="101">
        <f>IF((F10+I15+L10+O15)=0,"",IF((F10+I15+L10+O15)&gt;SUM($AC$1:$AC$3),"入力ｴﾗｰ",SUM($AC$1:$AC$3)-(F10+I15+L10+O15)))</f>
        <v>1</v>
      </c>
      <c r="T10" s="102" t="str">
        <f>IF(S10="","",IF(S10="入力ｴﾗｰ","","m"))</f>
        <v>m</v>
      </c>
      <c r="U10" s="94">
        <f>IF(B10="","",COUNT(F10,I15,L10,O15)-IF(S10=0,1,0)-V10)</f>
        <v>2</v>
      </c>
      <c r="V10" s="95"/>
      <c r="W10" s="104">
        <v>2</v>
      </c>
      <c r="X10" s="103"/>
      <c r="Y10" s="103"/>
      <c r="Z10" s="107"/>
      <c r="AA10" s="99"/>
    </row>
    <row r="11" spans="2:29" ht="3" customHeight="1" x14ac:dyDescent="0.25">
      <c r="B11" s="96"/>
      <c r="C11" s="3"/>
      <c r="G11" s="3"/>
      <c r="H11" s="2"/>
      <c r="K11" s="3"/>
      <c r="L11" s="1" t="s">
        <v>34</v>
      </c>
      <c r="Q11" s="2"/>
      <c r="R11" s="106"/>
      <c r="S11" s="101"/>
      <c r="T11" s="102"/>
      <c r="U11" s="94"/>
      <c r="V11" s="95"/>
      <c r="W11" s="104"/>
      <c r="X11" s="103"/>
      <c r="Y11" s="103"/>
      <c r="Z11" s="107"/>
      <c r="AA11" s="99"/>
    </row>
    <row r="12" spans="2:29" ht="3" customHeight="1" x14ac:dyDescent="0.25">
      <c r="B12" s="96"/>
      <c r="C12" s="3"/>
      <c r="E12" s="4"/>
      <c r="F12" s="55"/>
      <c r="G12" s="5"/>
      <c r="H12" s="55"/>
      <c r="I12" s="5"/>
      <c r="K12" s="69"/>
      <c r="L12" s="67"/>
      <c r="Q12" s="2"/>
      <c r="R12" s="106"/>
      <c r="S12" s="101"/>
      <c r="T12" s="102"/>
      <c r="U12" s="94"/>
      <c r="V12" s="95"/>
      <c r="W12" s="104"/>
      <c r="X12" s="103"/>
      <c r="Y12" s="103"/>
      <c r="Z12" s="107"/>
      <c r="AA12" s="99"/>
    </row>
    <row r="13" spans="2:29" ht="3" customHeight="1" x14ac:dyDescent="0.25">
      <c r="B13" s="96"/>
      <c r="C13" s="3"/>
      <c r="E13" s="6"/>
      <c r="F13" s="8"/>
      <c r="G13" s="7"/>
      <c r="H13" s="8"/>
      <c r="I13" s="7"/>
      <c r="J13" s="8"/>
      <c r="Q13" s="2"/>
      <c r="R13" s="105" t="str">
        <f>IF(R10="甲","",IF(OR(S10=0,S10="")=TRUE,"",IF(S10="入力ｴﾗｰ","","乙")))</f>
        <v>乙</v>
      </c>
      <c r="S13" s="101"/>
      <c r="U13" s="94"/>
      <c r="V13" s="95"/>
      <c r="W13" s="104"/>
      <c r="X13" s="103"/>
      <c r="Y13" s="103"/>
      <c r="Z13" s="107"/>
      <c r="AA13" s="99"/>
    </row>
    <row r="14" spans="2:29" ht="3" customHeight="1" x14ac:dyDescent="0.25">
      <c r="B14" s="96"/>
      <c r="C14" s="3"/>
      <c r="F14" s="2"/>
      <c r="G14" s="3"/>
      <c r="J14" s="2"/>
      <c r="Q14" s="2"/>
      <c r="R14" s="105"/>
      <c r="S14" s="101"/>
      <c r="U14" s="94"/>
      <c r="V14" s="95"/>
      <c r="W14" s="104"/>
      <c r="X14" s="103"/>
      <c r="Y14" s="103"/>
      <c r="Z14" s="107"/>
      <c r="AA14" s="99"/>
    </row>
    <row r="15" spans="2:29" ht="15" customHeight="1" x14ac:dyDescent="0.25">
      <c r="B15" s="96"/>
      <c r="C15" s="3"/>
      <c r="G15" s="18"/>
      <c r="H15" s="13" t="str">
        <f>IF(I15="","",IF(I15=0,"","L="))</f>
        <v/>
      </c>
      <c r="I15" s="97"/>
      <c r="J15" s="97"/>
      <c r="K15" s="14" t="str">
        <f>IF(I15="","",IF(I15=0,"","m"))</f>
        <v/>
      </c>
      <c r="N15" s="13" t="str">
        <f>IF(O15="","",IF(O15=0,"","L="))</f>
        <v>L=</v>
      </c>
      <c r="O15" s="97">
        <v>1</v>
      </c>
      <c r="P15" s="97"/>
      <c r="Q15" s="24" t="str">
        <f>IF(O15="","",IF(O15=0,"","m"))</f>
        <v>m</v>
      </c>
      <c r="R15" s="105"/>
      <c r="S15" s="101"/>
      <c r="U15" s="94"/>
      <c r="V15" s="95"/>
      <c r="W15" s="104"/>
      <c r="X15" s="103"/>
      <c r="Y15" s="103"/>
      <c r="Z15" s="107"/>
      <c r="AA15" s="99"/>
      <c r="AC15" s="1">
        <f>IF(U10="",0,IF(U10&gt;SUM(W10:AA15),U10-SUM(W10:AA15),0))</f>
        <v>0</v>
      </c>
    </row>
    <row r="16" spans="2:29" ht="6" customHeight="1" x14ac:dyDescent="0.2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2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25">
      <c r="B18" s="96">
        <f>IF(S18="","",IF(B10="","",1+B10))</f>
        <v>2</v>
      </c>
      <c r="C18" s="3"/>
      <c r="E18" s="13" t="str">
        <f>IF(F18="","",IF(F18=0,"","L="))</f>
        <v>L=</v>
      </c>
      <c r="F18" s="97">
        <v>1</v>
      </c>
      <c r="G18" s="97"/>
      <c r="H18" s="14" t="str">
        <f>IF(F18="","",IF(F18=0,"","m"))</f>
        <v>m</v>
      </c>
      <c r="K18" s="13" t="str">
        <f>IF(L18="","",IF(L18=0,"","L="))</f>
        <v/>
      </c>
      <c r="L18" s="97"/>
      <c r="M18" s="97"/>
      <c r="N18" s="14" t="str">
        <f>IF(L18="","",IF(L18=0,"","m"))</f>
        <v/>
      </c>
      <c r="Q18" s="2"/>
      <c r="R18" s="106" t="str">
        <f>IF(OR(S18="入力ｴﾗｰ",S18=0,S18="")=TRUE,"",IF(F18="","甲",IF(F18=0,"甲","")))</f>
        <v/>
      </c>
      <c r="S18" s="101">
        <f>IF((F18+I23+L18+O23)=0,"",IF((F18+I23+L18+O23)&gt;SUM($AC$1:$AC$3),"入力ｴﾗｰ",SUM($AC$1:$AC$3)-(F18+I23+L18+O23)))</f>
        <v>2</v>
      </c>
      <c r="T18" s="102" t="str">
        <f>IF(S18="","",IF(S18="入力ｴﾗｰ","","m"))</f>
        <v>m</v>
      </c>
      <c r="U18" s="94">
        <f>IF(B18="","",COUNT(F18,I23,L18,O23)-IF(S18=0,1,0)-V18)</f>
        <v>2</v>
      </c>
      <c r="V18" s="95"/>
      <c r="W18" s="104">
        <v>2</v>
      </c>
      <c r="X18" s="103"/>
      <c r="Y18" s="103"/>
      <c r="Z18" s="103"/>
      <c r="AA18" s="99"/>
    </row>
    <row r="19" spans="2:29" ht="3" customHeight="1" x14ac:dyDescent="0.25">
      <c r="B19" s="96"/>
      <c r="C19" s="3"/>
      <c r="G19" s="3"/>
      <c r="H19" s="2"/>
      <c r="I19" s="3"/>
      <c r="K19" s="3"/>
      <c r="Q19" s="2"/>
      <c r="R19" s="106"/>
      <c r="S19" s="101"/>
      <c r="T19" s="102"/>
      <c r="U19" s="94"/>
      <c r="V19" s="95"/>
      <c r="W19" s="104"/>
      <c r="X19" s="103"/>
      <c r="Y19" s="103"/>
      <c r="Z19" s="103"/>
      <c r="AA19" s="99"/>
    </row>
    <row r="20" spans="2:29" ht="3" customHeight="1" x14ac:dyDescent="0.25">
      <c r="B20" s="96"/>
      <c r="C20" s="3"/>
      <c r="E20" s="4"/>
      <c r="F20" s="55"/>
      <c r="G20" s="5"/>
      <c r="H20" s="55"/>
      <c r="I20" s="5"/>
      <c r="K20" s="3"/>
      <c r="Q20" s="2"/>
      <c r="R20" s="106"/>
      <c r="S20" s="101"/>
      <c r="T20" s="102"/>
      <c r="U20" s="94"/>
      <c r="V20" s="95"/>
      <c r="W20" s="104"/>
      <c r="X20" s="103"/>
      <c r="Y20" s="103"/>
      <c r="Z20" s="103"/>
      <c r="AA20" s="99"/>
    </row>
    <row r="21" spans="2:29" ht="3" customHeight="1" x14ac:dyDescent="0.25">
      <c r="B21" s="96"/>
      <c r="C21" s="3"/>
      <c r="E21" s="6"/>
      <c r="F21" s="8"/>
      <c r="G21" s="7"/>
      <c r="H21" s="8"/>
      <c r="I21" s="7"/>
      <c r="J21" s="8"/>
      <c r="K21" s="7"/>
      <c r="L21" s="6"/>
      <c r="Q21" s="2"/>
      <c r="R21" s="105" t="str">
        <f>IF(R18="甲","",IF(OR(S18=0,S18="")=TRUE,"",IF(S18="入力ｴﾗｰ","","乙")))</f>
        <v>乙</v>
      </c>
      <c r="S21" s="101"/>
      <c r="U21" s="94"/>
      <c r="V21" s="95"/>
      <c r="W21" s="104"/>
      <c r="X21" s="103"/>
      <c r="Y21" s="103"/>
      <c r="Z21" s="103"/>
      <c r="AA21" s="99"/>
    </row>
    <row r="22" spans="2:29" ht="3" customHeight="1" x14ac:dyDescent="0.25">
      <c r="B22" s="96"/>
      <c r="C22" s="3"/>
      <c r="F22" s="2"/>
      <c r="G22" s="3"/>
      <c r="H22" s="2"/>
      <c r="K22" s="3"/>
      <c r="Q22" s="2"/>
      <c r="R22" s="105"/>
      <c r="S22" s="101"/>
      <c r="U22" s="94"/>
      <c r="V22" s="95"/>
      <c r="W22" s="104"/>
      <c r="X22" s="103"/>
      <c r="Y22" s="103"/>
      <c r="Z22" s="103"/>
      <c r="AA22" s="99"/>
    </row>
    <row r="23" spans="2:29" ht="15" customHeight="1" x14ac:dyDescent="0.25">
      <c r="B23" s="96"/>
      <c r="C23" s="3"/>
      <c r="G23" s="18"/>
      <c r="H23" s="13" t="str">
        <f>IF(I23="","",IF(I23=0,"","L="))</f>
        <v/>
      </c>
      <c r="I23" s="97"/>
      <c r="J23" s="97"/>
      <c r="K23" s="14" t="str">
        <f>IF(I23="","",IF(I23=0,"","m"))</f>
        <v/>
      </c>
      <c r="N23" s="13" t="str">
        <f>IF(O23="","",IF(O23=0,"","L="))</f>
        <v>L=</v>
      </c>
      <c r="O23" s="97">
        <v>1</v>
      </c>
      <c r="P23" s="97"/>
      <c r="Q23" s="24" t="str">
        <f>IF(O23="","",IF(O23=0,"","m"))</f>
        <v>m</v>
      </c>
      <c r="R23" s="105"/>
      <c r="S23" s="101"/>
      <c r="U23" s="94"/>
      <c r="V23" s="95"/>
      <c r="W23" s="104"/>
      <c r="X23" s="103"/>
      <c r="Y23" s="103"/>
      <c r="Z23" s="103"/>
      <c r="AA23" s="99"/>
      <c r="AC23" s="1">
        <f>IF(U18="",0,IF(U18&gt;SUM(W18:AA23),U18-SUM(W18:AA23),0))</f>
        <v>0</v>
      </c>
    </row>
    <row r="24" spans="2:29" ht="6" customHeight="1" x14ac:dyDescent="0.2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2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25">
      <c r="B26" s="96">
        <f>IF(S26="","",IF(B18="","",1+B18))</f>
        <v>3</v>
      </c>
      <c r="C26" s="3"/>
      <c r="E26" s="13" t="str">
        <f>IF(F26="","",IF(F26=0,"","L="))</f>
        <v>L=</v>
      </c>
      <c r="F26" s="97">
        <v>1</v>
      </c>
      <c r="G26" s="97"/>
      <c r="H26" s="14" t="str">
        <f>IF(F26="","",IF(F26=0,"","m"))</f>
        <v>m</v>
      </c>
      <c r="K26" s="13" t="str">
        <f>IF(L26="","",IF(L26=0,"","L="))</f>
        <v/>
      </c>
      <c r="L26" s="97"/>
      <c r="M26" s="97"/>
      <c r="N26" s="14" t="str">
        <f>IF(L26="","",IF(L26=0,"","m"))</f>
        <v/>
      </c>
      <c r="R26" s="98" t="str">
        <f>IF(OR(S26="入力ｴﾗｰ",S26=0,S26="")=TRUE,"",IF(F26="","甲",IF(F26=0,"甲","")))</f>
        <v/>
      </c>
      <c r="S26" s="101">
        <f>IF((F26+I31+L26+O31)=0,"",IF((F26+I31+L26+O31)&gt;SUM($AC$1:$AC$3),"入力ｴﾗｰ",SUM($AC$1:$AC$3)-(F26+I31+L26+O31)))</f>
        <v>1.9</v>
      </c>
      <c r="T26" s="102" t="str">
        <f>IF(S26="","",IF(S26="入力ｴﾗｰ","","m"))</f>
        <v>m</v>
      </c>
      <c r="U26" s="94">
        <f>IF(B26="","",COUNT(F26,I31,L26,O31)-IF(S26=0,1,0)-V26)</f>
        <v>2</v>
      </c>
      <c r="V26" s="95"/>
      <c r="W26" s="104">
        <v>2</v>
      </c>
      <c r="X26" s="103"/>
      <c r="Y26" s="103"/>
      <c r="Z26" s="103"/>
      <c r="AA26" s="99"/>
    </row>
    <row r="27" spans="2:29" ht="3" customHeight="1" x14ac:dyDescent="0.25">
      <c r="B27" s="96"/>
      <c r="C27" s="3"/>
      <c r="G27" s="3"/>
      <c r="H27" s="2"/>
      <c r="K27" s="3"/>
      <c r="R27" s="98"/>
      <c r="S27" s="101"/>
      <c r="T27" s="102"/>
      <c r="U27" s="94"/>
      <c r="V27" s="95"/>
      <c r="W27" s="104"/>
      <c r="X27" s="103"/>
      <c r="Y27" s="103"/>
      <c r="Z27" s="103"/>
      <c r="AA27" s="99"/>
    </row>
    <row r="28" spans="2:29" ht="3" customHeight="1" x14ac:dyDescent="0.25">
      <c r="B28" s="96"/>
      <c r="C28" s="3"/>
      <c r="G28" s="3"/>
      <c r="H28" s="2"/>
      <c r="I28" s="3"/>
      <c r="K28" s="3"/>
      <c r="R28" s="98"/>
      <c r="S28" s="101"/>
      <c r="T28" s="102"/>
      <c r="U28" s="94"/>
      <c r="V28" s="95"/>
      <c r="W28" s="104"/>
      <c r="X28" s="103"/>
      <c r="Y28" s="103"/>
      <c r="Z28" s="103"/>
      <c r="AA28" s="99"/>
    </row>
    <row r="29" spans="2:29" ht="3" customHeight="1" x14ac:dyDescent="0.25">
      <c r="B29" s="96"/>
      <c r="C29" s="3"/>
      <c r="E29" s="6"/>
      <c r="F29" s="6"/>
      <c r="G29" s="7"/>
      <c r="H29" s="8"/>
      <c r="I29" s="7"/>
      <c r="J29" s="8"/>
      <c r="K29" s="7"/>
      <c r="L29" s="6"/>
      <c r="R29" s="100" t="str">
        <f>IF(R26="甲","",IF(OR(S26=0,S26="")=TRUE,"",IF(S26="入力ｴﾗｰ","","乙")))</f>
        <v>乙</v>
      </c>
      <c r="S29" s="101"/>
      <c r="U29" s="94"/>
      <c r="V29" s="95"/>
      <c r="W29" s="104"/>
      <c r="X29" s="103"/>
      <c r="Y29" s="103"/>
      <c r="Z29" s="103"/>
      <c r="AA29" s="99"/>
    </row>
    <row r="30" spans="2:29" ht="3" customHeight="1" x14ac:dyDescent="0.25">
      <c r="B30" s="96"/>
      <c r="C30" s="3"/>
      <c r="F30" s="2"/>
      <c r="G30" s="3"/>
      <c r="H30" s="2"/>
      <c r="J30" s="2"/>
      <c r="K30" s="3"/>
      <c r="R30" s="100"/>
      <c r="S30" s="101"/>
      <c r="U30" s="94"/>
      <c r="V30" s="95"/>
      <c r="W30" s="104"/>
      <c r="X30" s="103"/>
      <c r="Y30" s="103"/>
      <c r="Z30" s="103"/>
      <c r="AA30" s="99"/>
    </row>
    <row r="31" spans="2:29" ht="15" customHeight="1" x14ac:dyDescent="0.25">
      <c r="B31" s="96"/>
      <c r="C31" s="3"/>
      <c r="G31" s="18"/>
      <c r="H31" s="13" t="str">
        <f>IF(I31="","",IF(I31=0,"","L="))</f>
        <v/>
      </c>
      <c r="I31" s="97"/>
      <c r="J31" s="97"/>
      <c r="K31" s="14" t="str">
        <f>IF(I31="","",IF(I31=0,"","m"))</f>
        <v/>
      </c>
      <c r="N31" s="13" t="str">
        <f>IF(O31="","",IF(O31=0,"","L="))</f>
        <v>L=</v>
      </c>
      <c r="O31" s="97">
        <v>1.1000000000000001</v>
      </c>
      <c r="P31" s="97"/>
      <c r="Q31" s="14" t="str">
        <f>IF(O31="","",IF(O31=0,"","m"))</f>
        <v>m</v>
      </c>
      <c r="R31" s="100"/>
      <c r="S31" s="101"/>
      <c r="U31" s="94"/>
      <c r="V31" s="95"/>
      <c r="W31" s="104"/>
      <c r="X31" s="103"/>
      <c r="Y31" s="103"/>
      <c r="Z31" s="103"/>
      <c r="AA31" s="99"/>
      <c r="AC31" s="1">
        <f>IF(U26="",0,IF(U26&gt;SUM(W26:AA31),U26-SUM(W26:AA31),0))</f>
        <v>0</v>
      </c>
    </row>
    <row r="32" spans="2:29" ht="6" customHeight="1" x14ac:dyDescent="0.2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2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25">
      <c r="B34" s="96">
        <f>IF(S34="","",IF(B26="","",1+B26))</f>
        <v>4</v>
      </c>
      <c r="C34" s="3"/>
      <c r="E34" s="13" t="str">
        <f>IF(F34="","",IF(F34=0,"","L="))</f>
        <v>L=</v>
      </c>
      <c r="F34" s="97">
        <v>0.8</v>
      </c>
      <c r="G34" s="97"/>
      <c r="H34" s="14" t="str">
        <f>IF(F34="","",IF(F34=0,"","m"))</f>
        <v>m</v>
      </c>
      <c r="K34" s="13" t="str">
        <f>IF(L34="","",IF(L34=0,"","L="))</f>
        <v/>
      </c>
      <c r="L34" s="97"/>
      <c r="M34" s="97"/>
      <c r="N34" s="14" t="str">
        <f>IF(L34="","",IF(L34=0,"","m"))</f>
        <v/>
      </c>
      <c r="R34" s="98" t="str">
        <f>IF(OR(S34="入力ｴﾗｰ",S34=0,S34="")=TRUE,"",IF(F34="","甲",IF(F34=0,"甲","")))</f>
        <v/>
      </c>
      <c r="S34" s="101">
        <f>IF((F34+I39+L34+O39)=0,"",IF((F34+I39+L34+O39)&gt;SUM($AC$1:$AC$3),"入力ｴﾗｰ",SUM($AC$1:$AC$3)-(F34+I39+L34+O39)))</f>
        <v>2.4</v>
      </c>
      <c r="T34" s="102" t="str">
        <f>IF(S34="","",IF(S34="入力ｴﾗｰ","","m"))</f>
        <v>m</v>
      </c>
      <c r="U34" s="94">
        <f>IF(B34="","",COUNT(F34,I39,L34,O39)-IF(S34=0,1,0)-V34)</f>
        <v>2</v>
      </c>
      <c r="V34" s="95"/>
      <c r="W34" s="104">
        <v>2</v>
      </c>
      <c r="X34" s="103"/>
      <c r="Y34" s="103"/>
      <c r="Z34" s="103"/>
      <c r="AA34" s="99"/>
    </row>
    <row r="35" spans="2:29" ht="3" customHeight="1" x14ac:dyDescent="0.25">
      <c r="B35" s="96"/>
      <c r="C35" s="3"/>
      <c r="G35" s="3"/>
      <c r="H35" s="2"/>
      <c r="K35" s="3"/>
      <c r="R35" s="98"/>
      <c r="S35" s="101"/>
      <c r="T35" s="102"/>
      <c r="U35" s="94"/>
      <c r="V35" s="95"/>
      <c r="W35" s="104"/>
      <c r="X35" s="103"/>
      <c r="Y35" s="103"/>
      <c r="Z35" s="103"/>
      <c r="AA35" s="99"/>
    </row>
    <row r="36" spans="2:29" ht="3" customHeight="1" x14ac:dyDescent="0.25">
      <c r="B36" s="96"/>
      <c r="C36" s="3"/>
      <c r="G36" s="3"/>
      <c r="H36" s="2"/>
      <c r="K36" s="3"/>
      <c r="R36" s="98"/>
      <c r="S36" s="101"/>
      <c r="T36" s="102"/>
      <c r="U36" s="94"/>
      <c r="V36" s="95"/>
      <c r="W36" s="104"/>
      <c r="X36" s="103"/>
      <c r="Y36" s="103"/>
      <c r="Z36" s="103"/>
      <c r="AA36" s="99"/>
    </row>
    <row r="37" spans="2:29" ht="3" customHeight="1" x14ac:dyDescent="0.25">
      <c r="B37" s="96"/>
      <c r="C37" s="3"/>
      <c r="E37" s="6"/>
      <c r="F37" s="6"/>
      <c r="G37" s="7"/>
      <c r="H37" s="8"/>
      <c r="I37" s="7"/>
      <c r="J37" s="8"/>
      <c r="K37" s="7"/>
      <c r="L37" s="6"/>
      <c r="R37" s="100" t="str">
        <f>IF(R34="甲","",IF(OR(S34=0,S34="")=TRUE,"",IF(S34="入力ｴﾗｰ","","乙")))</f>
        <v>乙</v>
      </c>
      <c r="S37" s="101"/>
      <c r="U37" s="94"/>
      <c r="V37" s="95"/>
      <c r="W37" s="104"/>
      <c r="X37" s="103"/>
      <c r="Y37" s="103"/>
      <c r="Z37" s="103"/>
      <c r="AA37" s="99"/>
    </row>
    <row r="38" spans="2:29" ht="3" customHeight="1" x14ac:dyDescent="0.25">
      <c r="B38" s="96"/>
      <c r="C38" s="3"/>
      <c r="F38" s="2"/>
      <c r="G38" s="3"/>
      <c r="H38" s="2"/>
      <c r="J38" s="2"/>
      <c r="K38" s="3"/>
      <c r="R38" s="100"/>
      <c r="S38" s="101"/>
      <c r="U38" s="94"/>
      <c r="V38" s="95"/>
      <c r="W38" s="104"/>
      <c r="X38" s="103"/>
      <c r="Y38" s="103"/>
      <c r="Z38" s="103"/>
      <c r="AA38" s="99"/>
    </row>
    <row r="39" spans="2:29" ht="15" customHeight="1" x14ac:dyDescent="0.25">
      <c r="B39" s="96"/>
      <c r="C39" s="3"/>
      <c r="G39" s="18"/>
      <c r="H39" s="13" t="str">
        <f>IF(I39="","",IF(I39=0,"","L="))</f>
        <v/>
      </c>
      <c r="I39" s="97"/>
      <c r="J39" s="97"/>
      <c r="K39" s="14" t="str">
        <f>IF(I39="","",IF(I39=0,"","m"))</f>
        <v/>
      </c>
      <c r="N39" s="13" t="str">
        <f>IF(O39="","",IF(O39=0,"","L="))</f>
        <v>L=</v>
      </c>
      <c r="O39" s="97">
        <v>0.8</v>
      </c>
      <c r="P39" s="97"/>
      <c r="Q39" s="14" t="str">
        <f>IF(O39="","",IF(O39=0,"","m"))</f>
        <v>m</v>
      </c>
      <c r="R39" s="100"/>
      <c r="S39" s="101"/>
      <c r="U39" s="94"/>
      <c r="V39" s="95"/>
      <c r="W39" s="104"/>
      <c r="X39" s="103"/>
      <c r="Y39" s="103"/>
      <c r="Z39" s="103"/>
      <c r="AA39" s="99"/>
      <c r="AC39" s="1">
        <f>IF(U34="",0,IF(U34&gt;SUM(W34:AA39),U34-SUM(W34:AA39),0))</f>
        <v>0</v>
      </c>
    </row>
    <row r="40" spans="2:29" ht="6" customHeight="1" x14ac:dyDescent="0.2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2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25">
      <c r="B42" s="96" t="s">
        <v>42</v>
      </c>
      <c r="C42" s="3"/>
      <c r="E42" s="13" t="str">
        <f>IF(F42="","",IF(F42=0,"","L="))</f>
        <v/>
      </c>
      <c r="F42" s="97"/>
      <c r="G42" s="97"/>
      <c r="H42" s="14" t="str">
        <f>IF(F42="","",IF(F42=0,"","m"))</f>
        <v/>
      </c>
      <c r="K42" s="13" t="str">
        <f>IF(L42="","",IF(L42=0,"","L="))</f>
        <v/>
      </c>
      <c r="L42" s="97"/>
      <c r="M42" s="97"/>
      <c r="N42" s="14" t="str">
        <f>IF(L42="","",IF(L42=0,"","m"))</f>
        <v/>
      </c>
      <c r="R42" s="98" t="str">
        <f>IF(OR(S42="入力ｴﾗｰ",S42=0,S42="")=TRUE,"",IF(F42="","甲",IF(F42=0,"甲","")))</f>
        <v/>
      </c>
      <c r="S42" s="101" t="str">
        <f>IF((F42+I47+L42+O47)=0,"",IF((F42+I47+L42+O47)&gt;SUM($AC$1:$AC$3),"入力ｴﾗｰ",SUM($AC$1:$AC$3)-(F42+I47+L42+O47)))</f>
        <v/>
      </c>
      <c r="T42" s="102" t="str">
        <f>IF(S42="","",IF(S42="入力ｴﾗｰ","","m"))</f>
        <v/>
      </c>
      <c r="U42" s="94">
        <v>2</v>
      </c>
      <c r="V42" s="95"/>
      <c r="W42" s="104">
        <v>2</v>
      </c>
      <c r="X42" s="103"/>
      <c r="Y42" s="103"/>
      <c r="Z42" s="103"/>
      <c r="AA42" s="99"/>
    </row>
    <row r="43" spans="2:29" ht="3" customHeight="1" x14ac:dyDescent="0.25">
      <c r="B43" s="96"/>
      <c r="C43" s="3"/>
      <c r="G43" s="3"/>
      <c r="H43" s="2"/>
      <c r="K43" s="3"/>
      <c r="R43" s="98"/>
      <c r="S43" s="101"/>
      <c r="T43" s="102"/>
      <c r="U43" s="94"/>
      <c r="V43" s="95"/>
      <c r="W43" s="104"/>
      <c r="X43" s="103"/>
      <c r="Y43" s="103"/>
      <c r="Z43" s="103"/>
      <c r="AA43" s="99"/>
    </row>
    <row r="44" spans="2:29" ht="3" customHeight="1" x14ac:dyDescent="0.25">
      <c r="B44" s="96"/>
      <c r="C44" s="3"/>
      <c r="G44" s="3"/>
      <c r="H44" s="2"/>
      <c r="K44" s="3"/>
      <c r="R44" s="98"/>
      <c r="S44" s="101"/>
      <c r="T44" s="102"/>
      <c r="U44" s="94"/>
      <c r="V44" s="95"/>
      <c r="W44" s="104"/>
      <c r="X44" s="103"/>
      <c r="Y44" s="103"/>
      <c r="Z44" s="103"/>
      <c r="AA44" s="99"/>
    </row>
    <row r="45" spans="2:29" ht="3" customHeight="1" x14ac:dyDescent="0.25">
      <c r="B45" s="96"/>
      <c r="C45" s="3"/>
      <c r="E45" s="6"/>
      <c r="F45" s="6"/>
      <c r="G45" s="7"/>
      <c r="H45" s="8"/>
      <c r="I45" s="7"/>
      <c r="J45" s="8"/>
      <c r="K45" s="7"/>
      <c r="L45" s="6"/>
      <c r="R45" s="100" t="str">
        <f>IF(R42="甲","",IF(OR(S42=0,S42="")=TRUE,"",IF(S42="入力ｴﾗｰ","","乙")))</f>
        <v/>
      </c>
      <c r="S45" s="101"/>
      <c r="U45" s="94"/>
      <c r="V45" s="95"/>
      <c r="W45" s="104"/>
      <c r="X45" s="103"/>
      <c r="Y45" s="103"/>
      <c r="Z45" s="103"/>
      <c r="AA45" s="99"/>
    </row>
    <row r="46" spans="2:29" ht="3" customHeight="1" x14ac:dyDescent="0.25">
      <c r="B46" s="96"/>
      <c r="C46" s="3"/>
      <c r="F46" s="2"/>
      <c r="G46" s="3"/>
      <c r="H46" s="2"/>
      <c r="J46" s="2"/>
      <c r="K46" s="3"/>
      <c r="R46" s="100"/>
      <c r="S46" s="101"/>
      <c r="U46" s="94"/>
      <c r="V46" s="95"/>
      <c r="W46" s="104"/>
      <c r="X46" s="103"/>
      <c r="Y46" s="103"/>
      <c r="Z46" s="103"/>
      <c r="AA46" s="99"/>
    </row>
    <row r="47" spans="2:29" ht="15" customHeight="1" x14ac:dyDescent="0.25">
      <c r="B47" s="96"/>
      <c r="C47" s="3"/>
      <c r="G47" s="18"/>
      <c r="H47" s="13" t="str">
        <f>IF(I47="","",IF(I47=0,"","L="))</f>
        <v/>
      </c>
      <c r="I47" s="97"/>
      <c r="J47" s="97"/>
      <c r="K47" s="14" t="str">
        <f>IF(I47="","",IF(I47=0,"","m"))</f>
        <v/>
      </c>
      <c r="N47" s="13" t="str">
        <f>IF(O47="","",IF(O47=0,"","L="))</f>
        <v/>
      </c>
      <c r="O47" s="97"/>
      <c r="P47" s="97"/>
      <c r="Q47" s="14" t="str">
        <f>IF(O47="","",IF(O47=0,"","m"))</f>
        <v/>
      </c>
      <c r="R47" s="100"/>
      <c r="S47" s="101"/>
      <c r="U47" s="94"/>
      <c r="V47" s="95"/>
      <c r="W47" s="104"/>
      <c r="X47" s="103"/>
      <c r="Y47" s="103"/>
      <c r="Z47" s="103"/>
      <c r="AA47" s="99"/>
      <c r="AC47" s="1">
        <f>IF(U42="",0,IF(U42&gt;SUM(W42:AA47),U42-SUM(W42:AA47),0))</f>
        <v>0</v>
      </c>
    </row>
    <row r="48" spans="2:29" ht="6" customHeight="1" x14ac:dyDescent="0.2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2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25">
      <c r="B50" s="96" t="str">
        <f>IF(S50="","",IF(B42="","",1+B42))</f>
        <v/>
      </c>
      <c r="C50" s="3"/>
      <c r="E50" s="13" t="str">
        <f>IF(F50="","",IF(F50=0,"","L="))</f>
        <v/>
      </c>
      <c r="F50" s="97"/>
      <c r="G50" s="97"/>
      <c r="H50" s="14" t="str">
        <f>IF(F50="","",IF(F50=0,"","m"))</f>
        <v/>
      </c>
      <c r="K50" s="13" t="str">
        <f>IF(L50="","",IF(L50=0,"","L="))</f>
        <v/>
      </c>
      <c r="L50" s="97"/>
      <c r="M50" s="97"/>
      <c r="N50" s="14" t="str">
        <f>IF(L50="","",IF(L50=0,"","m"))</f>
        <v/>
      </c>
      <c r="R50" s="98" t="str">
        <f>IF(OR(S50="入力ｴﾗｰ",S50=0,S50="")=TRUE,"",IF(F50="","甲",IF(F50=0,"甲","")))</f>
        <v/>
      </c>
      <c r="S50" s="101" t="str">
        <f>IF((F50+I55+L50+O55)=0,"",IF((F50+I55+L50+O55)&gt;SUM($AC$1:$AC$3),"入力ｴﾗｰ",SUM($AC$1:$AC$3)-(F50+I55+L50+O55)))</f>
        <v/>
      </c>
      <c r="T50" s="102" t="str">
        <f>IF(S50="","",IF(S50="入力ｴﾗｰ","","m"))</f>
        <v/>
      </c>
      <c r="U50" s="94" t="str">
        <f>IF(B50="","",COUNT(F50,I55,L50,O55)-IF(S50=0,1,0)-V50)</f>
        <v/>
      </c>
      <c r="V50" s="95"/>
      <c r="W50" s="104"/>
      <c r="X50" s="103"/>
      <c r="Y50" s="103"/>
      <c r="Z50" s="103"/>
      <c r="AA50" s="99"/>
    </row>
    <row r="51" spans="2:29" ht="3" customHeight="1" x14ac:dyDescent="0.25">
      <c r="B51" s="96"/>
      <c r="C51" s="3"/>
      <c r="G51" s="3"/>
      <c r="I51" s="3"/>
      <c r="K51" s="3"/>
      <c r="R51" s="98"/>
      <c r="S51" s="101"/>
      <c r="T51" s="102"/>
      <c r="U51" s="94"/>
      <c r="V51" s="95"/>
      <c r="W51" s="104"/>
      <c r="X51" s="103"/>
      <c r="Y51" s="103"/>
      <c r="Z51" s="103"/>
      <c r="AA51" s="99"/>
    </row>
    <row r="52" spans="2:29" ht="3" customHeight="1" x14ac:dyDescent="0.25">
      <c r="B52" s="96"/>
      <c r="C52" s="3"/>
      <c r="G52" s="3"/>
      <c r="I52" s="3"/>
      <c r="K52" s="3"/>
      <c r="R52" s="98"/>
      <c r="S52" s="101"/>
      <c r="T52" s="102"/>
      <c r="U52" s="94"/>
      <c r="V52" s="95"/>
      <c r="W52" s="104"/>
      <c r="X52" s="103"/>
      <c r="Y52" s="103"/>
      <c r="Z52" s="103"/>
      <c r="AA52" s="99"/>
    </row>
    <row r="53" spans="2:29" ht="3" customHeight="1" x14ac:dyDescent="0.25">
      <c r="B53" s="96"/>
      <c r="C53" s="3"/>
      <c r="E53" s="6"/>
      <c r="F53" s="6"/>
      <c r="G53" s="7"/>
      <c r="H53" s="6"/>
      <c r="I53" s="7"/>
      <c r="J53" s="6"/>
      <c r="K53" s="7"/>
      <c r="L53" s="6"/>
      <c r="R53" s="100" t="str">
        <f>IF(R50="甲","",IF(OR(S50=0,S50="")=TRUE,"",IF(S50="入力ｴﾗｰ","","乙")))</f>
        <v/>
      </c>
      <c r="S53" s="101"/>
      <c r="U53" s="94"/>
      <c r="V53" s="95"/>
      <c r="W53" s="104"/>
      <c r="X53" s="103"/>
      <c r="Y53" s="103"/>
      <c r="Z53" s="103"/>
      <c r="AA53" s="99"/>
    </row>
    <row r="54" spans="2:29" ht="3" customHeight="1" x14ac:dyDescent="0.25">
      <c r="B54" s="96"/>
      <c r="C54" s="3"/>
      <c r="F54" s="2"/>
      <c r="G54" s="3"/>
      <c r="I54" s="3"/>
      <c r="K54" s="3"/>
      <c r="R54" s="100"/>
      <c r="S54" s="101"/>
      <c r="U54" s="94"/>
      <c r="V54" s="95"/>
      <c r="W54" s="104"/>
      <c r="X54" s="103"/>
      <c r="Y54" s="103"/>
      <c r="Z54" s="103"/>
      <c r="AA54" s="99"/>
    </row>
    <row r="55" spans="2:29" ht="15" customHeight="1" x14ac:dyDescent="0.25">
      <c r="B55" s="96"/>
      <c r="C55" s="3"/>
      <c r="G55" s="18"/>
      <c r="H55" s="13" t="str">
        <f>IF(I55="","",IF(I55=0,"","L="))</f>
        <v/>
      </c>
      <c r="I55" s="97"/>
      <c r="J55" s="97"/>
      <c r="K55" s="14" t="str">
        <f>IF(I55="","",IF(I55=0,"","m"))</f>
        <v/>
      </c>
      <c r="N55" s="13" t="str">
        <f>IF(O55="","",IF(O55=0,"","L="))</f>
        <v/>
      </c>
      <c r="O55" s="97"/>
      <c r="P55" s="97"/>
      <c r="Q55" s="14" t="str">
        <f>IF(O55="","",IF(O55=0,"","m"))</f>
        <v/>
      </c>
      <c r="R55" s="100"/>
      <c r="S55" s="101"/>
      <c r="U55" s="94"/>
      <c r="V55" s="95"/>
      <c r="W55" s="104"/>
      <c r="X55" s="103"/>
      <c r="Y55" s="103"/>
      <c r="Z55" s="103"/>
      <c r="AA55" s="99"/>
      <c r="AC55" s="1">
        <f>IF(U50="",0,IF(U50&gt;SUM(W50:AA55),U50-SUM(W50:AA55),0))</f>
        <v>0</v>
      </c>
    </row>
    <row r="56" spans="2:29" ht="6" customHeight="1" x14ac:dyDescent="0.2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2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25">
      <c r="B58" s="96" t="str">
        <f>IF(S58="","",IF(B50="","",1+B50))</f>
        <v/>
      </c>
      <c r="C58" s="3"/>
      <c r="E58" s="13" t="str">
        <f>IF(F58="","",IF(F58=0,"","L="))</f>
        <v/>
      </c>
      <c r="F58" s="97"/>
      <c r="G58" s="97"/>
      <c r="H58" s="14" t="str">
        <f>IF(F58="","",IF(F58=0,"","m"))</f>
        <v/>
      </c>
      <c r="K58" s="13" t="str">
        <f>IF(L58="","",IF(L58=0,"","L="))</f>
        <v/>
      </c>
      <c r="L58" s="97"/>
      <c r="M58" s="97"/>
      <c r="N58" s="14" t="str">
        <f>IF(L58="","",IF(L58=0,"","m"))</f>
        <v/>
      </c>
      <c r="R58" s="98" t="str">
        <f>IF(OR(S58="入力ｴﾗｰ",S58=0,S58="")=TRUE,"",IF(F58="","甲",IF(F58=0,"甲","")))</f>
        <v/>
      </c>
      <c r="S58" s="101" t="str">
        <f>IF((F58+I63+L58+O63)=0,"",IF((F58+I63+L58+O63)&gt;SUM($AC$1:$AC$3),"入力ｴﾗｰ",SUM($AC$1:$AC$3)-(F58+I63+L58+O63)))</f>
        <v/>
      </c>
      <c r="T58" s="102" t="str">
        <f>IF(S58="","",IF(S58="入力ｴﾗｰ","","m"))</f>
        <v/>
      </c>
      <c r="U58" s="94" t="str">
        <f>IF(B58="","",COUNT(F58,I63,L58,O63)-IF(S58=0,1,0)-V58)</f>
        <v/>
      </c>
      <c r="V58" s="95"/>
      <c r="W58" s="104"/>
      <c r="X58" s="103"/>
      <c r="Y58" s="103"/>
      <c r="Z58" s="103"/>
      <c r="AA58" s="99"/>
    </row>
    <row r="59" spans="2:29" ht="3" customHeight="1" x14ac:dyDescent="0.25">
      <c r="B59" s="96"/>
      <c r="C59" s="3"/>
      <c r="G59" s="3"/>
      <c r="I59" s="3"/>
      <c r="J59" s="2"/>
      <c r="K59" s="3"/>
      <c r="R59" s="98"/>
      <c r="S59" s="101"/>
      <c r="T59" s="102"/>
      <c r="U59" s="94"/>
      <c r="V59" s="95"/>
      <c r="W59" s="104"/>
      <c r="X59" s="103"/>
      <c r="Y59" s="103"/>
      <c r="Z59" s="103"/>
      <c r="AA59" s="99"/>
    </row>
    <row r="60" spans="2:29" ht="3" customHeight="1" x14ac:dyDescent="0.25">
      <c r="B60" s="96"/>
      <c r="C60" s="3"/>
      <c r="G60" s="3"/>
      <c r="I60" s="3"/>
      <c r="J60" s="2"/>
      <c r="K60" s="3"/>
      <c r="R60" s="98"/>
      <c r="S60" s="101"/>
      <c r="T60" s="102"/>
      <c r="U60" s="94"/>
      <c r="V60" s="95"/>
      <c r="W60" s="104"/>
      <c r="X60" s="103"/>
      <c r="Y60" s="103"/>
      <c r="Z60" s="103"/>
      <c r="AA60" s="99"/>
    </row>
    <row r="61" spans="2:29" ht="3" customHeight="1" x14ac:dyDescent="0.25">
      <c r="B61" s="96"/>
      <c r="C61" s="3"/>
      <c r="E61" s="6"/>
      <c r="F61" s="6"/>
      <c r="G61" s="7"/>
      <c r="H61" s="6"/>
      <c r="I61" s="7"/>
      <c r="J61" s="8"/>
      <c r="K61" s="7"/>
      <c r="L61" s="6"/>
      <c r="R61" s="100" t="str">
        <f>IF(R58="甲","",IF(OR(S58=0,S58="")=TRUE,"",IF(S58="入力ｴﾗｰ","","乙")))</f>
        <v/>
      </c>
      <c r="S61" s="101"/>
      <c r="U61" s="94"/>
      <c r="V61" s="95"/>
      <c r="W61" s="104"/>
      <c r="X61" s="103"/>
      <c r="Y61" s="103"/>
      <c r="Z61" s="103"/>
      <c r="AA61" s="99"/>
    </row>
    <row r="62" spans="2:29" ht="3" customHeight="1" x14ac:dyDescent="0.25">
      <c r="B62" s="96"/>
      <c r="C62" s="3"/>
      <c r="F62" s="2"/>
      <c r="G62" s="3"/>
      <c r="I62" s="3"/>
      <c r="J62" s="2"/>
      <c r="K62" s="3"/>
      <c r="R62" s="100"/>
      <c r="S62" s="101"/>
      <c r="U62" s="94"/>
      <c r="V62" s="95"/>
      <c r="W62" s="104"/>
      <c r="X62" s="103"/>
      <c r="Y62" s="103"/>
      <c r="Z62" s="103"/>
      <c r="AA62" s="99"/>
    </row>
    <row r="63" spans="2:29" ht="15" customHeight="1" x14ac:dyDescent="0.25">
      <c r="B63" s="96"/>
      <c r="C63" s="3"/>
      <c r="G63" s="18"/>
      <c r="H63" s="13" t="str">
        <f>IF(I63="","",IF(I63=0,"","L="))</f>
        <v/>
      </c>
      <c r="I63" s="97"/>
      <c r="J63" s="97"/>
      <c r="K63" s="14" t="str">
        <f>IF(I63="","",IF(I63=0,"","m"))</f>
        <v/>
      </c>
      <c r="N63" s="13" t="str">
        <f>IF(O63="","",IF(O63=0,"","L="))</f>
        <v/>
      </c>
      <c r="O63" s="97"/>
      <c r="P63" s="97"/>
      <c r="Q63" s="14" t="str">
        <f>IF(O63="","",IF(O63=0,"","m"))</f>
        <v/>
      </c>
      <c r="R63" s="100"/>
      <c r="S63" s="101"/>
      <c r="U63" s="94"/>
      <c r="V63" s="95"/>
      <c r="W63" s="104"/>
      <c r="X63" s="103"/>
      <c r="Y63" s="103"/>
      <c r="Z63" s="103"/>
      <c r="AA63" s="99"/>
      <c r="AC63" s="1">
        <f>IF(U58="",0,IF(U58&gt;SUM(W58:AA63),U58-SUM(W58:AA63),0))</f>
        <v>0</v>
      </c>
    </row>
    <row r="64" spans="2:29" ht="6" customHeight="1" x14ac:dyDescent="0.2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2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25">
      <c r="B66" s="96" t="str">
        <f>IF(S66="","",IF(B58="","",1+B58))</f>
        <v/>
      </c>
      <c r="C66" s="3"/>
      <c r="E66" s="13" t="str">
        <f>IF(F66="","",IF(F66=0,"","L="))</f>
        <v/>
      </c>
      <c r="F66" s="97"/>
      <c r="G66" s="97"/>
      <c r="H66" s="14" t="str">
        <f>IF(F66="","",IF(F66=0,"","m"))</f>
        <v/>
      </c>
      <c r="K66" s="13" t="str">
        <f>IF(L66="","",IF(L66=0,"","L="))</f>
        <v/>
      </c>
      <c r="L66" s="97"/>
      <c r="M66" s="97"/>
      <c r="N66" s="14" t="str">
        <f>IF(L66="","",IF(L66=0,"","m"))</f>
        <v/>
      </c>
      <c r="R66" s="98" t="str">
        <f>IF(OR(S66="入力ｴﾗｰ",S66=0,S66="")=TRUE,"",IF(F66="","甲",IF(F66=0,"甲","")))</f>
        <v/>
      </c>
      <c r="S66" s="101" t="str">
        <f>IF((F66+I71+L66+O71)=0,"",IF((F66+I71+L66+O71)&gt;SUM($AC$1:$AC$3),"入力ｴﾗｰ",SUM($AC$1:$AC$3)-(F66+I71+L66+O71)))</f>
        <v/>
      </c>
      <c r="T66" s="102" t="str">
        <f>IF(S66="","",IF(S66="入力ｴﾗｰ","","m"))</f>
        <v/>
      </c>
      <c r="U66" s="94" t="str">
        <f>IF(B66="","",COUNT(F66,I71,L66,O71)-IF(S66=0,1,0)-V66)</f>
        <v/>
      </c>
      <c r="V66" s="95"/>
      <c r="W66" s="104"/>
      <c r="X66" s="103"/>
      <c r="Y66" s="103"/>
      <c r="Z66" s="103"/>
      <c r="AA66" s="99"/>
    </row>
    <row r="67" spans="2:29" ht="3" customHeight="1" x14ac:dyDescent="0.25">
      <c r="B67" s="96"/>
      <c r="C67" s="3"/>
      <c r="G67" s="3"/>
      <c r="H67" s="2"/>
      <c r="K67" s="3"/>
      <c r="R67" s="98"/>
      <c r="S67" s="101"/>
      <c r="T67" s="102"/>
      <c r="U67" s="94"/>
      <c r="V67" s="95"/>
      <c r="W67" s="104"/>
      <c r="X67" s="103"/>
      <c r="Y67" s="103"/>
      <c r="Z67" s="103"/>
      <c r="AA67" s="99"/>
    </row>
    <row r="68" spans="2:29" ht="3" customHeight="1" x14ac:dyDescent="0.25">
      <c r="B68" s="96"/>
      <c r="C68" s="3"/>
      <c r="G68" s="3"/>
      <c r="H68" s="2"/>
      <c r="K68" s="3"/>
      <c r="R68" s="98"/>
      <c r="S68" s="101"/>
      <c r="T68" s="102"/>
      <c r="U68" s="94"/>
      <c r="V68" s="95"/>
      <c r="W68" s="104"/>
      <c r="X68" s="103"/>
      <c r="Y68" s="103"/>
      <c r="Z68" s="103"/>
      <c r="AA68" s="99"/>
    </row>
    <row r="69" spans="2:29" ht="3" customHeight="1" x14ac:dyDescent="0.25">
      <c r="B69" s="96"/>
      <c r="C69" s="3"/>
      <c r="E69" s="6"/>
      <c r="F69" s="8"/>
      <c r="G69" s="7"/>
      <c r="H69" s="8"/>
      <c r="I69" s="7"/>
      <c r="J69" s="8"/>
      <c r="K69" s="7"/>
      <c r="L69" s="6"/>
      <c r="R69" s="100" t="str">
        <f>IF(R66="甲","",IF(OR(S66=0,S66="")=TRUE,"",IF(S66="入力ｴﾗｰ","","乙")))</f>
        <v/>
      </c>
      <c r="S69" s="101"/>
      <c r="U69" s="94"/>
      <c r="V69" s="95"/>
      <c r="W69" s="104"/>
      <c r="X69" s="103"/>
      <c r="Y69" s="103"/>
      <c r="Z69" s="103"/>
      <c r="AA69" s="99"/>
    </row>
    <row r="70" spans="2:29" ht="3" customHeight="1" x14ac:dyDescent="0.25">
      <c r="B70" s="96"/>
      <c r="C70" s="3"/>
      <c r="F70" s="2"/>
      <c r="G70" s="3"/>
      <c r="H70" s="2"/>
      <c r="K70" s="3"/>
      <c r="R70" s="100"/>
      <c r="S70" s="101"/>
      <c r="U70" s="94"/>
      <c r="V70" s="95"/>
      <c r="W70" s="104"/>
      <c r="X70" s="103"/>
      <c r="Y70" s="103"/>
      <c r="Z70" s="103"/>
      <c r="AA70" s="99"/>
    </row>
    <row r="71" spans="2:29" ht="15" customHeight="1" x14ac:dyDescent="0.25">
      <c r="B71" s="96"/>
      <c r="C71" s="3"/>
      <c r="G71" s="18"/>
      <c r="H71" s="13" t="str">
        <f>IF(I71="","",IF(I71=0,"","L="))</f>
        <v/>
      </c>
      <c r="I71" s="97"/>
      <c r="J71" s="97"/>
      <c r="K71" s="14" t="str">
        <f>IF(I71="","",IF(I71=0,"","m"))</f>
        <v/>
      </c>
      <c r="N71" s="13" t="str">
        <f>IF(O71="","",IF(O71=0,"","L="))</f>
        <v/>
      </c>
      <c r="O71" s="97"/>
      <c r="P71" s="97"/>
      <c r="Q71" s="14" t="str">
        <f>IF(O71="","",IF(O71=0,"","m"))</f>
        <v/>
      </c>
      <c r="R71" s="100"/>
      <c r="S71" s="101"/>
      <c r="U71" s="94"/>
      <c r="V71" s="95"/>
      <c r="W71" s="104"/>
      <c r="X71" s="103"/>
      <c r="Y71" s="103"/>
      <c r="Z71" s="103"/>
      <c r="AA71" s="99"/>
      <c r="AC71" s="1">
        <f>IF(U66="",0,IF(U66&gt;SUM(W66:AA71),U66-SUM(W66:AA71),0))</f>
        <v>0</v>
      </c>
    </row>
    <row r="72" spans="2:29" ht="6" customHeight="1" x14ac:dyDescent="0.2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2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25">
      <c r="B74" s="96" t="str">
        <f>IF(S74="","",IF(B66="","",1+B66))</f>
        <v/>
      </c>
      <c r="C74" s="3"/>
      <c r="E74" s="13" t="str">
        <f>IF(F74="","",IF(F74=0,"","L="))</f>
        <v/>
      </c>
      <c r="F74" s="97"/>
      <c r="G74" s="97"/>
      <c r="H74" s="14" t="str">
        <f>IF(F74="","",IF(F74=0,"","m"))</f>
        <v/>
      </c>
      <c r="K74" s="13" t="str">
        <f>IF(L74="","",IF(L74=0,"","L="))</f>
        <v/>
      </c>
      <c r="L74" s="97"/>
      <c r="M74" s="97"/>
      <c r="N74" s="14" t="str">
        <f>IF(L74="","",IF(L74=0,"","m"))</f>
        <v/>
      </c>
      <c r="R74" s="98" t="str">
        <f>IF(OR(S74="入力ｴﾗｰ",S74=0,S74="")=TRUE,"",IF(F74="","甲",IF(F74=0,"甲","")))</f>
        <v/>
      </c>
      <c r="S74" s="101" t="str">
        <f>IF((F74+I79+L74+O79)=0,"",IF((F74+I79+L74+O79)&gt;SUM($AC$1:$AC$3),"入力ｴﾗｰ",SUM($AC$1:$AC$3)-(F74+I79+L74+O79)))</f>
        <v/>
      </c>
      <c r="T74" s="102" t="str">
        <f>IF(S74="","",IF(S74="入力ｴﾗｰ","","m"))</f>
        <v/>
      </c>
      <c r="U74" s="94" t="str">
        <f>IF(B74="","",COUNT(F74,I79,L74,O79)-IF(S74=0,1,0)-V74)</f>
        <v/>
      </c>
      <c r="V74" s="95"/>
      <c r="W74" s="104"/>
      <c r="X74" s="103"/>
      <c r="Y74" s="103"/>
      <c r="Z74" s="103"/>
      <c r="AA74" s="99"/>
    </row>
    <row r="75" spans="2:29" ht="3" customHeight="1" x14ac:dyDescent="0.25">
      <c r="B75" s="96"/>
      <c r="C75" s="3"/>
      <c r="G75" s="3"/>
      <c r="H75" s="2"/>
      <c r="K75" s="3"/>
      <c r="R75" s="98"/>
      <c r="S75" s="101"/>
      <c r="T75" s="102"/>
      <c r="U75" s="94"/>
      <c r="V75" s="95"/>
      <c r="W75" s="104"/>
      <c r="X75" s="103"/>
      <c r="Y75" s="103"/>
      <c r="Z75" s="103"/>
      <c r="AA75" s="99"/>
    </row>
    <row r="76" spans="2:29" ht="3" customHeight="1" x14ac:dyDescent="0.25">
      <c r="B76" s="96"/>
      <c r="C76" s="3"/>
      <c r="G76" s="3"/>
      <c r="H76" s="2"/>
      <c r="K76" s="3"/>
      <c r="R76" s="98"/>
      <c r="S76" s="101"/>
      <c r="T76" s="102"/>
      <c r="U76" s="94"/>
      <c r="V76" s="95"/>
      <c r="W76" s="104"/>
      <c r="X76" s="103"/>
      <c r="Y76" s="103"/>
      <c r="Z76" s="103"/>
      <c r="AA76" s="99"/>
    </row>
    <row r="77" spans="2:29" ht="3" customHeight="1" x14ac:dyDescent="0.25">
      <c r="B77" s="96"/>
      <c r="C77" s="3"/>
      <c r="E77" s="6"/>
      <c r="F77" s="8"/>
      <c r="G77" s="7"/>
      <c r="H77" s="8"/>
      <c r="I77" s="7"/>
      <c r="J77" s="8"/>
      <c r="K77" s="7"/>
      <c r="L77" s="6"/>
      <c r="R77" s="100" t="str">
        <f>IF(R74="甲","",IF(OR(S74=0,S74="")=TRUE,"",IF(S74="入力ｴﾗｰ","","乙")))</f>
        <v/>
      </c>
      <c r="S77" s="101"/>
      <c r="U77" s="94"/>
      <c r="V77" s="95"/>
      <c r="W77" s="104"/>
      <c r="X77" s="103"/>
      <c r="Y77" s="103"/>
      <c r="Z77" s="103"/>
      <c r="AA77" s="99"/>
    </row>
    <row r="78" spans="2:29" ht="3" customHeight="1" x14ac:dyDescent="0.25">
      <c r="B78" s="96"/>
      <c r="C78" s="3"/>
      <c r="F78" s="2"/>
      <c r="G78" s="3"/>
      <c r="H78" s="2"/>
      <c r="J78" s="2"/>
      <c r="K78" s="3"/>
      <c r="R78" s="100"/>
      <c r="S78" s="101"/>
      <c r="U78" s="94"/>
      <c r="V78" s="95"/>
      <c r="W78" s="104"/>
      <c r="X78" s="103"/>
      <c r="Y78" s="103"/>
      <c r="Z78" s="103"/>
      <c r="AA78" s="99"/>
    </row>
    <row r="79" spans="2:29" ht="15" customHeight="1" x14ac:dyDescent="0.25">
      <c r="B79" s="96"/>
      <c r="C79" s="3"/>
      <c r="G79" s="18"/>
      <c r="H79" s="13" t="str">
        <f>IF(I79="","",IF(I79=0,"","L="))</f>
        <v/>
      </c>
      <c r="I79" s="97"/>
      <c r="J79" s="97"/>
      <c r="K79" s="14" t="str">
        <f>IF(I79="","",IF(I79=0,"","m"))</f>
        <v/>
      </c>
      <c r="N79" s="13" t="str">
        <f>IF(O79="","",IF(O79=0,"","L="))</f>
        <v/>
      </c>
      <c r="O79" s="97"/>
      <c r="P79" s="97"/>
      <c r="Q79" s="14" t="str">
        <f>IF(O79="","",IF(O79=0,"","m"))</f>
        <v/>
      </c>
      <c r="R79" s="100"/>
      <c r="S79" s="101"/>
      <c r="U79" s="94"/>
      <c r="V79" s="95"/>
      <c r="W79" s="104"/>
      <c r="X79" s="103"/>
      <c r="Y79" s="103"/>
      <c r="Z79" s="103"/>
      <c r="AA79" s="99"/>
      <c r="AC79" s="1">
        <f>IF(U74="",0,IF(U74&gt;SUM(W74:AA79),U74-SUM(W74:AA79),0))</f>
        <v>0</v>
      </c>
    </row>
    <row r="80" spans="2:29" ht="6" customHeight="1" x14ac:dyDescent="0.2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6"/>
      <c r="T80" s="16"/>
      <c r="U80" s="15"/>
      <c r="V80" s="78"/>
      <c r="W80" s="72"/>
      <c r="X80" s="41"/>
      <c r="Y80" s="41"/>
      <c r="Z80" s="41"/>
      <c r="AA80" s="42"/>
      <c r="AC80" s="1">
        <f>IF(U75="",0,IF(U75&gt;SUM(W75:AA80),U75-SUM(W75:AA80),0))</f>
        <v>0</v>
      </c>
    </row>
    <row r="81" spans="2:29" ht="6" customHeight="1" x14ac:dyDescent="0.2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25">
      <c r="B82" s="96" t="str">
        <f>IF(S82="","",IF(B74="","",1+B74))</f>
        <v/>
      </c>
      <c r="C82" s="3"/>
      <c r="E82" s="13" t="str">
        <f>IF(F82="","",IF(F82=0,"","L="))</f>
        <v/>
      </c>
      <c r="F82" s="97"/>
      <c r="G82" s="97"/>
      <c r="H82" s="14" t="str">
        <f>IF(F82="","",IF(F82=0,"","m"))</f>
        <v/>
      </c>
      <c r="K82" s="13" t="str">
        <f>IF(L82="","",IF(L82=0,"","L="))</f>
        <v/>
      </c>
      <c r="L82" s="97"/>
      <c r="M82" s="97"/>
      <c r="N82" s="14" t="str">
        <f>IF(L82="","",IF(L82=0,"","m"))</f>
        <v/>
      </c>
      <c r="R82" s="98" t="str">
        <f>IF(OR(S82="入力ｴﾗｰ",S82=0,S82="")=TRUE,"",IF(F82="","甲",IF(F82=0,"甲","")))</f>
        <v/>
      </c>
      <c r="S82" s="101" t="str">
        <f>IF((F82+I87+L82+O87)=0,"",IF((F82+I87+L82+O87)&gt;SUM($AC$1:$AC$3),"入力ｴﾗｰ",SUM($AC$1:$AC$3)-(F82+I87+L82+O87)))</f>
        <v/>
      </c>
      <c r="T82" s="102" t="str">
        <f>IF(S82="","",IF(S82="入力ｴﾗｰ","","m"))</f>
        <v/>
      </c>
      <c r="U82" s="94" t="str">
        <f>IF(B82="","",COUNT(F82,I87,L82,O87)-IF(S82=0,1,0)-V82)</f>
        <v/>
      </c>
      <c r="V82" s="95"/>
      <c r="W82" s="104"/>
      <c r="X82" s="103"/>
      <c r="Y82" s="103"/>
      <c r="Z82" s="103"/>
      <c r="AA82" s="99"/>
    </row>
    <row r="83" spans="2:29" ht="3" customHeight="1" x14ac:dyDescent="0.25">
      <c r="B83" s="96"/>
      <c r="C83" s="3"/>
      <c r="G83" s="3"/>
      <c r="H83" s="2"/>
      <c r="K83" s="3"/>
      <c r="R83" s="98"/>
      <c r="S83" s="101"/>
      <c r="T83" s="102"/>
      <c r="U83" s="94"/>
      <c r="V83" s="95"/>
      <c r="W83" s="104"/>
      <c r="X83" s="103"/>
      <c r="Y83" s="103"/>
      <c r="Z83" s="103"/>
      <c r="AA83" s="99"/>
    </row>
    <row r="84" spans="2:29" ht="3" customHeight="1" x14ac:dyDescent="0.25">
      <c r="B84" s="96"/>
      <c r="C84" s="3"/>
      <c r="G84" s="3"/>
      <c r="H84" s="2"/>
      <c r="K84" s="3"/>
      <c r="R84" s="98"/>
      <c r="S84" s="101"/>
      <c r="T84" s="102"/>
      <c r="U84" s="94"/>
      <c r="V84" s="95"/>
      <c r="W84" s="104"/>
      <c r="X84" s="103"/>
      <c r="Y84" s="103"/>
      <c r="Z84" s="103"/>
      <c r="AA84" s="99"/>
    </row>
    <row r="85" spans="2:29" ht="3" customHeight="1" x14ac:dyDescent="0.25">
      <c r="B85" s="96"/>
      <c r="C85" s="3"/>
      <c r="E85" s="6"/>
      <c r="F85" s="6"/>
      <c r="G85" s="7"/>
      <c r="H85" s="8"/>
      <c r="I85" s="7"/>
      <c r="J85" s="8"/>
      <c r="K85" s="7"/>
      <c r="L85" s="6"/>
      <c r="R85" s="100" t="str">
        <f>IF(R82="甲","",IF(OR(S82=0,S82="")=TRUE,"",IF(S82="入力ｴﾗｰ","","乙")))</f>
        <v/>
      </c>
      <c r="S85" s="101"/>
      <c r="U85" s="94"/>
      <c r="V85" s="95"/>
      <c r="W85" s="104"/>
      <c r="X85" s="103"/>
      <c r="Y85" s="103"/>
      <c r="Z85" s="103"/>
      <c r="AA85" s="99"/>
    </row>
    <row r="86" spans="2:29" ht="3" customHeight="1" x14ac:dyDescent="0.25">
      <c r="B86" s="96"/>
      <c r="C86" s="3"/>
      <c r="F86" s="2"/>
      <c r="G86" s="3"/>
      <c r="H86" s="2"/>
      <c r="K86" s="3"/>
      <c r="R86" s="100"/>
      <c r="S86" s="101"/>
      <c r="U86" s="94"/>
      <c r="V86" s="95"/>
      <c r="W86" s="104"/>
      <c r="X86" s="103"/>
      <c r="Y86" s="103"/>
      <c r="Z86" s="103"/>
      <c r="AA86" s="99"/>
    </row>
    <row r="87" spans="2:29" ht="15" customHeight="1" x14ac:dyDescent="0.25">
      <c r="B87" s="96"/>
      <c r="C87" s="3"/>
      <c r="G87" s="18"/>
      <c r="H87" s="13" t="str">
        <f>IF(I87="","",IF(I87=0,"","L="))</f>
        <v/>
      </c>
      <c r="I87" s="97"/>
      <c r="J87" s="97"/>
      <c r="K87" s="14" t="str">
        <f>IF(I87="","",IF(I87=0,"","m"))</f>
        <v/>
      </c>
      <c r="N87" s="13" t="str">
        <f>IF(O87="","",IF(O87=0,"","L="))</f>
        <v/>
      </c>
      <c r="O87" s="97"/>
      <c r="P87" s="97"/>
      <c r="Q87" s="14" t="str">
        <f>IF(O87="","",IF(O87=0,"","m"))</f>
        <v/>
      </c>
      <c r="R87" s="100"/>
      <c r="S87" s="101"/>
      <c r="U87" s="94"/>
      <c r="V87" s="95"/>
      <c r="W87" s="104"/>
      <c r="X87" s="103"/>
      <c r="Y87" s="103"/>
      <c r="Z87" s="103"/>
      <c r="AA87" s="99"/>
      <c r="AC87" s="1">
        <f>IF(U82="",0,IF(U82&gt;SUM(W82:AA87),U82-SUM(W82:AA87),0))</f>
        <v>0</v>
      </c>
    </row>
    <row r="88" spans="2:29" ht="6" customHeight="1" x14ac:dyDescent="0.2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2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25">
      <c r="B90" s="96" t="str">
        <f>IF(S90="","",IF(B82="","",1+B82))</f>
        <v/>
      </c>
      <c r="C90" s="3"/>
      <c r="E90" s="13" t="str">
        <f>IF(F90="","",IF(F90=0,"","L="))</f>
        <v/>
      </c>
      <c r="F90" s="97"/>
      <c r="G90" s="97"/>
      <c r="H90" s="14" t="str">
        <f>IF(F90="","",IF(F90=0,"","m"))</f>
        <v/>
      </c>
      <c r="K90" s="13" t="str">
        <f>IF(L90="","",IF(L90=0,"","L="))</f>
        <v/>
      </c>
      <c r="L90" s="97"/>
      <c r="M90" s="97"/>
      <c r="N90" s="14" t="str">
        <f>IF(L90="","",IF(L90=0,"","m"))</f>
        <v/>
      </c>
      <c r="R90" s="98" t="str">
        <f>IF(OR(S90="入力ｴﾗｰ",S90=0,S90="")=TRUE,"",IF(F90="","甲",IF(F90=0,"甲","")))</f>
        <v/>
      </c>
      <c r="S90" s="101"/>
      <c r="T90" s="102" t="str">
        <f>IF(S90="","",IF(S90="入力ｴﾗｰ","","m"))</f>
        <v/>
      </c>
      <c r="U90" s="94" t="str">
        <f>IF(B90="","",COUNT(F90,I95,L90,O95)-IF(S90=0,1,0)-V90)</f>
        <v/>
      </c>
      <c r="V90" s="95"/>
      <c r="W90" s="104"/>
      <c r="X90" s="103"/>
      <c r="Y90" s="103"/>
      <c r="Z90" s="103"/>
      <c r="AA90" s="99"/>
    </row>
    <row r="91" spans="2:29" ht="3" customHeight="1" x14ac:dyDescent="0.25">
      <c r="B91" s="96"/>
      <c r="C91" s="3"/>
      <c r="G91" s="3"/>
      <c r="H91" s="2"/>
      <c r="K91" s="3"/>
      <c r="R91" s="98"/>
      <c r="S91" s="101"/>
      <c r="T91" s="102"/>
      <c r="U91" s="94"/>
      <c r="V91" s="95"/>
      <c r="W91" s="104"/>
      <c r="X91" s="103"/>
      <c r="Y91" s="103"/>
      <c r="Z91" s="103"/>
      <c r="AA91" s="99"/>
    </row>
    <row r="92" spans="2:29" ht="3" customHeight="1" x14ac:dyDescent="0.25">
      <c r="B92" s="96"/>
      <c r="C92" s="3"/>
      <c r="G92" s="3"/>
      <c r="H92" s="2"/>
      <c r="K92" s="3"/>
      <c r="R92" s="98"/>
      <c r="S92" s="101"/>
      <c r="T92" s="102"/>
      <c r="U92" s="94"/>
      <c r="V92" s="95"/>
      <c r="W92" s="104"/>
      <c r="X92" s="103"/>
      <c r="Y92" s="103"/>
      <c r="Z92" s="103"/>
      <c r="AA92" s="99"/>
    </row>
    <row r="93" spans="2:29" ht="3" customHeight="1" x14ac:dyDescent="0.25">
      <c r="B93" s="96"/>
      <c r="C93" s="3"/>
      <c r="E93" s="6"/>
      <c r="F93" s="6"/>
      <c r="G93" s="7"/>
      <c r="H93" s="8"/>
      <c r="I93" s="7"/>
      <c r="J93" s="8"/>
      <c r="K93" s="7"/>
      <c r="L93" s="6"/>
      <c r="R93" s="100" t="str">
        <f>IF(R90="甲","",IF(OR(S90=0,S90="")=TRUE,"",IF(S90="入力ｴﾗｰ","","乙")))</f>
        <v/>
      </c>
      <c r="S93" s="101"/>
      <c r="U93" s="94"/>
      <c r="V93" s="95"/>
      <c r="W93" s="104"/>
      <c r="X93" s="103"/>
      <c r="Y93" s="103"/>
      <c r="Z93" s="103"/>
      <c r="AA93" s="99"/>
    </row>
    <row r="94" spans="2:29" ht="3" customHeight="1" x14ac:dyDescent="0.25">
      <c r="B94" s="96"/>
      <c r="C94" s="3"/>
      <c r="F94" s="2"/>
      <c r="G94" s="3"/>
      <c r="H94" s="2"/>
      <c r="K94" s="3"/>
      <c r="R94" s="100"/>
      <c r="S94" s="101"/>
      <c r="U94" s="94"/>
      <c r="V94" s="95"/>
      <c r="W94" s="104"/>
      <c r="X94" s="103"/>
      <c r="Y94" s="103"/>
      <c r="Z94" s="103"/>
      <c r="AA94" s="99"/>
    </row>
    <row r="95" spans="2:29" ht="15" customHeight="1" x14ac:dyDescent="0.25">
      <c r="B95" s="96"/>
      <c r="C95" s="3"/>
      <c r="G95" s="18"/>
      <c r="H95" s="13" t="str">
        <f>IF(I95="","",IF(I95=0,"","L="))</f>
        <v/>
      </c>
      <c r="I95" s="97"/>
      <c r="J95" s="97"/>
      <c r="K95" s="14" t="str">
        <f>IF(I95="","",IF(I95=0,"","m"))</f>
        <v/>
      </c>
      <c r="N95" s="13" t="str">
        <f>IF(O95="","",IF(O95=0,"","L="))</f>
        <v/>
      </c>
      <c r="O95" s="97"/>
      <c r="P95" s="97"/>
      <c r="Q95" s="14" t="str">
        <f>IF(O95="","",IF(O95=0,"","m"))</f>
        <v/>
      </c>
      <c r="R95" s="100"/>
      <c r="S95" s="101"/>
      <c r="U95" s="94"/>
      <c r="V95" s="95"/>
      <c r="W95" s="104"/>
      <c r="X95" s="103"/>
      <c r="Y95" s="103"/>
      <c r="Z95" s="103"/>
      <c r="AA95" s="99"/>
      <c r="AC95" s="1">
        <f>IF(U90="",0,IF(U90&gt;SUM(W90:AA95),U90-SUM(W90:AA95),0))</f>
        <v>0</v>
      </c>
    </row>
    <row r="96" spans="2:29" ht="6" customHeight="1" x14ac:dyDescent="0.2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2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25">
      <c r="B98" s="96" t="str">
        <f>IF(S98="","",IF(B90="","",1+B90))</f>
        <v/>
      </c>
      <c r="C98" s="3"/>
      <c r="E98" s="13" t="str">
        <f>IF(F98="","",IF(F98=0,"","L="))</f>
        <v/>
      </c>
      <c r="F98" s="97"/>
      <c r="G98" s="97"/>
      <c r="H98" s="14" t="str">
        <f>IF(F98="","",IF(F98=0,"","m"))</f>
        <v/>
      </c>
      <c r="K98" s="13" t="str">
        <f>IF(L98="","",IF(L98=0,"","L="))</f>
        <v/>
      </c>
      <c r="L98" s="97"/>
      <c r="M98" s="97"/>
      <c r="N98" s="14" t="str">
        <f>IF(L98="","",IF(L98=0,"","m"))</f>
        <v/>
      </c>
      <c r="R98" s="98" t="str">
        <f>IF(OR(S98="入力ｴﾗｰ",S98=0,S98="")=TRUE,"",IF(F98="","甲",IF(F98=0,"甲","")))</f>
        <v/>
      </c>
      <c r="S98" s="101" t="str">
        <f>IF((F98+I103+L98+O103)=0,"",IF((F98+I103+L98+O103)&gt;SUM($AC$1:$AC$3),"入力ｴﾗｰ",SUM($AC$1:$AC$3)-(F98+I103+L98+O103)))</f>
        <v/>
      </c>
      <c r="T98" s="102" t="str">
        <f>IF(S98="","",IF(S98="入力ｴﾗｰ","","m"))</f>
        <v/>
      </c>
      <c r="U98" s="94" t="str">
        <f>IF(B98="","",COUNT(F98,I103,L98,O103)-IF(S98=0,1,0)-V98)</f>
        <v/>
      </c>
      <c r="V98" s="95"/>
      <c r="W98" s="104"/>
      <c r="X98" s="103"/>
      <c r="Y98" s="103"/>
      <c r="Z98" s="103"/>
      <c r="AA98" s="99"/>
    </row>
    <row r="99" spans="2:29" ht="3" customHeight="1" x14ac:dyDescent="0.25">
      <c r="B99" s="96"/>
      <c r="C99" s="3"/>
      <c r="G99" s="3"/>
      <c r="H99" s="2"/>
      <c r="K99" s="3"/>
      <c r="R99" s="98"/>
      <c r="S99" s="101"/>
      <c r="T99" s="102"/>
      <c r="U99" s="94"/>
      <c r="V99" s="95"/>
      <c r="W99" s="104"/>
      <c r="X99" s="103"/>
      <c r="Y99" s="103"/>
      <c r="Z99" s="103"/>
      <c r="AA99" s="99"/>
    </row>
    <row r="100" spans="2:29" ht="3" customHeight="1" x14ac:dyDescent="0.25">
      <c r="B100" s="96"/>
      <c r="C100" s="3"/>
      <c r="G100" s="3"/>
      <c r="H100" s="2"/>
      <c r="K100" s="3"/>
      <c r="R100" s="98"/>
      <c r="S100" s="101"/>
      <c r="T100" s="102"/>
      <c r="U100" s="94"/>
      <c r="V100" s="95"/>
      <c r="W100" s="104"/>
      <c r="X100" s="103"/>
      <c r="Y100" s="103"/>
      <c r="Z100" s="103"/>
      <c r="AA100" s="99"/>
    </row>
    <row r="101" spans="2:29" ht="3" customHeight="1" x14ac:dyDescent="0.25">
      <c r="B101" s="96"/>
      <c r="C101" s="3"/>
      <c r="E101" s="6"/>
      <c r="F101" s="6"/>
      <c r="G101" s="7"/>
      <c r="H101" s="8"/>
      <c r="I101" s="7"/>
      <c r="J101" s="8"/>
      <c r="K101" s="7"/>
      <c r="L101" s="6"/>
      <c r="R101" s="100" t="str">
        <f>IF(R98="甲","",IF(OR(S98=0,S98="")=TRUE,"",IF(S98="入力ｴﾗｰ","","乙")))</f>
        <v/>
      </c>
      <c r="S101" s="101"/>
      <c r="U101" s="94"/>
      <c r="V101" s="95"/>
      <c r="W101" s="104"/>
      <c r="X101" s="103"/>
      <c r="Y101" s="103"/>
      <c r="Z101" s="103"/>
      <c r="AA101" s="99"/>
    </row>
    <row r="102" spans="2:29" ht="3" customHeight="1" x14ac:dyDescent="0.25">
      <c r="B102" s="96"/>
      <c r="C102" s="3"/>
      <c r="F102" s="2"/>
      <c r="G102" s="3"/>
      <c r="H102" s="2"/>
      <c r="K102" s="3"/>
      <c r="R102" s="100"/>
      <c r="S102" s="101"/>
      <c r="U102" s="94"/>
      <c r="V102" s="95"/>
      <c r="W102" s="104"/>
      <c r="X102" s="103"/>
      <c r="Y102" s="103"/>
      <c r="Z102" s="103"/>
      <c r="AA102" s="99"/>
    </row>
    <row r="103" spans="2:29" ht="15" customHeight="1" x14ac:dyDescent="0.25">
      <c r="B103" s="96"/>
      <c r="C103" s="3"/>
      <c r="G103" s="18"/>
      <c r="H103" s="13" t="str">
        <f>IF(I103="","",IF(I103=0,"","L="))</f>
        <v/>
      </c>
      <c r="I103" s="97"/>
      <c r="J103" s="97"/>
      <c r="K103" s="14" t="str">
        <f>IF(I103="","",IF(I103=0,"","m"))</f>
        <v/>
      </c>
      <c r="N103" s="13" t="str">
        <f>IF(O103="","",IF(O103=0,"","L="))</f>
        <v/>
      </c>
      <c r="O103" s="97"/>
      <c r="P103" s="97"/>
      <c r="Q103" s="14" t="str">
        <f>IF(O103="","",IF(O103=0,"","m"))</f>
        <v/>
      </c>
      <c r="R103" s="100"/>
      <c r="S103" s="101"/>
      <c r="U103" s="94"/>
      <c r="V103" s="95"/>
      <c r="W103" s="104"/>
      <c r="X103" s="103"/>
      <c r="Y103" s="103"/>
      <c r="Z103" s="103"/>
      <c r="AA103" s="99"/>
      <c r="AC103" s="1">
        <f>IF(U98="",0,IF(U98&gt;SUM(W98:AA103),U98-SUM(W98:AA103),0))</f>
        <v>0</v>
      </c>
    </row>
    <row r="104" spans="2:29" ht="6" customHeight="1" x14ac:dyDescent="0.2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2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25">
      <c r="B106" s="96"/>
      <c r="C106" s="3"/>
      <c r="E106" s="13" t="str">
        <f>IF(F106="","",IF(F106=0,"","L="))</f>
        <v/>
      </c>
      <c r="F106" s="97"/>
      <c r="G106" s="97"/>
      <c r="H106" s="14" t="str">
        <f>IF(F106="","",IF(F106=0,"","m"))</f>
        <v/>
      </c>
      <c r="K106" s="13" t="str">
        <f>IF(L106="","",IF(L106=0,"","L="))</f>
        <v/>
      </c>
      <c r="L106" s="97"/>
      <c r="M106" s="97"/>
      <c r="N106" s="14" t="str">
        <f>IF(L106="","",IF(L106=0,"","m"))</f>
        <v/>
      </c>
      <c r="R106" s="123"/>
      <c r="S106" s="124"/>
      <c r="T106" s="125"/>
      <c r="U106" s="94" t="str">
        <f>IF(B106="","",COUNT(F106,I111,L106,O111)-IF(S106=0,1,0)-V106)</f>
        <v/>
      </c>
      <c r="V106" s="95"/>
      <c r="W106" s="104"/>
      <c r="X106" s="103"/>
      <c r="Y106" s="103"/>
      <c r="Z106" s="103"/>
      <c r="AA106" s="99"/>
    </row>
    <row r="107" spans="2:29" ht="3" customHeight="1" x14ac:dyDescent="0.25">
      <c r="B107" s="96"/>
      <c r="C107" s="3"/>
      <c r="G107" s="3"/>
      <c r="H107" s="2"/>
      <c r="K107" s="3"/>
      <c r="R107" s="123"/>
      <c r="S107" s="124"/>
      <c r="T107" s="125"/>
      <c r="U107" s="94"/>
      <c r="V107" s="95"/>
      <c r="W107" s="104"/>
      <c r="X107" s="103"/>
      <c r="Y107" s="103"/>
      <c r="Z107" s="103"/>
      <c r="AA107" s="99"/>
    </row>
    <row r="108" spans="2:29" ht="3" customHeight="1" x14ac:dyDescent="0.25">
      <c r="B108" s="96"/>
      <c r="C108" s="3"/>
      <c r="G108" s="3"/>
      <c r="H108" s="2"/>
      <c r="K108" s="3"/>
      <c r="R108" s="123"/>
      <c r="S108" s="124"/>
      <c r="T108" s="125"/>
      <c r="U108" s="94"/>
      <c r="V108" s="95"/>
      <c r="W108" s="104"/>
      <c r="X108" s="103"/>
      <c r="Y108" s="103"/>
      <c r="Z108" s="103"/>
      <c r="AA108" s="99"/>
    </row>
    <row r="109" spans="2:29" ht="3" customHeight="1" x14ac:dyDescent="0.25">
      <c r="B109" s="96"/>
      <c r="C109" s="3"/>
      <c r="E109" s="6"/>
      <c r="F109" s="6"/>
      <c r="G109" s="7"/>
      <c r="H109" s="8"/>
      <c r="I109" s="7"/>
      <c r="J109" s="8"/>
      <c r="K109" s="7"/>
      <c r="L109" s="6"/>
      <c r="R109" s="123"/>
      <c r="S109" s="124"/>
      <c r="T109" s="125"/>
      <c r="U109" s="94"/>
      <c r="V109" s="95"/>
      <c r="W109" s="104"/>
      <c r="X109" s="103"/>
      <c r="Y109" s="103"/>
      <c r="Z109" s="103"/>
      <c r="AA109" s="99"/>
    </row>
    <row r="110" spans="2:29" ht="3" customHeight="1" x14ac:dyDescent="0.25">
      <c r="B110" s="96"/>
      <c r="C110" s="3"/>
      <c r="F110" s="2"/>
      <c r="G110" s="3"/>
      <c r="H110" s="2"/>
      <c r="K110" s="3"/>
      <c r="R110" s="123"/>
      <c r="S110" s="124"/>
      <c r="T110" s="125"/>
      <c r="U110" s="94"/>
      <c r="V110" s="95"/>
      <c r="W110" s="104"/>
      <c r="X110" s="103"/>
      <c r="Y110" s="103"/>
      <c r="Z110" s="103"/>
      <c r="AA110" s="99"/>
    </row>
    <row r="111" spans="2:29" ht="15" customHeight="1" x14ac:dyDescent="0.25">
      <c r="B111" s="96"/>
      <c r="C111" s="3"/>
      <c r="G111" s="18"/>
      <c r="H111" s="13" t="str">
        <f>IF(I111="","",IF(I111=0,"","L="))</f>
        <v/>
      </c>
      <c r="I111" s="97"/>
      <c r="J111" s="97"/>
      <c r="K111" s="14" t="str">
        <f>IF(I111="","",IF(I111=0,"","m"))</f>
        <v/>
      </c>
      <c r="N111" s="13" t="str">
        <f>IF(O111="","",IF(O111=0,"","L="))</f>
        <v/>
      </c>
      <c r="O111" s="97"/>
      <c r="P111" s="97"/>
      <c r="Q111" s="14" t="str">
        <f>IF(O111="","",IF(O111=0,"","m"))</f>
        <v/>
      </c>
      <c r="R111" s="123"/>
      <c r="S111" s="124"/>
      <c r="T111" s="125"/>
      <c r="U111" s="94"/>
      <c r="V111" s="95"/>
      <c r="W111" s="104"/>
      <c r="X111" s="103"/>
      <c r="Y111" s="103"/>
      <c r="Z111" s="103"/>
      <c r="AA111" s="99"/>
      <c r="AC111" s="1">
        <f>IF(U106="",0,IF(U106&gt;SUM(W106:AA111),U106-SUM(W106:AA111),0))</f>
        <v>0</v>
      </c>
    </row>
    <row r="112" spans="2:29" ht="6" customHeight="1" x14ac:dyDescent="0.2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25">
      <c r="B113" s="84" t="s">
        <v>17</v>
      </c>
      <c r="C113" s="85"/>
      <c r="D113" s="85"/>
      <c r="E113" s="85"/>
      <c r="F113" s="86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3">
      <c r="B114" s="87"/>
      <c r="C114" s="88"/>
      <c r="D114" s="88"/>
      <c r="E114" s="88"/>
      <c r="F114" s="89"/>
      <c r="G114" s="25" t="str">
        <f>U2</f>
        <v>GX</v>
      </c>
      <c r="H114" s="88">
        <f>Y2</f>
        <v>75</v>
      </c>
      <c r="I114" s="88"/>
      <c r="J114" s="89"/>
      <c r="K114" s="90">
        <f>IF(B10="",0,LARGE(B10:B111,1))</f>
        <v>4</v>
      </c>
      <c r="L114" s="91"/>
      <c r="M114" s="21"/>
      <c r="N114" s="25"/>
      <c r="O114" s="20"/>
      <c r="P114" s="20"/>
      <c r="Q114" s="21"/>
      <c r="R114" s="92">
        <f>SUM(S10:S111)</f>
        <v>7.3000000000000007</v>
      </c>
      <c r="S114" s="122"/>
      <c r="T114" s="20"/>
      <c r="U114" s="51">
        <f t="shared" ref="U114:AA114" si="0">SUM(U10:U111)</f>
        <v>10</v>
      </c>
      <c r="V114" s="79">
        <f t="shared" si="0"/>
        <v>0</v>
      </c>
      <c r="W114" s="73">
        <f t="shared" si="0"/>
        <v>10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18">
    <mergeCell ref="B113:F114"/>
    <mergeCell ref="H114:J114"/>
    <mergeCell ref="K114:L114"/>
    <mergeCell ref="R114:S114"/>
    <mergeCell ref="R106:T111"/>
    <mergeCell ref="U106:U111"/>
    <mergeCell ref="V106:V111"/>
    <mergeCell ref="W106:W111"/>
    <mergeCell ref="X106:X111"/>
    <mergeCell ref="AA98:AA103"/>
    <mergeCell ref="R101:R103"/>
    <mergeCell ref="I103:J103"/>
    <mergeCell ref="O103:P103"/>
    <mergeCell ref="B106:B111"/>
    <mergeCell ref="F106:G106"/>
    <mergeCell ref="L106:M106"/>
    <mergeCell ref="U98:U103"/>
    <mergeCell ref="V98:V103"/>
    <mergeCell ref="W98:W103"/>
    <mergeCell ref="X98:X103"/>
    <mergeCell ref="Y98:Y103"/>
    <mergeCell ref="Z98:Z103"/>
    <mergeCell ref="AA106:AA111"/>
    <mergeCell ref="I111:J111"/>
    <mergeCell ref="O111:P111"/>
    <mergeCell ref="Y106:Y111"/>
    <mergeCell ref="Z106:Z111"/>
    <mergeCell ref="B98:B103"/>
    <mergeCell ref="F98:G98"/>
    <mergeCell ref="L98:M98"/>
    <mergeCell ref="R98:R100"/>
    <mergeCell ref="S98:S103"/>
    <mergeCell ref="T98:T100"/>
    <mergeCell ref="AA82:AA87"/>
    <mergeCell ref="R85:R87"/>
    <mergeCell ref="I87:J87"/>
    <mergeCell ref="O87:P87"/>
    <mergeCell ref="B90:B95"/>
    <mergeCell ref="F90:G90"/>
    <mergeCell ref="L90:M90"/>
    <mergeCell ref="R90:R92"/>
    <mergeCell ref="S90:S95"/>
    <mergeCell ref="T90:T92"/>
    <mergeCell ref="U82:U87"/>
    <mergeCell ref="V82:V87"/>
    <mergeCell ref="W82:W87"/>
    <mergeCell ref="X82:X87"/>
    <mergeCell ref="Y82:Y87"/>
    <mergeCell ref="Z82:Z87"/>
    <mergeCell ref="AA90:AA95"/>
    <mergeCell ref="R93:R95"/>
    <mergeCell ref="I95:J95"/>
    <mergeCell ref="O95:P95"/>
    <mergeCell ref="X90:X95"/>
    <mergeCell ref="Y90:Y95"/>
    <mergeCell ref="Z90:Z95"/>
    <mergeCell ref="B82:B87"/>
    <mergeCell ref="F82:G82"/>
    <mergeCell ref="L82:M82"/>
    <mergeCell ref="R82:R84"/>
    <mergeCell ref="S82:S87"/>
    <mergeCell ref="T82:T84"/>
    <mergeCell ref="U74:U79"/>
    <mergeCell ref="V74:V79"/>
    <mergeCell ref="W74:W79"/>
    <mergeCell ref="U90:U95"/>
    <mergeCell ref="V90:V95"/>
    <mergeCell ref="W90:W95"/>
    <mergeCell ref="Y66:Y71"/>
    <mergeCell ref="Z66:Z71"/>
    <mergeCell ref="AA74:AA79"/>
    <mergeCell ref="R77:R79"/>
    <mergeCell ref="I79:J79"/>
    <mergeCell ref="O79:P79"/>
    <mergeCell ref="X74:X79"/>
    <mergeCell ref="Y74:Y79"/>
    <mergeCell ref="Z74:Z79"/>
    <mergeCell ref="AA66:AA71"/>
    <mergeCell ref="X66:X71"/>
    <mergeCell ref="B74:B79"/>
    <mergeCell ref="F74:G74"/>
    <mergeCell ref="L74:M74"/>
    <mergeCell ref="R74:R76"/>
    <mergeCell ref="S74:S79"/>
    <mergeCell ref="T74:T76"/>
    <mergeCell ref="U66:U71"/>
    <mergeCell ref="V66:V71"/>
    <mergeCell ref="W66:W71"/>
    <mergeCell ref="B66:B71"/>
    <mergeCell ref="F66:G66"/>
    <mergeCell ref="L66:M66"/>
    <mergeCell ref="R66:R68"/>
    <mergeCell ref="S66:S71"/>
    <mergeCell ref="T66:T68"/>
    <mergeCell ref="R69:R71"/>
    <mergeCell ref="I71:J71"/>
    <mergeCell ref="O71:P71"/>
    <mergeCell ref="AA50:AA55"/>
    <mergeCell ref="R53:R55"/>
    <mergeCell ref="I55:J55"/>
    <mergeCell ref="O55:P55"/>
    <mergeCell ref="X50:X55"/>
    <mergeCell ref="Y50:Y55"/>
    <mergeCell ref="Z50:Z55"/>
    <mergeCell ref="AA58:AA63"/>
    <mergeCell ref="X58:X63"/>
    <mergeCell ref="Y58:Y63"/>
    <mergeCell ref="Z58:Z63"/>
    <mergeCell ref="B58:B63"/>
    <mergeCell ref="F58:G58"/>
    <mergeCell ref="L58:M58"/>
    <mergeCell ref="R58:R60"/>
    <mergeCell ref="S58:S63"/>
    <mergeCell ref="T58:T60"/>
    <mergeCell ref="U50:U55"/>
    <mergeCell ref="V50:V55"/>
    <mergeCell ref="W50:W55"/>
    <mergeCell ref="R61:R63"/>
    <mergeCell ref="I63:J63"/>
    <mergeCell ref="O63:P63"/>
    <mergeCell ref="B50:B55"/>
    <mergeCell ref="F50:G50"/>
    <mergeCell ref="L50:M50"/>
    <mergeCell ref="R50:R52"/>
    <mergeCell ref="S50:S55"/>
    <mergeCell ref="T50:T52"/>
    <mergeCell ref="U58:U63"/>
    <mergeCell ref="V58:V63"/>
    <mergeCell ref="W58:W63"/>
    <mergeCell ref="AA34:AA39"/>
    <mergeCell ref="R37:R39"/>
    <mergeCell ref="I39:J39"/>
    <mergeCell ref="O39:P39"/>
    <mergeCell ref="B42:B47"/>
    <mergeCell ref="F42:G42"/>
    <mergeCell ref="L42:M42"/>
    <mergeCell ref="R42:R44"/>
    <mergeCell ref="S42:S47"/>
    <mergeCell ref="T42:T44"/>
    <mergeCell ref="U34:U39"/>
    <mergeCell ref="V34:V39"/>
    <mergeCell ref="W34:W39"/>
    <mergeCell ref="X34:X39"/>
    <mergeCell ref="Y34:Y39"/>
    <mergeCell ref="Z34:Z39"/>
    <mergeCell ref="AA42:AA47"/>
    <mergeCell ref="R45:R47"/>
    <mergeCell ref="I47:J47"/>
    <mergeCell ref="O47:P47"/>
    <mergeCell ref="X42:X47"/>
    <mergeCell ref="Y42:Y47"/>
    <mergeCell ref="Z42:Z47"/>
    <mergeCell ref="B34:B39"/>
    <mergeCell ref="F34:G34"/>
    <mergeCell ref="L34:M34"/>
    <mergeCell ref="R34:R36"/>
    <mergeCell ref="S34:S39"/>
    <mergeCell ref="T34:T36"/>
    <mergeCell ref="U26:U31"/>
    <mergeCell ref="V26:V31"/>
    <mergeCell ref="W26:W31"/>
    <mergeCell ref="U42:U47"/>
    <mergeCell ref="V42:V47"/>
    <mergeCell ref="W42:W47"/>
    <mergeCell ref="AA18:AA23"/>
    <mergeCell ref="R21:R23"/>
    <mergeCell ref="I23:J23"/>
    <mergeCell ref="O23:P23"/>
    <mergeCell ref="B26:B31"/>
    <mergeCell ref="F26:G26"/>
    <mergeCell ref="L26:M26"/>
    <mergeCell ref="R26:R28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I31:J31"/>
    <mergeCell ref="O31:P31"/>
    <mergeCell ref="X26:X31"/>
    <mergeCell ref="Y26:Y31"/>
    <mergeCell ref="Z26:Z31"/>
    <mergeCell ref="B18:B23"/>
    <mergeCell ref="F18:G18"/>
    <mergeCell ref="L18:M18"/>
    <mergeCell ref="R18:R20"/>
    <mergeCell ref="S18:S23"/>
    <mergeCell ref="T18:T20"/>
    <mergeCell ref="U10:U15"/>
    <mergeCell ref="V10:V15"/>
    <mergeCell ref="W10:W15"/>
    <mergeCell ref="B10:B15"/>
    <mergeCell ref="F10:G10"/>
    <mergeCell ref="L10:M10"/>
    <mergeCell ref="R10:R12"/>
    <mergeCell ref="S10:S15"/>
    <mergeCell ref="T10:T12"/>
    <mergeCell ref="C1:Q1"/>
    <mergeCell ref="U2:V3"/>
    <mergeCell ref="Y2:Z3"/>
    <mergeCell ref="B7:B8"/>
    <mergeCell ref="C7:Q8"/>
    <mergeCell ref="R7:T8"/>
    <mergeCell ref="AA10:AA15"/>
    <mergeCell ref="R13:R15"/>
    <mergeCell ref="I15:J15"/>
    <mergeCell ref="O15:P15"/>
    <mergeCell ref="X10:X15"/>
    <mergeCell ref="Y10:Y15"/>
    <mergeCell ref="Z10:Z15"/>
    <mergeCell ref="U7:V7"/>
    <mergeCell ref="W7:AA7"/>
    <mergeCell ref="U5:AA5"/>
  </mergeCells>
  <phoneticPr fontId="2"/>
  <conditionalFormatting sqref="S10:S15 S18:S23 S26:S31 S34:S39 S42:S47 S50:S55 S58:S63 S66:S71 S74:S79 S82:S87 S90:S95 S98:S103">
    <cfRule type="cellIs" dxfId="19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B1:AC122"/>
  <sheetViews>
    <sheetView showGridLines="0" view="pageBreakPreview" zoomScale="123" zoomScaleNormal="123" zoomScaleSheetLayoutView="123" workbookViewId="0">
      <selection activeCell="W104" sqref="W104"/>
    </sheetView>
  </sheetViews>
  <sheetFormatPr defaultColWidth="9.0703125" defaultRowHeight="12" x14ac:dyDescent="0.25"/>
  <cols>
    <col min="1" max="1" width="0.92578125" style="1" customWidth="1"/>
    <col min="2" max="2" width="8.92578125" style="1" customWidth="1"/>
    <col min="3" max="17" width="2.7109375" style="1" customWidth="1"/>
    <col min="18" max="18" width="2.92578125" style="1" customWidth="1"/>
    <col min="19" max="19" width="5.7109375" style="1" customWidth="1"/>
    <col min="20" max="20" width="2.7109375" style="1" customWidth="1"/>
    <col min="21" max="27" width="5.7109375" style="1" customWidth="1"/>
    <col min="28" max="16384" width="9.0703125" style="1"/>
  </cols>
  <sheetData>
    <row r="1" spans="2:29" x14ac:dyDescent="0.25">
      <c r="B1" s="56" t="s">
        <v>19</v>
      </c>
      <c r="C1" s="112" t="str">
        <f>'白紙(5m)'!C1</f>
        <v>長田（花山町2丁目他）配水管取替工事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4</v>
      </c>
    </row>
    <row r="2" spans="2:29" ht="12" customHeight="1" x14ac:dyDescent="0.25">
      <c r="S2" s="12"/>
      <c r="T2" s="3"/>
      <c r="U2" s="114" t="s">
        <v>36</v>
      </c>
      <c r="V2" s="114"/>
      <c r="W2" s="2"/>
      <c r="X2" s="12"/>
      <c r="Y2" s="114">
        <v>100</v>
      </c>
      <c r="Z2" s="114"/>
      <c r="AA2" s="2"/>
      <c r="AC2" s="1">
        <f>IF(AC1=4,0,IF(Y2&lt;=250,5,0))</f>
        <v>0</v>
      </c>
    </row>
    <row r="3" spans="2:29" ht="12" customHeight="1" x14ac:dyDescent="0.25">
      <c r="S3" s="44" t="s">
        <v>12</v>
      </c>
      <c r="T3" s="15"/>
      <c r="U3" s="115"/>
      <c r="V3" s="115"/>
      <c r="W3" s="17" t="s">
        <v>15</v>
      </c>
      <c r="X3" s="44" t="s">
        <v>14</v>
      </c>
      <c r="Y3" s="115"/>
      <c r="Z3" s="115"/>
      <c r="AA3" s="17" t="s">
        <v>20</v>
      </c>
      <c r="AC3" s="1">
        <f>IF(Y2&gt;250,6,0)</f>
        <v>0</v>
      </c>
    </row>
    <row r="4" spans="2:29" ht="6.75" customHeight="1" x14ac:dyDescent="0.25">
      <c r="S4" s="18"/>
      <c r="U4" s="45"/>
      <c r="V4" s="45"/>
      <c r="X4" s="18"/>
      <c r="Y4" s="45"/>
      <c r="Z4" s="45"/>
    </row>
    <row r="5" spans="2:29" ht="21.75" customHeight="1" x14ac:dyDescent="0.25">
      <c r="B5" s="46" t="s">
        <v>16</v>
      </c>
    </row>
    <row r="6" spans="2:29" ht="6.75" customHeight="1" thickBot="1" x14ac:dyDescent="0.3"/>
    <row r="7" spans="2:29" ht="14.25" customHeight="1" x14ac:dyDescent="0.25">
      <c r="B7" s="116" t="s">
        <v>0</v>
      </c>
      <c r="C7" s="108" t="s">
        <v>3</v>
      </c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09"/>
      <c r="R7" s="117" t="s">
        <v>1</v>
      </c>
      <c r="S7" s="117"/>
      <c r="T7" s="117"/>
      <c r="U7" s="108" t="s">
        <v>2</v>
      </c>
      <c r="V7" s="109"/>
      <c r="W7" s="110" t="s">
        <v>4</v>
      </c>
      <c r="X7" s="110"/>
      <c r="Y7" s="110"/>
      <c r="Z7" s="110"/>
      <c r="AA7" s="111"/>
    </row>
    <row r="8" spans="2:29" ht="10.5" customHeight="1" x14ac:dyDescent="0.25">
      <c r="B8" s="96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20"/>
      <c r="R8" s="119"/>
      <c r="S8" s="119"/>
      <c r="T8" s="119"/>
      <c r="U8" s="74" t="s">
        <v>39</v>
      </c>
      <c r="V8" s="75" t="s">
        <v>35</v>
      </c>
      <c r="W8" s="70" t="s">
        <v>39</v>
      </c>
      <c r="X8" s="32" t="s">
        <v>7</v>
      </c>
      <c r="Y8" s="32" t="s">
        <v>8</v>
      </c>
      <c r="Z8" s="33" t="s">
        <v>9</v>
      </c>
      <c r="AA8" s="34" t="s">
        <v>10</v>
      </c>
    </row>
    <row r="9" spans="2:29" ht="6" customHeight="1" x14ac:dyDescent="0.2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25">
      <c r="B10" s="96">
        <f>IF(S10="","",1)</f>
        <v>1</v>
      </c>
      <c r="C10" s="3"/>
      <c r="E10" s="13" t="str">
        <f>IF(F10="","",IF(F10=0,"","L="))</f>
        <v>L=</v>
      </c>
      <c r="F10" s="97">
        <v>1</v>
      </c>
      <c r="G10" s="97"/>
      <c r="H10" s="14" t="str">
        <f>IF(F10="","",IF(F10=0,"","m"))</f>
        <v>m</v>
      </c>
      <c r="K10" s="13" t="str">
        <f>IF(L10="","",IF(L10=0,"","L="))</f>
        <v/>
      </c>
      <c r="L10" s="97"/>
      <c r="M10" s="97"/>
      <c r="N10" s="14" t="str">
        <f>IF(L10="","",IF(L10=0,"","m"))</f>
        <v/>
      </c>
      <c r="Q10" s="2"/>
      <c r="R10" s="106" t="str">
        <f>IF(OR(S10="入力ｴﾗｰ",S10=0,S10="")=TRUE,"",IF(F10="","甲",IF(F10=0,"甲","")))</f>
        <v/>
      </c>
      <c r="S10" s="101">
        <f>IF((F10+I15+L10+O15)=0,"",IF((F10+I15+L10+O15)&gt;SUM($AC$1:$AC$3),"入力ｴﾗｰ",SUM($AC$1:$AC$3)-(F10+I15+L10+O15)))</f>
        <v>0.10000000000000009</v>
      </c>
      <c r="T10" s="102" t="str">
        <f>IF(S10="","",IF(S10="入力ｴﾗｰ","","m"))</f>
        <v>m</v>
      </c>
      <c r="U10" s="94">
        <f>IF(B10="","",COUNT(F10,I15,L10,O15)-IF(S10=0,1,0)-V10)</f>
        <v>2</v>
      </c>
      <c r="V10" s="95"/>
      <c r="W10" s="104">
        <v>2</v>
      </c>
      <c r="X10" s="103"/>
      <c r="Y10" s="103"/>
      <c r="Z10" s="107"/>
      <c r="AA10" s="99"/>
    </row>
    <row r="11" spans="2:29" ht="3" customHeight="1" x14ac:dyDescent="0.25">
      <c r="B11" s="96"/>
      <c r="C11" s="3"/>
      <c r="F11" s="2"/>
      <c r="G11" s="3"/>
      <c r="H11" s="2"/>
      <c r="K11" s="3"/>
      <c r="Q11" s="2"/>
      <c r="R11" s="106"/>
      <c r="S11" s="101"/>
      <c r="T11" s="102"/>
      <c r="U11" s="94"/>
      <c r="V11" s="95"/>
      <c r="W11" s="104"/>
      <c r="X11" s="103"/>
      <c r="Y11" s="103"/>
      <c r="Z11" s="107"/>
      <c r="AA11" s="99"/>
    </row>
    <row r="12" spans="2:29" ht="3" customHeight="1" x14ac:dyDescent="0.25">
      <c r="B12" s="96"/>
      <c r="C12" s="3"/>
      <c r="E12" s="4"/>
      <c r="F12" s="55"/>
      <c r="G12" s="5"/>
      <c r="H12" s="55"/>
      <c r="I12" s="3"/>
      <c r="K12" s="69"/>
      <c r="L12" s="67"/>
      <c r="Q12" s="2"/>
      <c r="R12" s="106"/>
      <c r="S12" s="101"/>
      <c r="T12" s="102"/>
      <c r="U12" s="94"/>
      <c r="V12" s="95"/>
      <c r="W12" s="104"/>
      <c r="X12" s="103"/>
      <c r="Y12" s="103"/>
      <c r="Z12" s="107"/>
      <c r="AA12" s="99"/>
    </row>
    <row r="13" spans="2:29" ht="3" customHeight="1" x14ac:dyDescent="0.25">
      <c r="B13" s="96"/>
      <c r="C13" s="3"/>
      <c r="E13" s="6"/>
      <c r="F13" s="8"/>
      <c r="G13" s="7"/>
      <c r="H13" s="8"/>
      <c r="I13" s="7"/>
      <c r="J13" s="6"/>
      <c r="K13" s="64"/>
      <c r="L13" s="66"/>
      <c r="Q13" s="2"/>
      <c r="R13" s="105" t="str">
        <f>IF(R10="甲","",IF(OR(S10=0,S10="")=TRUE,"",IF(S10="入力ｴﾗｰ","","乙")))</f>
        <v>乙</v>
      </c>
      <c r="S13" s="101"/>
      <c r="U13" s="94"/>
      <c r="V13" s="95"/>
      <c r="W13" s="104"/>
      <c r="X13" s="103"/>
      <c r="Y13" s="103"/>
      <c r="Z13" s="107"/>
      <c r="AA13" s="99"/>
    </row>
    <row r="14" spans="2:29" ht="3" customHeight="1" x14ac:dyDescent="0.25">
      <c r="B14" s="96"/>
      <c r="C14" s="3"/>
      <c r="F14" s="2"/>
      <c r="G14" s="3"/>
      <c r="H14" s="2"/>
      <c r="Q14" s="2"/>
      <c r="R14" s="105"/>
      <c r="S14" s="101"/>
      <c r="U14" s="94"/>
      <c r="V14" s="95"/>
      <c r="W14" s="104"/>
      <c r="X14" s="103"/>
      <c r="Y14" s="103"/>
      <c r="Z14" s="107"/>
      <c r="AA14" s="99"/>
    </row>
    <row r="15" spans="2:29" ht="15" customHeight="1" x14ac:dyDescent="0.25">
      <c r="B15" s="96"/>
      <c r="C15" s="3"/>
      <c r="G15" s="18"/>
      <c r="H15" s="13" t="str">
        <f>IF(I15="","",IF(I15=0,"","L="))</f>
        <v/>
      </c>
      <c r="I15" s="97"/>
      <c r="J15" s="97"/>
      <c r="K15" s="14" t="str">
        <f>IF(I15="","",IF(I15=0,"","m"))</f>
        <v/>
      </c>
      <c r="N15" s="13" t="str">
        <f>IF(O15="","",IF(O15=0,"","L="))</f>
        <v>L=</v>
      </c>
      <c r="O15" s="97">
        <v>2.9</v>
      </c>
      <c r="P15" s="97"/>
      <c r="Q15" s="24" t="str">
        <f>IF(O15="","",IF(O15=0,"","m"))</f>
        <v>m</v>
      </c>
      <c r="R15" s="105"/>
      <c r="S15" s="101"/>
      <c r="U15" s="94"/>
      <c r="V15" s="95"/>
      <c r="W15" s="104"/>
      <c r="X15" s="103"/>
      <c r="Y15" s="103"/>
      <c r="Z15" s="107"/>
      <c r="AA15" s="99"/>
      <c r="AC15" s="1">
        <f>IF(U10="",0,IF(U10&gt;SUM(W10:AA15),U10-SUM(W10:AA15),0))</f>
        <v>0</v>
      </c>
    </row>
    <row r="16" spans="2:29" ht="6" customHeight="1" x14ac:dyDescent="0.2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2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25">
      <c r="B18" s="96">
        <f>IF(S18="","",IF(B10="","",1+B10))</f>
        <v>2</v>
      </c>
      <c r="C18" s="3"/>
      <c r="E18" s="13" t="str">
        <f>IF(F18="","",IF(F18=0,"","L="))</f>
        <v>L=</v>
      </c>
      <c r="F18" s="97">
        <v>1</v>
      </c>
      <c r="G18" s="97"/>
      <c r="H18" s="14" t="str">
        <f>IF(F18="","",IF(F18=0,"","m"))</f>
        <v>m</v>
      </c>
      <c r="K18" s="13" t="str">
        <f>IF(L18="","",IF(L18=0,"","L="))</f>
        <v/>
      </c>
      <c r="L18" s="97"/>
      <c r="M18" s="97"/>
      <c r="N18" s="14" t="str">
        <f>IF(L18="","",IF(L18=0,"","m"))</f>
        <v/>
      </c>
      <c r="Q18" s="2"/>
      <c r="R18" s="106" t="str">
        <f>IF(OR(S18="入力ｴﾗｰ",S18=0,S18="")=TRUE,"",IF(F18="","甲",IF(F18=0,"甲","")))</f>
        <v/>
      </c>
      <c r="S18" s="101">
        <f>IF((F18+I23+L18+O23)=0,"",IF((F18+I23+L18+O23)&gt;SUM($AC$1:$AC$3),"入力ｴﾗｰ",SUM($AC$1:$AC$3)-(F18+I23+L18+O23)))</f>
        <v>0</v>
      </c>
      <c r="T18" s="102" t="str">
        <f>IF(S18="","",IF(S18="入力ｴﾗｰ","","m"))</f>
        <v>m</v>
      </c>
      <c r="U18" s="94">
        <f>IF(B18="","",COUNT(F18,I23,L18,O23)-IF(S18=0,1,0)-V18)</f>
        <v>2</v>
      </c>
      <c r="V18" s="95"/>
      <c r="W18" s="104">
        <v>4</v>
      </c>
      <c r="X18" s="103"/>
      <c r="Y18" s="103"/>
      <c r="Z18" s="103"/>
      <c r="AA18" s="99"/>
    </row>
    <row r="19" spans="2:29" ht="3" customHeight="1" x14ac:dyDescent="0.25">
      <c r="B19" s="96"/>
      <c r="C19" s="3"/>
      <c r="K19" s="3"/>
      <c r="Q19" s="2"/>
      <c r="R19" s="106"/>
      <c r="S19" s="101"/>
      <c r="T19" s="102"/>
      <c r="U19" s="94"/>
      <c r="V19" s="95"/>
      <c r="W19" s="104"/>
      <c r="X19" s="103"/>
      <c r="Y19" s="103"/>
      <c r="Z19" s="103"/>
      <c r="AA19" s="99"/>
    </row>
    <row r="20" spans="2:29" ht="3" customHeight="1" x14ac:dyDescent="0.25">
      <c r="B20" s="96"/>
      <c r="C20" s="3"/>
      <c r="E20" s="4"/>
      <c r="F20" s="55"/>
      <c r="G20" s="3"/>
      <c r="H20" s="55"/>
      <c r="I20" s="3"/>
      <c r="K20" s="3"/>
      <c r="Q20" s="2"/>
      <c r="R20" s="106"/>
      <c r="S20" s="101"/>
      <c r="T20" s="102"/>
      <c r="U20" s="94"/>
      <c r="V20" s="95"/>
      <c r="W20" s="104"/>
      <c r="X20" s="103"/>
      <c r="Y20" s="103"/>
      <c r="Z20" s="103"/>
      <c r="AA20" s="99"/>
    </row>
    <row r="21" spans="2:29" ht="3" customHeight="1" x14ac:dyDescent="0.25">
      <c r="B21" s="96"/>
      <c r="C21" s="3"/>
      <c r="E21" s="6"/>
      <c r="F21" s="8"/>
      <c r="G21" s="7"/>
      <c r="H21" s="8"/>
      <c r="I21" s="7"/>
      <c r="J21" s="8"/>
      <c r="K21" s="64"/>
      <c r="L21" s="66"/>
      <c r="Q21" s="2"/>
      <c r="R21" s="105" t="str">
        <f>IF(R18="甲","",IF(OR(S18=0,S18="")=TRUE,"",IF(S18="入力ｴﾗｰ","","乙")))</f>
        <v/>
      </c>
      <c r="S21" s="101"/>
      <c r="U21" s="94"/>
      <c r="V21" s="95"/>
      <c r="W21" s="104"/>
      <c r="X21" s="103"/>
      <c r="Y21" s="103"/>
      <c r="Z21" s="103"/>
      <c r="AA21" s="99"/>
    </row>
    <row r="22" spans="2:29" ht="3" customHeight="1" x14ac:dyDescent="0.25">
      <c r="B22" s="96"/>
      <c r="C22" s="3"/>
      <c r="F22" s="2"/>
      <c r="G22" s="3"/>
      <c r="H22" s="2"/>
      <c r="Q22" s="2"/>
      <c r="R22" s="105"/>
      <c r="S22" s="101"/>
      <c r="U22" s="94"/>
      <c r="V22" s="95"/>
      <c r="W22" s="104"/>
      <c r="X22" s="103"/>
      <c r="Y22" s="103"/>
      <c r="Z22" s="103"/>
      <c r="AA22" s="99"/>
    </row>
    <row r="23" spans="2:29" ht="15" customHeight="1" x14ac:dyDescent="0.25">
      <c r="B23" s="96"/>
      <c r="C23" s="3"/>
      <c r="G23" s="18"/>
      <c r="H23" s="13" t="str">
        <f>IF(I23="","",IF(I23=0,"","L="))</f>
        <v>L=</v>
      </c>
      <c r="I23" s="97">
        <v>1.3</v>
      </c>
      <c r="J23" s="97"/>
      <c r="K23" s="14" t="str">
        <f>IF(I23="","",IF(I23=0,"","m"))</f>
        <v>m</v>
      </c>
      <c r="N23" s="13" t="str">
        <f>IF(O23="","",IF(O23=0,"","L="))</f>
        <v>L=</v>
      </c>
      <c r="O23" s="97">
        <v>1.7</v>
      </c>
      <c r="P23" s="97"/>
      <c r="Q23" s="24" t="str">
        <f>IF(O23="","",IF(O23=0,"","m"))</f>
        <v>m</v>
      </c>
      <c r="R23" s="105"/>
      <c r="S23" s="101"/>
      <c r="U23" s="94"/>
      <c r="V23" s="95"/>
      <c r="W23" s="104"/>
      <c r="X23" s="103"/>
      <c r="Y23" s="103"/>
      <c r="Z23" s="103"/>
      <c r="AA23" s="99"/>
      <c r="AC23" s="1">
        <f>IF(U18="",0,IF(U18&gt;SUM(W18:AA23),U18-SUM(W18:AA23),0))</f>
        <v>0</v>
      </c>
    </row>
    <row r="24" spans="2:29" ht="6" customHeight="1" x14ac:dyDescent="0.2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2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25">
      <c r="B26" s="96">
        <f>IF(S26="","",IF(B18="","",1+B18))</f>
        <v>3</v>
      </c>
      <c r="C26" s="3"/>
      <c r="E26" s="13" t="str">
        <f>IF(F26="","",IF(F26=0,"","L="))</f>
        <v>L=</v>
      </c>
      <c r="F26" s="97">
        <v>1.1000000000000001</v>
      </c>
      <c r="G26" s="97"/>
      <c r="H26" s="14" t="str">
        <f>IF(F26="","",IF(F26=0,"","m"))</f>
        <v>m</v>
      </c>
      <c r="K26" s="13" t="str">
        <f>IF(L26="","",IF(L26=0,"","L="))</f>
        <v/>
      </c>
      <c r="L26" s="97"/>
      <c r="M26" s="97"/>
      <c r="N26" s="14" t="str">
        <f>IF(L26="","",IF(L26=0,"","m"))</f>
        <v/>
      </c>
      <c r="R26" s="98" t="str">
        <f>IF(OR(S26="入力ｴﾗｰ",S26=0,S26="")=TRUE,"",IF(F26="","甲",IF(F26=0,"甲","")))</f>
        <v/>
      </c>
      <c r="S26" s="101">
        <f>IF((F26+I31+L26+O31)=0,"",IF((F26+I31+L26+O31)&gt;SUM($AC$1:$AC$3),"入力ｴﾗｰ",SUM($AC$1:$AC$3)-(F26+I31+L26+O31)))</f>
        <v>0.20000000000000018</v>
      </c>
      <c r="T26" s="102" t="str">
        <f>IF(S26="","",IF(S26="入力ｴﾗｰ","","m"))</f>
        <v>m</v>
      </c>
      <c r="U26" s="94">
        <f>IF(B26="","",COUNT(F26,I31,L26,O31)-IF(S26=0,1,0)-V26)</f>
        <v>3</v>
      </c>
      <c r="V26" s="95"/>
      <c r="W26" s="104">
        <v>4</v>
      </c>
      <c r="X26" s="103"/>
      <c r="Y26" s="103"/>
      <c r="Z26" s="103"/>
      <c r="AA26" s="99"/>
    </row>
    <row r="27" spans="2:29" ht="3" customHeight="1" x14ac:dyDescent="0.25">
      <c r="B27" s="96"/>
      <c r="C27" s="3"/>
      <c r="H27" s="2"/>
      <c r="K27" s="3"/>
      <c r="R27" s="98"/>
      <c r="S27" s="101"/>
      <c r="T27" s="102"/>
      <c r="U27" s="94"/>
      <c r="V27" s="95"/>
      <c r="W27" s="104"/>
      <c r="X27" s="103"/>
      <c r="Y27" s="103"/>
      <c r="Z27" s="103"/>
      <c r="AA27" s="99"/>
    </row>
    <row r="28" spans="2:29" ht="3" customHeight="1" x14ac:dyDescent="0.25">
      <c r="B28" s="96"/>
      <c r="C28" s="3"/>
      <c r="E28" s="4"/>
      <c r="F28" s="55"/>
      <c r="G28" s="3"/>
      <c r="H28" s="2"/>
      <c r="I28" s="3"/>
      <c r="K28" s="3"/>
      <c r="R28" s="98"/>
      <c r="S28" s="101"/>
      <c r="T28" s="102"/>
      <c r="U28" s="94"/>
      <c r="V28" s="95"/>
      <c r="W28" s="104"/>
      <c r="X28" s="103"/>
      <c r="Y28" s="103"/>
      <c r="Z28" s="103"/>
      <c r="AA28" s="99"/>
    </row>
    <row r="29" spans="2:29" ht="3" customHeight="1" x14ac:dyDescent="0.25">
      <c r="B29" s="96"/>
      <c r="C29" s="3"/>
      <c r="E29" s="6"/>
      <c r="F29" s="6"/>
      <c r="G29" s="7"/>
      <c r="H29" s="8"/>
      <c r="I29" s="7"/>
      <c r="J29" s="8"/>
      <c r="K29" s="7"/>
      <c r="L29" s="6"/>
      <c r="R29" s="100" t="str">
        <f>IF(R26="甲","",IF(OR(S26=0,S26="")=TRUE,"",IF(S26="入力ｴﾗｰ","","乙")))</f>
        <v>乙</v>
      </c>
      <c r="S29" s="101"/>
      <c r="U29" s="94"/>
      <c r="V29" s="95"/>
      <c r="W29" s="104"/>
      <c r="X29" s="103"/>
      <c r="Y29" s="103"/>
      <c r="Z29" s="103"/>
      <c r="AA29" s="99"/>
    </row>
    <row r="30" spans="2:29" ht="3" customHeight="1" x14ac:dyDescent="0.25">
      <c r="B30" s="96"/>
      <c r="C30" s="3"/>
      <c r="F30" s="2"/>
      <c r="G30" s="3"/>
      <c r="H30" s="2"/>
      <c r="J30" s="2"/>
      <c r="K30" s="3"/>
      <c r="R30" s="100"/>
      <c r="S30" s="101"/>
      <c r="U30" s="94"/>
      <c r="V30" s="95"/>
      <c r="W30" s="104"/>
      <c r="X30" s="103"/>
      <c r="Y30" s="103"/>
      <c r="Z30" s="103"/>
      <c r="AA30" s="99"/>
    </row>
    <row r="31" spans="2:29" ht="15" customHeight="1" x14ac:dyDescent="0.25">
      <c r="B31" s="96"/>
      <c r="C31" s="3"/>
      <c r="G31" s="18"/>
      <c r="H31" s="13" t="str">
        <f>IF(I31="","",IF(I31=0,"","L="))</f>
        <v>L=</v>
      </c>
      <c r="I31" s="97">
        <v>1.4</v>
      </c>
      <c r="J31" s="97"/>
      <c r="K31" s="14" t="str">
        <f>IF(I31="","",IF(I31=0,"","m"))</f>
        <v>m</v>
      </c>
      <c r="N31" s="13" t="str">
        <f>IF(O31="","",IF(O31=0,"","L="))</f>
        <v>L=</v>
      </c>
      <c r="O31" s="97">
        <v>1.3</v>
      </c>
      <c r="P31" s="97"/>
      <c r="Q31" s="14" t="str">
        <f>IF(O31="","",IF(O31=0,"","m"))</f>
        <v>m</v>
      </c>
      <c r="R31" s="100"/>
      <c r="S31" s="101"/>
      <c r="U31" s="94"/>
      <c r="V31" s="95"/>
      <c r="W31" s="104"/>
      <c r="X31" s="103"/>
      <c r="Y31" s="103"/>
      <c r="Z31" s="103"/>
      <c r="AA31" s="99"/>
      <c r="AC31" s="1">
        <f>IF(U26="",0,IF(U26&gt;SUM(W26:AA31),U26-SUM(W26:AA31),0))</f>
        <v>0</v>
      </c>
    </row>
    <row r="32" spans="2:29" ht="6" customHeight="1" x14ac:dyDescent="0.2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2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25">
      <c r="B34" s="96">
        <f>IF(S34="","",IF(B26="","",1+B26))</f>
        <v>4</v>
      </c>
      <c r="C34" s="3"/>
      <c r="E34" s="13" t="str">
        <f>IF(F34="","",IF(F34=0,"","L="))</f>
        <v>L=</v>
      </c>
      <c r="F34" s="97">
        <v>1.2</v>
      </c>
      <c r="G34" s="97"/>
      <c r="H34" s="14" t="str">
        <f>IF(F34="","",IF(F34=0,"","m"))</f>
        <v>m</v>
      </c>
      <c r="K34" s="13" t="str">
        <f>IF(L34="","",IF(L34=0,"","L="))</f>
        <v/>
      </c>
      <c r="L34" s="97"/>
      <c r="M34" s="97"/>
      <c r="N34" s="14" t="str">
        <f>IF(L34="","",IF(L34=0,"","m"))</f>
        <v/>
      </c>
      <c r="R34" s="98" t="str">
        <f>IF(OR(S34="入力ｴﾗｰ",S34=0,S34="")=TRUE,"",IF(F34="","甲",IF(F34=0,"甲","")))</f>
        <v/>
      </c>
      <c r="S34" s="101">
        <f>IF((F34+I39+L34+O39)=0,"",IF((F34+I39+L34+O39)&gt;SUM($AC$1:$AC$3),"入力ｴﾗｰ",SUM($AC$1:$AC$3)-(F34+I39+L34+O39)))</f>
        <v>0.5</v>
      </c>
      <c r="T34" s="102" t="str">
        <f>IF(S34="","",IF(S34="入力ｴﾗｰ","","m"))</f>
        <v>m</v>
      </c>
      <c r="U34" s="94">
        <f>IF(B34="","",COUNT(F34,I39,L34,O39)-IF(S34=0,1,0)-V34)</f>
        <v>2</v>
      </c>
      <c r="V34" s="95"/>
      <c r="W34" s="104">
        <v>2</v>
      </c>
      <c r="X34" s="103"/>
      <c r="Y34" s="103"/>
      <c r="Z34" s="103"/>
      <c r="AA34" s="99"/>
    </row>
    <row r="35" spans="2:29" ht="3" customHeight="1" x14ac:dyDescent="0.25">
      <c r="B35" s="96"/>
      <c r="C35" s="3"/>
      <c r="H35" s="2"/>
      <c r="K35" s="3"/>
      <c r="R35" s="98"/>
      <c r="S35" s="101"/>
      <c r="T35" s="102"/>
      <c r="U35" s="94"/>
      <c r="V35" s="95"/>
      <c r="W35" s="104"/>
      <c r="X35" s="103"/>
      <c r="Y35" s="103"/>
      <c r="Z35" s="103"/>
      <c r="AA35" s="99"/>
    </row>
    <row r="36" spans="2:29" ht="3" customHeight="1" x14ac:dyDescent="0.25">
      <c r="B36" s="96"/>
      <c r="C36" s="3"/>
      <c r="E36" s="4"/>
      <c r="F36" s="55"/>
      <c r="G36" s="3"/>
      <c r="H36" s="2"/>
      <c r="K36" s="3"/>
      <c r="R36" s="98"/>
      <c r="S36" s="101"/>
      <c r="T36" s="102"/>
      <c r="U36" s="94"/>
      <c r="V36" s="95"/>
      <c r="W36" s="104"/>
      <c r="X36" s="103"/>
      <c r="Y36" s="103"/>
      <c r="Z36" s="103"/>
      <c r="AA36" s="99"/>
    </row>
    <row r="37" spans="2:29" ht="3" customHeight="1" x14ac:dyDescent="0.25">
      <c r="B37" s="96"/>
      <c r="C37" s="3"/>
      <c r="E37" s="6"/>
      <c r="F37" s="6"/>
      <c r="G37" s="7"/>
      <c r="H37" s="8"/>
      <c r="I37" s="7"/>
      <c r="J37" s="8"/>
      <c r="K37" s="7"/>
      <c r="L37" s="6"/>
      <c r="R37" s="100" t="str">
        <f>IF(R34="甲","",IF(OR(S34=0,S34="")=TRUE,"",IF(S34="入力ｴﾗｰ","","乙")))</f>
        <v>乙</v>
      </c>
      <c r="S37" s="101"/>
      <c r="U37" s="94"/>
      <c r="V37" s="95"/>
      <c r="W37" s="104"/>
      <c r="X37" s="103"/>
      <c r="Y37" s="103"/>
      <c r="Z37" s="103"/>
      <c r="AA37" s="99"/>
    </row>
    <row r="38" spans="2:29" ht="3" customHeight="1" x14ac:dyDescent="0.25">
      <c r="B38" s="96"/>
      <c r="C38" s="3"/>
      <c r="F38" s="2"/>
      <c r="G38" s="3"/>
      <c r="H38" s="2"/>
      <c r="J38" s="2"/>
      <c r="K38" s="3"/>
      <c r="R38" s="100"/>
      <c r="S38" s="101"/>
      <c r="U38" s="94"/>
      <c r="V38" s="95"/>
      <c r="W38" s="104"/>
      <c r="X38" s="103"/>
      <c r="Y38" s="103"/>
      <c r="Z38" s="103"/>
      <c r="AA38" s="99"/>
    </row>
    <row r="39" spans="2:29" ht="15" customHeight="1" x14ac:dyDescent="0.25">
      <c r="B39" s="96"/>
      <c r="C39" s="3"/>
      <c r="G39" s="18"/>
      <c r="H39" s="13" t="str">
        <f>IF(I39="","",IF(I39=0,"","L="))</f>
        <v/>
      </c>
      <c r="I39" s="97"/>
      <c r="J39" s="97"/>
      <c r="K39" s="14" t="str">
        <f>IF(I39="","",IF(I39=0,"","m"))</f>
        <v/>
      </c>
      <c r="N39" s="13" t="str">
        <f>IF(O39="","",IF(O39=0,"","L="))</f>
        <v>L=</v>
      </c>
      <c r="O39" s="97">
        <v>2.2999999999999998</v>
      </c>
      <c r="P39" s="97"/>
      <c r="Q39" s="14" t="str">
        <f>IF(O39="","",IF(O39=0,"","m"))</f>
        <v>m</v>
      </c>
      <c r="R39" s="100"/>
      <c r="S39" s="101"/>
      <c r="U39" s="94"/>
      <c r="V39" s="95"/>
      <c r="W39" s="104"/>
      <c r="X39" s="103"/>
      <c r="Y39" s="103"/>
      <c r="Z39" s="103"/>
      <c r="AA39" s="99"/>
      <c r="AC39" s="1">
        <f>IF(U34="",0,IF(U34&gt;SUM(W34:AA39),U34-SUM(W34:AA39),0))</f>
        <v>0</v>
      </c>
    </row>
    <row r="40" spans="2:29" ht="6" customHeight="1" x14ac:dyDescent="0.2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2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25">
      <c r="B42" s="96">
        <f>IF(S42="","",IF(B34="","",1+B34))</f>
        <v>5</v>
      </c>
      <c r="C42" s="3"/>
      <c r="E42" s="13" t="str">
        <f>IF(F42="","",IF(F42=0,"","L="))</f>
        <v>L=</v>
      </c>
      <c r="F42" s="97">
        <v>3</v>
      </c>
      <c r="G42" s="97"/>
      <c r="H42" s="14" t="str">
        <f>IF(F42="","",IF(F42=0,"","m"))</f>
        <v>m</v>
      </c>
      <c r="K42" s="13" t="str">
        <f>IF(L42="","",IF(L42=0,"","L="))</f>
        <v/>
      </c>
      <c r="L42" s="97"/>
      <c r="M42" s="97"/>
      <c r="N42" s="14" t="str">
        <f>IF(L42="","",IF(L42=0,"","m"))</f>
        <v/>
      </c>
      <c r="R42" s="98" t="str">
        <f>IF(OR(S42="入力ｴﾗｰ",S42=0,S42="")=TRUE,"",IF(F42="","甲",IF(F42=0,"甲","")))</f>
        <v/>
      </c>
      <c r="S42" s="101">
        <f>IF((F42+I47+L42+O47)=0,"",IF((F42+I47+L42+O47)&gt;SUM($AC$1:$AC$3),"入力ｴﾗｰ",SUM($AC$1:$AC$3)-(F42+I47+L42+O47)))</f>
        <v>0</v>
      </c>
      <c r="T42" s="102" t="str">
        <f>IF(S42="","",IF(S42="入力ｴﾗｰ","","m"))</f>
        <v>m</v>
      </c>
      <c r="U42" s="94">
        <f>IF(B42="","",COUNT(F42,I47,L42,O47)-IF(S42=0,1,0)-V42)</f>
        <v>1</v>
      </c>
      <c r="V42" s="95"/>
      <c r="W42" s="104">
        <v>2</v>
      </c>
      <c r="X42" s="103"/>
      <c r="Y42" s="103"/>
      <c r="Z42" s="103"/>
      <c r="AA42" s="99"/>
    </row>
    <row r="43" spans="2:29" ht="3" customHeight="1" x14ac:dyDescent="0.25">
      <c r="B43" s="96"/>
      <c r="C43" s="3"/>
      <c r="H43" s="2"/>
      <c r="K43" s="3"/>
      <c r="R43" s="98"/>
      <c r="S43" s="101"/>
      <c r="T43" s="102"/>
      <c r="U43" s="94"/>
      <c r="V43" s="95"/>
      <c r="W43" s="104"/>
      <c r="X43" s="103"/>
      <c r="Y43" s="103"/>
      <c r="Z43" s="103"/>
      <c r="AA43" s="99"/>
    </row>
    <row r="44" spans="2:29" ht="3" customHeight="1" x14ac:dyDescent="0.25">
      <c r="B44" s="96"/>
      <c r="C44" s="3"/>
      <c r="E44" s="4"/>
      <c r="F44" s="55"/>
      <c r="G44" s="3"/>
      <c r="H44" s="2"/>
      <c r="K44" s="3"/>
      <c r="R44" s="98"/>
      <c r="S44" s="101"/>
      <c r="T44" s="102"/>
      <c r="U44" s="94"/>
      <c r="V44" s="95"/>
      <c r="W44" s="104"/>
      <c r="X44" s="103"/>
      <c r="Y44" s="103"/>
      <c r="Z44" s="103"/>
      <c r="AA44" s="99"/>
    </row>
    <row r="45" spans="2:29" ht="3" customHeight="1" x14ac:dyDescent="0.25">
      <c r="B45" s="96"/>
      <c r="C45" s="3"/>
      <c r="E45" s="6"/>
      <c r="F45" s="6"/>
      <c r="G45" s="7"/>
      <c r="H45" s="8"/>
      <c r="I45" s="7"/>
      <c r="J45" s="8"/>
      <c r="K45" s="7"/>
      <c r="L45" s="6"/>
      <c r="R45" s="100" t="str">
        <f>IF(R42="甲","",IF(OR(S42=0,S42="")=TRUE,"",IF(S42="入力ｴﾗｰ","","乙")))</f>
        <v/>
      </c>
      <c r="S45" s="101"/>
      <c r="U45" s="94"/>
      <c r="V45" s="95"/>
      <c r="W45" s="104"/>
      <c r="X45" s="103"/>
      <c r="Y45" s="103"/>
      <c r="Z45" s="103"/>
      <c r="AA45" s="99"/>
    </row>
    <row r="46" spans="2:29" ht="3" customHeight="1" x14ac:dyDescent="0.25">
      <c r="B46" s="96"/>
      <c r="C46" s="3"/>
      <c r="F46" s="2"/>
      <c r="G46" s="3"/>
      <c r="H46" s="2"/>
      <c r="J46" s="2"/>
      <c r="K46" s="3"/>
      <c r="R46" s="100"/>
      <c r="S46" s="101"/>
      <c r="U46" s="94"/>
      <c r="V46" s="95"/>
      <c r="W46" s="104"/>
      <c r="X46" s="103"/>
      <c r="Y46" s="103"/>
      <c r="Z46" s="103"/>
      <c r="AA46" s="99"/>
    </row>
    <row r="47" spans="2:29" ht="15" customHeight="1" x14ac:dyDescent="0.25">
      <c r="B47" s="96"/>
      <c r="C47" s="3"/>
      <c r="G47" s="18"/>
      <c r="H47" s="13" t="str">
        <f>IF(I47="","",IF(I47=0,"","L="))</f>
        <v/>
      </c>
      <c r="I47" s="97"/>
      <c r="J47" s="97"/>
      <c r="K47" s="14" t="str">
        <f>IF(I47="","",IF(I47=0,"","m"))</f>
        <v/>
      </c>
      <c r="N47" s="13" t="str">
        <f>IF(O47="","",IF(O47=0,"","L="))</f>
        <v>L=</v>
      </c>
      <c r="O47" s="97">
        <v>1</v>
      </c>
      <c r="P47" s="97"/>
      <c r="Q47" s="14" t="str">
        <f>IF(O47="","",IF(O47=0,"","m"))</f>
        <v>m</v>
      </c>
      <c r="R47" s="100"/>
      <c r="S47" s="101"/>
      <c r="U47" s="94"/>
      <c r="V47" s="95"/>
      <c r="W47" s="104"/>
      <c r="X47" s="103"/>
      <c r="Y47" s="103"/>
      <c r="Z47" s="103"/>
      <c r="AA47" s="99"/>
      <c r="AC47" s="1">
        <f>IF(U42="",0,IF(U42&gt;SUM(W42:AA47),U42-SUM(W42:AA47),0))</f>
        <v>0</v>
      </c>
    </row>
    <row r="48" spans="2:29" ht="6" customHeight="1" x14ac:dyDescent="0.2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2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25">
      <c r="B50" s="96">
        <f>IF(S50="","",IF(B42="","",1+B42))</f>
        <v>6</v>
      </c>
      <c r="C50" s="3"/>
      <c r="E50" s="13" t="str">
        <f>IF(F50="","",IF(F50=0,"","L="))</f>
        <v>L=</v>
      </c>
      <c r="F50" s="97">
        <v>1.9</v>
      </c>
      <c r="G50" s="97"/>
      <c r="H50" s="14" t="str">
        <f>IF(F50="","",IF(F50=0,"","m"))</f>
        <v>m</v>
      </c>
      <c r="K50" s="13" t="str">
        <f>IF(L50="","",IF(L50=0,"","L="))</f>
        <v/>
      </c>
      <c r="L50" s="97"/>
      <c r="M50" s="97"/>
      <c r="N50" s="14" t="str">
        <f>IF(L50="","",IF(L50=0,"","m"))</f>
        <v/>
      </c>
      <c r="R50" s="98" t="str">
        <f>IF(OR(S50="入力ｴﾗｰ",S50=0,S50="")=TRUE,"",IF(F50="","甲",IF(F50=0,"甲","")))</f>
        <v/>
      </c>
      <c r="S50" s="101">
        <f>IF((F50+I55+L50+O55)=0,"",IF((F50+I55+L50+O55)&gt;SUM($AC$1:$AC$3),"入力ｴﾗｰ",SUM($AC$1:$AC$3)-(F50+I55+L50+O55)))</f>
        <v>0.90000000000000036</v>
      </c>
      <c r="T50" s="102" t="str">
        <f>IF(S50="","",IF(S50="入力ｴﾗｰ","","m"))</f>
        <v>m</v>
      </c>
      <c r="U50" s="94">
        <f>IF(B50="","",COUNT(F50,I55,L50,O55)-IF(S50=0,1,0)-V50)</f>
        <v>2</v>
      </c>
      <c r="V50" s="95"/>
      <c r="W50" s="104">
        <v>2</v>
      </c>
      <c r="X50" s="103"/>
      <c r="Y50" s="103"/>
      <c r="Z50" s="103"/>
      <c r="AA50" s="99"/>
    </row>
    <row r="51" spans="2:29" ht="3" customHeight="1" x14ac:dyDescent="0.25">
      <c r="B51" s="96"/>
      <c r="C51" s="3"/>
      <c r="G51" s="3"/>
      <c r="I51" s="3"/>
      <c r="K51" s="3"/>
      <c r="R51" s="98"/>
      <c r="S51" s="101"/>
      <c r="T51" s="102"/>
      <c r="U51" s="94"/>
      <c r="V51" s="95"/>
      <c r="W51" s="104"/>
      <c r="X51" s="103"/>
      <c r="Y51" s="103"/>
      <c r="Z51" s="103"/>
      <c r="AA51" s="99"/>
    </row>
    <row r="52" spans="2:29" ht="3" customHeight="1" x14ac:dyDescent="0.25">
      <c r="B52" s="96"/>
      <c r="C52" s="3"/>
      <c r="G52" s="3"/>
      <c r="I52" s="3"/>
      <c r="K52" s="3"/>
      <c r="R52" s="98"/>
      <c r="S52" s="101"/>
      <c r="T52" s="102"/>
      <c r="U52" s="94"/>
      <c r="V52" s="95"/>
      <c r="W52" s="104"/>
      <c r="X52" s="103"/>
      <c r="Y52" s="103"/>
      <c r="Z52" s="103"/>
      <c r="AA52" s="99"/>
    </row>
    <row r="53" spans="2:29" ht="3" customHeight="1" x14ac:dyDescent="0.25">
      <c r="B53" s="96"/>
      <c r="C53" s="3"/>
      <c r="E53" s="6"/>
      <c r="F53" s="6"/>
      <c r="G53" s="7"/>
      <c r="H53" s="6"/>
      <c r="I53" s="7"/>
      <c r="J53" s="6"/>
      <c r="K53" s="7"/>
      <c r="L53" s="6"/>
      <c r="R53" s="100" t="str">
        <f>IF(R50="甲","",IF(OR(S50=0,S50="")=TRUE,"",IF(S50="入力ｴﾗｰ","","乙")))</f>
        <v>乙</v>
      </c>
      <c r="S53" s="101"/>
      <c r="U53" s="94"/>
      <c r="V53" s="95"/>
      <c r="W53" s="104"/>
      <c r="X53" s="103"/>
      <c r="Y53" s="103"/>
      <c r="Z53" s="103"/>
      <c r="AA53" s="99"/>
    </row>
    <row r="54" spans="2:29" ht="3" customHeight="1" x14ac:dyDescent="0.25">
      <c r="B54" s="96"/>
      <c r="C54" s="3"/>
      <c r="F54" s="2"/>
      <c r="G54" s="3"/>
      <c r="I54" s="3"/>
      <c r="K54" s="3"/>
      <c r="R54" s="100"/>
      <c r="S54" s="101"/>
      <c r="U54" s="94"/>
      <c r="V54" s="95"/>
      <c r="W54" s="104"/>
      <c r="X54" s="103"/>
      <c r="Y54" s="103"/>
      <c r="Z54" s="103"/>
      <c r="AA54" s="99"/>
    </row>
    <row r="55" spans="2:29" ht="15" customHeight="1" x14ac:dyDescent="0.25">
      <c r="B55" s="96"/>
      <c r="C55" s="3"/>
      <c r="G55" s="18"/>
      <c r="H55" s="13" t="str">
        <f>IF(I55="","",IF(I55=0,"","L="))</f>
        <v/>
      </c>
      <c r="I55" s="97"/>
      <c r="J55" s="97"/>
      <c r="K55" s="14" t="str">
        <f>IF(I55="","",IF(I55=0,"","m"))</f>
        <v/>
      </c>
      <c r="N55" s="13" t="str">
        <f>IF(O55="","",IF(O55=0,"","L="))</f>
        <v>L=</v>
      </c>
      <c r="O55" s="97">
        <v>1.2</v>
      </c>
      <c r="P55" s="97"/>
      <c r="Q55" s="14" t="str">
        <f>IF(O55="","",IF(O55=0,"","m"))</f>
        <v>m</v>
      </c>
      <c r="R55" s="100"/>
      <c r="S55" s="101"/>
      <c r="U55" s="94"/>
      <c r="V55" s="95"/>
      <c r="W55" s="104"/>
      <c r="X55" s="103"/>
      <c r="Y55" s="103"/>
      <c r="Z55" s="103"/>
      <c r="AA55" s="99"/>
      <c r="AC55" s="1">
        <f>IF(U50="",0,IF(U50&gt;SUM(W50:AA55),U50-SUM(W50:AA55),0))</f>
        <v>0</v>
      </c>
    </row>
    <row r="56" spans="2:29" ht="6" customHeight="1" x14ac:dyDescent="0.2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2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25">
      <c r="B58" s="96">
        <f>IF(S58="","",IF(B50="","",1+B50))</f>
        <v>7</v>
      </c>
      <c r="C58" s="3"/>
      <c r="E58" s="13" t="str">
        <f>IF(F58="","",IF(F58=0,"","L="))</f>
        <v>L=</v>
      </c>
      <c r="F58" s="97">
        <v>2.9</v>
      </c>
      <c r="G58" s="97"/>
      <c r="H58" s="14" t="str">
        <f>IF(F58="","",IF(F58=0,"","m"))</f>
        <v>m</v>
      </c>
      <c r="K58" s="13" t="str">
        <f>IF(L58="","",IF(L58=0,"","L="))</f>
        <v/>
      </c>
      <c r="L58" s="97"/>
      <c r="M58" s="97"/>
      <c r="N58" s="14" t="str">
        <f>IF(L58="","",IF(L58=0,"","m"))</f>
        <v/>
      </c>
      <c r="R58" s="98" t="str">
        <f>IF(OR(S58="入力ｴﾗｰ",S58=0,S58="")=TRUE,"",IF(F58="","甲",IF(F58=0,"甲","")))</f>
        <v/>
      </c>
      <c r="S58" s="101">
        <f>IF((F58+I63+L58+O63)=0,"",IF((F58+I63+L58+O63)&gt;SUM($AC$1:$AC$3),"入力ｴﾗｰ",SUM($AC$1:$AC$3)-(F58+I63+L58+O63)))</f>
        <v>1.1000000000000001</v>
      </c>
      <c r="T58" s="102" t="str">
        <f>IF(S58="","",IF(S58="入力ｴﾗｰ","","m"))</f>
        <v>m</v>
      </c>
      <c r="U58" s="94">
        <f>IF(B58="","",COUNT(F58,I63,L58,O63)-IF(S58=0,1,0)-V58)</f>
        <v>1</v>
      </c>
      <c r="V58" s="95"/>
      <c r="W58" s="104">
        <v>1</v>
      </c>
      <c r="X58" s="103"/>
      <c r="Y58" s="103"/>
      <c r="Z58" s="103"/>
      <c r="AA58" s="99"/>
    </row>
    <row r="59" spans="2:29" ht="3" customHeight="1" x14ac:dyDescent="0.25">
      <c r="B59" s="96"/>
      <c r="C59" s="3"/>
      <c r="G59" s="3"/>
      <c r="I59" s="3"/>
      <c r="J59" s="2"/>
      <c r="K59" s="3"/>
      <c r="R59" s="98"/>
      <c r="S59" s="101"/>
      <c r="T59" s="102"/>
      <c r="U59" s="94"/>
      <c r="V59" s="95"/>
      <c r="W59" s="104"/>
      <c r="X59" s="103"/>
      <c r="Y59" s="103"/>
      <c r="Z59" s="103"/>
      <c r="AA59" s="99"/>
    </row>
    <row r="60" spans="2:29" ht="3" customHeight="1" x14ac:dyDescent="0.25">
      <c r="B60" s="96"/>
      <c r="C60" s="3"/>
      <c r="G60" s="3"/>
      <c r="I60" s="3"/>
      <c r="J60" s="2"/>
      <c r="K60" s="3"/>
      <c r="R60" s="98"/>
      <c r="S60" s="101"/>
      <c r="T60" s="102"/>
      <c r="U60" s="94"/>
      <c r="V60" s="95"/>
      <c r="W60" s="104"/>
      <c r="X60" s="103"/>
      <c r="Y60" s="103"/>
      <c r="Z60" s="103"/>
      <c r="AA60" s="99"/>
    </row>
    <row r="61" spans="2:29" ht="3" customHeight="1" x14ac:dyDescent="0.25">
      <c r="B61" s="96"/>
      <c r="C61" s="3"/>
      <c r="E61" s="6"/>
      <c r="F61" s="6"/>
      <c r="G61" s="7"/>
      <c r="H61" s="6"/>
      <c r="I61" s="7"/>
      <c r="J61" s="8"/>
      <c r="K61" s="7"/>
      <c r="L61" s="6"/>
      <c r="R61" s="100" t="str">
        <f>IF(R58="甲","",IF(OR(S58=0,S58="")=TRUE,"",IF(S58="入力ｴﾗｰ","","乙")))</f>
        <v>乙</v>
      </c>
      <c r="S61" s="101"/>
      <c r="U61" s="94"/>
      <c r="V61" s="95"/>
      <c r="W61" s="104"/>
      <c r="X61" s="103"/>
      <c r="Y61" s="103"/>
      <c r="Z61" s="103"/>
      <c r="AA61" s="99"/>
    </row>
    <row r="62" spans="2:29" ht="3" customHeight="1" x14ac:dyDescent="0.25">
      <c r="B62" s="96"/>
      <c r="C62" s="3"/>
      <c r="F62" s="2"/>
      <c r="G62" s="3"/>
      <c r="I62" s="3"/>
      <c r="J62" s="2"/>
      <c r="K62" s="3"/>
      <c r="R62" s="100"/>
      <c r="S62" s="101"/>
      <c r="U62" s="94"/>
      <c r="V62" s="95"/>
      <c r="W62" s="104"/>
      <c r="X62" s="103"/>
      <c r="Y62" s="103"/>
      <c r="Z62" s="103"/>
      <c r="AA62" s="99"/>
    </row>
    <row r="63" spans="2:29" ht="15" customHeight="1" x14ac:dyDescent="0.25">
      <c r="B63" s="96"/>
      <c r="C63" s="3"/>
      <c r="G63" s="18"/>
      <c r="H63" s="13" t="str">
        <f>IF(I63="","",IF(I63=0,"","L="))</f>
        <v/>
      </c>
      <c r="I63" s="97"/>
      <c r="J63" s="97"/>
      <c r="K63" s="14" t="str">
        <f>IF(I63="","",IF(I63=0,"","m"))</f>
        <v/>
      </c>
      <c r="N63" s="13" t="str">
        <f>IF(O63="","",IF(O63=0,"","L="))</f>
        <v/>
      </c>
      <c r="O63" s="97"/>
      <c r="P63" s="97"/>
      <c r="Q63" s="14" t="str">
        <f>IF(O63="","",IF(O63=0,"","m"))</f>
        <v/>
      </c>
      <c r="R63" s="100"/>
      <c r="S63" s="101"/>
      <c r="U63" s="94"/>
      <c r="V63" s="95"/>
      <c r="W63" s="104"/>
      <c r="X63" s="103"/>
      <c r="Y63" s="103"/>
      <c r="Z63" s="103"/>
      <c r="AA63" s="99"/>
      <c r="AC63" s="1">
        <f>IF(U58="",0,IF(U58&gt;SUM(W58:AA63),U58-SUM(W58:AA63),0))</f>
        <v>0</v>
      </c>
    </row>
    <row r="64" spans="2:29" ht="6" customHeight="1" x14ac:dyDescent="0.2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2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25">
      <c r="B66" s="96">
        <f>IF(S66="","",IF(B58="","",1+B58))</f>
        <v>8</v>
      </c>
      <c r="C66" s="3"/>
      <c r="E66" s="13" t="str">
        <f>IF(F66="","",IF(F66=0,"","L="))</f>
        <v>L=</v>
      </c>
      <c r="F66" s="97">
        <v>2.9</v>
      </c>
      <c r="G66" s="97"/>
      <c r="H66" s="14" t="str">
        <f>IF(F66="","",IF(F66=0,"","m"))</f>
        <v>m</v>
      </c>
      <c r="K66" s="13" t="str">
        <f>IF(L66="","",IF(L66=0,"","L="))</f>
        <v/>
      </c>
      <c r="L66" s="97"/>
      <c r="M66" s="97"/>
      <c r="N66" s="14" t="str">
        <f>IF(L66="","",IF(L66=0,"","m"))</f>
        <v/>
      </c>
      <c r="R66" s="98" t="str">
        <f>IF(OR(S66="入力ｴﾗｰ",S66=0,S66="")=TRUE,"",IF(F66="","甲",IF(F66=0,"甲","")))</f>
        <v/>
      </c>
      <c r="S66" s="101">
        <f>IF((F66+I71+L66+O71)=0,"",IF((F66+I71+L66+O71)&gt;SUM($AC$1:$AC$3),"入力ｴﾗｰ",SUM($AC$1:$AC$3)-(F66+I71+L66+O71)))</f>
        <v>1.1000000000000001</v>
      </c>
      <c r="T66" s="102" t="str">
        <f>IF(S66="","",IF(S66="入力ｴﾗｰ","","m"))</f>
        <v>m</v>
      </c>
      <c r="U66" s="94">
        <f>IF(B66="","",COUNT(F66,I71,L66,O71)-IF(S66=0,1,0)-V66)</f>
        <v>1</v>
      </c>
      <c r="V66" s="95"/>
      <c r="W66" s="104">
        <v>1</v>
      </c>
      <c r="X66" s="103"/>
      <c r="Y66" s="103"/>
      <c r="Z66" s="103"/>
      <c r="AA66" s="99"/>
    </row>
    <row r="67" spans="2:29" ht="3" customHeight="1" x14ac:dyDescent="0.25">
      <c r="B67" s="96"/>
      <c r="C67" s="3"/>
      <c r="G67" s="3"/>
      <c r="H67" s="2"/>
      <c r="K67" s="3"/>
      <c r="R67" s="98"/>
      <c r="S67" s="101"/>
      <c r="T67" s="102"/>
      <c r="U67" s="94"/>
      <c r="V67" s="95"/>
      <c r="W67" s="104"/>
      <c r="X67" s="103"/>
      <c r="Y67" s="103"/>
      <c r="Z67" s="103"/>
      <c r="AA67" s="99"/>
    </row>
    <row r="68" spans="2:29" ht="3" customHeight="1" x14ac:dyDescent="0.25">
      <c r="B68" s="96"/>
      <c r="C68" s="3"/>
      <c r="G68" s="3"/>
      <c r="H68" s="2"/>
      <c r="K68" s="3"/>
      <c r="R68" s="98"/>
      <c r="S68" s="101"/>
      <c r="T68" s="102"/>
      <c r="U68" s="94"/>
      <c r="V68" s="95"/>
      <c r="W68" s="104"/>
      <c r="X68" s="103"/>
      <c r="Y68" s="103"/>
      <c r="Z68" s="103"/>
      <c r="AA68" s="99"/>
    </row>
    <row r="69" spans="2:29" ht="3" customHeight="1" x14ac:dyDescent="0.25">
      <c r="B69" s="96"/>
      <c r="C69" s="3"/>
      <c r="E69" s="6"/>
      <c r="F69" s="8"/>
      <c r="G69" s="7"/>
      <c r="H69" s="8"/>
      <c r="I69" s="7"/>
      <c r="J69" s="8"/>
      <c r="K69" s="7"/>
      <c r="L69" s="6"/>
      <c r="R69" s="100" t="str">
        <f>IF(R66="甲","",IF(OR(S66=0,S66="")=TRUE,"",IF(S66="入力ｴﾗｰ","","乙")))</f>
        <v>乙</v>
      </c>
      <c r="S69" s="101"/>
      <c r="U69" s="94"/>
      <c r="V69" s="95"/>
      <c r="W69" s="104"/>
      <c r="X69" s="103"/>
      <c r="Y69" s="103"/>
      <c r="Z69" s="103"/>
      <c r="AA69" s="99"/>
    </row>
    <row r="70" spans="2:29" ht="3" customHeight="1" x14ac:dyDescent="0.25">
      <c r="B70" s="96"/>
      <c r="C70" s="3"/>
      <c r="F70" s="2"/>
      <c r="G70" s="3"/>
      <c r="H70" s="2"/>
      <c r="K70" s="3"/>
      <c r="R70" s="100"/>
      <c r="S70" s="101"/>
      <c r="U70" s="94"/>
      <c r="V70" s="95"/>
      <c r="W70" s="104"/>
      <c r="X70" s="103"/>
      <c r="Y70" s="103"/>
      <c r="Z70" s="103"/>
      <c r="AA70" s="99"/>
    </row>
    <row r="71" spans="2:29" ht="15" customHeight="1" x14ac:dyDescent="0.25">
      <c r="B71" s="96"/>
      <c r="C71" s="3"/>
      <c r="G71" s="18"/>
      <c r="H71" s="13" t="str">
        <f>IF(I71="","",IF(I71=0,"","L="))</f>
        <v/>
      </c>
      <c r="I71" s="97"/>
      <c r="J71" s="97"/>
      <c r="K71" s="14" t="str">
        <f>IF(I71="","",IF(I71=0,"","m"))</f>
        <v/>
      </c>
      <c r="N71" s="13" t="str">
        <f>IF(O71="","",IF(O71=0,"","L="))</f>
        <v/>
      </c>
      <c r="O71" s="97"/>
      <c r="P71" s="97"/>
      <c r="Q71" s="14" t="str">
        <f>IF(O71="","",IF(O71=0,"","m"))</f>
        <v/>
      </c>
      <c r="R71" s="100"/>
      <c r="S71" s="101"/>
      <c r="U71" s="94"/>
      <c r="V71" s="95"/>
      <c r="W71" s="104"/>
      <c r="X71" s="103"/>
      <c r="Y71" s="103"/>
      <c r="Z71" s="103"/>
      <c r="AA71" s="99"/>
      <c r="AC71" s="1">
        <f>IF(U66="",0,IF(U66&gt;SUM(W66:AA71),U66-SUM(W66:AA71),0))</f>
        <v>0</v>
      </c>
    </row>
    <row r="72" spans="2:29" ht="6" customHeight="1" x14ac:dyDescent="0.2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2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25">
      <c r="B74" s="96">
        <f>IF(S74="","",IF(B66="","",1+B66))</f>
        <v>9</v>
      </c>
      <c r="C74" s="3"/>
      <c r="E74" s="13" t="str">
        <f>IF(F74="","",IF(F74=0,"","L="))</f>
        <v>L=</v>
      </c>
      <c r="F74" s="97">
        <v>2.9</v>
      </c>
      <c r="G74" s="97"/>
      <c r="H74" s="14" t="str">
        <f>IF(F74="","",IF(F74=0,"","m"))</f>
        <v>m</v>
      </c>
      <c r="K74" s="13" t="str">
        <f>IF(L74="","",IF(L74=0,"","L="))</f>
        <v/>
      </c>
      <c r="L74" s="97"/>
      <c r="M74" s="97"/>
      <c r="N74" s="14" t="str">
        <f>IF(L74="","",IF(L74=0,"","m"))</f>
        <v/>
      </c>
      <c r="R74" s="98" t="str">
        <f>IF(OR(S74="入力ｴﾗｰ",S74=0,S74="")=TRUE,"",IF(F74="","甲",IF(F74=0,"甲","")))</f>
        <v/>
      </c>
      <c r="S74" s="101">
        <f>IF((F74+I79+L74+O79)=0,"",IF((F74+I79+L74+O79)&gt;SUM($AC$1:$AC$3),"入力ｴﾗｰ",SUM($AC$1:$AC$3)-(F74+I79+L74+O79)))</f>
        <v>1.1000000000000001</v>
      </c>
      <c r="T74" s="102" t="str">
        <f>IF(S74="","",IF(S74="入力ｴﾗｰ","","m"))</f>
        <v>m</v>
      </c>
      <c r="U74" s="94">
        <f>IF(B74="","",COUNT(F74,I79,L74,O79)-IF(S74=0,1,0)-V74)</f>
        <v>1</v>
      </c>
      <c r="V74" s="95"/>
      <c r="W74" s="104">
        <v>1</v>
      </c>
      <c r="X74" s="103"/>
      <c r="Y74" s="103"/>
      <c r="Z74" s="103"/>
      <c r="AA74" s="99"/>
    </row>
    <row r="75" spans="2:29" ht="3" customHeight="1" x14ac:dyDescent="0.25">
      <c r="B75" s="96"/>
      <c r="C75" s="3"/>
      <c r="G75" s="3"/>
      <c r="H75" s="2"/>
      <c r="K75" s="3"/>
      <c r="R75" s="98"/>
      <c r="S75" s="101"/>
      <c r="T75" s="102"/>
      <c r="U75" s="94"/>
      <c r="V75" s="95"/>
      <c r="W75" s="104"/>
      <c r="X75" s="103"/>
      <c r="Y75" s="103"/>
      <c r="Z75" s="103"/>
      <c r="AA75" s="99"/>
    </row>
    <row r="76" spans="2:29" ht="3" customHeight="1" x14ac:dyDescent="0.25">
      <c r="B76" s="96"/>
      <c r="C76" s="3"/>
      <c r="G76" s="3"/>
      <c r="H76" s="2"/>
      <c r="K76" s="3"/>
      <c r="R76" s="98"/>
      <c r="S76" s="101"/>
      <c r="T76" s="102"/>
      <c r="U76" s="94"/>
      <c r="V76" s="95"/>
      <c r="W76" s="104"/>
      <c r="X76" s="103"/>
      <c r="Y76" s="103"/>
      <c r="Z76" s="103"/>
      <c r="AA76" s="99"/>
    </row>
    <row r="77" spans="2:29" ht="3" customHeight="1" x14ac:dyDescent="0.25">
      <c r="B77" s="96"/>
      <c r="C77" s="3"/>
      <c r="E77" s="6"/>
      <c r="F77" s="8"/>
      <c r="G77" s="7"/>
      <c r="H77" s="8"/>
      <c r="I77" s="7"/>
      <c r="J77" s="8"/>
      <c r="K77" s="7"/>
      <c r="L77" s="6"/>
      <c r="R77" s="100" t="str">
        <f>IF(R74="甲","",IF(OR(S74=0,S74="")=TRUE,"",IF(S74="入力ｴﾗｰ","","乙")))</f>
        <v>乙</v>
      </c>
      <c r="S77" s="101"/>
      <c r="U77" s="94"/>
      <c r="V77" s="95"/>
      <c r="W77" s="104"/>
      <c r="X77" s="103"/>
      <c r="Y77" s="103"/>
      <c r="Z77" s="103"/>
      <c r="AA77" s="99"/>
    </row>
    <row r="78" spans="2:29" ht="3" customHeight="1" x14ac:dyDescent="0.25">
      <c r="B78" s="96"/>
      <c r="C78" s="3"/>
      <c r="F78" s="2"/>
      <c r="G78" s="3"/>
      <c r="H78" s="2"/>
      <c r="J78" s="2"/>
      <c r="K78" s="3"/>
      <c r="R78" s="100"/>
      <c r="S78" s="101"/>
      <c r="U78" s="94"/>
      <c r="V78" s="95"/>
      <c r="W78" s="104"/>
      <c r="X78" s="103"/>
      <c r="Y78" s="103"/>
      <c r="Z78" s="103"/>
      <c r="AA78" s="99"/>
    </row>
    <row r="79" spans="2:29" ht="15" customHeight="1" x14ac:dyDescent="0.25">
      <c r="B79" s="96"/>
      <c r="C79" s="3"/>
      <c r="G79" s="18"/>
      <c r="H79" s="13" t="str">
        <f>IF(I79="","",IF(I79=0,"","L="))</f>
        <v/>
      </c>
      <c r="I79" s="97"/>
      <c r="J79" s="97"/>
      <c r="K79" s="14" t="str">
        <f>IF(I79="","",IF(I79=0,"","m"))</f>
        <v/>
      </c>
      <c r="N79" s="13" t="str">
        <f>IF(O79="","",IF(O79=0,"","L="))</f>
        <v/>
      </c>
      <c r="O79" s="97"/>
      <c r="P79" s="97"/>
      <c r="Q79" s="14" t="str">
        <f>IF(O79="","",IF(O79=0,"","m"))</f>
        <v/>
      </c>
      <c r="R79" s="100"/>
      <c r="S79" s="101"/>
      <c r="U79" s="94"/>
      <c r="V79" s="95"/>
      <c r="W79" s="104"/>
      <c r="X79" s="103"/>
      <c r="Y79" s="103"/>
      <c r="Z79" s="103"/>
      <c r="AA79" s="99"/>
      <c r="AC79" s="1">
        <f>IF(U74="",0,IF(U74&gt;SUM(W74:AA79),U74-SUM(W74:AA79),0))</f>
        <v>0</v>
      </c>
    </row>
    <row r="80" spans="2:29" ht="6" customHeight="1" x14ac:dyDescent="0.2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2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25">
      <c r="B82" s="96">
        <f>IF(S82="","",IF(B74="","",1+B74))</f>
        <v>10</v>
      </c>
      <c r="C82" s="3"/>
      <c r="E82" s="13" t="str">
        <f>IF(F82="","",IF(F82=0,"","L="))</f>
        <v>L=</v>
      </c>
      <c r="F82" s="97">
        <v>3.1</v>
      </c>
      <c r="G82" s="97"/>
      <c r="H82" s="14" t="str">
        <f>IF(F82="","",IF(F82=0,"","m"))</f>
        <v>m</v>
      </c>
      <c r="K82" s="13" t="str">
        <f>IF(L82="","",IF(L82=0,"","L="))</f>
        <v/>
      </c>
      <c r="L82" s="97"/>
      <c r="M82" s="97"/>
      <c r="N82" s="14" t="str">
        <f>IF(L82="","",IF(L82=0,"","m"))</f>
        <v/>
      </c>
      <c r="R82" s="98" t="str">
        <f>IF(OR(S82="入力ｴﾗｰ",S82=0,S82="")=TRUE,"",IF(F82="","甲",IF(F82=0,"甲","")))</f>
        <v/>
      </c>
      <c r="S82" s="101">
        <f>IF((F82+I87+L82+O87)=0,"",IF((F82+I87+L82+O87)&gt;SUM($AC$1:$AC$3),"入力ｴﾗｰ",SUM($AC$1:$AC$3)-(F82+I87+L82+O87)))</f>
        <v>0.89999999999999991</v>
      </c>
      <c r="T82" s="102" t="str">
        <f>IF(S82="","",IF(S82="入力ｴﾗｰ","","m"))</f>
        <v>m</v>
      </c>
      <c r="U82" s="94">
        <f>IF(B82="","",COUNT(F82,I87,L82,O87)-IF(S82=0,1,0)-V82)</f>
        <v>1</v>
      </c>
      <c r="V82" s="95"/>
      <c r="W82" s="104">
        <v>1</v>
      </c>
      <c r="X82" s="103"/>
      <c r="Y82" s="103"/>
      <c r="Z82" s="103"/>
      <c r="AA82" s="99"/>
    </row>
    <row r="83" spans="2:29" ht="3" customHeight="1" x14ac:dyDescent="0.25">
      <c r="B83" s="96"/>
      <c r="C83" s="3"/>
      <c r="G83" s="3"/>
      <c r="H83" s="2"/>
      <c r="K83" s="3"/>
      <c r="R83" s="98"/>
      <c r="S83" s="101"/>
      <c r="T83" s="102"/>
      <c r="U83" s="94"/>
      <c r="V83" s="95"/>
      <c r="W83" s="104"/>
      <c r="X83" s="103"/>
      <c r="Y83" s="103"/>
      <c r="Z83" s="103"/>
      <c r="AA83" s="99"/>
    </row>
    <row r="84" spans="2:29" ht="3" customHeight="1" x14ac:dyDescent="0.25">
      <c r="B84" s="96"/>
      <c r="C84" s="3"/>
      <c r="G84" s="3"/>
      <c r="H84" s="2"/>
      <c r="K84" s="3"/>
      <c r="R84" s="98"/>
      <c r="S84" s="101"/>
      <c r="T84" s="102"/>
      <c r="U84" s="94"/>
      <c r="V84" s="95"/>
      <c r="W84" s="104"/>
      <c r="X84" s="103"/>
      <c r="Y84" s="103"/>
      <c r="Z84" s="103"/>
      <c r="AA84" s="99"/>
    </row>
    <row r="85" spans="2:29" ht="3" customHeight="1" x14ac:dyDescent="0.25">
      <c r="B85" s="96"/>
      <c r="C85" s="3"/>
      <c r="E85" s="6"/>
      <c r="F85" s="6"/>
      <c r="G85" s="7"/>
      <c r="H85" s="8"/>
      <c r="I85" s="7"/>
      <c r="J85" s="8"/>
      <c r="K85" s="7"/>
      <c r="L85" s="6"/>
      <c r="R85" s="100" t="str">
        <f>IF(R82="甲","",IF(OR(S82=0,S82="")=TRUE,"",IF(S82="入力ｴﾗｰ","","乙")))</f>
        <v>乙</v>
      </c>
      <c r="S85" s="101"/>
      <c r="U85" s="94"/>
      <c r="V85" s="95"/>
      <c r="W85" s="104"/>
      <c r="X85" s="103"/>
      <c r="Y85" s="103"/>
      <c r="Z85" s="103"/>
      <c r="AA85" s="99"/>
    </row>
    <row r="86" spans="2:29" ht="3" customHeight="1" x14ac:dyDescent="0.25">
      <c r="B86" s="96"/>
      <c r="C86" s="3"/>
      <c r="F86" s="2"/>
      <c r="G86" s="3"/>
      <c r="H86" s="2"/>
      <c r="K86" s="3"/>
      <c r="R86" s="100"/>
      <c r="S86" s="101"/>
      <c r="U86" s="94"/>
      <c r="V86" s="95"/>
      <c r="W86" s="104"/>
      <c r="X86" s="103"/>
      <c r="Y86" s="103"/>
      <c r="Z86" s="103"/>
      <c r="AA86" s="99"/>
    </row>
    <row r="87" spans="2:29" ht="15" customHeight="1" x14ac:dyDescent="0.25">
      <c r="B87" s="96"/>
      <c r="C87" s="3"/>
      <c r="G87" s="18"/>
      <c r="H87" s="13" t="str">
        <f>IF(I87="","",IF(I87=0,"","L="))</f>
        <v/>
      </c>
      <c r="I87" s="97"/>
      <c r="J87" s="97"/>
      <c r="K87" s="14" t="str">
        <f>IF(I87="","",IF(I87=0,"","m"))</f>
        <v/>
      </c>
      <c r="N87" s="13" t="str">
        <f>IF(O87="","",IF(O87=0,"","L="))</f>
        <v/>
      </c>
      <c r="O87" s="97"/>
      <c r="P87" s="97"/>
      <c r="Q87" s="14" t="str">
        <f>IF(O87="","",IF(O87=0,"","m"))</f>
        <v/>
      </c>
      <c r="R87" s="100"/>
      <c r="S87" s="101"/>
      <c r="U87" s="94"/>
      <c r="V87" s="95"/>
      <c r="W87" s="104"/>
      <c r="X87" s="103"/>
      <c r="Y87" s="103"/>
      <c r="Z87" s="103"/>
      <c r="AA87" s="99"/>
      <c r="AC87" s="1">
        <f>IF(U82="",0,IF(U82&gt;SUM(W82:AA87),U82-SUM(W82:AA87),0))</f>
        <v>0</v>
      </c>
    </row>
    <row r="88" spans="2:29" ht="6" customHeight="1" x14ac:dyDescent="0.2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2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25">
      <c r="B90" s="96">
        <f>IF(S90="","",IF(B82="","",1+B82))</f>
        <v>11</v>
      </c>
      <c r="C90" s="3"/>
      <c r="E90" s="13" t="str">
        <f>IF(F90="","",IF(F90=0,"","L="))</f>
        <v>L=</v>
      </c>
      <c r="F90" s="97">
        <v>2.5</v>
      </c>
      <c r="G90" s="97"/>
      <c r="H90" s="14" t="str">
        <f>IF(F90="","",IF(F90=0,"","m"))</f>
        <v>m</v>
      </c>
      <c r="K90" s="13" t="str">
        <f>IF(L90="","",IF(L90=0,"","L="))</f>
        <v/>
      </c>
      <c r="L90" s="97"/>
      <c r="M90" s="97"/>
      <c r="N90" s="14" t="str">
        <f>IF(L90="","",IF(L90=0,"","m"))</f>
        <v/>
      </c>
      <c r="R90" s="98" t="str">
        <f t="shared" ref="R90" si="0">IF(OR(S90="入力ｴﾗｰ",S90=0,S90="")=TRUE,"",IF(F90="","甲",IF(F90=0,"甲","")))</f>
        <v/>
      </c>
      <c r="S90" s="101">
        <f t="shared" ref="S90" si="1">IF((F90+I95+L90+O95)=0,"",IF((F90+I95+L90+O95)&gt;SUM($AC$1:$AC$3),"入力ｴﾗｰ",SUM($AC$1:$AC$3)-(F90+I95+L90+O95)))</f>
        <v>0.10000000000000009</v>
      </c>
      <c r="T90" s="102" t="str">
        <f t="shared" ref="T90" si="2">IF(S90="","",IF(S90="入力ｴﾗｰ","","m"))</f>
        <v>m</v>
      </c>
      <c r="U90" s="94">
        <f>IF(B90="","",COUNT(F90,I95,L90,O95)-IF(S90=0,1,0)-V90)</f>
        <v>2</v>
      </c>
      <c r="V90" s="95"/>
      <c r="W90" s="104">
        <v>2</v>
      </c>
      <c r="X90" s="103"/>
      <c r="Y90" s="103"/>
      <c r="Z90" s="103"/>
      <c r="AA90" s="99"/>
    </row>
    <row r="91" spans="2:29" ht="3" customHeight="1" x14ac:dyDescent="0.25">
      <c r="B91" s="96"/>
      <c r="C91" s="3"/>
      <c r="G91" s="3"/>
      <c r="H91" s="2"/>
      <c r="K91" s="3"/>
      <c r="R91" s="98"/>
      <c r="S91" s="101"/>
      <c r="T91" s="102"/>
      <c r="U91" s="94"/>
      <c r="V91" s="95"/>
      <c r="W91" s="104"/>
      <c r="X91" s="103"/>
      <c r="Y91" s="103"/>
      <c r="Z91" s="103"/>
      <c r="AA91" s="99"/>
    </row>
    <row r="92" spans="2:29" ht="3" customHeight="1" x14ac:dyDescent="0.25">
      <c r="B92" s="96"/>
      <c r="C92" s="3"/>
      <c r="G92" s="3"/>
      <c r="H92" s="2"/>
      <c r="K92" s="3"/>
      <c r="R92" s="98"/>
      <c r="S92" s="101"/>
      <c r="T92" s="102"/>
      <c r="U92" s="94"/>
      <c r="V92" s="95"/>
      <c r="W92" s="104"/>
      <c r="X92" s="103"/>
      <c r="Y92" s="103"/>
      <c r="Z92" s="103"/>
      <c r="AA92" s="99"/>
    </row>
    <row r="93" spans="2:29" ht="3" customHeight="1" x14ac:dyDescent="0.25">
      <c r="B93" s="96"/>
      <c r="C93" s="3"/>
      <c r="E93" s="6"/>
      <c r="F93" s="6"/>
      <c r="G93" s="7"/>
      <c r="H93" s="8"/>
      <c r="I93" s="7"/>
      <c r="J93" s="8"/>
      <c r="K93" s="7"/>
      <c r="L93" s="6"/>
      <c r="R93" s="100" t="str">
        <f t="shared" ref="R93" si="3">IF(R90="甲","",IF(OR(S90=0,S90="")=TRUE,"",IF(S90="入力ｴﾗｰ","","乙")))</f>
        <v>乙</v>
      </c>
      <c r="S93" s="101"/>
      <c r="U93" s="94"/>
      <c r="V93" s="95"/>
      <c r="W93" s="104"/>
      <c r="X93" s="103"/>
      <c r="Y93" s="103"/>
      <c r="Z93" s="103"/>
      <c r="AA93" s="99"/>
    </row>
    <row r="94" spans="2:29" ht="3" customHeight="1" x14ac:dyDescent="0.25">
      <c r="B94" s="96"/>
      <c r="C94" s="3"/>
      <c r="F94" s="2"/>
      <c r="G94" s="3"/>
      <c r="H94" s="2"/>
      <c r="K94" s="3"/>
      <c r="R94" s="100"/>
      <c r="S94" s="101"/>
      <c r="U94" s="94"/>
      <c r="V94" s="95"/>
      <c r="W94" s="104"/>
      <c r="X94" s="103"/>
      <c r="Y94" s="103"/>
      <c r="Z94" s="103"/>
      <c r="AA94" s="99"/>
    </row>
    <row r="95" spans="2:29" ht="15" customHeight="1" x14ac:dyDescent="0.25">
      <c r="B95" s="96"/>
      <c r="C95" s="3"/>
      <c r="G95" s="18"/>
      <c r="H95" s="13" t="str">
        <f>IF(I95="","",IF(I95=0,"","L="))</f>
        <v/>
      </c>
      <c r="I95" s="97"/>
      <c r="J95" s="97"/>
      <c r="K95" s="14" t="str">
        <f>IF(I95="","",IF(I95=0,"","m"))</f>
        <v/>
      </c>
      <c r="N95" s="13" t="str">
        <f>IF(O95="","",IF(O95=0,"","L="))</f>
        <v>L=</v>
      </c>
      <c r="O95" s="97">
        <v>1.4</v>
      </c>
      <c r="P95" s="97"/>
      <c r="Q95" s="14" t="str">
        <f>IF(O95="","",IF(O95=0,"","m"))</f>
        <v>m</v>
      </c>
      <c r="R95" s="100"/>
      <c r="S95" s="101"/>
      <c r="U95" s="94"/>
      <c r="V95" s="95"/>
      <c r="W95" s="104"/>
      <c r="X95" s="103"/>
      <c r="Y95" s="103"/>
      <c r="Z95" s="103"/>
      <c r="AA95" s="99"/>
      <c r="AC95" s="1">
        <f>IF(U90="",0,IF(U90&gt;SUM(W90:AA95),U90-SUM(W90:AA95),0))</f>
        <v>0</v>
      </c>
    </row>
    <row r="96" spans="2:29" ht="6" customHeight="1" x14ac:dyDescent="0.2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2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25">
      <c r="B98" s="96">
        <f>IF(S98="","",IF(B90="","",1+B90))</f>
        <v>12</v>
      </c>
      <c r="C98" s="3"/>
      <c r="E98" s="13" t="str">
        <f>IF(F98="","",IF(F98=0,"","L="))</f>
        <v/>
      </c>
      <c r="F98" s="97"/>
      <c r="G98" s="97"/>
      <c r="H98" s="14" t="str">
        <f>IF(F98="","",IF(F98=0,"","m"))</f>
        <v/>
      </c>
      <c r="K98" s="13" t="str">
        <f>IF(L98="","",IF(L98=0,"","L="))</f>
        <v/>
      </c>
      <c r="L98" s="97"/>
      <c r="M98" s="97"/>
      <c r="N98" s="14" t="str">
        <f>IF(L98="","",IF(L98=0,"","m"))</f>
        <v/>
      </c>
      <c r="R98" s="98" t="str">
        <f t="shared" ref="R98" si="4">IF(OR(S98="入力ｴﾗｰ",S98=0,S98="")=TRUE,"",IF(F98="","甲",IF(F98=0,"甲","")))</f>
        <v>甲</v>
      </c>
      <c r="S98" s="101">
        <f t="shared" ref="S98" si="5">IF((F98+I103+L98+O103)=0,"",IF((F98+I103+L98+O103)&gt;SUM($AC$1:$AC$3),"入力ｴﾗｰ",SUM($AC$1:$AC$3)-(F98+I103+L98+O103)))</f>
        <v>1</v>
      </c>
      <c r="T98" s="102" t="str">
        <f t="shared" ref="T98" si="6">IF(S98="","",IF(S98="入力ｴﾗｰ","","m"))</f>
        <v>m</v>
      </c>
      <c r="U98" s="94">
        <f>IF(B98="","",COUNT(F98,I103,L98,O103)-IF(S98=0,1,0)-V98)</f>
        <v>2</v>
      </c>
      <c r="V98" s="95"/>
      <c r="W98" s="104">
        <v>3</v>
      </c>
      <c r="X98" s="103"/>
      <c r="Y98" s="103"/>
      <c r="Z98" s="103"/>
      <c r="AA98" s="99"/>
    </row>
    <row r="99" spans="2:29" ht="3" customHeight="1" x14ac:dyDescent="0.25">
      <c r="B99" s="96"/>
      <c r="C99" s="3"/>
      <c r="G99" s="3"/>
      <c r="H99" s="2"/>
      <c r="K99" s="3"/>
      <c r="R99" s="98"/>
      <c r="S99" s="101"/>
      <c r="T99" s="102"/>
      <c r="U99" s="94"/>
      <c r="V99" s="95"/>
      <c r="W99" s="104"/>
      <c r="X99" s="103"/>
      <c r="Y99" s="103"/>
      <c r="Z99" s="103"/>
      <c r="AA99" s="99"/>
    </row>
    <row r="100" spans="2:29" ht="3" customHeight="1" x14ac:dyDescent="0.25">
      <c r="B100" s="96"/>
      <c r="C100" s="3"/>
      <c r="G100" s="3"/>
      <c r="H100" s="2"/>
      <c r="K100" s="3"/>
      <c r="R100" s="98"/>
      <c r="S100" s="101"/>
      <c r="T100" s="102"/>
      <c r="U100" s="94"/>
      <c r="V100" s="95"/>
      <c r="W100" s="104"/>
      <c r="X100" s="103"/>
      <c r="Y100" s="103"/>
      <c r="Z100" s="103"/>
      <c r="AA100" s="99"/>
    </row>
    <row r="101" spans="2:29" ht="3" customHeight="1" x14ac:dyDescent="0.25">
      <c r="B101" s="96"/>
      <c r="C101" s="3"/>
      <c r="E101" s="6"/>
      <c r="F101" s="6"/>
      <c r="G101" s="7"/>
      <c r="H101" s="8"/>
      <c r="I101" s="7"/>
      <c r="J101" s="8"/>
      <c r="K101" s="7"/>
      <c r="L101" s="6"/>
      <c r="R101" s="100" t="str">
        <f t="shared" ref="R101" si="7">IF(R98="甲","",IF(OR(S98=0,S98="")=TRUE,"",IF(S98="入力ｴﾗｰ","","乙")))</f>
        <v/>
      </c>
      <c r="S101" s="101"/>
      <c r="U101" s="94"/>
      <c r="V101" s="95"/>
      <c r="W101" s="104"/>
      <c r="X101" s="103"/>
      <c r="Y101" s="103"/>
      <c r="Z101" s="103"/>
      <c r="AA101" s="99"/>
    </row>
    <row r="102" spans="2:29" ht="3" customHeight="1" x14ac:dyDescent="0.25">
      <c r="B102" s="96"/>
      <c r="C102" s="3"/>
      <c r="F102" s="2"/>
      <c r="G102" s="3"/>
      <c r="H102" s="2"/>
      <c r="K102" s="3"/>
      <c r="R102" s="100"/>
      <c r="S102" s="101"/>
      <c r="U102" s="94"/>
      <c r="V102" s="95"/>
      <c r="W102" s="104"/>
      <c r="X102" s="103"/>
      <c r="Y102" s="103"/>
      <c r="Z102" s="103"/>
      <c r="AA102" s="99"/>
    </row>
    <row r="103" spans="2:29" ht="15" customHeight="1" x14ac:dyDescent="0.25">
      <c r="B103" s="96"/>
      <c r="C103" s="3"/>
      <c r="G103" s="18"/>
      <c r="H103" s="13" t="str">
        <f>IF(I103="","",IF(I103=0,"","L="))</f>
        <v>L=</v>
      </c>
      <c r="I103" s="97">
        <v>1.3</v>
      </c>
      <c r="J103" s="97"/>
      <c r="K103" s="14" t="str">
        <f>IF(I103="","",IF(I103=0,"","m"))</f>
        <v>m</v>
      </c>
      <c r="N103" s="13" t="str">
        <f>IF(O103="","",IF(O103=0,"","L="))</f>
        <v>L=</v>
      </c>
      <c r="O103" s="97">
        <v>1.7</v>
      </c>
      <c r="P103" s="97"/>
      <c r="Q103" s="14" t="str">
        <f>IF(O103="","",IF(O103=0,"","m"))</f>
        <v>m</v>
      </c>
      <c r="R103" s="100"/>
      <c r="S103" s="101"/>
      <c r="U103" s="94"/>
      <c r="V103" s="95"/>
      <c r="W103" s="104"/>
      <c r="X103" s="103"/>
      <c r="Y103" s="103"/>
      <c r="Z103" s="103"/>
      <c r="AA103" s="99"/>
      <c r="AC103" s="1">
        <f>IF(U98="",0,IF(U98&gt;SUM(W98:AA103),U98-SUM(W98:AA103),0))</f>
        <v>0</v>
      </c>
    </row>
    <row r="104" spans="2:29" ht="6" customHeight="1" x14ac:dyDescent="0.2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2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25">
      <c r="B106" s="96">
        <f>IF(S106="","",IF(B98="","",1+B98))</f>
        <v>13</v>
      </c>
      <c r="C106" s="3"/>
      <c r="E106" s="13" t="str">
        <f>IF(F106="","",IF(F106=0,"","L="))</f>
        <v>L=</v>
      </c>
      <c r="F106" s="97">
        <v>2</v>
      </c>
      <c r="G106" s="97"/>
      <c r="H106" s="14" t="str">
        <f>IF(F106="","",IF(F106=0,"","m"))</f>
        <v>m</v>
      </c>
      <c r="K106" s="13" t="str">
        <f>IF(L106="","",IF(L106=0,"","L="))</f>
        <v/>
      </c>
      <c r="L106" s="97"/>
      <c r="M106" s="97"/>
      <c r="N106" s="14" t="str">
        <f>IF(L106="","",IF(L106=0,"","m"))</f>
        <v/>
      </c>
      <c r="R106" s="98" t="str">
        <f t="shared" ref="R106" si="8">IF(OR(S106="入力ｴﾗｰ",S106=0,S106="")=TRUE,"",IF(F106="","甲",IF(F106=0,"甲","")))</f>
        <v/>
      </c>
      <c r="S106" s="101">
        <f t="shared" ref="S106" si="9">IF((F106+I111+L106+O111)=0,"",IF((F106+I111+L106+O111)&gt;SUM($AC$1:$AC$3),"入力ｴﾗｰ",SUM($AC$1:$AC$3)-(F106+I111+L106+O111)))</f>
        <v>0.70000000000000018</v>
      </c>
      <c r="T106" s="102" t="str">
        <f t="shared" ref="T106" si="10">IF(S106="","",IF(S106="入力ｴﾗｰ","","m"))</f>
        <v>m</v>
      </c>
      <c r="U106" s="94">
        <f>IF(B106="","",COUNT(F106,I111,L106,O111)-IF(S106=0,1,0)-V106)</f>
        <v>2</v>
      </c>
      <c r="V106" s="95"/>
      <c r="W106" s="104">
        <v>2</v>
      </c>
      <c r="X106" s="103"/>
      <c r="Y106" s="103"/>
      <c r="Z106" s="103"/>
      <c r="AA106" s="99"/>
    </row>
    <row r="107" spans="2:29" ht="3" customHeight="1" x14ac:dyDescent="0.25">
      <c r="B107" s="96"/>
      <c r="C107" s="3"/>
      <c r="G107" s="3"/>
      <c r="H107" s="2"/>
      <c r="K107" s="3"/>
      <c r="R107" s="98"/>
      <c r="S107" s="101"/>
      <c r="T107" s="102"/>
      <c r="U107" s="94"/>
      <c r="V107" s="95"/>
      <c r="W107" s="104"/>
      <c r="X107" s="103"/>
      <c r="Y107" s="103"/>
      <c r="Z107" s="103"/>
      <c r="AA107" s="99"/>
    </row>
    <row r="108" spans="2:29" ht="3" customHeight="1" x14ac:dyDescent="0.25">
      <c r="B108" s="96"/>
      <c r="C108" s="3"/>
      <c r="G108" s="3"/>
      <c r="H108" s="2"/>
      <c r="K108" s="3"/>
      <c r="R108" s="98"/>
      <c r="S108" s="101"/>
      <c r="T108" s="102"/>
      <c r="U108" s="94"/>
      <c r="V108" s="95"/>
      <c r="W108" s="104"/>
      <c r="X108" s="103"/>
      <c r="Y108" s="103"/>
      <c r="Z108" s="103"/>
      <c r="AA108" s="99"/>
    </row>
    <row r="109" spans="2:29" ht="3" customHeight="1" x14ac:dyDescent="0.25">
      <c r="B109" s="96"/>
      <c r="C109" s="3"/>
      <c r="E109" s="6"/>
      <c r="F109" s="6"/>
      <c r="G109" s="7"/>
      <c r="H109" s="8"/>
      <c r="I109" s="7"/>
      <c r="J109" s="8"/>
      <c r="K109" s="7"/>
      <c r="L109" s="6"/>
      <c r="R109" s="100" t="str">
        <f t="shared" ref="R109" si="11">IF(R106="甲","",IF(OR(S106=0,S106="")=TRUE,"",IF(S106="入力ｴﾗｰ","","乙")))</f>
        <v>乙</v>
      </c>
      <c r="S109" s="101"/>
      <c r="U109" s="94"/>
      <c r="V109" s="95"/>
      <c r="W109" s="104"/>
      <c r="X109" s="103"/>
      <c r="Y109" s="103"/>
      <c r="Z109" s="103"/>
      <c r="AA109" s="99"/>
    </row>
    <row r="110" spans="2:29" ht="3" customHeight="1" x14ac:dyDescent="0.25">
      <c r="B110" s="96"/>
      <c r="C110" s="3"/>
      <c r="F110" s="2"/>
      <c r="G110" s="3"/>
      <c r="H110" s="2"/>
      <c r="K110" s="3"/>
      <c r="R110" s="100"/>
      <c r="S110" s="101"/>
      <c r="U110" s="94"/>
      <c r="V110" s="95"/>
      <c r="W110" s="104"/>
      <c r="X110" s="103"/>
      <c r="Y110" s="103"/>
      <c r="Z110" s="103"/>
      <c r="AA110" s="99"/>
    </row>
    <row r="111" spans="2:29" ht="15" customHeight="1" x14ac:dyDescent="0.25">
      <c r="B111" s="96"/>
      <c r="C111" s="3"/>
      <c r="G111" s="18"/>
      <c r="H111" s="13" t="str">
        <f>IF(I111="","",IF(I111=0,"","L="))</f>
        <v/>
      </c>
      <c r="I111" s="97"/>
      <c r="J111" s="97"/>
      <c r="K111" s="14" t="str">
        <f>IF(I111="","",IF(I111=0,"","m"))</f>
        <v/>
      </c>
      <c r="N111" s="13" t="str">
        <f>IF(O111="","",IF(O111=0,"","L="))</f>
        <v>L=</v>
      </c>
      <c r="O111" s="97">
        <v>1.3</v>
      </c>
      <c r="P111" s="97"/>
      <c r="Q111" s="14" t="str">
        <f>IF(O111="","",IF(O111=0,"","m"))</f>
        <v>m</v>
      </c>
      <c r="R111" s="100"/>
      <c r="S111" s="101"/>
      <c r="U111" s="94"/>
      <c r="V111" s="95"/>
      <c r="W111" s="104"/>
      <c r="X111" s="103"/>
      <c r="Y111" s="103"/>
      <c r="Z111" s="103"/>
      <c r="AA111" s="99"/>
      <c r="AC111" s="1">
        <f>IF(U106="",0,IF(U106&gt;SUM(W106:AA111),U106-SUM(W106:AA111),0))</f>
        <v>0</v>
      </c>
    </row>
    <row r="112" spans="2:29" ht="6" customHeight="1" x14ac:dyDescent="0.2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5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6" customHeight="1" x14ac:dyDescent="0.25">
      <c r="B113" s="19"/>
      <c r="C113" s="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9"/>
      <c r="S113" s="10"/>
      <c r="T113" s="10"/>
      <c r="U113" s="9"/>
      <c r="V113" s="77"/>
      <c r="W113" s="22"/>
      <c r="X113" s="23"/>
      <c r="Y113" s="23"/>
      <c r="Z113" s="23"/>
      <c r="AA113" s="37"/>
    </row>
    <row r="114" spans="2:29" ht="15" customHeight="1" x14ac:dyDescent="0.25">
      <c r="B114" s="96">
        <f>IF(S114="","",IF(B106="","",1+B106))</f>
        <v>14</v>
      </c>
      <c r="C114" s="3"/>
      <c r="E114" s="13" t="str">
        <f>IF(F114="","",IF(F114=0,"","L="))</f>
        <v>L=</v>
      </c>
      <c r="F114" s="97">
        <v>2.5</v>
      </c>
      <c r="G114" s="97"/>
      <c r="H114" s="14" t="str">
        <f>IF(F114="","",IF(F114=0,"","m"))</f>
        <v>m</v>
      </c>
      <c r="K114" s="13" t="str">
        <f>IF(L114="","",IF(L114=0,"","L="))</f>
        <v/>
      </c>
      <c r="L114" s="97"/>
      <c r="M114" s="97"/>
      <c r="N114" s="14" t="str">
        <f>IF(L114="","",IF(L114=0,"","m"))</f>
        <v/>
      </c>
      <c r="R114" s="98" t="str">
        <f t="shared" ref="R114" si="12">IF(OR(S114="入力ｴﾗｰ",S114=0,S114="")=TRUE,"",IF(F114="","甲",IF(F114=0,"甲","")))</f>
        <v/>
      </c>
      <c r="S114" s="101">
        <f t="shared" ref="S114" si="13">IF((F114+I119+L114+O119)=0,"",IF((F114+I119+L114+O119)&gt;SUM($AC$1:$AC$3),"入力ｴﾗｰ",SUM($AC$1:$AC$3)-(F114+I119+L114+O119)))</f>
        <v>0</v>
      </c>
      <c r="T114" s="102" t="str">
        <f t="shared" ref="T114" si="14">IF(S114="","",IF(S114="入力ｴﾗｰ","","m"))</f>
        <v>m</v>
      </c>
      <c r="U114" s="94">
        <f>IF(B114="","",COUNT(F114,I119,L114,O119)-IF(S114=0,1,0)-V114)</f>
        <v>1</v>
      </c>
      <c r="V114" s="95"/>
      <c r="W114" s="104">
        <v>2</v>
      </c>
      <c r="X114" s="103"/>
      <c r="Y114" s="103"/>
      <c r="Z114" s="103"/>
      <c r="AA114" s="99"/>
    </row>
    <row r="115" spans="2:29" ht="3" customHeight="1" x14ac:dyDescent="0.25">
      <c r="B115" s="96"/>
      <c r="C115" s="3"/>
      <c r="G115" s="3"/>
      <c r="H115" s="2"/>
      <c r="K115" s="3"/>
      <c r="R115" s="98"/>
      <c r="S115" s="101"/>
      <c r="T115" s="102"/>
      <c r="U115" s="94"/>
      <c r="V115" s="95"/>
      <c r="W115" s="104"/>
      <c r="X115" s="103"/>
      <c r="Y115" s="103"/>
      <c r="Z115" s="103"/>
      <c r="AA115" s="99"/>
    </row>
    <row r="116" spans="2:29" ht="3" customHeight="1" x14ac:dyDescent="0.25">
      <c r="B116" s="96"/>
      <c r="C116" s="3"/>
      <c r="G116" s="3"/>
      <c r="H116" s="2"/>
      <c r="K116" s="3"/>
      <c r="R116" s="98"/>
      <c r="S116" s="101"/>
      <c r="T116" s="102"/>
      <c r="U116" s="94"/>
      <c r="V116" s="95"/>
      <c r="W116" s="104"/>
      <c r="X116" s="103"/>
      <c r="Y116" s="103"/>
      <c r="Z116" s="103"/>
      <c r="AA116" s="99"/>
    </row>
    <row r="117" spans="2:29" ht="3" customHeight="1" x14ac:dyDescent="0.25">
      <c r="B117" s="96"/>
      <c r="C117" s="3"/>
      <c r="E117" s="6"/>
      <c r="F117" s="6"/>
      <c r="G117" s="7"/>
      <c r="H117" s="8"/>
      <c r="I117" s="7"/>
      <c r="J117" s="8"/>
      <c r="K117" s="7"/>
      <c r="L117" s="6"/>
      <c r="R117" s="100" t="str">
        <f t="shared" ref="R117" si="15">IF(R114="甲","",IF(OR(S114=0,S114="")=TRUE,"",IF(S114="入力ｴﾗｰ","","乙")))</f>
        <v/>
      </c>
      <c r="S117" s="101"/>
      <c r="U117" s="94"/>
      <c r="V117" s="95"/>
      <c r="W117" s="104"/>
      <c r="X117" s="103"/>
      <c r="Y117" s="103"/>
      <c r="Z117" s="103"/>
      <c r="AA117" s="99"/>
    </row>
    <row r="118" spans="2:29" ht="3" customHeight="1" x14ac:dyDescent="0.25">
      <c r="B118" s="96"/>
      <c r="C118" s="3"/>
      <c r="F118" s="2"/>
      <c r="G118" s="3"/>
      <c r="H118" s="2"/>
      <c r="K118" s="3"/>
      <c r="R118" s="100"/>
      <c r="S118" s="101"/>
      <c r="U118" s="94"/>
      <c r="V118" s="95"/>
      <c r="W118" s="104"/>
      <c r="X118" s="103"/>
      <c r="Y118" s="103"/>
      <c r="Z118" s="103"/>
      <c r="AA118" s="99"/>
    </row>
    <row r="119" spans="2:29" ht="15" customHeight="1" x14ac:dyDescent="0.25">
      <c r="B119" s="96"/>
      <c r="C119" s="3"/>
      <c r="G119" s="18"/>
      <c r="H119" s="13" t="str">
        <f>IF(I119="","",IF(I119=0,"","L="))</f>
        <v/>
      </c>
      <c r="I119" s="97"/>
      <c r="J119" s="97"/>
      <c r="K119" s="14" t="str">
        <f>IF(I119="","",IF(I119=0,"","m"))</f>
        <v/>
      </c>
      <c r="N119" s="13" t="str">
        <f>IF(O119="","",IF(O119=0,"","L="))</f>
        <v>L=</v>
      </c>
      <c r="O119" s="97">
        <v>1.5</v>
      </c>
      <c r="P119" s="97"/>
      <c r="Q119" s="14" t="str">
        <f>IF(O119="","",IF(O119=0,"","m"))</f>
        <v>m</v>
      </c>
      <c r="R119" s="100"/>
      <c r="S119" s="101"/>
      <c r="U119" s="94"/>
      <c r="V119" s="95"/>
      <c r="W119" s="104"/>
      <c r="X119" s="103"/>
      <c r="Y119" s="103"/>
      <c r="Z119" s="103"/>
      <c r="AA119" s="99"/>
      <c r="AC119" s="1">
        <f>IF(U114="",0,IF(U114&gt;SUM(W114:AA119),U114-SUM(W114:AA119),0))</f>
        <v>0</v>
      </c>
    </row>
    <row r="120" spans="2:29" ht="6" customHeight="1" x14ac:dyDescent="0.25">
      <c r="B120" s="38"/>
      <c r="C120" s="3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7"/>
      <c r="R120" s="15"/>
      <c r="S120" s="16"/>
      <c r="T120" s="16"/>
      <c r="U120" s="15"/>
      <c r="V120" s="78"/>
      <c r="W120" s="72"/>
      <c r="X120" s="41"/>
      <c r="Y120" s="41"/>
      <c r="Z120" s="41"/>
      <c r="AA120" s="42"/>
    </row>
    <row r="121" spans="2:29" ht="15" customHeight="1" x14ac:dyDescent="0.25">
      <c r="B121" s="84" t="s">
        <v>17</v>
      </c>
      <c r="C121" s="85"/>
      <c r="D121" s="85"/>
      <c r="E121" s="85"/>
      <c r="F121" s="86"/>
      <c r="G121" s="47" t="s">
        <v>21</v>
      </c>
      <c r="H121" s="48"/>
      <c r="I121" s="48"/>
      <c r="J121" s="49"/>
      <c r="K121" s="50"/>
      <c r="L121" s="48"/>
      <c r="M121" s="49" t="s">
        <v>18</v>
      </c>
      <c r="N121" s="50"/>
      <c r="O121" s="48"/>
      <c r="P121" s="48"/>
      <c r="Q121" s="49"/>
      <c r="R121" s="48"/>
      <c r="S121" s="48"/>
      <c r="T121" s="48" t="s">
        <v>22</v>
      </c>
      <c r="U121" s="9"/>
      <c r="V121" s="77"/>
      <c r="W121" s="22"/>
      <c r="X121" s="23"/>
      <c r="Y121" s="23"/>
      <c r="Z121" s="23"/>
      <c r="AA121" s="37"/>
    </row>
    <row r="122" spans="2:29" ht="30" customHeight="1" thickBot="1" x14ac:dyDescent="0.3">
      <c r="B122" s="87"/>
      <c r="C122" s="88"/>
      <c r="D122" s="88"/>
      <c r="E122" s="88"/>
      <c r="F122" s="89"/>
      <c r="G122" s="25" t="str">
        <f>U2</f>
        <v>GX</v>
      </c>
      <c r="H122" s="88">
        <f>Y2</f>
        <v>100</v>
      </c>
      <c r="I122" s="88"/>
      <c r="J122" s="89"/>
      <c r="K122" s="90">
        <f>IF(B10="",0,LARGE(B10:B119,1))</f>
        <v>14</v>
      </c>
      <c r="L122" s="91"/>
      <c r="M122" s="21"/>
      <c r="N122" s="25"/>
      <c r="O122" s="20"/>
      <c r="P122" s="20"/>
      <c r="Q122" s="21"/>
      <c r="R122" s="92">
        <f>SUM(S10:S119)</f>
        <v>7.7</v>
      </c>
      <c r="S122" s="93"/>
      <c r="T122" s="20"/>
      <c r="U122" s="51">
        <f>SUM(U10:U119)</f>
        <v>23</v>
      </c>
      <c r="V122" s="79">
        <f t="shared" ref="V122:AA122" si="16">SUM(V10:V119)</f>
        <v>0</v>
      </c>
      <c r="W122" s="73">
        <f t="shared" si="16"/>
        <v>29</v>
      </c>
      <c r="X122" s="53">
        <f t="shared" si="16"/>
        <v>0</v>
      </c>
      <c r="Y122" s="53">
        <f t="shared" si="16"/>
        <v>0</v>
      </c>
      <c r="Z122" s="53">
        <f t="shared" si="16"/>
        <v>0</v>
      </c>
      <c r="AA122" s="54">
        <f t="shared" si="16"/>
        <v>0</v>
      </c>
      <c r="AC122" s="1">
        <f>SUM(AC9:AC112)</f>
        <v>0</v>
      </c>
    </row>
  </sheetData>
  <mergeCells count="236">
    <mergeCell ref="B121:F122"/>
    <mergeCell ref="H122:J122"/>
    <mergeCell ref="K122:L122"/>
    <mergeCell ref="R122:S122"/>
    <mergeCell ref="W106:W111"/>
    <mergeCell ref="X106:X111"/>
    <mergeCell ref="Y106:Y111"/>
    <mergeCell ref="Z106:Z111"/>
    <mergeCell ref="AA106:AA111"/>
    <mergeCell ref="I111:J111"/>
    <mergeCell ref="O111:P111"/>
    <mergeCell ref="R106:R108"/>
    <mergeCell ref="S106:S111"/>
    <mergeCell ref="T106:T108"/>
    <mergeCell ref="R109:R111"/>
    <mergeCell ref="X114:X119"/>
    <mergeCell ref="Y114:Y119"/>
    <mergeCell ref="Z114:Z119"/>
    <mergeCell ref="AA114:AA119"/>
    <mergeCell ref="R117:R119"/>
    <mergeCell ref="I119:J119"/>
    <mergeCell ref="O119:P119"/>
    <mergeCell ref="AA98:AA103"/>
    <mergeCell ref="R101:R103"/>
    <mergeCell ref="I103:J103"/>
    <mergeCell ref="O103:P103"/>
    <mergeCell ref="B106:B111"/>
    <mergeCell ref="F106:G106"/>
    <mergeCell ref="L106:M106"/>
    <mergeCell ref="U106:U111"/>
    <mergeCell ref="V106:V111"/>
    <mergeCell ref="U98:U103"/>
    <mergeCell ref="V98:V103"/>
    <mergeCell ref="W98:W103"/>
    <mergeCell ref="X98:X103"/>
    <mergeCell ref="Y98:Y103"/>
    <mergeCell ref="Z98:Z103"/>
    <mergeCell ref="B98:B103"/>
    <mergeCell ref="F98:G98"/>
    <mergeCell ref="L98:M98"/>
    <mergeCell ref="R98:R100"/>
    <mergeCell ref="S98:S103"/>
    <mergeCell ref="T98:T100"/>
    <mergeCell ref="AA82:AA87"/>
    <mergeCell ref="R85:R87"/>
    <mergeCell ref="I87:J87"/>
    <mergeCell ref="O87:P87"/>
    <mergeCell ref="B90:B95"/>
    <mergeCell ref="F90:G90"/>
    <mergeCell ref="L90:M90"/>
    <mergeCell ref="R90:R92"/>
    <mergeCell ref="S90:S95"/>
    <mergeCell ref="T90:T92"/>
    <mergeCell ref="U82:U87"/>
    <mergeCell ref="V82:V87"/>
    <mergeCell ref="W82:W87"/>
    <mergeCell ref="X82:X87"/>
    <mergeCell ref="Y82:Y87"/>
    <mergeCell ref="Z82:Z87"/>
    <mergeCell ref="AA90:AA95"/>
    <mergeCell ref="R93:R95"/>
    <mergeCell ref="I95:J95"/>
    <mergeCell ref="O95:P95"/>
    <mergeCell ref="X90:X95"/>
    <mergeCell ref="Y90:Y95"/>
    <mergeCell ref="Z90:Z95"/>
    <mergeCell ref="B82:B87"/>
    <mergeCell ref="F82:G82"/>
    <mergeCell ref="L82:M82"/>
    <mergeCell ref="R82:R84"/>
    <mergeCell ref="S82:S87"/>
    <mergeCell ref="T82:T84"/>
    <mergeCell ref="U74:U79"/>
    <mergeCell ref="V74:V79"/>
    <mergeCell ref="W74:W79"/>
    <mergeCell ref="U90:U95"/>
    <mergeCell ref="V90:V95"/>
    <mergeCell ref="W90:W95"/>
    <mergeCell ref="Y66:Y71"/>
    <mergeCell ref="Z66:Z71"/>
    <mergeCell ref="AA74:AA79"/>
    <mergeCell ref="R77:R79"/>
    <mergeCell ref="I79:J79"/>
    <mergeCell ref="O79:P79"/>
    <mergeCell ref="X74:X79"/>
    <mergeCell ref="Y74:Y79"/>
    <mergeCell ref="Z74:Z79"/>
    <mergeCell ref="AA66:AA71"/>
    <mergeCell ref="X66:X71"/>
    <mergeCell ref="B74:B79"/>
    <mergeCell ref="F74:G74"/>
    <mergeCell ref="L74:M74"/>
    <mergeCell ref="R74:R76"/>
    <mergeCell ref="S74:S79"/>
    <mergeCell ref="T74:T76"/>
    <mergeCell ref="U66:U71"/>
    <mergeCell ref="V66:V71"/>
    <mergeCell ref="W66:W71"/>
    <mergeCell ref="B66:B71"/>
    <mergeCell ref="F66:G66"/>
    <mergeCell ref="L66:M66"/>
    <mergeCell ref="R66:R68"/>
    <mergeCell ref="S66:S71"/>
    <mergeCell ref="T66:T68"/>
    <mergeCell ref="R69:R71"/>
    <mergeCell ref="I71:J71"/>
    <mergeCell ref="O71:P71"/>
    <mergeCell ref="W58:W63"/>
    <mergeCell ref="AA50:AA55"/>
    <mergeCell ref="R53:R55"/>
    <mergeCell ref="I55:J55"/>
    <mergeCell ref="O55:P55"/>
    <mergeCell ref="X50:X55"/>
    <mergeCell ref="Y50:Y55"/>
    <mergeCell ref="Z50:Z55"/>
    <mergeCell ref="AA58:AA63"/>
    <mergeCell ref="X58:X63"/>
    <mergeCell ref="Y58:Y63"/>
    <mergeCell ref="Z58:Z63"/>
    <mergeCell ref="W50:W55"/>
    <mergeCell ref="R61:R63"/>
    <mergeCell ref="I63:J63"/>
    <mergeCell ref="O63:P63"/>
    <mergeCell ref="B34:B39"/>
    <mergeCell ref="B58:B63"/>
    <mergeCell ref="F58:G58"/>
    <mergeCell ref="L58:M58"/>
    <mergeCell ref="R58:R60"/>
    <mergeCell ref="S58:S63"/>
    <mergeCell ref="T58:T60"/>
    <mergeCell ref="U50:U55"/>
    <mergeCell ref="V50:V55"/>
    <mergeCell ref="V34:V39"/>
    <mergeCell ref="B50:B55"/>
    <mergeCell ref="F50:G50"/>
    <mergeCell ref="L50:M50"/>
    <mergeCell ref="R50:R52"/>
    <mergeCell ref="S50:S55"/>
    <mergeCell ref="T50:T52"/>
    <mergeCell ref="U58:U63"/>
    <mergeCell ref="V58:V63"/>
    <mergeCell ref="W34:W39"/>
    <mergeCell ref="X34:X39"/>
    <mergeCell ref="Y34:Y39"/>
    <mergeCell ref="Z34:Z39"/>
    <mergeCell ref="AA42:AA47"/>
    <mergeCell ref="R45:R47"/>
    <mergeCell ref="I47:J47"/>
    <mergeCell ref="O47:P47"/>
    <mergeCell ref="X42:X47"/>
    <mergeCell ref="Y42:Y47"/>
    <mergeCell ref="Z42:Z47"/>
    <mergeCell ref="B18:B23"/>
    <mergeCell ref="F34:G34"/>
    <mergeCell ref="L34:M34"/>
    <mergeCell ref="R34:R36"/>
    <mergeCell ref="S34:S39"/>
    <mergeCell ref="T34:T36"/>
    <mergeCell ref="U26:U31"/>
    <mergeCell ref="V26:V31"/>
    <mergeCell ref="W26:W31"/>
    <mergeCell ref="B26:B31"/>
    <mergeCell ref="F26:G26"/>
    <mergeCell ref="L26:M26"/>
    <mergeCell ref="R26:R28"/>
    <mergeCell ref="S26:S31"/>
    <mergeCell ref="T26:T28"/>
    <mergeCell ref="U18:U23"/>
    <mergeCell ref="V18:V23"/>
    <mergeCell ref="W18:W23"/>
    <mergeCell ref="R29:R31"/>
    <mergeCell ref="I31:J31"/>
    <mergeCell ref="O31:P31"/>
    <mergeCell ref="R37:R39"/>
    <mergeCell ref="I39:J39"/>
    <mergeCell ref="O39:P39"/>
    <mergeCell ref="B7:B8"/>
    <mergeCell ref="C7:Q8"/>
    <mergeCell ref="R7:T8"/>
    <mergeCell ref="AA10:AA15"/>
    <mergeCell ref="R13:R15"/>
    <mergeCell ref="I15:J15"/>
    <mergeCell ref="O15:P15"/>
    <mergeCell ref="X10:X15"/>
    <mergeCell ref="Y10:Y15"/>
    <mergeCell ref="Z10:Z15"/>
    <mergeCell ref="U7:V7"/>
    <mergeCell ref="W7:AA7"/>
    <mergeCell ref="U10:U15"/>
    <mergeCell ref="V10:V15"/>
    <mergeCell ref="W10:W15"/>
    <mergeCell ref="B10:B15"/>
    <mergeCell ref="F10:G10"/>
    <mergeCell ref="L10:M10"/>
    <mergeCell ref="R10:R12"/>
    <mergeCell ref="S10:S15"/>
    <mergeCell ref="T10:T12"/>
    <mergeCell ref="C1:Q1"/>
    <mergeCell ref="U2:V3"/>
    <mergeCell ref="Y2:Z3"/>
    <mergeCell ref="F18:G18"/>
    <mergeCell ref="L18:M18"/>
    <mergeCell ref="R18:R20"/>
    <mergeCell ref="S18:S23"/>
    <mergeCell ref="T18:T20"/>
    <mergeCell ref="AA18:AA23"/>
    <mergeCell ref="R21:R23"/>
    <mergeCell ref="I23:J23"/>
    <mergeCell ref="O23:P23"/>
    <mergeCell ref="X18:X23"/>
    <mergeCell ref="Y18:Y23"/>
    <mergeCell ref="Z18:Z23"/>
    <mergeCell ref="AA26:AA31"/>
    <mergeCell ref="X26:X31"/>
    <mergeCell ref="B114:B119"/>
    <mergeCell ref="F114:G114"/>
    <mergeCell ref="L114:M114"/>
    <mergeCell ref="R114:R116"/>
    <mergeCell ref="S114:S119"/>
    <mergeCell ref="T114:T116"/>
    <mergeCell ref="U114:U119"/>
    <mergeCell ref="V114:V119"/>
    <mergeCell ref="W114:W119"/>
    <mergeCell ref="Y26:Y31"/>
    <mergeCell ref="Z26:Z31"/>
    <mergeCell ref="U42:U47"/>
    <mergeCell ref="V42:V47"/>
    <mergeCell ref="W42:W47"/>
    <mergeCell ref="AA34:AA39"/>
    <mergeCell ref="B42:B47"/>
    <mergeCell ref="F42:G42"/>
    <mergeCell ref="L42:M42"/>
    <mergeCell ref="R42:R44"/>
    <mergeCell ref="S42:S47"/>
    <mergeCell ref="T42:T44"/>
    <mergeCell ref="U34:U39"/>
  </mergeCells>
  <phoneticPr fontId="2"/>
  <conditionalFormatting sqref="S10:S15 S18:S23 S26:S31 S34:S39 S42:S47 S50:S55 S58:S63 S66:S71 S74:S79 S82:S87 S90:S95 S98:S103 S106:S111">
    <cfRule type="cellIs" dxfId="18" priority="2" stopIfTrue="1" operator="equal">
      <formula>"入力ｴﾗｰ"</formula>
    </cfRule>
  </conditionalFormatting>
  <conditionalFormatting sqref="S114:S119">
    <cfRule type="cellIs" dxfId="17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scale="9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6">
    <tabColor theme="9" tint="-0.249977111117893"/>
  </sheetPr>
  <dimension ref="B1:AC114"/>
  <sheetViews>
    <sheetView showGridLines="0" view="pageBreakPreview" zoomScale="123" zoomScaleNormal="123" zoomScaleSheetLayoutView="123" workbookViewId="0">
      <selection activeCell="W80" sqref="W80"/>
    </sheetView>
  </sheetViews>
  <sheetFormatPr defaultColWidth="9.0703125" defaultRowHeight="12" x14ac:dyDescent="0.25"/>
  <cols>
    <col min="1" max="1" width="0.92578125" style="1" customWidth="1"/>
    <col min="2" max="2" width="8.92578125" style="1" customWidth="1"/>
    <col min="3" max="17" width="2.7109375" style="1" customWidth="1"/>
    <col min="18" max="18" width="2.92578125" style="1" customWidth="1"/>
    <col min="19" max="19" width="5.7109375" style="1" customWidth="1"/>
    <col min="20" max="20" width="2.7109375" style="1" customWidth="1"/>
    <col min="21" max="27" width="5.7109375" style="1" customWidth="1"/>
    <col min="28" max="16384" width="9.0703125" style="1"/>
  </cols>
  <sheetData>
    <row r="1" spans="2:29" x14ac:dyDescent="0.25">
      <c r="B1" s="56" t="s">
        <v>19</v>
      </c>
      <c r="C1" s="112" t="str">
        <f>'白紙(5m)'!C1</f>
        <v>長田（花山町2丁目他）配水管取替工事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25">
      <c r="S2" s="12"/>
      <c r="T2" s="3"/>
      <c r="U2" s="114" t="s">
        <v>36</v>
      </c>
      <c r="V2" s="114"/>
      <c r="W2" s="2"/>
      <c r="X2" s="12"/>
      <c r="Y2" s="114">
        <v>150</v>
      </c>
      <c r="Z2" s="114"/>
      <c r="AA2" s="2"/>
      <c r="AC2" s="1">
        <f>IF(AC1=4,0,IF(Y2&lt;=250,5,0))</f>
        <v>5</v>
      </c>
    </row>
    <row r="3" spans="2:29" ht="12" customHeight="1" x14ac:dyDescent="0.25">
      <c r="S3" s="44" t="s">
        <v>12</v>
      </c>
      <c r="T3" s="15"/>
      <c r="U3" s="115"/>
      <c r="V3" s="115"/>
      <c r="W3" s="17" t="s">
        <v>15</v>
      </c>
      <c r="X3" s="44" t="s">
        <v>14</v>
      </c>
      <c r="Y3" s="115"/>
      <c r="Z3" s="115"/>
      <c r="AA3" s="17" t="s">
        <v>20</v>
      </c>
      <c r="AC3" s="1">
        <f>IF(Y2&gt;250,6,0)</f>
        <v>0</v>
      </c>
    </row>
    <row r="4" spans="2:29" ht="6.75" customHeight="1" x14ac:dyDescent="0.25">
      <c r="S4" s="18"/>
      <c r="U4" s="45"/>
      <c r="V4" s="45"/>
      <c r="X4" s="18"/>
      <c r="Y4" s="45"/>
      <c r="Z4" s="45"/>
    </row>
    <row r="5" spans="2:29" ht="21.75" customHeight="1" x14ac:dyDescent="0.25">
      <c r="B5" s="46" t="s">
        <v>16</v>
      </c>
    </row>
    <row r="6" spans="2:29" ht="6.75" customHeight="1" thickBot="1" x14ac:dyDescent="0.3"/>
    <row r="7" spans="2:29" ht="14.25" customHeight="1" x14ac:dyDescent="0.25">
      <c r="B7" s="116" t="s">
        <v>0</v>
      </c>
      <c r="C7" s="108" t="s">
        <v>3</v>
      </c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09"/>
      <c r="R7" s="117" t="s">
        <v>1</v>
      </c>
      <c r="S7" s="117"/>
      <c r="T7" s="117"/>
      <c r="U7" s="108" t="s">
        <v>2</v>
      </c>
      <c r="V7" s="109"/>
      <c r="W7" s="110" t="s">
        <v>4</v>
      </c>
      <c r="X7" s="110"/>
      <c r="Y7" s="110"/>
      <c r="Z7" s="110"/>
      <c r="AA7" s="111"/>
    </row>
    <row r="8" spans="2:29" ht="10.5" customHeight="1" x14ac:dyDescent="0.25">
      <c r="B8" s="96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20"/>
      <c r="R8" s="119"/>
      <c r="S8" s="119"/>
      <c r="T8" s="119"/>
      <c r="U8" s="74" t="s">
        <v>39</v>
      </c>
      <c r="V8" s="75" t="s">
        <v>35</v>
      </c>
      <c r="W8" s="70" t="s">
        <v>39</v>
      </c>
      <c r="X8" s="32" t="s">
        <v>7</v>
      </c>
      <c r="Y8" s="32" t="s">
        <v>8</v>
      </c>
      <c r="Z8" s="33" t="s">
        <v>9</v>
      </c>
      <c r="AA8" s="34" t="s">
        <v>10</v>
      </c>
    </row>
    <row r="9" spans="2:29" ht="6" customHeight="1" x14ac:dyDescent="0.2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25">
      <c r="B10" s="96">
        <f>IF(S10="","",1)</f>
        <v>1</v>
      </c>
      <c r="C10" s="3"/>
      <c r="E10" s="13" t="str">
        <f>IF(F10="","",IF(F10=0,"","L="))</f>
        <v>L=</v>
      </c>
      <c r="F10" s="97">
        <v>1.7</v>
      </c>
      <c r="G10" s="97"/>
      <c r="H10" s="14" t="str">
        <f>IF(F10="","",IF(F10=0,"","m"))</f>
        <v>m</v>
      </c>
      <c r="K10" s="13" t="str">
        <f>IF(L10="","",IF(L10=0,"","L="))</f>
        <v/>
      </c>
      <c r="L10" s="97"/>
      <c r="M10" s="97"/>
      <c r="N10" s="14" t="str">
        <f>IF(L10="","",IF(L10=0,"","m"))</f>
        <v/>
      </c>
      <c r="Q10" s="2"/>
      <c r="R10" s="106" t="str">
        <f>IF(OR(S10="入力ｴﾗｰ",S10=0,S10="")=TRUE,"",IF(F10="","甲",IF(F10=0,"甲","")))</f>
        <v/>
      </c>
      <c r="S10" s="101">
        <f>IF((F10+I15+L10+O15)=0,"",IF((F10+I15+L10+O15)&gt;SUM($AC$1:$AC$3),"入力ｴﾗｰ",SUM($AC$1:$AC$3)-(F10+I15+L10+O15)))</f>
        <v>2</v>
      </c>
      <c r="T10" s="102" t="str">
        <f>IF(S10="","",IF(S10="入力ｴﾗｰ","","m"))</f>
        <v>m</v>
      </c>
      <c r="U10" s="94">
        <f>IF(B10="","",COUNT(F10,I15,L10,O15)-IF(S10=0,1,0)-V10)</f>
        <v>2</v>
      </c>
      <c r="V10" s="95"/>
      <c r="W10" s="104">
        <v>2</v>
      </c>
      <c r="X10" s="103"/>
      <c r="Y10" s="103"/>
      <c r="Z10" s="107"/>
      <c r="AA10" s="99"/>
    </row>
    <row r="11" spans="2:29" ht="3" customHeight="1" x14ac:dyDescent="0.25">
      <c r="B11" s="96"/>
      <c r="C11" s="3"/>
      <c r="G11" s="3"/>
      <c r="H11" s="2"/>
      <c r="K11" s="3"/>
      <c r="M11" s="3"/>
      <c r="Q11" s="2"/>
      <c r="R11" s="106"/>
      <c r="S11" s="101"/>
      <c r="T11" s="102"/>
      <c r="U11" s="94"/>
      <c r="V11" s="95"/>
      <c r="W11" s="104"/>
      <c r="X11" s="103"/>
      <c r="Y11" s="103"/>
      <c r="Z11" s="107"/>
      <c r="AA11" s="99"/>
    </row>
    <row r="12" spans="2:29" ht="3" customHeight="1" x14ac:dyDescent="0.25">
      <c r="B12" s="96"/>
      <c r="C12" s="3"/>
      <c r="E12" s="4"/>
      <c r="F12" s="55"/>
      <c r="G12" s="5"/>
      <c r="H12" s="55"/>
      <c r="I12" s="4"/>
      <c r="J12" s="4"/>
      <c r="K12" s="5"/>
      <c r="L12" s="67"/>
      <c r="M12" s="69"/>
      <c r="N12" s="67"/>
      <c r="Q12" s="2"/>
      <c r="R12" s="106"/>
      <c r="S12" s="101"/>
      <c r="T12" s="102"/>
      <c r="U12" s="94"/>
      <c r="V12" s="95"/>
      <c r="W12" s="104"/>
      <c r="X12" s="103"/>
      <c r="Y12" s="103"/>
      <c r="Z12" s="107"/>
      <c r="AA12" s="99"/>
    </row>
    <row r="13" spans="2:29" ht="3" customHeight="1" x14ac:dyDescent="0.25">
      <c r="B13" s="96"/>
      <c r="C13" s="3"/>
      <c r="E13" s="6"/>
      <c r="F13" s="8"/>
      <c r="G13" s="3"/>
      <c r="H13" s="2"/>
      <c r="I13" s="3"/>
      <c r="J13" s="2"/>
      <c r="K13" s="3"/>
      <c r="L13" s="66"/>
      <c r="M13" s="64"/>
      <c r="N13" s="66"/>
      <c r="Q13" s="2"/>
      <c r="R13" s="105" t="str">
        <f>IF(R10="甲","",IF(OR(S10=0,S10="")=TRUE,"",IF(S10="入力ｴﾗｰ","","乙")))</f>
        <v>乙</v>
      </c>
      <c r="S13" s="101"/>
      <c r="U13" s="94"/>
      <c r="V13" s="95"/>
      <c r="W13" s="104"/>
      <c r="X13" s="103"/>
      <c r="Y13" s="103"/>
      <c r="Z13" s="107"/>
      <c r="AA13" s="99"/>
    </row>
    <row r="14" spans="2:29" ht="3" customHeight="1" x14ac:dyDescent="0.25">
      <c r="B14" s="96"/>
      <c r="C14" s="3"/>
      <c r="F14" s="2"/>
      <c r="G14" s="3"/>
      <c r="H14" s="2"/>
      <c r="J14" s="2"/>
      <c r="K14" s="3"/>
      <c r="M14" s="3"/>
      <c r="Q14" s="2"/>
      <c r="R14" s="105"/>
      <c r="S14" s="101"/>
      <c r="U14" s="94"/>
      <c r="V14" s="95"/>
      <c r="W14" s="104"/>
      <c r="X14" s="103"/>
      <c r="Y14" s="103"/>
      <c r="Z14" s="107"/>
      <c r="AA14" s="99"/>
    </row>
    <row r="15" spans="2:29" ht="15" customHeight="1" x14ac:dyDescent="0.25">
      <c r="B15" s="96"/>
      <c r="C15" s="3"/>
      <c r="G15" s="18"/>
      <c r="H15" s="13" t="str">
        <f>IF(I15="","",IF(I15=0,"","L="))</f>
        <v/>
      </c>
      <c r="I15" s="97"/>
      <c r="J15" s="97"/>
      <c r="K15" s="14" t="str">
        <f>IF(I15="","",IF(I15=0,"","m"))</f>
        <v/>
      </c>
      <c r="N15" s="13" t="str">
        <f>IF(O15="","",IF(O15=0,"","L="))</f>
        <v>L=</v>
      </c>
      <c r="O15" s="97">
        <v>1.3</v>
      </c>
      <c r="P15" s="97"/>
      <c r="Q15" s="24" t="str">
        <f>IF(O15="","",IF(O15=0,"","m"))</f>
        <v>m</v>
      </c>
      <c r="R15" s="105"/>
      <c r="S15" s="101"/>
      <c r="U15" s="94"/>
      <c r="V15" s="95"/>
      <c r="W15" s="104"/>
      <c r="X15" s="103"/>
      <c r="Y15" s="103"/>
      <c r="Z15" s="107"/>
      <c r="AA15" s="99"/>
      <c r="AC15" s="1">
        <f>IF(U10="",0,IF(U10&gt;SUM(W10:AA15),U10-SUM(W10:AA15),0))</f>
        <v>0</v>
      </c>
    </row>
    <row r="16" spans="2:29" ht="6" customHeight="1" x14ac:dyDescent="0.2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2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25">
      <c r="B18" s="96">
        <f>IF(S18="","",IF(B10="","",1+B10))</f>
        <v>2</v>
      </c>
      <c r="C18" s="3"/>
      <c r="E18" s="13" t="str">
        <f>IF(F18="","",IF(F18=0,"","L="))</f>
        <v>L=</v>
      </c>
      <c r="F18" s="97">
        <v>1.7</v>
      </c>
      <c r="G18" s="97"/>
      <c r="H18" s="14" t="str">
        <f>IF(F18="","",IF(F18=0,"","m"))</f>
        <v>m</v>
      </c>
      <c r="K18" s="13" t="str">
        <f>IF(L18="","",IF(L18=0,"","L="))</f>
        <v/>
      </c>
      <c r="L18" s="97"/>
      <c r="M18" s="97"/>
      <c r="N18" s="14" t="str">
        <f>IF(L18="","",IF(L18=0,"","m"))</f>
        <v/>
      </c>
      <c r="Q18" s="2"/>
      <c r="R18" s="106" t="str">
        <f>IF(OR(S18="入力ｴﾗｰ",S18=0,S18="")=TRUE,"",IF(F18="","甲",IF(F18=0,"甲","")))</f>
        <v/>
      </c>
      <c r="S18" s="101">
        <f>IF((F18+I23+L18+O23)=0,"",IF((F18+I23+L18+O23)&gt;SUM($AC$1:$AC$3),"入力ｴﾗｰ",SUM($AC$1:$AC$3)-(F18+I23+L18+O23)))</f>
        <v>1.2000000000000002</v>
      </c>
      <c r="T18" s="102" t="str">
        <f>IF(S18="","",IF(S18="入力ｴﾗｰ","","m"))</f>
        <v>m</v>
      </c>
      <c r="U18" s="94">
        <f>IF(B18="","",COUNT(F18,I23,L18,O23)-IF(S18=0,1,0)-V18)</f>
        <v>2</v>
      </c>
      <c r="V18" s="95"/>
      <c r="W18" s="104">
        <v>2</v>
      </c>
      <c r="X18" s="103"/>
      <c r="Y18" s="103"/>
      <c r="Z18" s="103"/>
      <c r="AA18" s="99"/>
    </row>
    <row r="19" spans="2:29" ht="3" customHeight="1" x14ac:dyDescent="0.25">
      <c r="B19" s="96"/>
      <c r="C19" s="3"/>
      <c r="M19" s="3"/>
      <c r="Q19" s="2"/>
      <c r="R19" s="106"/>
      <c r="S19" s="101"/>
      <c r="T19" s="102"/>
      <c r="U19" s="94"/>
      <c r="V19" s="95"/>
      <c r="W19" s="104"/>
      <c r="X19" s="103"/>
      <c r="Y19" s="103"/>
      <c r="Z19" s="103"/>
      <c r="AA19" s="99"/>
    </row>
    <row r="20" spans="2:29" ht="3" customHeight="1" x14ac:dyDescent="0.25">
      <c r="B20" s="96"/>
      <c r="C20" s="3"/>
      <c r="E20" s="4"/>
      <c r="F20" s="55"/>
      <c r="G20" s="5"/>
      <c r="H20" s="68"/>
      <c r="I20" s="67"/>
      <c r="J20" s="67"/>
      <c r="K20" s="5"/>
      <c r="L20" s="67"/>
      <c r="M20" s="69"/>
      <c r="N20" s="67"/>
      <c r="Q20" s="2"/>
      <c r="R20" s="106"/>
      <c r="S20" s="101"/>
      <c r="T20" s="102"/>
      <c r="U20" s="94"/>
      <c r="V20" s="95"/>
      <c r="W20" s="104"/>
      <c r="X20" s="103"/>
      <c r="Y20" s="103"/>
      <c r="Z20" s="103"/>
      <c r="AA20" s="99"/>
    </row>
    <row r="21" spans="2:29" ht="3" customHeight="1" x14ac:dyDescent="0.25">
      <c r="B21" s="96"/>
      <c r="C21" s="3"/>
      <c r="G21" s="3"/>
      <c r="H21" s="65"/>
      <c r="I21" s="64"/>
      <c r="J21" s="65"/>
      <c r="K21" s="3"/>
      <c r="L21" s="66"/>
      <c r="M21" s="64"/>
      <c r="N21" s="66"/>
      <c r="Q21" s="2"/>
      <c r="R21" s="105" t="str">
        <f>IF(R18="甲","",IF(OR(S18=0,S18="")=TRUE,"",IF(S18="入力ｴﾗｰ","","乙")))</f>
        <v>乙</v>
      </c>
      <c r="S21" s="101"/>
      <c r="U21" s="94"/>
      <c r="V21" s="95"/>
      <c r="W21" s="104"/>
      <c r="X21" s="103"/>
      <c r="Y21" s="103"/>
      <c r="Z21" s="103"/>
      <c r="AA21" s="99"/>
    </row>
    <row r="22" spans="2:29" ht="3" customHeight="1" x14ac:dyDescent="0.25">
      <c r="B22" s="96"/>
      <c r="C22" s="3"/>
      <c r="G22" s="3"/>
      <c r="H22" s="2"/>
      <c r="J22" s="2"/>
      <c r="K22" s="3"/>
      <c r="Q22" s="2"/>
      <c r="R22" s="105"/>
      <c r="S22" s="101"/>
      <c r="U22" s="94"/>
      <c r="V22" s="95"/>
      <c r="W22" s="104"/>
      <c r="X22" s="103"/>
      <c r="Y22" s="103"/>
      <c r="Z22" s="103"/>
      <c r="AA22" s="99"/>
    </row>
    <row r="23" spans="2:29" ht="15" customHeight="1" x14ac:dyDescent="0.25">
      <c r="B23" s="96"/>
      <c r="C23" s="3"/>
      <c r="G23" s="18"/>
      <c r="H23" s="13" t="str">
        <f>IF(I23="","",IF(I23=0,"","L="))</f>
        <v/>
      </c>
      <c r="I23" s="97"/>
      <c r="J23" s="97"/>
      <c r="K23" s="14" t="str">
        <f>IF(I23="","",IF(I23=0,"","m"))</f>
        <v/>
      </c>
      <c r="N23" s="13" t="str">
        <f>IF(O23="","",IF(O23=0,"","L="))</f>
        <v>L=</v>
      </c>
      <c r="O23" s="97">
        <v>2.1</v>
      </c>
      <c r="P23" s="97"/>
      <c r="Q23" s="24" t="str">
        <f>IF(O23="","",IF(O23=0,"","m"))</f>
        <v>m</v>
      </c>
      <c r="R23" s="105"/>
      <c r="S23" s="101"/>
      <c r="U23" s="94"/>
      <c r="V23" s="95"/>
      <c r="W23" s="104"/>
      <c r="X23" s="103"/>
      <c r="Y23" s="103"/>
      <c r="Z23" s="103"/>
      <c r="AA23" s="99"/>
      <c r="AC23" s="1">
        <f>IF(U18="",0,IF(U18&gt;SUM(W18:AA23),U18-SUM(W18:AA23),0))</f>
        <v>0</v>
      </c>
    </row>
    <row r="24" spans="2:29" ht="6" customHeight="1" x14ac:dyDescent="0.2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2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25">
      <c r="B26" s="96">
        <f>IF(S26="","",IF(B18="","",1+B18))</f>
        <v>3</v>
      </c>
      <c r="C26" s="3"/>
      <c r="E26" s="13" t="str">
        <f>IF(F26="","",IF(F26=0,"","L="))</f>
        <v>L=</v>
      </c>
      <c r="F26" s="97">
        <v>2</v>
      </c>
      <c r="G26" s="97"/>
      <c r="H26" s="14" t="str">
        <f>IF(F26="","",IF(F26=0,"","m"))</f>
        <v>m</v>
      </c>
      <c r="K26" s="13" t="str">
        <f>IF(L26="","",IF(L26=0,"","L="))</f>
        <v/>
      </c>
      <c r="L26" s="97"/>
      <c r="M26" s="97"/>
      <c r="N26" s="14" t="str">
        <f>IF(L26="","",IF(L26=0,"","m"))</f>
        <v/>
      </c>
      <c r="R26" s="98" t="str">
        <f>IF(OR(S26="入力ｴﾗｰ",S26=0,S26="")=TRUE,"",IF(F26="","甲",IF(F26=0,"甲","")))</f>
        <v/>
      </c>
      <c r="S26" s="101">
        <f>IF((F26+I31+L26+O31)=0,"",IF((F26+I31+L26+O31)&gt;SUM($AC$1:$AC$3),"入力ｴﾗｰ",SUM($AC$1:$AC$3)-(F26+I31+L26+O31)))</f>
        <v>0.29999999999999982</v>
      </c>
      <c r="T26" s="102" t="str">
        <f>IF(S26="","",IF(S26="入力ｴﾗｰ","","m"))</f>
        <v>m</v>
      </c>
      <c r="U26" s="94">
        <f>IF(B26="","",COUNT(F26,I31,L26,O31)-IF(S26=0,1,0)-V26)</f>
        <v>2</v>
      </c>
      <c r="V26" s="95"/>
      <c r="W26" s="104">
        <v>2</v>
      </c>
      <c r="X26" s="103"/>
      <c r="Y26" s="103"/>
      <c r="Z26" s="103"/>
      <c r="AA26" s="99"/>
    </row>
    <row r="27" spans="2:29" ht="3" customHeight="1" x14ac:dyDescent="0.25">
      <c r="B27" s="96"/>
      <c r="C27" s="3"/>
      <c r="G27" s="3"/>
      <c r="H27" s="2"/>
      <c r="K27" s="3"/>
      <c r="M27" s="3"/>
      <c r="R27" s="98"/>
      <c r="S27" s="101"/>
      <c r="T27" s="102"/>
      <c r="U27" s="94"/>
      <c r="V27" s="95"/>
      <c r="W27" s="104"/>
      <c r="X27" s="103"/>
      <c r="Y27" s="103"/>
      <c r="Z27" s="103"/>
      <c r="AA27" s="99"/>
    </row>
    <row r="28" spans="2:29" ht="3" customHeight="1" x14ac:dyDescent="0.25">
      <c r="B28" s="96"/>
      <c r="C28" s="3"/>
      <c r="E28" s="4"/>
      <c r="F28" s="4"/>
      <c r="G28" s="5"/>
      <c r="H28" s="55"/>
      <c r="I28" s="4"/>
      <c r="J28" s="4"/>
      <c r="K28" s="5"/>
      <c r="L28" s="4"/>
      <c r="M28" s="5"/>
      <c r="R28" s="98"/>
      <c r="S28" s="101"/>
      <c r="T28" s="102"/>
      <c r="U28" s="94"/>
      <c r="V28" s="95"/>
      <c r="W28" s="104"/>
      <c r="X28" s="103"/>
      <c r="Y28" s="103"/>
      <c r="Z28" s="103"/>
      <c r="AA28" s="99"/>
    </row>
    <row r="29" spans="2:29" ht="3" customHeight="1" x14ac:dyDescent="0.25">
      <c r="B29" s="96"/>
      <c r="C29" s="3"/>
      <c r="G29" s="3"/>
      <c r="H29" s="2"/>
      <c r="I29" s="3"/>
      <c r="J29" s="2"/>
      <c r="K29" s="3"/>
      <c r="L29" s="6"/>
      <c r="M29" s="7"/>
      <c r="N29" s="6"/>
      <c r="R29" s="100" t="str">
        <f>IF(R26="甲","",IF(OR(S26=0,S26="")=TRUE,"",IF(S26="入力ｴﾗｰ","","乙")))</f>
        <v>乙</v>
      </c>
      <c r="S29" s="101"/>
      <c r="U29" s="94"/>
      <c r="V29" s="95"/>
      <c r="W29" s="104"/>
      <c r="X29" s="103"/>
      <c r="Y29" s="103"/>
      <c r="Z29" s="103"/>
      <c r="AA29" s="99"/>
    </row>
    <row r="30" spans="2:29" ht="3" customHeight="1" x14ac:dyDescent="0.25">
      <c r="B30" s="96"/>
      <c r="C30" s="3"/>
      <c r="F30" s="2"/>
      <c r="G30" s="3"/>
      <c r="H30" s="2"/>
      <c r="J30" s="2"/>
      <c r="K30" s="3"/>
      <c r="M30" s="3"/>
      <c r="R30" s="100"/>
      <c r="S30" s="101"/>
      <c r="U30" s="94"/>
      <c r="V30" s="95"/>
      <c r="W30" s="104"/>
      <c r="X30" s="103"/>
      <c r="Y30" s="103"/>
      <c r="Z30" s="103"/>
      <c r="AA30" s="99"/>
    </row>
    <row r="31" spans="2:29" ht="15" customHeight="1" x14ac:dyDescent="0.25">
      <c r="B31" s="96"/>
      <c r="C31" s="3"/>
      <c r="G31" s="18"/>
      <c r="H31" s="13" t="str">
        <f>IF(I31="","",IF(I31=0,"","L="))</f>
        <v/>
      </c>
      <c r="I31" s="97"/>
      <c r="J31" s="97"/>
      <c r="K31" s="14" t="str">
        <f>IF(I31="","",IF(I31=0,"","m"))</f>
        <v/>
      </c>
      <c r="N31" s="13" t="str">
        <f>IF(O31="","",IF(O31=0,"","L="))</f>
        <v>L=</v>
      </c>
      <c r="O31" s="97">
        <v>2.7</v>
      </c>
      <c r="P31" s="97"/>
      <c r="Q31" s="14" t="str">
        <f>IF(O31="","",IF(O31=0,"","m"))</f>
        <v>m</v>
      </c>
      <c r="R31" s="100"/>
      <c r="S31" s="101"/>
      <c r="U31" s="94"/>
      <c r="V31" s="95"/>
      <c r="W31" s="104"/>
      <c r="X31" s="103"/>
      <c r="Y31" s="103"/>
      <c r="Z31" s="103"/>
      <c r="AA31" s="99"/>
      <c r="AC31" s="1">
        <f>IF(U26="",0,IF(U26&gt;SUM(W26:AA31),U26-SUM(W26:AA31),0))</f>
        <v>0</v>
      </c>
    </row>
    <row r="32" spans="2:29" ht="6" customHeight="1" x14ac:dyDescent="0.2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2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25">
      <c r="B34" s="96">
        <f>IF(S34="","",IF(B26="","",1+B26))</f>
        <v>4</v>
      </c>
      <c r="C34" s="3"/>
      <c r="E34" s="13" t="str">
        <f>IF(F34="","",IF(F34=0,"","L="))</f>
        <v>L=</v>
      </c>
      <c r="F34" s="97">
        <v>3.8</v>
      </c>
      <c r="G34" s="97"/>
      <c r="H34" s="14" t="str">
        <f>IF(F34="","",IF(F34=0,"","m"))</f>
        <v>m</v>
      </c>
      <c r="K34" s="13" t="str">
        <f>IF(L34="","",IF(L34=0,"","L="))</f>
        <v/>
      </c>
      <c r="L34" s="97"/>
      <c r="M34" s="97"/>
      <c r="N34" s="14" t="str">
        <f>IF(L34="","",IF(L34=0,"","m"))</f>
        <v/>
      </c>
      <c r="R34" s="98" t="str">
        <f>IF(OR(S34="入力ｴﾗｰ",S34=0,S34="")=TRUE,"",IF(F34="","甲",IF(F34=0,"甲","")))</f>
        <v/>
      </c>
      <c r="S34" s="101">
        <f>IF((F34+I39+L34+O39)=0,"",IF((F34+I39+L34+O39)&gt;SUM($AC$1:$AC$3),"入力ｴﾗｰ",SUM($AC$1:$AC$3)-(F34+I39+L34+O39)))</f>
        <v>1.2000000000000002</v>
      </c>
      <c r="T34" s="102" t="str">
        <f>IF(S34="","",IF(S34="入力ｴﾗｰ","","m"))</f>
        <v>m</v>
      </c>
      <c r="U34" s="94">
        <f>IF(B34="","",COUNT(F34,I39,L34,O39)-IF(S34=0,1,0)-V34)</f>
        <v>1</v>
      </c>
      <c r="V34" s="95"/>
      <c r="W34" s="104">
        <v>1</v>
      </c>
      <c r="X34" s="103"/>
      <c r="Y34" s="103"/>
      <c r="Z34" s="103"/>
      <c r="AA34" s="99"/>
    </row>
    <row r="35" spans="2:29" ht="3" customHeight="1" x14ac:dyDescent="0.25">
      <c r="B35" s="96"/>
      <c r="C35" s="3"/>
      <c r="G35" s="3"/>
      <c r="H35" s="2"/>
      <c r="K35" s="3"/>
      <c r="M35" s="3"/>
      <c r="R35" s="98"/>
      <c r="S35" s="101"/>
      <c r="T35" s="102"/>
      <c r="U35" s="94"/>
      <c r="V35" s="95"/>
      <c r="W35" s="104"/>
      <c r="X35" s="103"/>
      <c r="Y35" s="103"/>
      <c r="Z35" s="103"/>
      <c r="AA35" s="99"/>
    </row>
    <row r="36" spans="2:29" ht="3" customHeight="1" x14ac:dyDescent="0.25">
      <c r="B36" s="96"/>
      <c r="C36" s="3"/>
      <c r="E36" s="4"/>
      <c r="F36" s="4"/>
      <c r="G36" s="5"/>
      <c r="H36" s="55"/>
      <c r="I36" s="4"/>
      <c r="J36" s="4"/>
      <c r="K36" s="5"/>
      <c r="L36" s="55"/>
      <c r="M36" s="5"/>
      <c r="N36" s="4"/>
      <c r="R36" s="98"/>
      <c r="S36" s="101"/>
      <c r="T36" s="102"/>
      <c r="U36" s="94"/>
      <c r="V36" s="95"/>
      <c r="W36" s="104"/>
      <c r="X36" s="103"/>
      <c r="Y36" s="103"/>
      <c r="Z36" s="103"/>
      <c r="AA36" s="99"/>
    </row>
    <row r="37" spans="2:29" ht="3" customHeight="1" x14ac:dyDescent="0.25">
      <c r="B37" s="96"/>
      <c r="C37" s="3"/>
      <c r="G37" s="3"/>
      <c r="H37" s="2"/>
      <c r="I37" s="3"/>
      <c r="J37" s="2"/>
      <c r="K37" s="3"/>
      <c r="M37" s="3"/>
      <c r="R37" s="100" t="str">
        <f>IF(R34="甲","",IF(OR(S34=0,S34="")=TRUE,"",IF(S34="入力ｴﾗｰ","","乙")))</f>
        <v>乙</v>
      </c>
      <c r="S37" s="101"/>
      <c r="U37" s="94"/>
      <c r="V37" s="95"/>
      <c r="W37" s="104"/>
      <c r="X37" s="103"/>
      <c r="Y37" s="103"/>
      <c r="Z37" s="103"/>
      <c r="AA37" s="99"/>
    </row>
    <row r="38" spans="2:29" ht="3" customHeight="1" x14ac:dyDescent="0.25">
      <c r="B38" s="96"/>
      <c r="C38" s="3"/>
      <c r="F38" s="2"/>
      <c r="G38" s="3"/>
      <c r="H38" s="2"/>
      <c r="J38" s="2"/>
      <c r="K38" s="3"/>
      <c r="M38" s="3"/>
      <c r="R38" s="100"/>
      <c r="S38" s="101"/>
      <c r="U38" s="94"/>
      <c r="V38" s="95"/>
      <c r="W38" s="104"/>
      <c r="X38" s="103"/>
      <c r="Y38" s="103"/>
      <c r="Z38" s="103"/>
      <c r="AA38" s="99"/>
    </row>
    <row r="39" spans="2:29" ht="15" customHeight="1" x14ac:dyDescent="0.25">
      <c r="B39" s="96"/>
      <c r="C39" s="3"/>
      <c r="G39" s="18"/>
      <c r="H39" s="13" t="str">
        <f>IF(I39="","",IF(I39=0,"","L="))</f>
        <v/>
      </c>
      <c r="I39" s="97"/>
      <c r="J39" s="97"/>
      <c r="K39" s="14" t="str">
        <f>IF(I39="","",IF(I39=0,"","m"))</f>
        <v/>
      </c>
      <c r="N39" s="13" t="str">
        <f>IF(O39="","",IF(O39=0,"","L="))</f>
        <v/>
      </c>
      <c r="O39" s="97"/>
      <c r="P39" s="97"/>
      <c r="Q39" s="14" t="str">
        <f>IF(O39="","",IF(O39=0,"","m"))</f>
        <v/>
      </c>
      <c r="R39" s="100"/>
      <c r="S39" s="101"/>
      <c r="U39" s="94"/>
      <c r="V39" s="95"/>
      <c r="W39" s="104"/>
      <c r="X39" s="103"/>
      <c r="Y39" s="103"/>
      <c r="Z39" s="103"/>
      <c r="AA39" s="99"/>
      <c r="AC39" s="1">
        <f>IF(U34="",0,IF(U34&gt;SUM(W34:AA39),U34-SUM(W34:AA39),0))</f>
        <v>0</v>
      </c>
    </row>
    <row r="40" spans="2:29" ht="6" customHeight="1" x14ac:dyDescent="0.2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2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25">
      <c r="B42" s="96">
        <f>IF(S42="","",IF(B34="","",1+B34))</f>
        <v>5</v>
      </c>
      <c r="C42" s="3"/>
      <c r="E42" s="13" t="str">
        <f>IF(F42="","",IF(F42=0,"","L="))</f>
        <v>L=</v>
      </c>
      <c r="F42" s="97">
        <v>2.8</v>
      </c>
      <c r="G42" s="97"/>
      <c r="H42" s="14" t="str">
        <f>IF(F42="","",IF(F42=0,"","m"))</f>
        <v>m</v>
      </c>
      <c r="K42" s="13" t="str">
        <f>IF(L42="","",IF(L42=0,"","L="))</f>
        <v/>
      </c>
      <c r="L42" s="97"/>
      <c r="M42" s="97"/>
      <c r="N42" s="14" t="str">
        <f>IF(L42="","",IF(L42=0,"","m"))</f>
        <v/>
      </c>
      <c r="R42" s="98" t="str">
        <f>IF(OR(S42="入力ｴﾗｰ",S42=0,S42="")=TRUE,"",IF(F42="","甲",IF(F42=0,"甲","")))</f>
        <v/>
      </c>
      <c r="S42" s="101">
        <f>IF((F42+I47+L42+O47)=0,"",IF((F42+I47+L42+O47)&gt;SUM($AC$1:$AC$3),"入力ｴﾗｰ",SUM($AC$1:$AC$3)-(F42+I47+L42+O47)))</f>
        <v>2.2000000000000002</v>
      </c>
      <c r="T42" s="102" t="str">
        <f>IF(S42="","",IF(S42="入力ｴﾗｰ","","m"))</f>
        <v>m</v>
      </c>
      <c r="U42" s="94">
        <f>IF(B42="","",COUNT(F42,I47,L42,O47)-IF(S42=0,1,0)-V42)</f>
        <v>1</v>
      </c>
      <c r="V42" s="95"/>
      <c r="W42" s="104">
        <v>1</v>
      </c>
      <c r="X42" s="103"/>
      <c r="Y42" s="103"/>
      <c r="Z42" s="103"/>
      <c r="AA42" s="99"/>
    </row>
    <row r="43" spans="2:29" ht="3" customHeight="1" x14ac:dyDescent="0.25">
      <c r="B43" s="96"/>
      <c r="C43" s="3"/>
      <c r="G43" s="3"/>
      <c r="H43" s="2"/>
      <c r="K43" s="3"/>
      <c r="M43" s="3"/>
      <c r="R43" s="98"/>
      <c r="S43" s="101"/>
      <c r="T43" s="102"/>
      <c r="U43" s="94"/>
      <c r="V43" s="95"/>
      <c r="W43" s="104"/>
      <c r="X43" s="103"/>
      <c r="Y43" s="103"/>
      <c r="Z43" s="103"/>
      <c r="AA43" s="99"/>
    </row>
    <row r="44" spans="2:29" ht="3" customHeight="1" x14ac:dyDescent="0.25">
      <c r="B44" s="96"/>
      <c r="C44" s="3"/>
      <c r="G44" s="3"/>
      <c r="H44" s="2"/>
      <c r="K44" s="3"/>
      <c r="M44" s="3"/>
      <c r="R44" s="98"/>
      <c r="S44" s="101"/>
      <c r="T44" s="102"/>
      <c r="U44" s="94"/>
      <c r="V44" s="95"/>
      <c r="W44" s="104"/>
      <c r="X44" s="103"/>
      <c r="Y44" s="103"/>
      <c r="Z44" s="103"/>
      <c r="AA44" s="99"/>
    </row>
    <row r="45" spans="2:29" ht="3" customHeight="1" x14ac:dyDescent="0.25">
      <c r="B45" s="96"/>
      <c r="C45" s="3"/>
      <c r="E45" s="6"/>
      <c r="F45" s="6"/>
      <c r="G45" s="7"/>
      <c r="H45" s="8"/>
      <c r="I45" s="7"/>
      <c r="J45" s="8"/>
      <c r="K45" s="7"/>
      <c r="L45" s="6"/>
      <c r="M45" s="7"/>
      <c r="N45" s="6"/>
      <c r="R45" s="100" t="str">
        <f>IF(R42="甲","",IF(OR(S42=0,S42="")=TRUE,"",IF(S42="入力ｴﾗｰ","","乙")))</f>
        <v>乙</v>
      </c>
      <c r="S45" s="101"/>
      <c r="U45" s="94"/>
      <c r="V45" s="95"/>
      <c r="W45" s="104"/>
      <c r="X45" s="103"/>
      <c r="Y45" s="103"/>
      <c r="Z45" s="103"/>
      <c r="AA45" s="99"/>
    </row>
    <row r="46" spans="2:29" ht="3" customHeight="1" x14ac:dyDescent="0.25">
      <c r="B46" s="96"/>
      <c r="C46" s="3"/>
      <c r="F46" s="2"/>
      <c r="G46" s="3"/>
      <c r="H46" s="2"/>
      <c r="J46" s="2"/>
      <c r="K46" s="3"/>
      <c r="M46" s="3"/>
      <c r="R46" s="100"/>
      <c r="S46" s="101"/>
      <c r="U46" s="94"/>
      <c r="V46" s="95"/>
      <c r="W46" s="104"/>
      <c r="X46" s="103"/>
      <c r="Y46" s="103"/>
      <c r="Z46" s="103"/>
      <c r="AA46" s="99"/>
    </row>
    <row r="47" spans="2:29" ht="15" customHeight="1" x14ac:dyDescent="0.25">
      <c r="B47" s="96"/>
      <c r="C47" s="3"/>
      <c r="G47" s="18"/>
      <c r="H47" s="13" t="str">
        <f>IF(I47="","",IF(I47=0,"","L="))</f>
        <v/>
      </c>
      <c r="I47" s="97"/>
      <c r="J47" s="97"/>
      <c r="K47" s="14" t="str">
        <f>IF(I47="","",IF(I47=0,"","m"))</f>
        <v/>
      </c>
      <c r="N47" s="13" t="str">
        <f>IF(O47="","",IF(O47=0,"","L="))</f>
        <v/>
      </c>
      <c r="O47" s="97"/>
      <c r="P47" s="97"/>
      <c r="Q47" s="14" t="str">
        <f>IF(O47="","",IF(O47=0,"","m"))</f>
        <v/>
      </c>
      <c r="R47" s="100"/>
      <c r="S47" s="101"/>
      <c r="U47" s="94"/>
      <c r="V47" s="95"/>
      <c r="W47" s="104"/>
      <c r="X47" s="103"/>
      <c r="Y47" s="103"/>
      <c r="Z47" s="103"/>
      <c r="AA47" s="99"/>
      <c r="AC47" s="1">
        <f>IF(U42="",0,IF(U42&gt;SUM(W42:AA47),U42-SUM(W42:AA47),0))</f>
        <v>0</v>
      </c>
    </row>
    <row r="48" spans="2:29" ht="6" customHeight="1" x14ac:dyDescent="0.2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2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25">
      <c r="B50" s="96">
        <f>IF(S50="","",IF(B42="","",1+B42))</f>
        <v>6</v>
      </c>
      <c r="C50" s="3"/>
      <c r="E50" s="13" t="str">
        <f>IF(F50="","",IF(F50=0,"","L="))</f>
        <v>L=</v>
      </c>
      <c r="F50" s="97">
        <v>2.2000000000000002</v>
      </c>
      <c r="G50" s="97"/>
      <c r="H50" s="14" t="str">
        <f>IF(F50="","",IF(F50=0,"","m"))</f>
        <v>m</v>
      </c>
      <c r="K50" s="13" t="str">
        <f>IF(L50="","",IF(L50=0,"","L="))</f>
        <v/>
      </c>
      <c r="L50" s="97"/>
      <c r="M50" s="97"/>
      <c r="N50" s="14" t="str">
        <f>IF(L50="","",IF(L50=0,"","m"))</f>
        <v/>
      </c>
      <c r="R50" s="98" t="str">
        <f>IF(OR(S50="入力ｴﾗｰ",S50=0,S50="")=TRUE,"",IF(F50="","甲",IF(F50=0,"甲","")))</f>
        <v/>
      </c>
      <c r="S50" s="101">
        <f>IF((F50+I55+L50+O55)=0,"",IF((F50+I55+L50+O55)&gt;SUM($AC$1:$AC$3),"入力ｴﾗｰ",SUM($AC$1:$AC$3)-(F50+I55+L50+O55)))</f>
        <v>2.8</v>
      </c>
      <c r="T50" s="102" t="str">
        <f>IF(S50="","",IF(S50="入力ｴﾗｰ","","m"))</f>
        <v>m</v>
      </c>
      <c r="U50" s="94">
        <f>IF(B50="","",COUNT(F50,I55,L50,O55)-IF(S50=0,1,0)-V50)</f>
        <v>1</v>
      </c>
      <c r="V50" s="95"/>
      <c r="W50" s="104">
        <v>1</v>
      </c>
      <c r="X50" s="103"/>
      <c r="Y50" s="103"/>
      <c r="Z50" s="103"/>
      <c r="AA50" s="99"/>
    </row>
    <row r="51" spans="2:29" ht="3" customHeight="1" x14ac:dyDescent="0.25">
      <c r="B51" s="96"/>
      <c r="C51" s="3"/>
      <c r="G51" s="3"/>
      <c r="I51" s="3"/>
      <c r="K51" s="3"/>
      <c r="M51" s="3"/>
      <c r="R51" s="98"/>
      <c r="S51" s="101"/>
      <c r="T51" s="102"/>
      <c r="U51" s="94"/>
      <c r="V51" s="95"/>
      <c r="W51" s="104"/>
      <c r="X51" s="103"/>
      <c r="Y51" s="103"/>
      <c r="Z51" s="103"/>
      <c r="AA51" s="99"/>
    </row>
    <row r="52" spans="2:29" ht="3" customHeight="1" x14ac:dyDescent="0.25">
      <c r="B52" s="96"/>
      <c r="C52" s="3"/>
      <c r="E52" s="4"/>
      <c r="F52" s="4"/>
      <c r="G52" s="5"/>
      <c r="H52" s="4"/>
      <c r="I52" s="5"/>
      <c r="J52" s="4"/>
      <c r="K52" s="5"/>
      <c r="L52" s="4"/>
      <c r="M52" s="5"/>
      <c r="N52" s="4"/>
      <c r="R52" s="98"/>
      <c r="S52" s="101"/>
      <c r="T52" s="102"/>
      <c r="U52" s="94"/>
      <c r="V52" s="95"/>
      <c r="W52" s="104"/>
      <c r="X52" s="103"/>
      <c r="Y52" s="103"/>
      <c r="Z52" s="103"/>
      <c r="AA52" s="99"/>
    </row>
    <row r="53" spans="2:29" ht="3" customHeight="1" x14ac:dyDescent="0.25">
      <c r="B53" s="96"/>
      <c r="C53" s="3"/>
      <c r="G53" s="3"/>
      <c r="I53" s="3"/>
      <c r="K53" s="3"/>
      <c r="M53" s="3"/>
      <c r="R53" s="100" t="str">
        <f>IF(R50="甲","",IF(OR(S50=0,S50="")=TRUE,"",IF(S50="入力ｴﾗｰ","","乙")))</f>
        <v>乙</v>
      </c>
      <c r="S53" s="101"/>
      <c r="U53" s="94"/>
      <c r="V53" s="95"/>
      <c r="W53" s="104"/>
      <c r="X53" s="103"/>
      <c r="Y53" s="103"/>
      <c r="Z53" s="103"/>
      <c r="AA53" s="99"/>
    </row>
    <row r="54" spans="2:29" ht="3" customHeight="1" x14ac:dyDescent="0.25">
      <c r="B54" s="96"/>
      <c r="C54" s="3"/>
      <c r="F54" s="2"/>
      <c r="G54" s="3"/>
      <c r="I54" s="3"/>
      <c r="K54" s="3"/>
      <c r="M54" s="3"/>
      <c r="R54" s="100"/>
      <c r="S54" s="101"/>
      <c r="U54" s="94"/>
      <c r="V54" s="95"/>
      <c r="W54" s="104"/>
      <c r="X54" s="103"/>
      <c r="Y54" s="103"/>
      <c r="Z54" s="103"/>
      <c r="AA54" s="99"/>
    </row>
    <row r="55" spans="2:29" ht="15" customHeight="1" x14ac:dyDescent="0.25">
      <c r="B55" s="96"/>
      <c r="C55" s="3"/>
      <c r="G55" s="18"/>
      <c r="H55" s="13" t="str">
        <f>IF(I55="","",IF(I55=0,"","L="))</f>
        <v/>
      </c>
      <c r="I55" s="97"/>
      <c r="J55" s="97"/>
      <c r="K55" s="14" t="str">
        <f>IF(I55="","",IF(I55=0,"","m"))</f>
        <v/>
      </c>
      <c r="N55" s="13" t="str">
        <f>IF(O55="","",IF(O55=0,"","L="))</f>
        <v/>
      </c>
      <c r="O55" s="97"/>
      <c r="P55" s="97"/>
      <c r="Q55" s="14" t="str">
        <f>IF(O55="","",IF(O55=0,"","m"))</f>
        <v/>
      </c>
      <c r="R55" s="100"/>
      <c r="S55" s="101"/>
      <c r="U55" s="94"/>
      <c r="V55" s="95"/>
      <c r="W55" s="104"/>
      <c r="X55" s="103"/>
      <c r="Y55" s="103"/>
      <c r="Z55" s="103"/>
      <c r="AA55" s="99"/>
      <c r="AC55" s="1">
        <f>IF(U50="",0,IF(U50&gt;SUM(W50:AA55),U50-SUM(W50:AA55),0))</f>
        <v>0</v>
      </c>
    </row>
    <row r="56" spans="2:29" ht="6" customHeight="1" x14ac:dyDescent="0.2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2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25">
      <c r="B58" s="96">
        <f>IF(S58="","",IF(B50="","",1+B50))</f>
        <v>7</v>
      </c>
      <c r="C58" s="3"/>
      <c r="E58" s="13" t="str">
        <f>IF(F58="","",IF(F58=0,"","L="))</f>
        <v>L=</v>
      </c>
      <c r="F58" s="97">
        <v>1.9</v>
      </c>
      <c r="G58" s="97"/>
      <c r="H58" s="14" t="str">
        <f>IF(F58="","",IF(F58=0,"","m"))</f>
        <v>m</v>
      </c>
      <c r="K58" s="13" t="str">
        <f>IF(L58="","",IF(L58=0,"","L="))</f>
        <v/>
      </c>
      <c r="L58" s="97"/>
      <c r="M58" s="97"/>
      <c r="N58" s="14" t="str">
        <f>IF(L58="","",IF(L58=0,"","m"))</f>
        <v/>
      </c>
      <c r="R58" s="98" t="str">
        <f>IF(OR(S58="入力ｴﾗｰ",S58=0,S58="")=TRUE,"",IF(F58="","甲",IF(F58=0,"甲","")))</f>
        <v/>
      </c>
      <c r="S58" s="101">
        <f>IF((F58+I63+L58+O63)=0,"",IF((F58+I63+L58+O63)&gt;SUM($AC$1:$AC$3),"入力ｴﾗｰ",SUM($AC$1:$AC$3)-(F58+I63+L58+O63)))</f>
        <v>9.9999999999999645E-2</v>
      </c>
      <c r="T58" s="102" t="str">
        <f>IF(S58="","",IF(S58="入力ｴﾗｰ","","m"))</f>
        <v>m</v>
      </c>
      <c r="U58" s="94">
        <f>IF(B58="","",COUNT(F58,I63,L58,O63)-IF(S58=0,1,0)-V58)</f>
        <v>2</v>
      </c>
      <c r="V58" s="95"/>
      <c r="W58" s="104">
        <v>2</v>
      </c>
      <c r="X58" s="103"/>
      <c r="Y58" s="103"/>
      <c r="Z58" s="103"/>
      <c r="AA58" s="99"/>
    </row>
    <row r="59" spans="2:29" ht="3" customHeight="1" x14ac:dyDescent="0.25">
      <c r="B59" s="96"/>
      <c r="C59" s="3"/>
      <c r="G59" s="3"/>
      <c r="I59" s="3"/>
      <c r="J59" s="2"/>
      <c r="K59" s="3"/>
      <c r="M59" s="3"/>
      <c r="R59" s="98"/>
      <c r="S59" s="101"/>
      <c r="T59" s="102"/>
      <c r="U59" s="94"/>
      <c r="V59" s="95"/>
      <c r="W59" s="104"/>
      <c r="X59" s="103"/>
      <c r="Y59" s="103"/>
      <c r="Z59" s="103"/>
      <c r="AA59" s="99"/>
    </row>
    <row r="60" spans="2:29" ht="3" customHeight="1" x14ac:dyDescent="0.25">
      <c r="B60" s="96"/>
      <c r="C60" s="3"/>
      <c r="G60" s="3"/>
      <c r="I60" s="3"/>
      <c r="J60" s="2"/>
      <c r="K60" s="3"/>
      <c r="M60" s="3"/>
      <c r="R60" s="98"/>
      <c r="S60" s="101"/>
      <c r="T60" s="102"/>
      <c r="U60" s="94"/>
      <c r="V60" s="95"/>
      <c r="W60" s="104"/>
      <c r="X60" s="103"/>
      <c r="Y60" s="103"/>
      <c r="Z60" s="103"/>
      <c r="AA60" s="99"/>
    </row>
    <row r="61" spans="2:29" ht="3" customHeight="1" x14ac:dyDescent="0.25">
      <c r="B61" s="96"/>
      <c r="C61" s="3"/>
      <c r="E61" s="6"/>
      <c r="F61" s="6"/>
      <c r="G61" s="7"/>
      <c r="H61" s="6"/>
      <c r="I61" s="7"/>
      <c r="J61" s="8"/>
      <c r="K61" s="7"/>
      <c r="L61" s="6"/>
      <c r="M61" s="7"/>
      <c r="N61" s="6"/>
      <c r="R61" s="100" t="str">
        <f>IF(R58="甲","",IF(OR(S58=0,S58="")=TRUE,"",IF(S58="入力ｴﾗｰ","","乙")))</f>
        <v>乙</v>
      </c>
      <c r="S61" s="101"/>
      <c r="U61" s="94"/>
      <c r="V61" s="95"/>
      <c r="W61" s="104"/>
      <c r="X61" s="103"/>
      <c r="Y61" s="103"/>
      <c r="Z61" s="103"/>
      <c r="AA61" s="99"/>
    </row>
    <row r="62" spans="2:29" ht="3" customHeight="1" x14ac:dyDescent="0.25">
      <c r="B62" s="96"/>
      <c r="C62" s="3"/>
      <c r="F62" s="2"/>
      <c r="G62" s="3"/>
      <c r="I62" s="3"/>
      <c r="J62" s="2"/>
      <c r="K62" s="3"/>
      <c r="M62" s="3"/>
      <c r="R62" s="100"/>
      <c r="S62" s="101"/>
      <c r="U62" s="94"/>
      <c r="V62" s="95"/>
      <c r="W62" s="104"/>
      <c r="X62" s="103"/>
      <c r="Y62" s="103"/>
      <c r="Z62" s="103"/>
      <c r="AA62" s="99"/>
    </row>
    <row r="63" spans="2:29" ht="15" customHeight="1" x14ac:dyDescent="0.25">
      <c r="B63" s="96"/>
      <c r="C63" s="3"/>
      <c r="G63" s="18"/>
      <c r="H63" s="13" t="str">
        <f>IF(I63="","",IF(I63=0,"","L="))</f>
        <v/>
      </c>
      <c r="I63" s="97"/>
      <c r="J63" s="97"/>
      <c r="K63" s="14" t="str">
        <f>IF(I63="","",IF(I63=0,"","m"))</f>
        <v/>
      </c>
      <c r="N63" s="13" t="str">
        <f>IF(O63="","",IF(O63=0,"","L="))</f>
        <v>L=</v>
      </c>
      <c r="O63" s="97">
        <v>3</v>
      </c>
      <c r="P63" s="97"/>
      <c r="Q63" s="14" t="str">
        <f>IF(O63="","",IF(O63=0,"","m"))</f>
        <v>m</v>
      </c>
      <c r="R63" s="100"/>
      <c r="S63" s="101"/>
      <c r="U63" s="94"/>
      <c r="V63" s="95"/>
      <c r="W63" s="104"/>
      <c r="X63" s="103"/>
      <c r="Y63" s="103"/>
      <c r="Z63" s="103"/>
      <c r="AA63" s="99"/>
      <c r="AC63" s="1">
        <f>IF(U58="",0,IF(U58&gt;SUM(W58:AA63),U58-SUM(W58:AA63),0))</f>
        <v>0</v>
      </c>
    </row>
    <row r="64" spans="2:29" ht="6" customHeight="1" x14ac:dyDescent="0.2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2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25">
      <c r="B66" s="96">
        <f>IF(S66="","",IF(B58="","",1+B58))</f>
        <v>8</v>
      </c>
      <c r="C66" s="3"/>
      <c r="E66" s="13" t="str">
        <f>IF(F66="","",IF(F66=0,"","L="))</f>
        <v>L=</v>
      </c>
      <c r="F66" s="97">
        <v>1</v>
      </c>
      <c r="G66" s="97"/>
      <c r="H66" s="14" t="str">
        <f>IF(F66="","",IF(F66=0,"","m"))</f>
        <v>m</v>
      </c>
      <c r="K66" s="13" t="str">
        <f>IF(L66="","",IF(L66=0,"","L="))</f>
        <v/>
      </c>
      <c r="L66" s="97"/>
      <c r="M66" s="97"/>
      <c r="N66" s="14" t="str">
        <f>IF(L66="","",IF(L66=0,"","m"))</f>
        <v/>
      </c>
      <c r="R66" s="98" t="str">
        <f>IF(OR(S66="入力ｴﾗｰ",S66=0,S66="")=TRUE,"",IF(F66="","甲",IF(F66=0,"甲","")))</f>
        <v/>
      </c>
      <c r="S66" s="101">
        <f>IF((F66+I71+L66+O71)=0,"",IF((F66+I71+L66+O71)&gt;SUM($AC$1:$AC$3),"入力ｴﾗｰ",SUM($AC$1:$AC$3)-(F66+I71+L66+O71)))</f>
        <v>1.6</v>
      </c>
      <c r="T66" s="102" t="str">
        <f>IF(S66="","",IF(S66="入力ｴﾗｰ","","m"))</f>
        <v>m</v>
      </c>
      <c r="U66" s="94">
        <f>IF(B66="","",COUNT(F66,I71,L66,O71)-IF(S66=0,1,0)-V66)</f>
        <v>2</v>
      </c>
      <c r="V66" s="95"/>
      <c r="W66" s="104">
        <v>2</v>
      </c>
      <c r="X66" s="103"/>
      <c r="Y66" s="103"/>
      <c r="Z66" s="103"/>
      <c r="AA66" s="99"/>
    </row>
    <row r="67" spans="2:29" ht="3" customHeight="1" x14ac:dyDescent="0.25">
      <c r="B67" s="96"/>
      <c r="C67" s="3"/>
      <c r="G67" s="3"/>
      <c r="H67" s="2"/>
      <c r="K67" s="3"/>
      <c r="M67" s="3"/>
      <c r="R67" s="98"/>
      <c r="S67" s="101"/>
      <c r="T67" s="102"/>
      <c r="U67" s="94"/>
      <c r="V67" s="95"/>
      <c r="W67" s="104"/>
      <c r="X67" s="103"/>
      <c r="Y67" s="103"/>
      <c r="Z67" s="103"/>
      <c r="AA67" s="99"/>
    </row>
    <row r="68" spans="2:29" ht="3" customHeight="1" x14ac:dyDescent="0.25">
      <c r="B68" s="96"/>
      <c r="C68" s="3"/>
      <c r="E68" s="4"/>
      <c r="F68" s="4"/>
      <c r="G68" s="5"/>
      <c r="H68" s="55"/>
      <c r="I68" s="4"/>
      <c r="J68" s="4"/>
      <c r="K68" s="5"/>
      <c r="L68" s="4"/>
      <c r="M68" s="5"/>
      <c r="N68" s="4"/>
      <c r="R68" s="98"/>
      <c r="S68" s="101"/>
      <c r="T68" s="102"/>
      <c r="U68" s="94"/>
      <c r="V68" s="95"/>
      <c r="W68" s="104"/>
      <c r="X68" s="103"/>
      <c r="Y68" s="103"/>
      <c r="Z68" s="103"/>
      <c r="AA68" s="99"/>
    </row>
    <row r="69" spans="2:29" ht="3" customHeight="1" x14ac:dyDescent="0.25">
      <c r="B69" s="96"/>
      <c r="C69" s="3"/>
      <c r="F69" s="2"/>
      <c r="G69" s="3"/>
      <c r="H69" s="2"/>
      <c r="I69" s="3"/>
      <c r="J69" s="2"/>
      <c r="K69" s="3"/>
      <c r="M69" s="3"/>
      <c r="R69" s="100" t="str">
        <f>IF(R66="甲","",IF(OR(S66=0,S66="")=TRUE,"",IF(S66="入力ｴﾗｰ","","乙")))</f>
        <v>乙</v>
      </c>
      <c r="S69" s="101"/>
      <c r="U69" s="94"/>
      <c r="V69" s="95"/>
      <c r="W69" s="104"/>
      <c r="X69" s="103"/>
      <c r="Y69" s="103"/>
      <c r="Z69" s="103"/>
      <c r="AA69" s="99"/>
    </row>
    <row r="70" spans="2:29" ht="3" customHeight="1" x14ac:dyDescent="0.25">
      <c r="B70" s="96"/>
      <c r="C70" s="3"/>
      <c r="F70" s="2"/>
      <c r="G70" s="3"/>
      <c r="H70" s="2"/>
      <c r="K70" s="3"/>
      <c r="M70" s="3"/>
      <c r="R70" s="100"/>
      <c r="S70" s="101"/>
      <c r="U70" s="94"/>
      <c r="V70" s="95"/>
      <c r="W70" s="104"/>
      <c r="X70" s="103"/>
      <c r="Y70" s="103"/>
      <c r="Z70" s="103"/>
      <c r="AA70" s="99"/>
    </row>
    <row r="71" spans="2:29" ht="15" customHeight="1" x14ac:dyDescent="0.25">
      <c r="B71" s="96"/>
      <c r="C71" s="3"/>
      <c r="G71" s="18"/>
      <c r="H71" s="13" t="str">
        <f>IF(I71="","",IF(I71=0,"","L="))</f>
        <v/>
      </c>
      <c r="I71" s="97"/>
      <c r="J71" s="97"/>
      <c r="K71" s="14" t="str">
        <f>IF(I71="","",IF(I71=0,"","m"))</f>
        <v/>
      </c>
      <c r="N71" s="13" t="str">
        <f>IF(O71="","",IF(O71=0,"","L="))</f>
        <v>L=</v>
      </c>
      <c r="O71" s="97">
        <v>2.4</v>
      </c>
      <c r="P71" s="97"/>
      <c r="Q71" s="14" t="str">
        <f>IF(O71="","",IF(O71=0,"","m"))</f>
        <v>m</v>
      </c>
      <c r="R71" s="100"/>
      <c r="S71" s="101"/>
      <c r="U71" s="94"/>
      <c r="V71" s="95"/>
      <c r="W71" s="104"/>
      <c r="X71" s="103"/>
      <c r="Y71" s="103"/>
      <c r="Z71" s="103"/>
      <c r="AA71" s="99"/>
      <c r="AC71" s="1">
        <f>IF(U66="",0,IF(U66&gt;SUM(W66:AA71),U66-SUM(W66:AA71),0))</f>
        <v>0</v>
      </c>
    </row>
    <row r="72" spans="2:29" ht="6" customHeight="1" x14ac:dyDescent="0.2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2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25">
      <c r="B74" s="96">
        <f>IF(S74="","",IF(B66="","",1+B66))</f>
        <v>9</v>
      </c>
      <c r="C74" s="3"/>
      <c r="E74" s="13" t="str">
        <f>IF(F74="","",IF(F74=0,"","L="))</f>
        <v>L=</v>
      </c>
      <c r="F74" s="97">
        <v>3</v>
      </c>
      <c r="G74" s="97"/>
      <c r="H74" s="14" t="str">
        <f>IF(F74="","",IF(F74=0,"","m"))</f>
        <v>m</v>
      </c>
      <c r="K74" s="13" t="str">
        <f>IF(L74="","",IF(L74=0,"","L="))</f>
        <v/>
      </c>
      <c r="L74" s="97"/>
      <c r="M74" s="97"/>
      <c r="N74" s="14" t="str">
        <f>IF(L74="","",IF(L74=0,"","m"))</f>
        <v/>
      </c>
      <c r="R74" s="98" t="str">
        <f>IF(OR(S74="入力ｴﾗｰ",S74=0,S74="")=TRUE,"",IF(F74="","甲",IF(F74=0,"甲","")))</f>
        <v/>
      </c>
      <c r="S74" s="101">
        <f>IF((F74+I79+L74+O79)=0,"",IF((F74+I79+L74+O79)&gt;SUM($AC$1:$AC$3),"入力ｴﾗｰ",SUM($AC$1:$AC$3)-(F74+I79+L74+O79)))</f>
        <v>2</v>
      </c>
      <c r="T74" s="102" t="str">
        <f>IF(S74="","",IF(S74="入力ｴﾗｰ","","m"))</f>
        <v>m</v>
      </c>
      <c r="U74" s="94">
        <f>IF(B74="","",COUNT(F74,I79,L74,O79)-IF(S74=0,1,0)-V74)</f>
        <v>1</v>
      </c>
      <c r="V74" s="95"/>
      <c r="W74" s="104">
        <v>1</v>
      </c>
      <c r="X74" s="103"/>
      <c r="Y74" s="103"/>
      <c r="Z74" s="103"/>
      <c r="AA74" s="99"/>
    </row>
    <row r="75" spans="2:29" ht="3" customHeight="1" x14ac:dyDescent="0.25">
      <c r="B75" s="96"/>
      <c r="C75" s="3"/>
      <c r="G75" s="3"/>
      <c r="H75" s="2"/>
      <c r="K75" s="3"/>
      <c r="M75" s="3"/>
      <c r="R75" s="98"/>
      <c r="S75" s="101"/>
      <c r="T75" s="102"/>
      <c r="U75" s="94"/>
      <c r="V75" s="95"/>
      <c r="W75" s="104"/>
      <c r="X75" s="103"/>
      <c r="Y75" s="103"/>
      <c r="Z75" s="103"/>
      <c r="AA75" s="99"/>
    </row>
    <row r="76" spans="2:29" ht="3" customHeight="1" x14ac:dyDescent="0.25">
      <c r="B76" s="96"/>
      <c r="C76" s="3"/>
      <c r="G76" s="3"/>
      <c r="H76" s="2"/>
      <c r="K76" s="3"/>
      <c r="M76" s="3"/>
      <c r="R76" s="98"/>
      <c r="S76" s="101"/>
      <c r="T76" s="102"/>
      <c r="U76" s="94"/>
      <c r="V76" s="95"/>
      <c r="W76" s="104"/>
      <c r="X76" s="103"/>
      <c r="Y76" s="103"/>
      <c r="Z76" s="103"/>
      <c r="AA76" s="99"/>
    </row>
    <row r="77" spans="2:29" ht="3" customHeight="1" x14ac:dyDescent="0.25">
      <c r="B77" s="96"/>
      <c r="C77" s="3"/>
      <c r="E77" s="6"/>
      <c r="F77" s="8"/>
      <c r="G77" s="7"/>
      <c r="H77" s="8"/>
      <c r="I77" s="7"/>
      <c r="J77" s="8"/>
      <c r="K77" s="7"/>
      <c r="L77" s="6"/>
      <c r="M77" s="7"/>
      <c r="N77" s="6"/>
      <c r="R77" s="100" t="str">
        <f>IF(R74="甲","",IF(OR(S74=0,S74="")=TRUE,"",IF(S74="入力ｴﾗｰ","","乙")))</f>
        <v>乙</v>
      </c>
      <c r="S77" s="101"/>
      <c r="U77" s="94"/>
      <c r="V77" s="95"/>
      <c r="W77" s="104"/>
      <c r="X77" s="103"/>
      <c r="Y77" s="103"/>
      <c r="Z77" s="103"/>
      <c r="AA77" s="99"/>
    </row>
    <row r="78" spans="2:29" ht="3" customHeight="1" x14ac:dyDescent="0.25">
      <c r="B78" s="96"/>
      <c r="C78" s="3"/>
      <c r="F78" s="2"/>
      <c r="G78" s="3"/>
      <c r="H78" s="2"/>
      <c r="J78" s="2"/>
      <c r="K78" s="3"/>
      <c r="M78" s="3"/>
      <c r="R78" s="100"/>
      <c r="S78" s="101"/>
      <c r="U78" s="94"/>
      <c r="V78" s="95"/>
      <c r="W78" s="104"/>
      <c r="X78" s="103"/>
      <c r="Y78" s="103"/>
      <c r="Z78" s="103"/>
      <c r="AA78" s="99"/>
    </row>
    <row r="79" spans="2:29" ht="15" customHeight="1" x14ac:dyDescent="0.25">
      <c r="B79" s="96"/>
      <c r="C79" s="3"/>
      <c r="G79" s="18"/>
      <c r="H79" s="13" t="str">
        <f>IF(I79="","",IF(I79=0,"","L="))</f>
        <v/>
      </c>
      <c r="I79" s="97"/>
      <c r="J79" s="97"/>
      <c r="K79" s="14" t="str">
        <f>IF(I79="","",IF(I79=0,"","m"))</f>
        <v/>
      </c>
      <c r="N79" s="13" t="str">
        <f>IF(O79="","",IF(O79=0,"","L="))</f>
        <v/>
      </c>
      <c r="O79" s="97"/>
      <c r="P79" s="97"/>
      <c r="Q79" s="14" t="str">
        <f>IF(O79="","",IF(O79=0,"","m"))</f>
        <v/>
      </c>
      <c r="R79" s="100"/>
      <c r="S79" s="101"/>
      <c r="U79" s="94"/>
      <c r="V79" s="95"/>
      <c r="W79" s="104"/>
      <c r="X79" s="103"/>
      <c r="Y79" s="103"/>
      <c r="Z79" s="103"/>
      <c r="AA79" s="99"/>
      <c r="AC79" s="1">
        <f>IF(U74="",0,IF(U74&gt;SUM(W74:AA79),U74-SUM(W74:AA79),0))</f>
        <v>0</v>
      </c>
    </row>
    <row r="80" spans="2:29" ht="6" customHeight="1" x14ac:dyDescent="0.2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2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25">
      <c r="B82" s="96">
        <f>IF(S82="","",IF(B74="","",1+B74))</f>
        <v>10</v>
      </c>
      <c r="C82" s="3"/>
      <c r="E82" s="13" t="str">
        <f>IF(F82="","",IF(F82=0,"","L="))</f>
        <v>L=</v>
      </c>
      <c r="F82" s="97">
        <v>1.5</v>
      </c>
      <c r="G82" s="97"/>
      <c r="H82" s="14" t="str">
        <f>IF(F82="","",IF(F82=0,"","m"))</f>
        <v>m</v>
      </c>
      <c r="K82" s="13" t="str">
        <f>IF(L82="","",IF(L82=0,"","L="))</f>
        <v/>
      </c>
      <c r="L82" s="97"/>
      <c r="M82" s="97"/>
      <c r="N82" s="14" t="str">
        <f>IF(L82="","",IF(L82=0,"","m"))</f>
        <v/>
      </c>
      <c r="R82" s="98" t="str">
        <f>IF(OR(S82="入力ｴﾗｰ",S82=0,S82="")=TRUE,"",IF(F82="","甲",IF(F82=0,"甲","")))</f>
        <v/>
      </c>
      <c r="S82" s="101">
        <f>IF((F82+I87+L82+O87)=0,"",IF((F82+I87+L82+O87)&gt;SUM($AC$1:$AC$3),"入力ｴﾗｰ",SUM($AC$1:$AC$3)-(F82+I87+L82+O87)))</f>
        <v>1.1000000000000001</v>
      </c>
      <c r="T82" s="102" t="str">
        <f>IF(S82="","",IF(S82="入力ｴﾗｰ","","m"))</f>
        <v>m</v>
      </c>
      <c r="U82" s="94">
        <f>IF(B82="","",COUNT(F82,I87,L82,O87)-IF(S82=0,1,0)-V82)</f>
        <v>2</v>
      </c>
      <c r="V82" s="95"/>
      <c r="W82" s="104">
        <v>2</v>
      </c>
      <c r="X82" s="103"/>
      <c r="Y82" s="103"/>
      <c r="Z82" s="103"/>
      <c r="AA82" s="99"/>
    </row>
    <row r="83" spans="2:29" ht="3" customHeight="1" x14ac:dyDescent="0.25">
      <c r="B83" s="96"/>
      <c r="C83" s="3"/>
      <c r="G83" s="3"/>
      <c r="H83" s="2"/>
      <c r="K83" s="3"/>
      <c r="M83" s="3"/>
      <c r="R83" s="98"/>
      <c r="S83" s="101"/>
      <c r="T83" s="102"/>
      <c r="U83" s="94"/>
      <c r="V83" s="95"/>
      <c r="W83" s="104"/>
      <c r="X83" s="103"/>
      <c r="Y83" s="103"/>
      <c r="Z83" s="103"/>
      <c r="AA83" s="99"/>
    </row>
    <row r="84" spans="2:29" ht="3" customHeight="1" x14ac:dyDescent="0.25">
      <c r="B84" s="96"/>
      <c r="C84" s="3"/>
      <c r="E84" s="4"/>
      <c r="F84" s="4"/>
      <c r="G84" s="5"/>
      <c r="H84" s="55"/>
      <c r="I84" s="4"/>
      <c r="J84" s="4"/>
      <c r="K84" s="5"/>
      <c r="L84" s="4"/>
      <c r="M84" s="5"/>
      <c r="N84" s="4"/>
      <c r="R84" s="98"/>
      <c r="S84" s="101"/>
      <c r="T84" s="102"/>
      <c r="U84" s="94"/>
      <c r="V84" s="95"/>
      <c r="W84" s="104"/>
      <c r="X84" s="103"/>
      <c r="Y84" s="103"/>
      <c r="Z84" s="103"/>
      <c r="AA84" s="99"/>
    </row>
    <row r="85" spans="2:29" ht="3" customHeight="1" x14ac:dyDescent="0.25">
      <c r="B85" s="96"/>
      <c r="C85" s="3"/>
      <c r="G85" s="3"/>
      <c r="H85" s="2"/>
      <c r="I85" s="3"/>
      <c r="J85" s="2"/>
      <c r="K85" s="3"/>
      <c r="M85" s="3"/>
      <c r="R85" s="100" t="str">
        <f>IF(R82="甲","",IF(OR(S82=0,S82="")=TRUE,"",IF(S82="入力ｴﾗｰ","","乙")))</f>
        <v>乙</v>
      </c>
      <c r="S85" s="101"/>
      <c r="U85" s="94"/>
      <c r="V85" s="95"/>
      <c r="W85" s="104"/>
      <c r="X85" s="103"/>
      <c r="Y85" s="103"/>
      <c r="Z85" s="103"/>
      <c r="AA85" s="99"/>
    </row>
    <row r="86" spans="2:29" ht="3" customHeight="1" x14ac:dyDescent="0.25">
      <c r="B86" s="96"/>
      <c r="C86" s="3"/>
      <c r="F86" s="2"/>
      <c r="G86" s="3"/>
      <c r="H86" s="2"/>
      <c r="K86" s="3"/>
      <c r="M86" s="3"/>
      <c r="R86" s="100"/>
      <c r="S86" s="101"/>
      <c r="U86" s="94"/>
      <c r="V86" s="95"/>
      <c r="W86" s="104"/>
      <c r="X86" s="103"/>
      <c r="Y86" s="103"/>
      <c r="Z86" s="103"/>
      <c r="AA86" s="99"/>
    </row>
    <row r="87" spans="2:29" ht="15" customHeight="1" x14ac:dyDescent="0.25">
      <c r="B87" s="96"/>
      <c r="C87" s="3"/>
      <c r="G87" s="18"/>
      <c r="H87" s="13" t="str">
        <f>IF(I87="","",IF(I87=0,"","L="))</f>
        <v/>
      </c>
      <c r="I87" s="97"/>
      <c r="J87" s="97"/>
      <c r="K87" s="14" t="str">
        <f>IF(I87="","",IF(I87=0,"","m"))</f>
        <v/>
      </c>
      <c r="N87" s="13" t="str">
        <f>IF(O87="","",IF(O87=0,"","L="))</f>
        <v>L=</v>
      </c>
      <c r="O87" s="97">
        <v>2.4</v>
      </c>
      <c r="P87" s="97"/>
      <c r="Q87" s="14" t="str">
        <f>IF(O87="","",IF(O87=0,"","m"))</f>
        <v>m</v>
      </c>
      <c r="R87" s="100"/>
      <c r="S87" s="101"/>
      <c r="U87" s="94"/>
      <c r="V87" s="95"/>
      <c r="W87" s="104"/>
      <c r="X87" s="103"/>
      <c r="Y87" s="103"/>
      <c r="Z87" s="103"/>
      <c r="AA87" s="99"/>
      <c r="AC87" s="1">
        <f>IF(U82="",0,IF(U82&gt;SUM(W82:AA87),U82-SUM(W82:AA87),0))</f>
        <v>0</v>
      </c>
    </row>
    <row r="88" spans="2:29" ht="6" customHeight="1" x14ac:dyDescent="0.2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2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25">
      <c r="B90" s="96">
        <f>IF(S90="","",IF(B82="","",1+B82))</f>
        <v>11</v>
      </c>
      <c r="C90" s="3"/>
      <c r="E90" s="13" t="str">
        <f>IF(F90="","",IF(F90=0,"","L="))</f>
        <v>L=</v>
      </c>
      <c r="F90" s="97">
        <v>2</v>
      </c>
      <c r="G90" s="97"/>
      <c r="H90" s="14" t="str">
        <f>IF(F90="","",IF(F90=0,"","m"))</f>
        <v>m</v>
      </c>
      <c r="K90" s="13" t="str">
        <f>IF(L90="","",IF(L90=0,"","L="))</f>
        <v/>
      </c>
      <c r="L90" s="97"/>
      <c r="M90" s="97"/>
      <c r="N90" s="14" t="str">
        <f>IF(L90="","",IF(L90=0,"","m"))</f>
        <v/>
      </c>
      <c r="R90" s="98" t="str">
        <f>IF(OR(S90="入力ｴﾗｰ",S90=0,S90="")=TRUE,"",IF(F90="","甲",IF(F90=0,"甲","")))</f>
        <v/>
      </c>
      <c r="S90" s="101">
        <f>IF((F90+I95+L90+O95)=0,"",IF((F90+I95+L90+O95)&gt;SUM($AC$1:$AC$3),"入力ｴﾗｰ",SUM($AC$1:$AC$3)-(F90+I95+L90+O95)))</f>
        <v>1.7000000000000002</v>
      </c>
      <c r="T90" s="102" t="str">
        <f>IF(S90="","",IF(S90="入力ｴﾗｰ","","m"))</f>
        <v>m</v>
      </c>
      <c r="U90" s="94">
        <f>IF(B90="","",COUNT(F90,I95,L90,O95)-IF(S90=0,1,0)-V90)</f>
        <v>2</v>
      </c>
      <c r="V90" s="95"/>
      <c r="W90" s="104">
        <v>2</v>
      </c>
      <c r="X90" s="103"/>
      <c r="Y90" s="103"/>
      <c r="Z90" s="103"/>
      <c r="AA90" s="99"/>
    </row>
    <row r="91" spans="2:29" ht="3" customHeight="1" x14ac:dyDescent="0.25">
      <c r="B91" s="96"/>
      <c r="C91" s="3"/>
      <c r="G91" s="3"/>
      <c r="H91" s="2"/>
      <c r="K91" s="3"/>
      <c r="M91" s="3"/>
      <c r="R91" s="98"/>
      <c r="S91" s="101"/>
      <c r="T91" s="102"/>
      <c r="U91" s="94"/>
      <c r="V91" s="95"/>
      <c r="W91" s="104"/>
      <c r="X91" s="103"/>
      <c r="Y91" s="103"/>
      <c r="Z91" s="103"/>
      <c r="AA91" s="99"/>
    </row>
    <row r="92" spans="2:29" ht="3" customHeight="1" x14ac:dyDescent="0.25">
      <c r="B92" s="96"/>
      <c r="C92" s="3"/>
      <c r="G92" s="3"/>
      <c r="H92" s="2"/>
      <c r="K92" s="3"/>
      <c r="M92" s="3"/>
      <c r="R92" s="98"/>
      <c r="S92" s="101"/>
      <c r="T92" s="102"/>
      <c r="U92" s="94"/>
      <c r="V92" s="95"/>
      <c r="W92" s="104"/>
      <c r="X92" s="103"/>
      <c r="Y92" s="103"/>
      <c r="Z92" s="103"/>
      <c r="AA92" s="99"/>
    </row>
    <row r="93" spans="2:29" ht="3" customHeight="1" x14ac:dyDescent="0.25">
      <c r="B93" s="96"/>
      <c r="C93" s="3"/>
      <c r="E93" s="6"/>
      <c r="F93" s="6"/>
      <c r="G93" s="7"/>
      <c r="H93" s="8"/>
      <c r="I93" s="7"/>
      <c r="J93" s="8"/>
      <c r="K93" s="7"/>
      <c r="L93" s="6"/>
      <c r="M93" s="7"/>
      <c r="N93" s="6"/>
      <c r="R93" s="100" t="str">
        <f>IF(R90="甲","",IF(OR(S90=0,S90="")=TRUE,"",IF(S90="入力ｴﾗｰ","","乙")))</f>
        <v>乙</v>
      </c>
      <c r="S93" s="101"/>
      <c r="U93" s="94"/>
      <c r="V93" s="95"/>
      <c r="W93" s="104"/>
      <c r="X93" s="103"/>
      <c r="Y93" s="103"/>
      <c r="Z93" s="103"/>
      <c r="AA93" s="99"/>
    </row>
    <row r="94" spans="2:29" ht="3" customHeight="1" x14ac:dyDescent="0.25">
      <c r="B94" s="96"/>
      <c r="C94" s="3"/>
      <c r="F94" s="2"/>
      <c r="G94" s="3"/>
      <c r="H94" s="2"/>
      <c r="K94" s="3"/>
      <c r="M94" s="3"/>
      <c r="R94" s="100"/>
      <c r="S94" s="101"/>
      <c r="U94" s="94"/>
      <c r="V94" s="95"/>
      <c r="W94" s="104"/>
      <c r="X94" s="103"/>
      <c r="Y94" s="103"/>
      <c r="Z94" s="103"/>
      <c r="AA94" s="99"/>
    </row>
    <row r="95" spans="2:29" ht="15" customHeight="1" x14ac:dyDescent="0.25">
      <c r="B95" s="96"/>
      <c r="C95" s="3"/>
      <c r="G95" s="18"/>
      <c r="H95" s="13" t="str">
        <f>IF(I95="","",IF(I95=0,"","L="))</f>
        <v/>
      </c>
      <c r="I95" s="97"/>
      <c r="J95" s="97"/>
      <c r="K95" s="14" t="str">
        <f>IF(I95="","",IF(I95=0,"","m"))</f>
        <v/>
      </c>
      <c r="N95" s="13" t="str">
        <f>IF(O95="","",IF(O95=0,"","L="))</f>
        <v>L=</v>
      </c>
      <c r="O95" s="97">
        <v>1.3</v>
      </c>
      <c r="P95" s="97"/>
      <c r="Q95" s="14" t="str">
        <f>IF(O95="","",IF(O95=0,"","m"))</f>
        <v>m</v>
      </c>
      <c r="R95" s="100"/>
      <c r="S95" s="101"/>
      <c r="U95" s="94"/>
      <c r="V95" s="95"/>
      <c r="W95" s="104"/>
      <c r="X95" s="103"/>
      <c r="Y95" s="103"/>
      <c r="Z95" s="103"/>
      <c r="AA95" s="99"/>
      <c r="AC95" s="1">
        <f>IF(U90="",0,IF(U90&gt;SUM(W90:AA95),U90-SUM(W90:AA95),0))</f>
        <v>0</v>
      </c>
    </row>
    <row r="96" spans="2:29" ht="6" customHeight="1" x14ac:dyDescent="0.2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2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25">
      <c r="B98" s="96">
        <f t="shared" ref="B98" si="0">IF(S98="","",IF(B90="","",1+B90))</f>
        <v>12</v>
      </c>
      <c r="C98" s="3"/>
      <c r="E98" s="13" t="str">
        <f>IF(F98="","",IF(F98=0,"","L="))</f>
        <v>L=</v>
      </c>
      <c r="F98" s="97">
        <v>3.5</v>
      </c>
      <c r="G98" s="97"/>
      <c r="H98" s="14" t="str">
        <f>IF(F98="","",IF(F98=0,"","m"))</f>
        <v>m</v>
      </c>
      <c r="K98" s="13" t="str">
        <f>IF(L98="","",IF(L98=0,"","L="))</f>
        <v/>
      </c>
      <c r="L98" s="97"/>
      <c r="M98" s="97"/>
      <c r="N98" s="14" t="str">
        <f>IF(L98="","",IF(L98=0,"","m"))</f>
        <v/>
      </c>
      <c r="R98" s="98" t="str">
        <f>IF(OR(S98="入力ｴﾗｰ",S98=0,S98="")=TRUE,"",IF(F98="","甲",IF(F98=0,"甲","")))</f>
        <v/>
      </c>
      <c r="S98" s="101">
        <f>IF((F98+I103+L98+O103)=0,"",IF((F98+I103+L98+O103)&gt;SUM($AC$1:$AC$3),"入力ｴﾗｰ",SUM($AC$1:$AC$3)-(F98+I103+L98+O103)))</f>
        <v>1.5</v>
      </c>
      <c r="T98" s="102" t="str">
        <f>IF(S98="","",IF(S98="入力ｴﾗｰ","","m"))</f>
        <v>m</v>
      </c>
      <c r="U98" s="94">
        <f>IF(B98="","",COUNT(F98,I103,L98,O103)-IF(S98=0,1,0)-V98)</f>
        <v>1</v>
      </c>
      <c r="V98" s="95"/>
      <c r="W98" s="104">
        <v>1</v>
      </c>
      <c r="X98" s="103"/>
      <c r="Y98" s="103"/>
      <c r="Z98" s="103"/>
      <c r="AA98" s="99"/>
    </row>
    <row r="99" spans="2:29" ht="3" customHeight="1" x14ac:dyDescent="0.25">
      <c r="B99" s="96"/>
      <c r="C99" s="3"/>
      <c r="G99" s="3"/>
      <c r="H99" s="2"/>
      <c r="K99" s="3"/>
      <c r="M99" s="3"/>
      <c r="R99" s="98"/>
      <c r="S99" s="101"/>
      <c r="T99" s="102"/>
      <c r="U99" s="94"/>
      <c r="V99" s="95"/>
      <c r="W99" s="104"/>
      <c r="X99" s="103"/>
      <c r="Y99" s="103"/>
      <c r="Z99" s="103"/>
      <c r="AA99" s="99"/>
    </row>
    <row r="100" spans="2:29" ht="3" customHeight="1" x14ac:dyDescent="0.25">
      <c r="B100" s="96"/>
      <c r="C100" s="3"/>
      <c r="E100" s="4"/>
      <c r="F100" s="4"/>
      <c r="G100" s="5"/>
      <c r="H100" s="55"/>
      <c r="I100" s="4"/>
      <c r="J100" s="4"/>
      <c r="K100" s="5"/>
      <c r="L100" s="4"/>
      <c r="M100" s="5"/>
      <c r="N100" s="4"/>
      <c r="R100" s="98"/>
      <c r="S100" s="101"/>
      <c r="T100" s="102"/>
      <c r="U100" s="94"/>
      <c r="V100" s="95"/>
      <c r="W100" s="104"/>
      <c r="X100" s="103"/>
      <c r="Y100" s="103"/>
      <c r="Z100" s="103"/>
      <c r="AA100" s="99"/>
    </row>
    <row r="101" spans="2:29" ht="3" customHeight="1" x14ac:dyDescent="0.25">
      <c r="B101" s="96"/>
      <c r="C101" s="3"/>
      <c r="G101" s="3"/>
      <c r="H101" s="2"/>
      <c r="I101" s="3"/>
      <c r="J101" s="2"/>
      <c r="K101" s="3"/>
      <c r="M101" s="3"/>
      <c r="R101" s="100" t="str">
        <f>IF(R98="甲","",IF(OR(S98=0,S98="")=TRUE,"",IF(S98="入力ｴﾗｰ","","乙")))</f>
        <v>乙</v>
      </c>
      <c r="S101" s="101"/>
      <c r="U101" s="94"/>
      <c r="V101" s="95"/>
      <c r="W101" s="104"/>
      <c r="X101" s="103"/>
      <c r="Y101" s="103"/>
      <c r="Z101" s="103"/>
      <c r="AA101" s="99"/>
    </row>
    <row r="102" spans="2:29" ht="3" customHeight="1" x14ac:dyDescent="0.25">
      <c r="B102" s="96"/>
      <c r="C102" s="3"/>
      <c r="F102" s="2"/>
      <c r="G102" s="3"/>
      <c r="H102" s="2"/>
      <c r="K102" s="3"/>
      <c r="M102" s="3"/>
      <c r="R102" s="100"/>
      <c r="S102" s="101"/>
      <c r="U102" s="94"/>
      <c r="V102" s="95"/>
      <c r="W102" s="104"/>
      <c r="X102" s="103"/>
      <c r="Y102" s="103"/>
      <c r="Z102" s="103"/>
      <c r="AA102" s="99"/>
    </row>
    <row r="103" spans="2:29" ht="15" customHeight="1" x14ac:dyDescent="0.25">
      <c r="B103" s="96"/>
      <c r="C103" s="3"/>
      <c r="G103" s="18"/>
      <c r="H103" s="13" t="str">
        <f>IF(I103="","",IF(I103=0,"","L="))</f>
        <v/>
      </c>
      <c r="I103" s="97"/>
      <c r="J103" s="97"/>
      <c r="K103" s="14" t="str">
        <f>IF(I103="","",IF(I103=0,"","m"))</f>
        <v/>
      </c>
      <c r="N103" s="13" t="str">
        <f>IF(O103="","",IF(O103=0,"","L="))</f>
        <v/>
      </c>
      <c r="O103" s="97"/>
      <c r="P103" s="97"/>
      <c r="Q103" s="14" t="str">
        <f>IF(O103="","",IF(O103=0,"","m"))</f>
        <v/>
      </c>
      <c r="R103" s="100"/>
      <c r="S103" s="101"/>
      <c r="U103" s="94"/>
      <c r="V103" s="95"/>
      <c r="W103" s="104"/>
      <c r="X103" s="103"/>
      <c r="Y103" s="103"/>
      <c r="Z103" s="103"/>
      <c r="AA103" s="99"/>
      <c r="AC103" s="1">
        <f>IF(U98="",0,IF(U98&gt;SUM(W98:AA103),U98-SUM(W98:AA103),0))</f>
        <v>0</v>
      </c>
    </row>
    <row r="104" spans="2:29" ht="6" customHeight="1" x14ac:dyDescent="0.2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2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25">
      <c r="B106" s="96">
        <f t="shared" ref="B106" si="1">IF(S106="","",IF(B98="","",1+B98))</f>
        <v>13</v>
      </c>
      <c r="C106" s="3"/>
      <c r="E106" s="13" t="str">
        <f>IF(F106="","",IF(F106=0,"","L="))</f>
        <v>L=</v>
      </c>
      <c r="F106" s="97">
        <v>3.9</v>
      </c>
      <c r="G106" s="97"/>
      <c r="H106" s="14" t="str">
        <f>IF(F106="","",IF(F106=0,"","m"))</f>
        <v>m</v>
      </c>
      <c r="K106" s="13" t="str">
        <f>IF(L106="","",IF(L106=0,"","L="))</f>
        <v/>
      </c>
      <c r="L106" s="97"/>
      <c r="M106" s="97"/>
      <c r="N106" s="14" t="str">
        <f>IF(L106="","",IF(L106=0,"","m"))</f>
        <v/>
      </c>
      <c r="R106" s="98" t="str">
        <f>IF(OR(S106="入力ｴﾗｰ",S106=0,S106="")=TRUE,"",IF(F106="","甲",IF(F106=0,"甲","")))</f>
        <v/>
      </c>
      <c r="S106" s="101">
        <f>IF((F106+I111+L106+O111)=0,"",IF((F106+I111+L106+O111)&gt;SUM($AC$1:$AC$3),"入力ｴﾗｰ",SUM($AC$1:$AC$3)-(F106+I111+L106+O111)))</f>
        <v>1.1000000000000001</v>
      </c>
      <c r="T106" s="102" t="str">
        <f>IF(S106="","",IF(S106="入力ｴﾗｰ","","m"))</f>
        <v>m</v>
      </c>
      <c r="U106" s="94">
        <f>IF(B106="","",COUNT(F106,I111,L106,O111)-IF(S106=0,1,0)-V106)</f>
        <v>1</v>
      </c>
      <c r="V106" s="95"/>
      <c r="W106" s="104">
        <v>1</v>
      </c>
      <c r="X106" s="103"/>
      <c r="Y106" s="103"/>
      <c r="Z106" s="103"/>
      <c r="AA106" s="99"/>
    </row>
    <row r="107" spans="2:29" ht="3" customHeight="1" x14ac:dyDescent="0.25">
      <c r="B107" s="96"/>
      <c r="C107" s="3"/>
      <c r="G107" s="3"/>
      <c r="H107" s="2"/>
      <c r="K107" s="3"/>
      <c r="M107" s="3"/>
      <c r="R107" s="98"/>
      <c r="S107" s="101"/>
      <c r="T107" s="102"/>
      <c r="U107" s="94"/>
      <c r="V107" s="95"/>
      <c r="W107" s="104"/>
      <c r="X107" s="103"/>
      <c r="Y107" s="103"/>
      <c r="Z107" s="103"/>
      <c r="AA107" s="99"/>
    </row>
    <row r="108" spans="2:29" ht="3" customHeight="1" x14ac:dyDescent="0.25">
      <c r="B108" s="96"/>
      <c r="C108" s="3"/>
      <c r="E108" s="4"/>
      <c r="F108" s="4"/>
      <c r="G108" s="5"/>
      <c r="H108" s="55"/>
      <c r="I108" s="4"/>
      <c r="J108" s="4"/>
      <c r="K108" s="5"/>
      <c r="L108" s="4"/>
      <c r="M108" s="5"/>
      <c r="N108" s="4"/>
      <c r="R108" s="98"/>
      <c r="S108" s="101"/>
      <c r="T108" s="102"/>
      <c r="U108" s="94"/>
      <c r="V108" s="95"/>
      <c r="W108" s="104"/>
      <c r="X108" s="103"/>
      <c r="Y108" s="103"/>
      <c r="Z108" s="103"/>
      <c r="AA108" s="99"/>
    </row>
    <row r="109" spans="2:29" ht="3" customHeight="1" x14ac:dyDescent="0.25">
      <c r="B109" s="96"/>
      <c r="C109" s="3"/>
      <c r="G109" s="3"/>
      <c r="H109" s="2"/>
      <c r="I109" s="3"/>
      <c r="J109" s="2"/>
      <c r="K109" s="3"/>
      <c r="M109" s="3"/>
      <c r="R109" s="100" t="str">
        <f>IF(R106="甲","",IF(OR(S106=0,S106="")=TRUE,"",IF(S106="入力ｴﾗｰ","","乙")))</f>
        <v>乙</v>
      </c>
      <c r="S109" s="101"/>
      <c r="U109" s="94"/>
      <c r="V109" s="95"/>
      <c r="W109" s="104"/>
      <c r="X109" s="103"/>
      <c r="Y109" s="103"/>
      <c r="Z109" s="103"/>
      <c r="AA109" s="99"/>
    </row>
    <row r="110" spans="2:29" ht="3" customHeight="1" x14ac:dyDescent="0.25">
      <c r="B110" s="96"/>
      <c r="C110" s="3"/>
      <c r="F110" s="2"/>
      <c r="G110" s="3"/>
      <c r="H110" s="2"/>
      <c r="K110" s="3"/>
      <c r="M110" s="3"/>
      <c r="R110" s="100"/>
      <c r="S110" s="101"/>
      <c r="U110" s="94"/>
      <c r="V110" s="95"/>
      <c r="W110" s="104"/>
      <c r="X110" s="103"/>
      <c r="Y110" s="103"/>
      <c r="Z110" s="103"/>
      <c r="AA110" s="99"/>
    </row>
    <row r="111" spans="2:29" ht="15" customHeight="1" x14ac:dyDescent="0.25">
      <c r="B111" s="96"/>
      <c r="C111" s="3"/>
      <c r="G111" s="18"/>
      <c r="H111" s="13" t="str">
        <f>IF(I111="","",IF(I111=0,"","L="))</f>
        <v/>
      </c>
      <c r="I111" s="97"/>
      <c r="J111" s="97"/>
      <c r="K111" s="14" t="str">
        <f>IF(I111="","",IF(I111=0,"","m"))</f>
        <v/>
      </c>
      <c r="N111" s="13" t="str">
        <f>IF(O111="","",IF(O111=0,"","L="))</f>
        <v/>
      </c>
      <c r="O111" s="97"/>
      <c r="P111" s="97"/>
      <c r="Q111" s="14" t="str">
        <f>IF(O111="","",IF(O111=0,"","m"))</f>
        <v/>
      </c>
      <c r="R111" s="100"/>
      <c r="S111" s="101"/>
      <c r="U111" s="94"/>
      <c r="V111" s="95"/>
      <c r="W111" s="104"/>
      <c r="X111" s="103"/>
      <c r="Y111" s="103"/>
      <c r="Z111" s="103"/>
      <c r="AA111" s="99"/>
      <c r="AC111" s="1">
        <f>IF(U106="",0,IF(U106&gt;SUM(W106:AA111),U106-SUM(W106:AA111),0))</f>
        <v>0</v>
      </c>
    </row>
    <row r="112" spans="2:29" ht="6" customHeight="1" x14ac:dyDescent="0.2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25">
      <c r="B113" s="84" t="s">
        <v>38</v>
      </c>
      <c r="C113" s="85"/>
      <c r="D113" s="85"/>
      <c r="E113" s="85"/>
      <c r="F113" s="86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3">
      <c r="B114" s="87"/>
      <c r="C114" s="88"/>
      <c r="D114" s="88"/>
      <c r="E114" s="88"/>
      <c r="F114" s="89"/>
      <c r="G114" s="25" t="str">
        <f>U2</f>
        <v>GX</v>
      </c>
      <c r="H114" s="88">
        <f>Y2</f>
        <v>150</v>
      </c>
      <c r="I114" s="88"/>
      <c r="J114" s="89"/>
      <c r="K114" s="90">
        <f>IF(B10="",0,LARGE(B10:B111,1))</f>
        <v>13</v>
      </c>
      <c r="L114" s="91"/>
      <c r="M114" s="21"/>
      <c r="N114" s="25"/>
      <c r="O114" s="20"/>
      <c r="P114" s="20"/>
      <c r="Q114" s="21"/>
      <c r="R114" s="92">
        <f>SUM(S10:S111)</f>
        <v>18.8</v>
      </c>
      <c r="S114" s="93"/>
      <c r="T114" s="20"/>
      <c r="U114" s="51">
        <f t="shared" ref="U114:AA114" si="2">SUM(U10:U111)</f>
        <v>20</v>
      </c>
      <c r="V114" s="79">
        <f t="shared" si="2"/>
        <v>0</v>
      </c>
      <c r="W114" s="73">
        <f t="shared" si="2"/>
        <v>20</v>
      </c>
      <c r="X114" s="53">
        <f t="shared" si="2"/>
        <v>0</v>
      </c>
      <c r="Y114" s="53">
        <f t="shared" si="2"/>
        <v>0</v>
      </c>
      <c r="Z114" s="53">
        <f t="shared" si="2"/>
        <v>0</v>
      </c>
      <c r="AA114" s="54">
        <f t="shared" si="2"/>
        <v>0</v>
      </c>
      <c r="AC114" s="1">
        <f>SUM(AC9:AC112)</f>
        <v>0</v>
      </c>
    </row>
  </sheetData>
  <mergeCells count="220">
    <mergeCell ref="B113:F114"/>
    <mergeCell ref="H114:J114"/>
    <mergeCell ref="K114:L114"/>
    <mergeCell ref="R114:S114"/>
    <mergeCell ref="U106:U111"/>
    <mergeCell ref="V106:V111"/>
    <mergeCell ref="B106:B111"/>
    <mergeCell ref="F106:G106"/>
    <mergeCell ref="L106:M106"/>
    <mergeCell ref="R106:R108"/>
    <mergeCell ref="I111:J111"/>
    <mergeCell ref="O111:P111"/>
    <mergeCell ref="S106:S111"/>
    <mergeCell ref="T106:T108"/>
    <mergeCell ref="U98:U103"/>
    <mergeCell ref="V98:V103"/>
    <mergeCell ref="AA106:AA111"/>
    <mergeCell ref="R109:R111"/>
    <mergeCell ref="B98:B103"/>
    <mergeCell ref="F98:G98"/>
    <mergeCell ref="L98:M98"/>
    <mergeCell ref="R98:R100"/>
    <mergeCell ref="W98:W103"/>
    <mergeCell ref="X98:X103"/>
    <mergeCell ref="I103:J103"/>
    <mergeCell ref="O103:P103"/>
    <mergeCell ref="S98:S103"/>
    <mergeCell ref="T98:T100"/>
    <mergeCell ref="W106:W111"/>
    <mergeCell ref="X106:X111"/>
    <mergeCell ref="Y98:Y103"/>
    <mergeCell ref="Z98:Z103"/>
    <mergeCell ref="Y106:Y111"/>
    <mergeCell ref="Z106:Z111"/>
    <mergeCell ref="AA98:AA103"/>
    <mergeCell ref="R101:R103"/>
    <mergeCell ref="B90:B95"/>
    <mergeCell ref="F90:G90"/>
    <mergeCell ref="L90:M90"/>
    <mergeCell ref="R90:R92"/>
    <mergeCell ref="W90:W95"/>
    <mergeCell ref="X90:X95"/>
    <mergeCell ref="I95:J95"/>
    <mergeCell ref="O95:P95"/>
    <mergeCell ref="AA82:AA87"/>
    <mergeCell ref="R85:R87"/>
    <mergeCell ref="S90:S95"/>
    <mergeCell ref="T90:T92"/>
    <mergeCell ref="U82:U87"/>
    <mergeCell ref="V82:V87"/>
    <mergeCell ref="Y82:Y87"/>
    <mergeCell ref="Z82:Z87"/>
    <mergeCell ref="AA90:AA95"/>
    <mergeCell ref="R93:R95"/>
    <mergeCell ref="U90:U95"/>
    <mergeCell ref="V90:V95"/>
    <mergeCell ref="Y90:Y95"/>
    <mergeCell ref="Z90:Z95"/>
    <mergeCell ref="AA74:AA79"/>
    <mergeCell ref="R77:R79"/>
    <mergeCell ref="B82:B87"/>
    <mergeCell ref="F82:G82"/>
    <mergeCell ref="L82:M82"/>
    <mergeCell ref="R82:R84"/>
    <mergeCell ref="W82:W87"/>
    <mergeCell ref="X82:X87"/>
    <mergeCell ref="I87:J87"/>
    <mergeCell ref="O87:P87"/>
    <mergeCell ref="S82:S87"/>
    <mergeCell ref="T82:T84"/>
    <mergeCell ref="Y74:Y79"/>
    <mergeCell ref="Z74:Z79"/>
    <mergeCell ref="B74:B79"/>
    <mergeCell ref="F74:G74"/>
    <mergeCell ref="L74:M74"/>
    <mergeCell ref="R74:R76"/>
    <mergeCell ref="W74:W79"/>
    <mergeCell ref="X74:X79"/>
    <mergeCell ref="I79:J79"/>
    <mergeCell ref="O79:P79"/>
    <mergeCell ref="U74:U79"/>
    <mergeCell ref="V74:V79"/>
    <mergeCell ref="S74:S79"/>
    <mergeCell ref="T74:T76"/>
    <mergeCell ref="B66:B71"/>
    <mergeCell ref="F66:G66"/>
    <mergeCell ref="L66:M66"/>
    <mergeCell ref="R66:R68"/>
    <mergeCell ref="W66:W71"/>
    <mergeCell ref="X66:X71"/>
    <mergeCell ref="I71:J71"/>
    <mergeCell ref="O71:P71"/>
    <mergeCell ref="AA58:AA63"/>
    <mergeCell ref="R61:R63"/>
    <mergeCell ref="S66:S71"/>
    <mergeCell ref="T66:T68"/>
    <mergeCell ref="U58:U63"/>
    <mergeCell ref="V58:V63"/>
    <mergeCell ref="Y58:Y63"/>
    <mergeCell ref="Z58:Z63"/>
    <mergeCell ref="AA66:AA71"/>
    <mergeCell ref="R69:R71"/>
    <mergeCell ref="U66:U71"/>
    <mergeCell ref="V66:V71"/>
    <mergeCell ref="Y66:Y71"/>
    <mergeCell ref="Z66:Z71"/>
    <mergeCell ref="B58:B63"/>
    <mergeCell ref="F58:G58"/>
    <mergeCell ref="L58:M58"/>
    <mergeCell ref="R58:R60"/>
    <mergeCell ref="W58:W63"/>
    <mergeCell ref="X58:X63"/>
    <mergeCell ref="I63:J63"/>
    <mergeCell ref="O63:P63"/>
    <mergeCell ref="S58:S63"/>
    <mergeCell ref="T58:T60"/>
    <mergeCell ref="B50:B55"/>
    <mergeCell ref="F50:G50"/>
    <mergeCell ref="L50:M50"/>
    <mergeCell ref="R50:R52"/>
    <mergeCell ref="W50:W55"/>
    <mergeCell ref="X50:X55"/>
    <mergeCell ref="I55:J55"/>
    <mergeCell ref="O55:P55"/>
    <mergeCell ref="AA42:AA47"/>
    <mergeCell ref="R45:R47"/>
    <mergeCell ref="S50:S55"/>
    <mergeCell ref="T50:T52"/>
    <mergeCell ref="U42:U47"/>
    <mergeCell ref="V42:V47"/>
    <mergeCell ref="Y42:Y47"/>
    <mergeCell ref="Z42:Z47"/>
    <mergeCell ref="AA50:AA55"/>
    <mergeCell ref="R53:R55"/>
    <mergeCell ref="U50:U55"/>
    <mergeCell ref="V50:V55"/>
    <mergeCell ref="Y50:Y55"/>
    <mergeCell ref="Z50:Z55"/>
    <mergeCell ref="AA34:AA39"/>
    <mergeCell ref="R37:R39"/>
    <mergeCell ref="B42:B47"/>
    <mergeCell ref="F42:G42"/>
    <mergeCell ref="L42:M42"/>
    <mergeCell ref="R42:R44"/>
    <mergeCell ref="W42:W47"/>
    <mergeCell ref="X42:X47"/>
    <mergeCell ref="I47:J47"/>
    <mergeCell ref="O47:P47"/>
    <mergeCell ref="S42:S47"/>
    <mergeCell ref="T42:T44"/>
    <mergeCell ref="Y34:Y39"/>
    <mergeCell ref="Z34:Z39"/>
    <mergeCell ref="B34:B39"/>
    <mergeCell ref="F34:G34"/>
    <mergeCell ref="L34:M34"/>
    <mergeCell ref="R34:R36"/>
    <mergeCell ref="W34:W39"/>
    <mergeCell ref="X34:X39"/>
    <mergeCell ref="I39:J39"/>
    <mergeCell ref="O39:P39"/>
    <mergeCell ref="U34:U39"/>
    <mergeCell ref="V34:V39"/>
    <mergeCell ref="S34:S39"/>
    <mergeCell ref="T34:T36"/>
    <mergeCell ref="B26:B31"/>
    <mergeCell ref="F26:G26"/>
    <mergeCell ref="L26:M26"/>
    <mergeCell ref="R26:R28"/>
    <mergeCell ref="W26:W31"/>
    <mergeCell ref="X26:X31"/>
    <mergeCell ref="I31:J31"/>
    <mergeCell ref="O31:P31"/>
    <mergeCell ref="AA18:AA23"/>
    <mergeCell ref="R21:R23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U26:U31"/>
    <mergeCell ref="V26:V31"/>
    <mergeCell ref="Y26:Y31"/>
    <mergeCell ref="Z26:Z31"/>
    <mergeCell ref="C1:Q1"/>
    <mergeCell ref="U2:V3"/>
    <mergeCell ref="I15:J15"/>
    <mergeCell ref="O15:P15"/>
    <mergeCell ref="B18:B23"/>
    <mergeCell ref="F18:G18"/>
    <mergeCell ref="L18:M18"/>
    <mergeCell ref="R18:R20"/>
    <mergeCell ref="I23:J23"/>
    <mergeCell ref="O23:P23"/>
    <mergeCell ref="B10:B15"/>
    <mergeCell ref="F10:G10"/>
    <mergeCell ref="R13:R15"/>
    <mergeCell ref="S18:S23"/>
    <mergeCell ref="T18:T20"/>
    <mergeCell ref="U10:U15"/>
    <mergeCell ref="V10:V15"/>
    <mergeCell ref="U7:V7"/>
    <mergeCell ref="Y2:Z3"/>
    <mergeCell ref="B7:B8"/>
    <mergeCell ref="C7:Q8"/>
    <mergeCell ref="R7:T8"/>
    <mergeCell ref="L10:M10"/>
    <mergeCell ref="R10:R12"/>
    <mergeCell ref="S10:S15"/>
    <mergeCell ref="T10:T12"/>
    <mergeCell ref="AA10:AA15"/>
    <mergeCell ref="W10:W15"/>
    <mergeCell ref="X10:X15"/>
    <mergeCell ref="Y10:Y15"/>
    <mergeCell ref="Z10:Z15"/>
    <mergeCell ref="W7:AA7"/>
  </mergeCells>
  <phoneticPr fontId="2"/>
  <conditionalFormatting sqref="S10:S15 S18:S23 S26:S31 S34:S39 S42:S47 S50:S55 S58:S63 S66:S71 S74:S79 S82:S87 S90:S95 S98:S103 S106:S111">
    <cfRule type="cellIs" dxfId="16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scale="95" orientation="portrait" cellComments="asDisplayed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B1:AC108"/>
  <sheetViews>
    <sheetView showGridLines="0" view="pageBreakPreview" zoomScale="123" zoomScaleNormal="123" zoomScaleSheetLayoutView="123" workbookViewId="0">
      <selection activeCell="J26" sqref="J26"/>
    </sheetView>
  </sheetViews>
  <sheetFormatPr defaultColWidth="9.0703125" defaultRowHeight="12" x14ac:dyDescent="0.25"/>
  <cols>
    <col min="1" max="1" width="0.92578125" style="1" customWidth="1"/>
    <col min="2" max="2" width="8.92578125" style="1" customWidth="1"/>
    <col min="3" max="17" width="2.7109375" style="1" customWidth="1"/>
    <col min="18" max="18" width="2.92578125" style="1" customWidth="1"/>
    <col min="19" max="19" width="5.7109375" style="1" customWidth="1"/>
    <col min="20" max="20" width="2.7109375" style="1" customWidth="1"/>
    <col min="21" max="27" width="5.7109375" style="1" customWidth="1"/>
    <col min="28" max="16384" width="9.0703125" style="1"/>
  </cols>
  <sheetData>
    <row r="1" spans="2:29" x14ac:dyDescent="0.25">
      <c r="B1" s="56" t="s">
        <v>19</v>
      </c>
      <c r="C1" s="112" t="str">
        <f>'白紙(5m)'!C1</f>
        <v>長田（花山町2丁目他）配水管取替工事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25">
      <c r="S2" s="12"/>
      <c r="T2" s="3"/>
      <c r="U2" s="114" t="s">
        <v>36</v>
      </c>
      <c r="V2" s="114"/>
      <c r="W2" s="2"/>
      <c r="X2" s="12"/>
      <c r="Y2" s="114">
        <v>150</v>
      </c>
      <c r="Z2" s="114"/>
      <c r="AA2" s="2"/>
      <c r="AC2" s="1">
        <f>IF(AC1=4,0,IF(Y2&lt;=250,5,0))</f>
        <v>5</v>
      </c>
    </row>
    <row r="3" spans="2:29" ht="12" customHeight="1" x14ac:dyDescent="0.25">
      <c r="S3" s="44" t="s">
        <v>12</v>
      </c>
      <c r="T3" s="15"/>
      <c r="U3" s="115"/>
      <c r="V3" s="115"/>
      <c r="W3" s="17" t="s">
        <v>15</v>
      </c>
      <c r="X3" s="44" t="s">
        <v>14</v>
      </c>
      <c r="Y3" s="115"/>
      <c r="Z3" s="115"/>
      <c r="AA3" s="17" t="s">
        <v>20</v>
      </c>
      <c r="AC3" s="1">
        <f>IF(Y2&gt;250,6,0)</f>
        <v>0</v>
      </c>
    </row>
    <row r="4" spans="2:29" ht="6.75" customHeight="1" x14ac:dyDescent="0.25">
      <c r="S4" s="18"/>
      <c r="U4" s="45"/>
      <c r="V4" s="45"/>
      <c r="X4" s="18"/>
      <c r="Y4" s="45"/>
      <c r="Z4" s="45"/>
    </row>
    <row r="5" spans="2:29" ht="21.75" customHeight="1" x14ac:dyDescent="0.25">
      <c r="B5" s="46" t="s">
        <v>16</v>
      </c>
    </row>
    <row r="6" spans="2:29" ht="6.75" customHeight="1" thickBot="1" x14ac:dyDescent="0.3"/>
    <row r="7" spans="2:29" ht="14.25" customHeight="1" x14ac:dyDescent="0.25">
      <c r="B7" s="116" t="s">
        <v>0</v>
      </c>
      <c r="C7" s="108" t="s">
        <v>3</v>
      </c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09"/>
      <c r="R7" s="117" t="s">
        <v>1</v>
      </c>
      <c r="S7" s="117"/>
      <c r="T7" s="117"/>
      <c r="U7" s="108" t="s">
        <v>2</v>
      </c>
      <c r="V7" s="109"/>
      <c r="W7" s="110" t="s">
        <v>4</v>
      </c>
      <c r="X7" s="110"/>
      <c r="Y7" s="110"/>
      <c r="Z7" s="110"/>
      <c r="AA7" s="111"/>
    </row>
    <row r="8" spans="2:29" ht="10.5" customHeight="1" x14ac:dyDescent="0.25">
      <c r="B8" s="96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20"/>
      <c r="R8" s="119"/>
      <c r="S8" s="119"/>
      <c r="T8" s="119"/>
      <c r="U8" s="74" t="s">
        <v>39</v>
      </c>
      <c r="V8" s="75" t="s">
        <v>35</v>
      </c>
      <c r="W8" s="70" t="s">
        <v>39</v>
      </c>
      <c r="X8" s="32" t="s">
        <v>7</v>
      </c>
      <c r="Y8" s="32" t="s">
        <v>8</v>
      </c>
      <c r="Z8" s="33" t="s">
        <v>9</v>
      </c>
      <c r="AA8" s="34" t="s">
        <v>10</v>
      </c>
    </row>
    <row r="9" spans="2:29" ht="6" customHeight="1" x14ac:dyDescent="0.2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25">
      <c r="B10" s="96">
        <f>IF(S10="","",1)+13</f>
        <v>14</v>
      </c>
      <c r="C10" s="3"/>
      <c r="E10" s="13" t="str">
        <f>IF(F10="","",IF(F10=0,"","L="))</f>
        <v>L=</v>
      </c>
      <c r="F10" s="97">
        <v>4</v>
      </c>
      <c r="G10" s="97"/>
      <c r="H10" s="14" t="str">
        <f>IF(F10="","",IF(F10=0,"","m"))</f>
        <v>m</v>
      </c>
      <c r="K10" s="13" t="str">
        <f>IF(L10="","",IF(L10=0,"","L="))</f>
        <v/>
      </c>
      <c r="L10" s="97"/>
      <c r="M10" s="97"/>
      <c r="N10" s="14" t="str">
        <f>IF(L10="","",IF(L10=0,"","m"))</f>
        <v/>
      </c>
      <c r="Q10" s="2"/>
      <c r="R10" s="106" t="str">
        <f>IF(OR(S10="入力ｴﾗｰ",S10=0,S10="")=TRUE,"",IF(F10="","甲",IF(F10=0,"甲","")))</f>
        <v/>
      </c>
      <c r="S10" s="101">
        <f>IF((F10+I15+L10+O15)=0,"",IF((F10+I15+L10+O15)&gt;SUM($AC$1:$AC$3),"入力ｴﾗｰ",SUM($AC$1:$AC$3)-(F10+I15+L10+O15)))</f>
        <v>1</v>
      </c>
      <c r="T10" s="102" t="str">
        <f>IF(S10="","",IF(S10="入力ｴﾗｰ","","m"))</f>
        <v>m</v>
      </c>
      <c r="U10" s="94">
        <f>IF(B10="","",COUNT(F10,I15,L10,O15)-IF(S10=0,1,0)-V10)</f>
        <v>1</v>
      </c>
      <c r="V10" s="95"/>
      <c r="W10" s="104">
        <v>1</v>
      </c>
      <c r="X10" s="103"/>
      <c r="Y10" s="103"/>
      <c r="Z10" s="107"/>
      <c r="AA10" s="99"/>
    </row>
    <row r="11" spans="2:29" ht="3" customHeight="1" x14ac:dyDescent="0.25">
      <c r="B11" s="96"/>
      <c r="C11" s="3"/>
      <c r="G11" s="3"/>
      <c r="H11" s="2"/>
      <c r="K11" s="3"/>
      <c r="M11" s="3"/>
      <c r="Q11" s="2"/>
      <c r="R11" s="106"/>
      <c r="S11" s="101"/>
      <c r="T11" s="102"/>
      <c r="U11" s="94"/>
      <c r="V11" s="95"/>
      <c r="W11" s="104"/>
      <c r="X11" s="103"/>
      <c r="Y11" s="103"/>
      <c r="Z11" s="107"/>
      <c r="AA11" s="99"/>
    </row>
    <row r="12" spans="2:29" ht="3" customHeight="1" x14ac:dyDescent="0.25">
      <c r="B12" s="96"/>
      <c r="C12" s="3"/>
      <c r="E12" s="4"/>
      <c r="F12" s="55"/>
      <c r="G12" s="5"/>
      <c r="H12" s="55"/>
      <c r="I12" s="4"/>
      <c r="J12" s="4"/>
      <c r="K12" s="5"/>
      <c r="L12" s="67"/>
      <c r="M12" s="69"/>
      <c r="N12" s="67"/>
      <c r="Q12" s="2"/>
      <c r="R12" s="106"/>
      <c r="S12" s="101"/>
      <c r="T12" s="102"/>
      <c r="U12" s="94"/>
      <c r="V12" s="95"/>
      <c r="W12" s="104"/>
      <c r="X12" s="103"/>
      <c r="Y12" s="103"/>
      <c r="Z12" s="107"/>
      <c r="AA12" s="99"/>
    </row>
    <row r="13" spans="2:29" ht="3" customHeight="1" x14ac:dyDescent="0.25">
      <c r="B13" s="96"/>
      <c r="C13" s="3"/>
      <c r="E13" s="6"/>
      <c r="F13" s="8"/>
      <c r="G13" s="3"/>
      <c r="H13" s="2"/>
      <c r="I13" s="3"/>
      <c r="J13" s="2"/>
      <c r="K13" s="3"/>
      <c r="L13" s="66"/>
      <c r="M13" s="64"/>
      <c r="N13" s="66"/>
      <c r="Q13" s="2"/>
      <c r="R13" s="105" t="str">
        <f>IF(R10="甲","",IF(OR(S10=0,S10="")=TRUE,"",IF(S10="入力ｴﾗｰ","","乙")))</f>
        <v>乙</v>
      </c>
      <c r="S13" s="101"/>
      <c r="U13" s="94"/>
      <c r="V13" s="95"/>
      <c r="W13" s="104"/>
      <c r="X13" s="103"/>
      <c r="Y13" s="103"/>
      <c r="Z13" s="107"/>
      <c r="AA13" s="99"/>
    </row>
    <row r="14" spans="2:29" ht="3" customHeight="1" x14ac:dyDescent="0.25">
      <c r="B14" s="96"/>
      <c r="C14" s="3"/>
      <c r="F14" s="2"/>
      <c r="G14" s="3"/>
      <c r="H14" s="2"/>
      <c r="J14" s="2"/>
      <c r="K14" s="3"/>
      <c r="M14" s="3"/>
      <c r="Q14" s="2"/>
      <c r="R14" s="105"/>
      <c r="S14" s="101"/>
      <c r="U14" s="94"/>
      <c r="V14" s="95"/>
      <c r="W14" s="104"/>
      <c r="X14" s="103"/>
      <c r="Y14" s="103"/>
      <c r="Z14" s="107"/>
      <c r="AA14" s="99"/>
    </row>
    <row r="15" spans="2:29" ht="15" customHeight="1" x14ac:dyDescent="0.25">
      <c r="B15" s="96"/>
      <c r="C15" s="3"/>
      <c r="G15" s="18"/>
      <c r="H15" s="13" t="str">
        <f>IF(I15="","",IF(I15=0,"","L="))</f>
        <v/>
      </c>
      <c r="I15" s="97"/>
      <c r="J15" s="97"/>
      <c r="K15" s="14" t="str">
        <f>IF(I15="","",IF(I15=0,"","m"))</f>
        <v/>
      </c>
      <c r="N15" s="13" t="str">
        <f>IF(O15="","",IF(O15=0,"","L="))</f>
        <v/>
      </c>
      <c r="O15" s="97"/>
      <c r="P15" s="97"/>
      <c r="Q15" s="24" t="str">
        <f>IF(O15="","",IF(O15=0,"","m"))</f>
        <v/>
      </c>
      <c r="R15" s="105"/>
      <c r="S15" s="101"/>
      <c r="U15" s="94"/>
      <c r="V15" s="95"/>
      <c r="W15" s="104"/>
      <c r="X15" s="103"/>
      <c r="Y15" s="103"/>
      <c r="Z15" s="107"/>
      <c r="AA15" s="99"/>
      <c r="AC15" s="1">
        <f>IF(U10="",0,IF(U10&gt;SUM(W10:AA15),U10-SUM(W10:AA15),0))</f>
        <v>0</v>
      </c>
    </row>
    <row r="16" spans="2:29" ht="6" customHeight="1" x14ac:dyDescent="0.2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2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25">
      <c r="B18" s="96">
        <f>IF(S18="","",IF(B10="","",1+B10))</f>
        <v>15</v>
      </c>
      <c r="C18" s="3"/>
      <c r="E18" s="13" t="str">
        <f>IF(F18="","",IF(F18=0,"","L="))</f>
        <v>L=</v>
      </c>
      <c r="F18" s="97">
        <v>3.2</v>
      </c>
      <c r="G18" s="97"/>
      <c r="H18" s="14" t="str">
        <f>IF(F18="","",IF(F18=0,"","m"))</f>
        <v>m</v>
      </c>
      <c r="K18" s="13" t="str">
        <f>IF(L18="","",IF(L18=0,"","L="))</f>
        <v/>
      </c>
      <c r="L18" s="97"/>
      <c r="M18" s="97"/>
      <c r="N18" s="14" t="str">
        <f>IF(L18="","",IF(L18=0,"","m"))</f>
        <v/>
      </c>
      <c r="Q18" s="2"/>
      <c r="R18" s="106" t="str">
        <f>IF(OR(S18="入力ｴﾗｰ",S18=0,S18="")=TRUE,"",IF(F18="","甲",IF(F18=0,"甲","")))</f>
        <v/>
      </c>
      <c r="S18" s="101">
        <f>IF((F18+I23+L18+O23)=0,"",IF((F18+I23+L18+O23)&gt;SUM($AC$1:$AC$3),"入力ｴﾗｰ",SUM($AC$1:$AC$3)-(F18+I23+L18+O23)))</f>
        <v>1.7999999999999998</v>
      </c>
      <c r="T18" s="102" t="str">
        <f>IF(S18="","",IF(S18="入力ｴﾗｰ","","m"))</f>
        <v>m</v>
      </c>
      <c r="U18" s="94">
        <f>IF(B18="","",COUNT(F18,I23,L18,O23)-IF(S18=0,1,0)-V18)</f>
        <v>1</v>
      </c>
      <c r="V18" s="95"/>
      <c r="W18" s="104">
        <v>1</v>
      </c>
      <c r="X18" s="103"/>
      <c r="Y18" s="103"/>
      <c r="Z18" s="103"/>
      <c r="AA18" s="99"/>
    </row>
    <row r="19" spans="2:29" ht="3" customHeight="1" x14ac:dyDescent="0.25">
      <c r="B19" s="96"/>
      <c r="C19" s="3"/>
      <c r="M19" s="3"/>
      <c r="Q19" s="2"/>
      <c r="R19" s="106"/>
      <c r="S19" s="101"/>
      <c r="T19" s="102"/>
      <c r="U19" s="94"/>
      <c r="V19" s="95"/>
      <c r="W19" s="104"/>
      <c r="X19" s="103"/>
      <c r="Y19" s="103"/>
      <c r="Z19" s="103"/>
      <c r="AA19" s="99"/>
    </row>
    <row r="20" spans="2:29" ht="3" customHeight="1" x14ac:dyDescent="0.25">
      <c r="B20" s="96"/>
      <c r="C20" s="3"/>
      <c r="E20" s="4"/>
      <c r="F20" s="55"/>
      <c r="G20" s="5"/>
      <c r="H20" s="68"/>
      <c r="I20" s="67"/>
      <c r="J20" s="67"/>
      <c r="K20" s="5"/>
      <c r="L20" s="67"/>
      <c r="M20" s="69"/>
      <c r="N20" s="67"/>
      <c r="Q20" s="2"/>
      <c r="R20" s="106"/>
      <c r="S20" s="101"/>
      <c r="T20" s="102"/>
      <c r="U20" s="94"/>
      <c r="V20" s="95"/>
      <c r="W20" s="104"/>
      <c r="X20" s="103"/>
      <c r="Y20" s="103"/>
      <c r="Z20" s="103"/>
      <c r="AA20" s="99"/>
    </row>
    <row r="21" spans="2:29" ht="3" customHeight="1" x14ac:dyDescent="0.25">
      <c r="B21" s="96"/>
      <c r="C21" s="3"/>
      <c r="G21" s="3"/>
      <c r="H21" s="65"/>
      <c r="I21" s="64"/>
      <c r="J21" s="65"/>
      <c r="K21" s="3"/>
      <c r="L21" s="66"/>
      <c r="M21" s="64"/>
      <c r="N21" s="66"/>
      <c r="Q21" s="2"/>
      <c r="R21" s="105" t="str">
        <f>IF(R18="甲","",IF(OR(S18=0,S18="")=TRUE,"",IF(S18="入力ｴﾗｰ","","乙")))</f>
        <v>乙</v>
      </c>
      <c r="S21" s="101"/>
      <c r="U21" s="94"/>
      <c r="V21" s="95"/>
      <c r="W21" s="104"/>
      <c r="X21" s="103"/>
      <c r="Y21" s="103"/>
      <c r="Z21" s="103"/>
      <c r="AA21" s="99"/>
    </row>
    <row r="22" spans="2:29" ht="3" customHeight="1" x14ac:dyDescent="0.25">
      <c r="B22" s="96"/>
      <c r="C22" s="3"/>
      <c r="G22" s="3"/>
      <c r="H22" s="2"/>
      <c r="J22" s="2"/>
      <c r="K22" s="3"/>
      <c r="Q22" s="2"/>
      <c r="R22" s="105"/>
      <c r="S22" s="101"/>
      <c r="U22" s="94"/>
      <c r="V22" s="95"/>
      <c r="W22" s="104"/>
      <c r="X22" s="103"/>
      <c r="Y22" s="103"/>
      <c r="Z22" s="103"/>
      <c r="AA22" s="99"/>
    </row>
    <row r="23" spans="2:29" ht="15" customHeight="1" x14ac:dyDescent="0.25">
      <c r="B23" s="96"/>
      <c r="C23" s="3"/>
      <c r="G23" s="18"/>
      <c r="H23" s="13" t="str">
        <f>IF(I23="","",IF(I23=0,"","L="))</f>
        <v/>
      </c>
      <c r="I23" s="97"/>
      <c r="J23" s="97"/>
      <c r="K23" s="14" t="str">
        <f>IF(I23="","",IF(I23=0,"","m"))</f>
        <v/>
      </c>
      <c r="N23" s="13" t="str">
        <f>IF(O23="","",IF(O23=0,"","L="))</f>
        <v/>
      </c>
      <c r="O23" s="97"/>
      <c r="P23" s="97"/>
      <c r="Q23" s="24" t="str">
        <f>IF(O23="","",IF(O23=0,"","m"))</f>
        <v/>
      </c>
      <c r="R23" s="105"/>
      <c r="S23" s="101"/>
      <c r="U23" s="94"/>
      <c r="V23" s="95"/>
      <c r="W23" s="104"/>
      <c r="X23" s="103"/>
      <c r="Y23" s="103"/>
      <c r="Z23" s="103"/>
      <c r="AA23" s="99"/>
      <c r="AC23" s="1">
        <f>IF(U18="",0,IF(U18&gt;SUM(W18:AA23),U18-SUM(W18:AA23),0))</f>
        <v>0</v>
      </c>
    </row>
    <row r="24" spans="2:29" ht="6" customHeight="1" x14ac:dyDescent="0.2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2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25">
      <c r="B26" s="96">
        <f>IF(S26="","",IF(B18="","",1+B18))</f>
        <v>16</v>
      </c>
      <c r="C26" s="3"/>
      <c r="E26" s="13" t="str">
        <f>IF(F26="","",IF(F26=0,"","L="))</f>
        <v>L=</v>
      </c>
      <c r="F26" s="97">
        <v>1.5</v>
      </c>
      <c r="G26" s="97"/>
      <c r="H26" s="14" t="str">
        <f>IF(F26="","",IF(F26=0,"","m"))</f>
        <v>m</v>
      </c>
      <c r="K26" s="13" t="str">
        <f>IF(L26="","",IF(L26=0,"","L="))</f>
        <v/>
      </c>
      <c r="L26" s="97"/>
      <c r="M26" s="97"/>
      <c r="N26" s="14" t="str">
        <f>IF(L26="","",IF(L26=0,"","m"))</f>
        <v/>
      </c>
      <c r="R26" s="98" t="str">
        <f>IF(OR(S26="入力ｴﾗｰ",S26=0,S26="")=TRUE,"",IF(F26="","甲",IF(F26=0,"甲","")))</f>
        <v/>
      </c>
      <c r="S26" s="101">
        <f>IF((F26+I31+L26+O31)=0,"",IF((F26+I31+L26+O31)&gt;SUM($AC$1:$AC$3),"入力ｴﾗｰ",SUM($AC$1:$AC$3)-(F26+I31+L26+O31)))</f>
        <v>0.5</v>
      </c>
      <c r="T26" s="102" t="str">
        <f>IF(S26="","",IF(S26="入力ｴﾗｰ","","m"))</f>
        <v>m</v>
      </c>
      <c r="U26" s="94">
        <f>IF(B26="","",COUNT(F26,I31,L26,O31)-IF(S26=0,1,0)-V26)</f>
        <v>2</v>
      </c>
      <c r="V26" s="95"/>
      <c r="W26" s="104">
        <v>2</v>
      </c>
      <c r="X26" s="103"/>
      <c r="Y26" s="103"/>
      <c r="Z26" s="103"/>
      <c r="AA26" s="99"/>
    </row>
    <row r="27" spans="2:29" ht="3" customHeight="1" x14ac:dyDescent="0.25">
      <c r="B27" s="96"/>
      <c r="C27" s="3"/>
      <c r="G27" s="3"/>
      <c r="H27" s="2"/>
      <c r="K27" s="3"/>
      <c r="M27" s="3"/>
      <c r="R27" s="98"/>
      <c r="S27" s="101"/>
      <c r="T27" s="102"/>
      <c r="U27" s="94"/>
      <c r="V27" s="95"/>
      <c r="W27" s="104"/>
      <c r="X27" s="103"/>
      <c r="Y27" s="103"/>
      <c r="Z27" s="103"/>
      <c r="AA27" s="99"/>
    </row>
    <row r="28" spans="2:29" ht="3" customHeight="1" x14ac:dyDescent="0.25">
      <c r="B28" s="96"/>
      <c r="C28" s="3"/>
      <c r="E28" s="4"/>
      <c r="F28" s="4"/>
      <c r="G28" s="5"/>
      <c r="H28" s="55"/>
      <c r="I28" s="4"/>
      <c r="J28" s="4"/>
      <c r="K28" s="5"/>
      <c r="L28" s="4"/>
      <c r="M28" s="5"/>
      <c r="R28" s="98"/>
      <c r="S28" s="101"/>
      <c r="T28" s="102"/>
      <c r="U28" s="94"/>
      <c r="V28" s="95"/>
      <c r="W28" s="104"/>
      <c r="X28" s="103"/>
      <c r="Y28" s="103"/>
      <c r="Z28" s="103"/>
      <c r="AA28" s="99"/>
    </row>
    <row r="29" spans="2:29" ht="3" customHeight="1" x14ac:dyDescent="0.25">
      <c r="B29" s="96"/>
      <c r="C29" s="3"/>
      <c r="G29" s="3"/>
      <c r="H29" s="2"/>
      <c r="I29" s="3"/>
      <c r="J29" s="2"/>
      <c r="K29" s="3"/>
      <c r="L29" s="6"/>
      <c r="M29" s="7"/>
      <c r="N29" s="6"/>
      <c r="R29" s="100" t="str">
        <f>IF(R26="甲","",IF(OR(S26=0,S26="")=TRUE,"",IF(S26="入力ｴﾗｰ","","乙")))</f>
        <v>乙</v>
      </c>
      <c r="S29" s="101"/>
      <c r="U29" s="94"/>
      <c r="V29" s="95"/>
      <c r="W29" s="104"/>
      <c r="X29" s="103"/>
      <c r="Y29" s="103"/>
      <c r="Z29" s="103"/>
      <c r="AA29" s="99"/>
    </row>
    <row r="30" spans="2:29" ht="3" customHeight="1" x14ac:dyDescent="0.25">
      <c r="B30" s="96"/>
      <c r="C30" s="3"/>
      <c r="F30" s="2"/>
      <c r="G30" s="3"/>
      <c r="H30" s="2"/>
      <c r="J30" s="2"/>
      <c r="K30" s="3"/>
      <c r="M30" s="3"/>
      <c r="R30" s="100"/>
      <c r="S30" s="101"/>
      <c r="U30" s="94"/>
      <c r="V30" s="95"/>
      <c r="W30" s="104"/>
      <c r="X30" s="103"/>
      <c r="Y30" s="103"/>
      <c r="Z30" s="103"/>
      <c r="AA30" s="99"/>
    </row>
    <row r="31" spans="2:29" ht="15" customHeight="1" x14ac:dyDescent="0.25">
      <c r="B31" s="96"/>
      <c r="C31" s="3"/>
      <c r="G31" s="18"/>
      <c r="H31" s="13" t="str">
        <f>IF(I31="","",IF(I31=0,"","L="))</f>
        <v/>
      </c>
      <c r="I31" s="97"/>
      <c r="J31" s="97"/>
      <c r="K31" s="14" t="str">
        <f>IF(I31="","",IF(I31=0,"","m"))</f>
        <v/>
      </c>
      <c r="N31" s="13" t="str">
        <f>IF(O31="","",IF(O31=0,"","L="))</f>
        <v>L=</v>
      </c>
      <c r="O31" s="97">
        <v>3</v>
      </c>
      <c r="P31" s="97"/>
      <c r="Q31" s="14" t="str">
        <f>IF(O31="","",IF(O31=0,"","m"))</f>
        <v>m</v>
      </c>
      <c r="R31" s="100"/>
      <c r="S31" s="101"/>
      <c r="U31" s="94"/>
      <c r="V31" s="95"/>
      <c r="W31" s="104"/>
      <c r="X31" s="103"/>
      <c r="Y31" s="103"/>
      <c r="Z31" s="103"/>
      <c r="AA31" s="99"/>
      <c r="AC31" s="1">
        <f>IF(U26="",0,IF(U26&gt;SUM(W26:AA31),U26-SUM(W26:AA31),0))</f>
        <v>0</v>
      </c>
    </row>
    <row r="32" spans="2:29" ht="6" customHeight="1" x14ac:dyDescent="0.2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2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25">
      <c r="B34" s="96">
        <f>IF(S34="","",IF(B26="","",1+B26))</f>
        <v>17</v>
      </c>
      <c r="C34" s="3"/>
      <c r="E34" s="13" t="str">
        <f>IF(F34="","",IF(F34=0,"","L="))</f>
        <v>L=</v>
      </c>
      <c r="F34" s="97">
        <v>1.3</v>
      </c>
      <c r="G34" s="97"/>
      <c r="H34" s="14" t="str">
        <f>IF(F34="","",IF(F34=0,"","m"))</f>
        <v>m</v>
      </c>
      <c r="K34" s="13" t="str">
        <f>IF(L34="","",IF(L34=0,"","L="))</f>
        <v/>
      </c>
      <c r="L34" s="97"/>
      <c r="M34" s="97"/>
      <c r="N34" s="14" t="str">
        <f>IF(L34="","",IF(L34=0,"","m"))</f>
        <v/>
      </c>
      <c r="R34" s="98" t="str">
        <f>IF(OR(S34="入力ｴﾗｰ",S34=0,S34="")=TRUE,"",IF(F34="","甲",IF(F34=0,"甲","")))</f>
        <v/>
      </c>
      <c r="S34" s="101">
        <f>IF((F34+I39+L34+O39)=0,"",IF((F34+I39+L34+O39)&gt;SUM($AC$1:$AC$3),"入力ｴﾗｰ",SUM($AC$1:$AC$3)-(F34+I39+L34+O39)))</f>
        <v>9.9999999999999645E-2</v>
      </c>
      <c r="T34" s="102" t="str">
        <f>IF(S34="","",IF(S34="入力ｴﾗｰ","","m"))</f>
        <v>m</v>
      </c>
      <c r="U34" s="94">
        <f>IF(B34="","",COUNT(F34,I39,L34,O39)-IF(S34=0,1,0)-V34)</f>
        <v>2</v>
      </c>
      <c r="V34" s="95"/>
      <c r="W34" s="104">
        <v>2</v>
      </c>
      <c r="X34" s="103"/>
      <c r="Y34" s="103"/>
      <c r="Z34" s="103"/>
      <c r="AA34" s="99"/>
    </row>
    <row r="35" spans="2:29" ht="3" customHeight="1" x14ac:dyDescent="0.25">
      <c r="B35" s="96"/>
      <c r="C35" s="3"/>
      <c r="G35" s="3"/>
      <c r="H35" s="2"/>
      <c r="K35" s="3"/>
      <c r="M35" s="3"/>
      <c r="R35" s="98"/>
      <c r="S35" s="101"/>
      <c r="T35" s="102"/>
      <c r="U35" s="94"/>
      <c r="V35" s="95"/>
      <c r="W35" s="104"/>
      <c r="X35" s="103"/>
      <c r="Y35" s="103"/>
      <c r="Z35" s="103"/>
      <c r="AA35" s="99"/>
    </row>
    <row r="36" spans="2:29" ht="3" customHeight="1" x14ac:dyDescent="0.25">
      <c r="B36" s="96"/>
      <c r="C36" s="3"/>
      <c r="E36" s="4"/>
      <c r="F36" s="4"/>
      <c r="G36" s="5"/>
      <c r="H36" s="55"/>
      <c r="I36" s="4"/>
      <c r="J36" s="4"/>
      <c r="K36" s="5"/>
      <c r="L36" s="55"/>
      <c r="M36" s="5"/>
      <c r="N36" s="4"/>
      <c r="R36" s="98"/>
      <c r="S36" s="101"/>
      <c r="T36" s="102"/>
      <c r="U36" s="94"/>
      <c r="V36" s="95"/>
      <c r="W36" s="104"/>
      <c r="X36" s="103"/>
      <c r="Y36" s="103"/>
      <c r="Z36" s="103"/>
      <c r="AA36" s="99"/>
    </row>
    <row r="37" spans="2:29" ht="3" customHeight="1" x14ac:dyDescent="0.25">
      <c r="B37" s="96"/>
      <c r="C37" s="3"/>
      <c r="G37" s="3"/>
      <c r="H37" s="2"/>
      <c r="I37" s="3"/>
      <c r="J37" s="2"/>
      <c r="K37" s="3"/>
      <c r="M37" s="3"/>
      <c r="R37" s="100" t="str">
        <f>IF(R34="甲","",IF(OR(S34=0,S34="")=TRUE,"",IF(S34="入力ｴﾗｰ","","乙")))</f>
        <v>乙</v>
      </c>
      <c r="S37" s="101"/>
      <c r="U37" s="94"/>
      <c r="V37" s="95"/>
      <c r="W37" s="104"/>
      <c r="X37" s="103"/>
      <c r="Y37" s="103"/>
      <c r="Z37" s="103"/>
      <c r="AA37" s="99"/>
    </row>
    <row r="38" spans="2:29" ht="3" customHeight="1" x14ac:dyDescent="0.25">
      <c r="B38" s="96"/>
      <c r="C38" s="3"/>
      <c r="F38" s="2"/>
      <c r="G38" s="3"/>
      <c r="H38" s="2"/>
      <c r="J38" s="2"/>
      <c r="K38" s="3"/>
      <c r="M38" s="3"/>
      <c r="R38" s="100"/>
      <c r="S38" s="101"/>
      <c r="U38" s="94"/>
      <c r="V38" s="95"/>
      <c r="W38" s="104"/>
      <c r="X38" s="103"/>
      <c r="Y38" s="103"/>
      <c r="Z38" s="103"/>
      <c r="AA38" s="99"/>
    </row>
    <row r="39" spans="2:29" ht="15" customHeight="1" x14ac:dyDescent="0.25">
      <c r="B39" s="96"/>
      <c r="C39" s="3"/>
      <c r="G39" s="18"/>
      <c r="H39" s="13" t="str">
        <f>IF(I39="","",IF(I39=0,"","L="))</f>
        <v/>
      </c>
      <c r="I39" s="97"/>
      <c r="J39" s="97"/>
      <c r="K39" s="14" t="str">
        <f>IF(I39="","",IF(I39=0,"","m"))</f>
        <v/>
      </c>
      <c r="N39" s="13" t="str">
        <f>IF(O39="","",IF(O39=0,"","L="))</f>
        <v>L=</v>
      </c>
      <c r="O39" s="97">
        <v>3.6</v>
      </c>
      <c r="P39" s="97"/>
      <c r="Q39" s="14" t="str">
        <f>IF(O39="","",IF(O39=0,"","m"))</f>
        <v>m</v>
      </c>
      <c r="R39" s="100"/>
      <c r="S39" s="101"/>
      <c r="U39" s="94"/>
      <c r="V39" s="95"/>
      <c r="W39" s="104"/>
      <c r="X39" s="103"/>
      <c r="Y39" s="103"/>
      <c r="Z39" s="103"/>
      <c r="AA39" s="99"/>
      <c r="AC39" s="1">
        <f>IF(U34="",0,IF(U34&gt;SUM(W34:AA39),U34-SUM(W34:AA39),0))</f>
        <v>0</v>
      </c>
    </row>
    <row r="40" spans="2:29" ht="6" customHeight="1" x14ac:dyDescent="0.2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2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25">
      <c r="B42" s="96">
        <f>IF(S42="","",IF(B34="","",1+B34))</f>
        <v>18</v>
      </c>
      <c r="C42" s="3"/>
      <c r="E42" s="13" t="str">
        <f>IF(F42="","",IF(F42=0,"","L="))</f>
        <v>L=</v>
      </c>
      <c r="F42" s="97">
        <v>1.3</v>
      </c>
      <c r="G42" s="97"/>
      <c r="H42" s="14" t="str">
        <f>IF(F42="","",IF(F42=0,"","m"))</f>
        <v>m</v>
      </c>
      <c r="K42" s="13" t="str">
        <f>IF(L42="","",IF(L42=0,"","L="))</f>
        <v/>
      </c>
      <c r="L42" s="97"/>
      <c r="M42" s="97"/>
      <c r="N42" s="14" t="str">
        <f>IF(L42="","",IF(L42=0,"","m"))</f>
        <v/>
      </c>
      <c r="R42" s="98" t="str">
        <f>IF(OR(S42="入力ｴﾗｰ",S42=0,S42="")=TRUE,"",IF(F42="","甲",IF(F42=0,"甲","")))</f>
        <v/>
      </c>
      <c r="S42" s="101">
        <f>IF((F42+I47+L42+O47)=0,"",IF((F42+I47+L42+O47)&gt;SUM($AC$1:$AC$3),"入力ｴﾗｰ",SUM($AC$1:$AC$3)-(F42+I47+L42+O47)))</f>
        <v>0</v>
      </c>
      <c r="T42" s="102" t="str">
        <f>IF(S42="","",IF(S42="入力ｴﾗｰ","","m"))</f>
        <v>m</v>
      </c>
      <c r="U42" s="94">
        <f>IF(B42="","",COUNT(F42,I47,L42,O47)-IF(S42=0,1,0)-V42)</f>
        <v>1</v>
      </c>
      <c r="V42" s="95"/>
      <c r="W42" s="104">
        <v>2</v>
      </c>
      <c r="X42" s="103"/>
      <c r="Y42" s="103"/>
      <c r="Z42" s="103"/>
      <c r="AA42" s="99"/>
    </row>
    <row r="43" spans="2:29" ht="3" customHeight="1" x14ac:dyDescent="0.25">
      <c r="B43" s="96"/>
      <c r="C43" s="3"/>
      <c r="G43" s="3"/>
      <c r="H43" s="2"/>
      <c r="K43" s="3"/>
      <c r="M43" s="3"/>
      <c r="R43" s="98"/>
      <c r="S43" s="101"/>
      <c r="T43" s="102"/>
      <c r="U43" s="94"/>
      <c r="V43" s="95"/>
      <c r="W43" s="104"/>
      <c r="X43" s="103"/>
      <c r="Y43" s="103"/>
      <c r="Z43" s="103"/>
      <c r="AA43" s="99"/>
    </row>
    <row r="44" spans="2:29" ht="3" customHeight="1" x14ac:dyDescent="0.25">
      <c r="B44" s="96"/>
      <c r="C44" s="3"/>
      <c r="G44" s="3"/>
      <c r="H44" s="2"/>
      <c r="K44" s="3"/>
      <c r="M44" s="3"/>
      <c r="R44" s="98"/>
      <c r="S44" s="101"/>
      <c r="T44" s="102"/>
      <c r="U44" s="94"/>
      <c r="V44" s="95"/>
      <c r="W44" s="104"/>
      <c r="X44" s="103"/>
      <c r="Y44" s="103"/>
      <c r="Z44" s="103"/>
      <c r="AA44" s="99"/>
    </row>
    <row r="45" spans="2:29" ht="3" customHeight="1" x14ac:dyDescent="0.25">
      <c r="B45" s="96"/>
      <c r="C45" s="3"/>
      <c r="E45" s="6"/>
      <c r="F45" s="6"/>
      <c r="G45" s="7"/>
      <c r="H45" s="8"/>
      <c r="I45" s="7"/>
      <c r="J45" s="8"/>
      <c r="K45" s="7"/>
      <c r="L45" s="6"/>
      <c r="M45" s="7"/>
      <c r="N45" s="6"/>
      <c r="R45" s="100" t="str">
        <f>IF(R42="甲","",IF(OR(S42=0,S42="")=TRUE,"",IF(S42="入力ｴﾗｰ","","乙")))</f>
        <v/>
      </c>
      <c r="S45" s="101"/>
      <c r="U45" s="94"/>
      <c r="V45" s="95"/>
      <c r="W45" s="104"/>
      <c r="X45" s="103"/>
      <c r="Y45" s="103"/>
      <c r="Z45" s="103"/>
      <c r="AA45" s="99"/>
    </row>
    <row r="46" spans="2:29" ht="3" customHeight="1" x14ac:dyDescent="0.25">
      <c r="B46" s="96"/>
      <c r="C46" s="3"/>
      <c r="F46" s="2"/>
      <c r="G46" s="3"/>
      <c r="H46" s="2"/>
      <c r="J46" s="2"/>
      <c r="K46" s="3"/>
      <c r="M46" s="3"/>
      <c r="R46" s="100"/>
      <c r="S46" s="101"/>
      <c r="U46" s="94"/>
      <c r="V46" s="95"/>
      <c r="W46" s="104"/>
      <c r="X46" s="103"/>
      <c r="Y46" s="103"/>
      <c r="Z46" s="103"/>
      <c r="AA46" s="99"/>
    </row>
    <row r="47" spans="2:29" ht="15" customHeight="1" x14ac:dyDescent="0.25">
      <c r="B47" s="96"/>
      <c r="C47" s="3"/>
      <c r="G47" s="18"/>
      <c r="H47" s="13" t="str">
        <f>IF(I47="","",IF(I47=0,"","L="))</f>
        <v/>
      </c>
      <c r="I47" s="97"/>
      <c r="J47" s="97"/>
      <c r="K47" s="14" t="str">
        <f>IF(I47="","",IF(I47=0,"","m"))</f>
        <v/>
      </c>
      <c r="N47" s="13" t="str">
        <f>IF(O47="","",IF(O47=0,"","L="))</f>
        <v>L=</v>
      </c>
      <c r="O47" s="97">
        <v>3.7</v>
      </c>
      <c r="P47" s="97"/>
      <c r="Q47" s="14" t="str">
        <f>IF(O47="","",IF(O47=0,"","m"))</f>
        <v>m</v>
      </c>
      <c r="R47" s="100"/>
      <c r="S47" s="101"/>
      <c r="U47" s="94"/>
      <c r="V47" s="95"/>
      <c r="W47" s="104"/>
      <c r="X47" s="103"/>
      <c r="Y47" s="103"/>
      <c r="Z47" s="103"/>
      <c r="AA47" s="99"/>
      <c r="AC47" s="1">
        <f>IF(U42="",0,IF(U42&gt;SUM(W42:AA47),U42-SUM(W42:AA47),0))</f>
        <v>0</v>
      </c>
    </row>
    <row r="48" spans="2:29" ht="6" customHeight="1" x14ac:dyDescent="0.2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2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25">
      <c r="B50" s="96">
        <f>IF(S50="","",IF(B42="","",1+B42))</f>
        <v>19</v>
      </c>
      <c r="C50" s="3"/>
      <c r="E50" s="13" t="str">
        <f>IF(F50="","",IF(F50=0,"","L="))</f>
        <v>L=</v>
      </c>
      <c r="F50" s="97">
        <v>4.2</v>
      </c>
      <c r="G50" s="97"/>
      <c r="H50" s="14" t="str">
        <f>IF(F50="","",IF(F50=0,"","m"))</f>
        <v>m</v>
      </c>
      <c r="K50" s="13" t="str">
        <f>IF(L50="","",IF(L50=0,"","L="))</f>
        <v/>
      </c>
      <c r="L50" s="97"/>
      <c r="M50" s="97"/>
      <c r="N50" s="14" t="str">
        <f>IF(L50="","",IF(L50=0,"","m"))</f>
        <v/>
      </c>
      <c r="R50" s="98" t="str">
        <f>IF(OR(S50="入力ｴﾗｰ",S50=0,S50="")=TRUE,"",IF(F50="","甲",IF(F50=0,"甲","")))</f>
        <v/>
      </c>
      <c r="S50" s="101">
        <f>IF((F50+I55+L50+O55)=0,"",IF((F50+I55+L50+O55)&gt;SUM($AC$1:$AC$3),"入力ｴﾗｰ",SUM($AC$1:$AC$3)-(F50+I55+L50+O55)))</f>
        <v>0</v>
      </c>
      <c r="T50" s="102" t="str">
        <f>IF(S50="","",IF(S50="入力ｴﾗｰ","","m"))</f>
        <v>m</v>
      </c>
      <c r="U50" s="94">
        <f>IF(B50="","",COUNT(F50,I55,L50,O55)-IF(S50=0,1,0)-V50)</f>
        <v>1</v>
      </c>
      <c r="V50" s="95"/>
      <c r="W50" s="104">
        <v>2</v>
      </c>
      <c r="X50" s="103"/>
      <c r="Y50" s="103"/>
      <c r="Z50" s="103"/>
      <c r="AA50" s="99"/>
    </row>
    <row r="51" spans="2:29" ht="3" customHeight="1" x14ac:dyDescent="0.25">
      <c r="B51" s="96"/>
      <c r="C51" s="3"/>
      <c r="G51" s="3"/>
      <c r="I51" s="3"/>
      <c r="K51" s="3"/>
      <c r="M51" s="3"/>
      <c r="R51" s="98"/>
      <c r="S51" s="101"/>
      <c r="T51" s="102"/>
      <c r="U51" s="94"/>
      <c r="V51" s="95"/>
      <c r="W51" s="104"/>
      <c r="X51" s="103"/>
      <c r="Y51" s="103"/>
      <c r="Z51" s="103"/>
      <c r="AA51" s="99"/>
    </row>
    <row r="52" spans="2:29" ht="3" customHeight="1" x14ac:dyDescent="0.25">
      <c r="B52" s="96"/>
      <c r="C52" s="3"/>
      <c r="E52" s="4"/>
      <c r="F52" s="4"/>
      <c r="G52" s="5"/>
      <c r="H52" s="4"/>
      <c r="I52" s="5"/>
      <c r="J52" s="4"/>
      <c r="K52" s="5"/>
      <c r="L52" s="4"/>
      <c r="M52" s="5"/>
      <c r="N52" s="4"/>
      <c r="R52" s="98"/>
      <c r="S52" s="101"/>
      <c r="T52" s="102"/>
      <c r="U52" s="94"/>
      <c r="V52" s="95"/>
      <c r="W52" s="104"/>
      <c r="X52" s="103"/>
      <c r="Y52" s="103"/>
      <c r="Z52" s="103"/>
      <c r="AA52" s="99"/>
    </row>
    <row r="53" spans="2:29" ht="3" customHeight="1" x14ac:dyDescent="0.25">
      <c r="B53" s="96"/>
      <c r="C53" s="3"/>
      <c r="G53" s="3"/>
      <c r="I53" s="3"/>
      <c r="K53" s="3"/>
      <c r="M53" s="3"/>
      <c r="R53" s="100" t="str">
        <f>IF(R50="甲","",IF(OR(S50=0,S50="")=TRUE,"",IF(S50="入力ｴﾗｰ","","乙")))</f>
        <v/>
      </c>
      <c r="S53" s="101"/>
      <c r="U53" s="94"/>
      <c r="V53" s="95"/>
      <c r="W53" s="104"/>
      <c r="X53" s="103"/>
      <c r="Y53" s="103"/>
      <c r="Z53" s="103"/>
      <c r="AA53" s="99"/>
    </row>
    <row r="54" spans="2:29" ht="3" customHeight="1" x14ac:dyDescent="0.25">
      <c r="B54" s="96"/>
      <c r="C54" s="3"/>
      <c r="F54" s="2"/>
      <c r="G54" s="3"/>
      <c r="I54" s="3"/>
      <c r="K54" s="3"/>
      <c r="M54" s="3"/>
      <c r="R54" s="100"/>
      <c r="S54" s="101"/>
      <c r="U54" s="94"/>
      <c r="V54" s="95"/>
      <c r="W54" s="104"/>
      <c r="X54" s="103"/>
      <c r="Y54" s="103"/>
      <c r="Z54" s="103"/>
      <c r="AA54" s="99"/>
    </row>
    <row r="55" spans="2:29" ht="15" customHeight="1" x14ac:dyDescent="0.25">
      <c r="B55" s="96"/>
      <c r="C55" s="3"/>
      <c r="G55" s="18"/>
      <c r="H55" s="13" t="str">
        <f>IF(I55="","",IF(I55=0,"","L="))</f>
        <v/>
      </c>
      <c r="I55" s="97"/>
      <c r="J55" s="97"/>
      <c r="K55" s="14" t="str">
        <f>IF(I55="","",IF(I55=0,"","m"))</f>
        <v/>
      </c>
      <c r="N55" s="13" t="str">
        <f>IF(O55="","",IF(O55=0,"","L="))</f>
        <v>L=</v>
      </c>
      <c r="O55" s="97">
        <v>0.8</v>
      </c>
      <c r="P55" s="97"/>
      <c r="Q55" s="14" t="str">
        <f>IF(O55="","",IF(O55=0,"","m"))</f>
        <v>m</v>
      </c>
      <c r="R55" s="100"/>
      <c r="S55" s="101"/>
      <c r="U55" s="94"/>
      <c r="V55" s="95"/>
      <c r="W55" s="104"/>
      <c r="X55" s="103"/>
      <c r="Y55" s="103"/>
      <c r="Z55" s="103"/>
      <c r="AA55" s="99"/>
      <c r="AC55" s="1">
        <f>IF(U50="",0,IF(U50&gt;SUM(W50:AA55),U50-SUM(W50:AA55),0))</f>
        <v>0</v>
      </c>
    </row>
    <row r="56" spans="2:29" ht="6" customHeight="1" x14ac:dyDescent="0.2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2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25">
      <c r="B58" s="96">
        <f>IF(S58="","",IF(B50="","",1+B50))</f>
        <v>20</v>
      </c>
      <c r="C58" s="3"/>
      <c r="E58" s="13" t="str">
        <f>IF(F58="","",IF(F58=0,"","L="))</f>
        <v>L=</v>
      </c>
      <c r="F58" s="97">
        <v>4.7</v>
      </c>
      <c r="G58" s="97"/>
      <c r="H58" s="14" t="str">
        <f>IF(F58="","",IF(F58=0,"","m"))</f>
        <v>m</v>
      </c>
      <c r="K58" s="13" t="str">
        <f>IF(L58="","",IF(L58=0,"","L="))</f>
        <v/>
      </c>
      <c r="L58" s="97"/>
      <c r="M58" s="97"/>
      <c r="N58" s="14" t="str">
        <f>IF(L58="","",IF(L58=0,"","m"))</f>
        <v/>
      </c>
      <c r="R58" s="98" t="str">
        <f>IF(OR(S58="入力ｴﾗｰ",S58=0,S58="")=TRUE,"",IF(F58="","甲",IF(F58=0,"甲","")))</f>
        <v/>
      </c>
      <c r="S58" s="101">
        <f>IF((F58+I63+L58+O63)=0,"",IF((F58+I63+L58+O63)&gt;SUM($AC$1:$AC$3),"入力ｴﾗｰ",SUM($AC$1:$AC$3)-(F58+I63+L58+O63)))</f>
        <v>0.29999999999999982</v>
      </c>
      <c r="T58" s="102" t="str">
        <f>IF(S58="","",IF(S58="入力ｴﾗｰ","","m"))</f>
        <v>m</v>
      </c>
      <c r="U58" s="94">
        <f>IF(B58="","",COUNT(F58,I63,L58,O63)-IF(S58=0,1,0)-V58)</f>
        <v>1</v>
      </c>
      <c r="V58" s="95"/>
      <c r="W58" s="104">
        <v>1</v>
      </c>
      <c r="X58" s="103"/>
      <c r="Y58" s="103"/>
      <c r="Z58" s="103"/>
      <c r="AA58" s="99"/>
    </row>
    <row r="59" spans="2:29" ht="3" customHeight="1" x14ac:dyDescent="0.25">
      <c r="B59" s="96"/>
      <c r="C59" s="3"/>
      <c r="G59" s="3"/>
      <c r="I59" s="3"/>
      <c r="J59" s="2"/>
      <c r="K59" s="3"/>
      <c r="M59" s="3"/>
      <c r="R59" s="98"/>
      <c r="S59" s="101"/>
      <c r="T59" s="102"/>
      <c r="U59" s="94"/>
      <c r="V59" s="95"/>
      <c r="W59" s="104"/>
      <c r="X59" s="103"/>
      <c r="Y59" s="103"/>
      <c r="Z59" s="103"/>
      <c r="AA59" s="99"/>
    </row>
    <row r="60" spans="2:29" ht="3" customHeight="1" x14ac:dyDescent="0.25">
      <c r="B60" s="96"/>
      <c r="C60" s="3"/>
      <c r="G60" s="3"/>
      <c r="I60" s="3"/>
      <c r="J60" s="2"/>
      <c r="K60" s="3"/>
      <c r="M60" s="3"/>
      <c r="R60" s="98"/>
      <c r="S60" s="101"/>
      <c r="T60" s="102"/>
      <c r="U60" s="94"/>
      <c r="V60" s="95"/>
      <c r="W60" s="104"/>
      <c r="X60" s="103"/>
      <c r="Y60" s="103"/>
      <c r="Z60" s="103"/>
      <c r="AA60" s="99"/>
    </row>
    <row r="61" spans="2:29" ht="3" customHeight="1" x14ac:dyDescent="0.25">
      <c r="B61" s="96"/>
      <c r="C61" s="3"/>
      <c r="E61" s="6"/>
      <c r="F61" s="6"/>
      <c r="G61" s="7"/>
      <c r="H61" s="6"/>
      <c r="I61" s="7"/>
      <c r="J61" s="8"/>
      <c r="K61" s="7"/>
      <c r="L61" s="6"/>
      <c r="M61" s="7"/>
      <c r="N61" s="6"/>
      <c r="R61" s="100" t="str">
        <f>IF(R58="甲","",IF(OR(S58=0,S58="")=TRUE,"",IF(S58="入力ｴﾗｰ","","乙")))</f>
        <v>乙</v>
      </c>
      <c r="S61" s="101"/>
      <c r="U61" s="94"/>
      <c r="V61" s="95"/>
      <c r="W61" s="104"/>
      <c r="X61" s="103"/>
      <c r="Y61" s="103"/>
      <c r="Z61" s="103"/>
      <c r="AA61" s="99"/>
    </row>
    <row r="62" spans="2:29" ht="3" customHeight="1" x14ac:dyDescent="0.25">
      <c r="B62" s="96"/>
      <c r="C62" s="3"/>
      <c r="F62" s="2"/>
      <c r="G62" s="3"/>
      <c r="I62" s="3"/>
      <c r="J62" s="2"/>
      <c r="K62" s="3"/>
      <c r="M62" s="3"/>
      <c r="R62" s="100"/>
      <c r="S62" s="101"/>
      <c r="U62" s="94"/>
      <c r="V62" s="95"/>
      <c r="W62" s="104"/>
      <c r="X62" s="103"/>
      <c r="Y62" s="103"/>
      <c r="Z62" s="103"/>
      <c r="AA62" s="99"/>
    </row>
    <row r="63" spans="2:29" ht="15" customHeight="1" x14ac:dyDescent="0.25">
      <c r="B63" s="96"/>
      <c r="C63" s="3"/>
      <c r="G63" s="18"/>
      <c r="H63" s="13" t="str">
        <f>IF(I63="","",IF(I63=0,"","L="))</f>
        <v/>
      </c>
      <c r="I63" s="97"/>
      <c r="J63" s="97"/>
      <c r="K63" s="14" t="str">
        <f>IF(I63="","",IF(I63=0,"","m"))</f>
        <v/>
      </c>
      <c r="N63" s="13" t="str">
        <f>IF(O63="","",IF(O63=0,"","L="))</f>
        <v/>
      </c>
      <c r="O63" s="97"/>
      <c r="P63" s="97"/>
      <c r="Q63" s="14" t="str">
        <f>IF(O63="","",IF(O63=0,"","m"))</f>
        <v/>
      </c>
      <c r="R63" s="100"/>
      <c r="S63" s="101"/>
      <c r="U63" s="94"/>
      <c r="V63" s="95"/>
      <c r="W63" s="104"/>
      <c r="X63" s="103"/>
      <c r="Y63" s="103"/>
      <c r="Z63" s="103"/>
      <c r="AA63" s="99"/>
      <c r="AC63" s="1">
        <f>IF(U58="",0,IF(U58&gt;SUM(W58:AA63),U58-SUM(W58:AA63),0))</f>
        <v>0</v>
      </c>
    </row>
    <row r="64" spans="2:29" ht="6" customHeight="1" x14ac:dyDescent="0.2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2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25">
      <c r="B66" s="96">
        <f>IF(S66="","",IF(B58="","",1+B58))</f>
        <v>21</v>
      </c>
      <c r="C66" s="3"/>
      <c r="E66" s="13" t="str">
        <f>IF(F66="","",IF(F66=0,"","L="))</f>
        <v>L=</v>
      </c>
      <c r="F66" s="97">
        <v>2.9</v>
      </c>
      <c r="G66" s="97"/>
      <c r="H66" s="14" t="str">
        <f>IF(F66="","",IF(F66=0,"","m"))</f>
        <v>m</v>
      </c>
      <c r="K66" s="13" t="str">
        <f>IF(L66="","",IF(L66=0,"","L="))</f>
        <v/>
      </c>
      <c r="L66" s="97"/>
      <c r="M66" s="97"/>
      <c r="N66" s="14" t="str">
        <f>IF(L66="","",IF(L66=0,"","m"))</f>
        <v/>
      </c>
      <c r="R66" s="98" t="str">
        <f>IF(OR(S66="入力ｴﾗｰ",S66=0,S66="")=TRUE,"",IF(F66="","甲",IF(F66=0,"甲","")))</f>
        <v/>
      </c>
      <c r="S66" s="101">
        <f>IF((F66+I71+L66+O71)=0,"",IF((F66+I71+L66+O71)&gt;SUM($AC$1:$AC$3),"入力ｴﾗｰ",SUM($AC$1:$AC$3)-(F66+I71+L66+O71)))</f>
        <v>0</v>
      </c>
      <c r="T66" s="102" t="str">
        <f>IF(S66="","",IF(S66="入力ｴﾗｰ","","m"))</f>
        <v>m</v>
      </c>
      <c r="U66" s="94">
        <f>IF(B66="","",COUNT(F66,I71,L66,O71)-IF(S66=0,1,0)-V66)</f>
        <v>1</v>
      </c>
      <c r="V66" s="95"/>
      <c r="W66" s="104">
        <v>2</v>
      </c>
      <c r="X66" s="103"/>
      <c r="Y66" s="103"/>
      <c r="Z66" s="103"/>
      <c r="AA66" s="99"/>
    </row>
    <row r="67" spans="2:29" ht="3" customHeight="1" x14ac:dyDescent="0.25">
      <c r="B67" s="96"/>
      <c r="C67" s="3"/>
      <c r="G67" s="3"/>
      <c r="H67" s="2"/>
      <c r="K67" s="3"/>
      <c r="M67" s="3"/>
      <c r="R67" s="98"/>
      <c r="S67" s="101"/>
      <c r="T67" s="102"/>
      <c r="U67" s="94"/>
      <c r="V67" s="95"/>
      <c r="W67" s="104"/>
      <c r="X67" s="103"/>
      <c r="Y67" s="103"/>
      <c r="Z67" s="103"/>
      <c r="AA67" s="99"/>
    </row>
    <row r="68" spans="2:29" ht="3" customHeight="1" x14ac:dyDescent="0.25">
      <c r="B68" s="96"/>
      <c r="C68" s="3"/>
      <c r="E68" s="4"/>
      <c r="F68" s="4"/>
      <c r="G68" s="5"/>
      <c r="H68" s="55"/>
      <c r="I68" s="4"/>
      <c r="J68" s="4"/>
      <c r="K68" s="5"/>
      <c r="L68" s="4"/>
      <c r="M68" s="5"/>
      <c r="N68" s="4"/>
      <c r="R68" s="98"/>
      <c r="S68" s="101"/>
      <c r="T68" s="102"/>
      <c r="U68" s="94"/>
      <c r="V68" s="95"/>
      <c r="W68" s="104"/>
      <c r="X68" s="103"/>
      <c r="Y68" s="103"/>
      <c r="Z68" s="103"/>
      <c r="AA68" s="99"/>
    </row>
    <row r="69" spans="2:29" ht="3" customHeight="1" x14ac:dyDescent="0.25">
      <c r="B69" s="96"/>
      <c r="C69" s="3"/>
      <c r="F69" s="2"/>
      <c r="G69" s="3"/>
      <c r="H69" s="2"/>
      <c r="I69" s="3"/>
      <c r="J69" s="2"/>
      <c r="K69" s="3"/>
      <c r="M69" s="3"/>
      <c r="R69" s="100" t="str">
        <f>IF(R66="甲","",IF(OR(S66=0,S66="")=TRUE,"",IF(S66="入力ｴﾗｰ","","乙")))</f>
        <v/>
      </c>
      <c r="S69" s="101"/>
      <c r="U69" s="94"/>
      <c r="V69" s="95"/>
      <c r="W69" s="104"/>
      <c r="X69" s="103"/>
      <c r="Y69" s="103"/>
      <c r="Z69" s="103"/>
      <c r="AA69" s="99"/>
    </row>
    <row r="70" spans="2:29" ht="3" customHeight="1" x14ac:dyDescent="0.25">
      <c r="B70" s="96"/>
      <c r="C70" s="3"/>
      <c r="F70" s="2"/>
      <c r="G70" s="3"/>
      <c r="H70" s="2"/>
      <c r="K70" s="3"/>
      <c r="M70" s="3"/>
      <c r="R70" s="100"/>
      <c r="S70" s="101"/>
      <c r="U70" s="94"/>
      <c r="V70" s="95"/>
      <c r="W70" s="104"/>
      <c r="X70" s="103"/>
      <c r="Y70" s="103"/>
      <c r="Z70" s="103"/>
      <c r="AA70" s="99"/>
    </row>
    <row r="71" spans="2:29" ht="15" customHeight="1" x14ac:dyDescent="0.25">
      <c r="B71" s="96"/>
      <c r="C71" s="3"/>
      <c r="G71" s="18"/>
      <c r="H71" s="13" t="str">
        <f>IF(I71="","",IF(I71=0,"","L="))</f>
        <v/>
      </c>
      <c r="I71" s="97"/>
      <c r="J71" s="97"/>
      <c r="K71" s="14" t="str">
        <f>IF(I71="","",IF(I71=0,"","m"))</f>
        <v/>
      </c>
      <c r="N71" s="13" t="str">
        <f>IF(O71="","",IF(O71=0,"","L="))</f>
        <v>L=</v>
      </c>
      <c r="O71" s="97">
        <v>2.1</v>
      </c>
      <c r="P71" s="97"/>
      <c r="Q71" s="14" t="str">
        <f>IF(O71="","",IF(O71=0,"","m"))</f>
        <v>m</v>
      </c>
      <c r="R71" s="100"/>
      <c r="S71" s="101"/>
      <c r="U71" s="94"/>
      <c r="V71" s="95"/>
      <c r="W71" s="104"/>
      <c r="X71" s="103"/>
      <c r="Y71" s="103"/>
      <c r="Z71" s="103"/>
      <c r="AA71" s="99"/>
      <c r="AC71" s="1">
        <f>IF(U66="",0,IF(U66&gt;SUM(W66:AA71),U66-SUM(W66:AA71),0))</f>
        <v>0</v>
      </c>
    </row>
    <row r="72" spans="2:29" ht="6" customHeight="1" x14ac:dyDescent="0.2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2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25">
      <c r="B74" s="96">
        <f>IF(S74="","",IF(B66="","",1+B66))</f>
        <v>22</v>
      </c>
      <c r="C74" s="3"/>
      <c r="E74" s="13" t="str">
        <f>IF(F74="","",IF(F74=0,"","L="))</f>
        <v>L=</v>
      </c>
      <c r="F74" s="97">
        <v>3.9</v>
      </c>
      <c r="G74" s="97"/>
      <c r="H74" s="14" t="str">
        <f>IF(F74="","",IF(F74=0,"","m"))</f>
        <v>m</v>
      </c>
      <c r="K74" s="13" t="str">
        <f>IF(L74="","",IF(L74=0,"","L="))</f>
        <v/>
      </c>
      <c r="L74" s="97"/>
      <c r="M74" s="97"/>
      <c r="N74" s="14" t="str">
        <f>IF(L74="","",IF(L74=0,"","m"))</f>
        <v/>
      </c>
      <c r="R74" s="98" t="str">
        <f>IF(OR(S74="入力ｴﾗｰ",S74=0,S74="")=TRUE,"",IF(F74="","甲",IF(F74=0,"甲","")))</f>
        <v/>
      </c>
      <c r="S74" s="101">
        <f>IF((F74+I79+L74+O79)=0,"",IF((F74+I79+L74+O79)&gt;SUM($AC$1:$AC$3),"入力ｴﾗｰ",SUM($AC$1:$AC$3)-(F74+I79+L74+O79)))</f>
        <v>1.1000000000000001</v>
      </c>
      <c r="T74" s="102" t="str">
        <f>IF(S74="","",IF(S74="入力ｴﾗｰ","","m"))</f>
        <v>m</v>
      </c>
      <c r="U74" s="94">
        <f>IF(B74="","",COUNT(F74,I79,L74,O79)-IF(S74=0,1,0)-V74)</f>
        <v>1</v>
      </c>
      <c r="V74" s="95"/>
      <c r="W74" s="104">
        <v>1</v>
      </c>
      <c r="X74" s="103"/>
      <c r="Y74" s="103"/>
      <c r="Z74" s="103"/>
      <c r="AA74" s="99"/>
    </row>
    <row r="75" spans="2:29" ht="3" customHeight="1" x14ac:dyDescent="0.25">
      <c r="B75" s="96"/>
      <c r="C75" s="3"/>
      <c r="G75" s="3"/>
      <c r="H75" s="2"/>
      <c r="K75" s="3"/>
      <c r="M75" s="3"/>
      <c r="R75" s="98"/>
      <c r="S75" s="101"/>
      <c r="T75" s="102"/>
      <c r="U75" s="94"/>
      <c r="V75" s="95"/>
      <c r="W75" s="104"/>
      <c r="X75" s="103"/>
      <c r="Y75" s="103"/>
      <c r="Z75" s="103"/>
      <c r="AA75" s="99"/>
    </row>
    <row r="76" spans="2:29" ht="3" customHeight="1" x14ac:dyDescent="0.25">
      <c r="B76" s="96"/>
      <c r="C76" s="3"/>
      <c r="G76" s="3"/>
      <c r="H76" s="2"/>
      <c r="K76" s="3"/>
      <c r="M76" s="3"/>
      <c r="R76" s="98"/>
      <c r="S76" s="101"/>
      <c r="T76" s="102"/>
      <c r="U76" s="94"/>
      <c r="V76" s="95"/>
      <c r="W76" s="104"/>
      <c r="X76" s="103"/>
      <c r="Y76" s="103"/>
      <c r="Z76" s="103"/>
      <c r="AA76" s="99"/>
    </row>
    <row r="77" spans="2:29" ht="3" customHeight="1" x14ac:dyDescent="0.25">
      <c r="B77" s="96"/>
      <c r="C77" s="3"/>
      <c r="E77" s="6"/>
      <c r="F77" s="8"/>
      <c r="G77" s="7"/>
      <c r="H77" s="8"/>
      <c r="I77" s="7"/>
      <c r="J77" s="8"/>
      <c r="K77" s="7"/>
      <c r="L77" s="6"/>
      <c r="M77" s="7"/>
      <c r="N77" s="6"/>
      <c r="R77" s="100" t="str">
        <f>IF(R74="甲","",IF(OR(S74=0,S74="")=TRUE,"",IF(S74="入力ｴﾗｰ","","乙")))</f>
        <v>乙</v>
      </c>
      <c r="S77" s="101"/>
      <c r="U77" s="94"/>
      <c r="V77" s="95"/>
      <c r="W77" s="104"/>
      <c r="X77" s="103"/>
      <c r="Y77" s="103"/>
      <c r="Z77" s="103"/>
      <c r="AA77" s="99"/>
    </row>
    <row r="78" spans="2:29" ht="3" customHeight="1" x14ac:dyDescent="0.25">
      <c r="B78" s="96"/>
      <c r="C78" s="3"/>
      <c r="F78" s="2"/>
      <c r="G78" s="3"/>
      <c r="H78" s="2"/>
      <c r="J78" s="2"/>
      <c r="K78" s="3"/>
      <c r="M78" s="3"/>
      <c r="R78" s="100"/>
      <c r="S78" s="101"/>
      <c r="U78" s="94"/>
      <c r="V78" s="95"/>
      <c r="W78" s="104"/>
      <c r="X78" s="103"/>
      <c r="Y78" s="103"/>
      <c r="Z78" s="103"/>
      <c r="AA78" s="99"/>
    </row>
    <row r="79" spans="2:29" ht="15" customHeight="1" x14ac:dyDescent="0.25">
      <c r="B79" s="96"/>
      <c r="C79" s="3"/>
      <c r="G79" s="18"/>
      <c r="H79" s="13" t="str">
        <f>IF(I79="","",IF(I79=0,"","L="))</f>
        <v/>
      </c>
      <c r="I79" s="97"/>
      <c r="J79" s="97"/>
      <c r="K79" s="14" t="str">
        <f>IF(I79="","",IF(I79=0,"","m"))</f>
        <v/>
      </c>
      <c r="N79" s="13" t="str">
        <f>IF(O79="","",IF(O79=0,"","L="))</f>
        <v/>
      </c>
      <c r="O79" s="97"/>
      <c r="P79" s="97"/>
      <c r="Q79" s="14" t="str">
        <f>IF(O79="","",IF(O79=0,"","m"))</f>
        <v/>
      </c>
      <c r="R79" s="100"/>
      <c r="S79" s="101"/>
      <c r="U79" s="94"/>
      <c r="V79" s="95"/>
      <c r="W79" s="104"/>
      <c r="X79" s="103"/>
      <c r="Y79" s="103"/>
      <c r="Z79" s="103"/>
      <c r="AA79" s="99"/>
      <c r="AC79" s="1">
        <f>IF(U74="",0,IF(U74&gt;SUM(W74:AA79),U74-SUM(W74:AA79),0))</f>
        <v>0</v>
      </c>
    </row>
    <row r="80" spans="2:29" ht="6" customHeight="1" x14ac:dyDescent="0.2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2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25">
      <c r="B82" s="96">
        <f>IF(S82="","",IF(B74="","",1+B74))</f>
        <v>23</v>
      </c>
      <c r="C82" s="3"/>
      <c r="E82" s="13" t="str">
        <f>IF(F82="","",IF(F82=0,"","L="))</f>
        <v>L=</v>
      </c>
      <c r="F82" s="97">
        <v>3.2</v>
      </c>
      <c r="G82" s="97"/>
      <c r="H82" s="14" t="str">
        <f>IF(F82="","",IF(F82=0,"","m"))</f>
        <v>m</v>
      </c>
      <c r="K82" s="13" t="str">
        <f>IF(L82="","",IF(L82=0,"","L="))</f>
        <v/>
      </c>
      <c r="L82" s="97"/>
      <c r="M82" s="97"/>
      <c r="N82" s="14" t="str">
        <f>IF(L82="","",IF(L82=0,"","m"))</f>
        <v/>
      </c>
      <c r="R82" s="98" t="str">
        <f>IF(OR(S82="入力ｴﾗｰ",S82=0,S82="")=TRUE,"",IF(F82="","甲",IF(F82=0,"甲","")))</f>
        <v/>
      </c>
      <c r="S82" s="101">
        <f>IF((F82+I87+L82+O87)=0,"",IF((F82+I87+L82+O87)&gt;SUM($AC$1:$AC$3),"入力ｴﾗｰ",SUM($AC$1:$AC$3)-(F82+I87+L82+O87)))</f>
        <v>1.7999999999999998</v>
      </c>
      <c r="T82" s="102" t="str">
        <f>IF(S82="","",IF(S82="入力ｴﾗｰ","","m"))</f>
        <v>m</v>
      </c>
      <c r="U82" s="94">
        <f>IF(B82="","",COUNT(F82,I87,L82,O87)-IF(S82=0,1,0)-V82)</f>
        <v>1</v>
      </c>
      <c r="V82" s="95"/>
      <c r="W82" s="104">
        <v>1</v>
      </c>
      <c r="X82" s="103"/>
      <c r="Y82" s="103"/>
      <c r="Z82" s="103"/>
      <c r="AA82" s="99"/>
    </row>
    <row r="83" spans="2:29" ht="3" customHeight="1" x14ac:dyDescent="0.25">
      <c r="B83" s="96"/>
      <c r="C83" s="3"/>
      <c r="G83" s="3"/>
      <c r="H83" s="2"/>
      <c r="K83" s="3"/>
      <c r="M83" s="3"/>
      <c r="R83" s="98"/>
      <c r="S83" s="101"/>
      <c r="T83" s="102"/>
      <c r="U83" s="94"/>
      <c r="V83" s="95"/>
      <c r="W83" s="104"/>
      <c r="X83" s="103"/>
      <c r="Y83" s="103"/>
      <c r="Z83" s="103"/>
      <c r="AA83" s="99"/>
    </row>
    <row r="84" spans="2:29" ht="3" customHeight="1" x14ac:dyDescent="0.25">
      <c r="B84" s="96"/>
      <c r="C84" s="3"/>
      <c r="E84" s="4"/>
      <c r="F84" s="4"/>
      <c r="G84" s="5"/>
      <c r="H84" s="55"/>
      <c r="I84" s="4"/>
      <c r="J84" s="4"/>
      <c r="K84" s="5"/>
      <c r="L84" s="4"/>
      <c r="M84" s="5"/>
      <c r="N84" s="4"/>
      <c r="R84" s="98"/>
      <c r="S84" s="101"/>
      <c r="T84" s="102"/>
      <c r="U84" s="94"/>
      <c r="V84" s="95"/>
      <c r="W84" s="104"/>
      <c r="X84" s="103"/>
      <c r="Y84" s="103"/>
      <c r="Z84" s="103"/>
      <c r="AA84" s="99"/>
    </row>
    <row r="85" spans="2:29" ht="3" customHeight="1" x14ac:dyDescent="0.25">
      <c r="B85" s="96"/>
      <c r="C85" s="3"/>
      <c r="G85" s="3"/>
      <c r="H85" s="2"/>
      <c r="I85" s="3"/>
      <c r="J85" s="2"/>
      <c r="K85" s="3"/>
      <c r="M85" s="3"/>
      <c r="R85" s="100" t="str">
        <f>IF(R82="甲","",IF(OR(S82=0,S82="")=TRUE,"",IF(S82="入力ｴﾗｰ","","乙")))</f>
        <v>乙</v>
      </c>
      <c r="S85" s="101"/>
      <c r="U85" s="94"/>
      <c r="V85" s="95"/>
      <c r="W85" s="104"/>
      <c r="X85" s="103"/>
      <c r="Y85" s="103"/>
      <c r="Z85" s="103"/>
      <c r="AA85" s="99"/>
    </row>
    <row r="86" spans="2:29" ht="3" customHeight="1" x14ac:dyDescent="0.25">
      <c r="B86" s="96"/>
      <c r="C86" s="3"/>
      <c r="F86" s="2"/>
      <c r="G86" s="3"/>
      <c r="H86" s="2"/>
      <c r="K86" s="3"/>
      <c r="M86" s="3"/>
      <c r="R86" s="100"/>
      <c r="S86" s="101"/>
      <c r="U86" s="94"/>
      <c r="V86" s="95"/>
      <c r="W86" s="104"/>
      <c r="X86" s="103"/>
      <c r="Y86" s="103"/>
      <c r="Z86" s="103"/>
      <c r="AA86" s="99"/>
    </row>
    <row r="87" spans="2:29" ht="15" customHeight="1" x14ac:dyDescent="0.25">
      <c r="B87" s="96"/>
      <c r="C87" s="3"/>
      <c r="G87" s="18"/>
      <c r="H87" s="13" t="str">
        <f>IF(I87="","",IF(I87=0,"","L="))</f>
        <v/>
      </c>
      <c r="I87" s="97"/>
      <c r="J87" s="97"/>
      <c r="K87" s="14" t="str">
        <f>IF(I87="","",IF(I87=0,"","m"))</f>
        <v/>
      </c>
      <c r="N87" s="13" t="str">
        <f>IF(O87="","",IF(O87=0,"","L="))</f>
        <v/>
      </c>
      <c r="O87" s="97"/>
      <c r="P87" s="97"/>
      <c r="Q87" s="14" t="str">
        <f>IF(O87="","",IF(O87=0,"","m"))</f>
        <v/>
      </c>
      <c r="R87" s="100"/>
      <c r="S87" s="101"/>
      <c r="U87" s="94"/>
      <c r="V87" s="95"/>
      <c r="W87" s="104"/>
      <c r="X87" s="103"/>
      <c r="Y87" s="103"/>
      <c r="Z87" s="103"/>
      <c r="AA87" s="99"/>
      <c r="AC87" s="1">
        <f>IF(U82="",0,IF(U82&gt;SUM(W82:AA87),U82-SUM(W82:AA87),0))</f>
        <v>0</v>
      </c>
    </row>
    <row r="88" spans="2:29" ht="6" customHeight="1" x14ac:dyDescent="0.2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2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25">
      <c r="B90" s="96">
        <f>IF(S90="","",IF(B82="","",1+B82))</f>
        <v>24</v>
      </c>
      <c r="C90" s="3"/>
      <c r="E90" s="13" t="str">
        <f>IF(F90="","",IF(F90=0,"","L="))</f>
        <v>L=</v>
      </c>
      <c r="F90" s="97">
        <v>0.9</v>
      </c>
      <c r="G90" s="97"/>
      <c r="H90" s="14" t="str">
        <f>IF(F90="","",IF(F90=0,"","m"))</f>
        <v>m</v>
      </c>
      <c r="K90" s="13" t="str">
        <f>IF(L90="","",IF(L90=0,"","L="))</f>
        <v/>
      </c>
      <c r="L90" s="97"/>
      <c r="M90" s="97"/>
      <c r="N90" s="14" t="str">
        <f>IF(L90="","",IF(L90=0,"","m"))</f>
        <v/>
      </c>
      <c r="R90" s="98" t="str">
        <f>IF(OR(S90="入力ｴﾗｰ",S90=0,S90="")=TRUE,"",IF(F90="","甲",IF(F90=0,"甲","")))</f>
        <v/>
      </c>
      <c r="S90" s="101">
        <f>IF((F90+I95+L90+O95)=0,"",IF((F90+I95+L90+O95)&gt;SUM($AC$1:$AC$3),"入力ｴﾗｰ",SUM($AC$1:$AC$3)-(F90+I95+L90+O95)))</f>
        <v>4.0999999999999996</v>
      </c>
      <c r="T90" s="102" t="str">
        <f>IF(S90="","",IF(S90="入力ｴﾗｰ","","m"))</f>
        <v>m</v>
      </c>
      <c r="U90" s="94">
        <f>IF(B90="","",COUNT(F90,I95,L90,O95)-IF(S90=0,1,0)-V90)</f>
        <v>1</v>
      </c>
      <c r="V90" s="95"/>
      <c r="W90" s="104">
        <v>1</v>
      </c>
      <c r="X90" s="103"/>
      <c r="Y90" s="103"/>
      <c r="Z90" s="103"/>
      <c r="AA90" s="99"/>
    </row>
    <row r="91" spans="2:29" ht="3" customHeight="1" x14ac:dyDescent="0.25">
      <c r="B91" s="96"/>
      <c r="C91" s="3"/>
      <c r="G91" s="3"/>
      <c r="H91" s="2"/>
      <c r="K91" s="3"/>
      <c r="M91" s="3"/>
      <c r="R91" s="98"/>
      <c r="S91" s="101"/>
      <c r="T91" s="102"/>
      <c r="U91" s="94"/>
      <c r="V91" s="95"/>
      <c r="W91" s="104"/>
      <c r="X91" s="103"/>
      <c r="Y91" s="103"/>
      <c r="Z91" s="103"/>
      <c r="AA91" s="99"/>
    </row>
    <row r="92" spans="2:29" ht="3" customHeight="1" x14ac:dyDescent="0.25">
      <c r="B92" s="96"/>
      <c r="C92" s="3"/>
      <c r="G92" s="3"/>
      <c r="H92" s="2"/>
      <c r="K92" s="3"/>
      <c r="M92" s="3"/>
      <c r="R92" s="98"/>
      <c r="S92" s="101"/>
      <c r="T92" s="102"/>
      <c r="U92" s="94"/>
      <c r="V92" s="95"/>
      <c r="W92" s="104"/>
      <c r="X92" s="103"/>
      <c r="Y92" s="103"/>
      <c r="Z92" s="103"/>
      <c r="AA92" s="99"/>
    </row>
    <row r="93" spans="2:29" ht="3" customHeight="1" x14ac:dyDescent="0.25">
      <c r="B93" s="96"/>
      <c r="C93" s="3"/>
      <c r="E93" s="6"/>
      <c r="F93" s="6"/>
      <c r="G93" s="7"/>
      <c r="H93" s="8"/>
      <c r="I93" s="7"/>
      <c r="J93" s="8"/>
      <c r="K93" s="7"/>
      <c r="L93" s="6"/>
      <c r="M93" s="7"/>
      <c r="N93" s="6"/>
      <c r="R93" s="100" t="str">
        <f>IF(R90="甲","",IF(OR(S90=0,S90="")=TRUE,"",IF(S90="入力ｴﾗｰ","","乙")))</f>
        <v>乙</v>
      </c>
      <c r="S93" s="101"/>
      <c r="U93" s="94"/>
      <c r="V93" s="95"/>
      <c r="W93" s="104"/>
      <c r="X93" s="103"/>
      <c r="Y93" s="103"/>
      <c r="Z93" s="103"/>
      <c r="AA93" s="99"/>
    </row>
    <row r="94" spans="2:29" ht="3" customHeight="1" x14ac:dyDescent="0.25">
      <c r="B94" s="96"/>
      <c r="C94" s="3"/>
      <c r="F94" s="2"/>
      <c r="G94" s="3"/>
      <c r="H94" s="2"/>
      <c r="K94" s="3"/>
      <c r="M94" s="3"/>
      <c r="R94" s="100"/>
      <c r="S94" s="101"/>
      <c r="U94" s="94"/>
      <c r="V94" s="95"/>
      <c r="W94" s="104"/>
      <c r="X94" s="103"/>
      <c r="Y94" s="103"/>
      <c r="Z94" s="103"/>
      <c r="AA94" s="99"/>
    </row>
    <row r="95" spans="2:29" ht="15" customHeight="1" x14ac:dyDescent="0.25">
      <c r="B95" s="96"/>
      <c r="C95" s="3"/>
      <c r="G95" s="18"/>
      <c r="H95" s="13" t="str">
        <f>IF(I95="","",IF(I95=0,"","L="))</f>
        <v/>
      </c>
      <c r="I95" s="97"/>
      <c r="J95" s="97"/>
      <c r="K95" s="14" t="str">
        <f>IF(I95="","",IF(I95=0,"","m"))</f>
        <v/>
      </c>
      <c r="N95" s="13" t="str">
        <f>IF(O95="","",IF(O95=0,"","L="))</f>
        <v/>
      </c>
      <c r="O95" s="97"/>
      <c r="P95" s="97"/>
      <c r="Q95" s="14" t="str">
        <f>IF(O95="","",IF(O95=0,"","m"))</f>
        <v/>
      </c>
      <c r="R95" s="100"/>
      <c r="S95" s="101"/>
      <c r="U95" s="94"/>
      <c r="V95" s="95"/>
      <c r="W95" s="104"/>
      <c r="X95" s="103"/>
      <c r="Y95" s="103"/>
      <c r="Z95" s="103"/>
      <c r="AA95" s="99"/>
      <c r="AC95" s="1">
        <f>IF(U90="",0,IF(U90&gt;SUM(W90:AA95),U90-SUM(W90:AA95),0))</f>
        <v>0</v>
      </c>
    </row>
    <row r="96" spans="2:29" ht="6" customHeight="1" x14ac:dyDescent="0.2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2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25">
      <c r="B98" s="96" t="s">
        <v>43</v>
      </c>
      <c r="C98" s="3"/>
      <c r="E98" s="13" t="str">
        <f>IF(F98="","",IF(F98=0,"","L="))</f>
        <v/>
      </c>
      <c r="F98" s="97"/>
      <c r="G98" s="97"/>
      <c r="H98" s="14" t="str">
        <f>IF(F98="","",IF(F98=0,"","m"))</f>
        <v/>
      </c>
      <c r="K98" s="13" t="str">
        <f>IF(L98="","",IF(L98=0,"","L="))</f>
        <v/>
      </c>
      <c r="L98" s="97"/>
      <c r="M98" s="97"/>
      <c r="N98" s="14" t="str">
        <f>IF(L98="","",IF(L98=0,"","m"))</f>
        <v/>
      </c>
      <c r="R98" s="98" t="str">
        <f>IF(OR(S98="入力ｴﾗｰ",S98=0,S98="")=TRUE,"",IF(F98="","甲",IF(F98=0,"甲","")))</f>
        <v/>
      </c>
      <c r="S98" s="101" t="str">
        <f>IF((F98+I103+L98+O103)=0,"",IF((F98+I103+L98+O103)&gt;SUM($AC$1:$AC$3),"入力ｴﾗｰ",SUM($AC$1:$AC$3)-(F98+I103+L98+O103)))</f>
        <v/>
      </c>
      <c r="T98" s="102" t="str">
        <f>IF(S98="","",IF(S98="入力ｴﾗｰ","","m"))</f>
        <v/>
      </c>
      <c r="U98" s="94">
        <v>1</v>
      </c>
      <c r="V98" s="95"/>
      <c r="W98" s="104">
        <v>1</v>
      </c>
      <c r="X98" s="103"/>
      <c r="Y98" s="103"/>
      <c r="Z98" s="103"/>
      <c r="AA98" s="99"/>
    </row>
    <row r="99" spans="2:29" ht="3" customHeight="1" x14ac:dyDescent="0.25">
      <c r="B99" s="96"/>
      <c r="C99" s="3"/>
      <c r="G99" s="3"/>
      <c r="H99" s="2"/>
      <c r="K99" s="3"/>
      <c r="M99" s="3"/>
      <c r="R99" s="98"/>
      <c r="S99" s="101"/>
      <c r="T99" s="102"/>
      <c r="U99" s="94"/>
      <c r="V99" s="95"/>
      <c r="W99" s="104"/>
      <c r="X99" s="103"/>
      <c r="Y99" s="103"/>
      <c r="Z99" s="103"/>
      <c r="AA99" s="99"/>
    </row>
    <row r="100" spans="2:29" ht="3" customHeight="1" x14ac:dyDescent="0.25">
      <c r="B100" s="96"/>
      <c r="C100" s="3"/>
      <c r="E100" s="4"/>
      <c r="F100" s="4"/>
      <c r="G100" s="5"/>
      <c r="H100" s="55"/>
      <c r="I100" s="4"/>
      <c r="J100" s="4"/>
      <c r="K100" s="5"/>
      <c r="L100" s="4"/>
      <c r="M100" s="5"/>
      <c r="N100" s="4"/>
      <c r="R100" s="98"/>
      <c r="S100" s="101"/>
      <c r="T100" s="102"/>
      <c r="U100" s="94"/>
      <c r="V100" s="95"/>
      <c r="W100" s="104"/>
      <c r="X100" s="103"/>
      <c r="Y100" s="103"/>
      <c r="Z100" s="103"/>
      <c r="AA100" s="99"/>
    </row>
    <row r="101" spans="2:29" ht="3" customHeight="1" x14ac:dyDescent="0.25">
      <c r="B101" s="96"/>
      <c r="C101" s="3"/>
      <c r="G101" s="3"/>
      <c r="H101" s="2"/>
      <c r="I101" s="3"/>
      <c r="J101" s="2"/>
      <c r="K101" s="3"/>
      <c r="M101" s="3"/>
      <c r="R101" s="100" t="str">
        <f>IF(R98="甲","",IF(OR(S98=0,S98="")=TRUE,"",IF(S98="入力ｴﾗｰ","","乙")))</f>
        <v/>
      </c>
      <c r="S101" s="101"/>
      <c r="U101" s="94"/>
      <c r="V101" s="95"/>
      <c r="W101" s="104"/>
      <c r="X101" s="103"/>
      <c r="Y101" s="103"/>
      <c r="Z101" s="103"/>
      <c r="AA101" s="99"/>
    </row>
    <row r="102" spans="2:29" ht="3" customHeight="1" x14ac:dyDescent="0.25">
      <c r="B102" s="96"/>
      <c r="C102" s="3"/>
      <c r="F102" s="2"/>
      <c r="G102" s="3"/>
      <c r="H102" s="2"/>
      <c r="K102" s="3"/>
      <c r="M102" s="3"/>
      <c r="R102" s="100"/>
      <c r="S102" s="101"/>
      <c r="U102" s="94"/>
      <c r="V102" s="95"/>
      <c r="W102" s="104"/>
      <c r="X102" s="103"/>
      <c r="Y102" s="103"/>
      <c r="Z102" s="103"/>
      <c r="AA102" s="99"/>
    </row>
    <row r="103" spans="2:29" ht="15" customHeight="1" x14ac:dyDescent="0.25">
      <c r="B103" s="96"/>
      <c r="C103" s="3"/>
      <c r="G103" s="18"/>
      <c r="H103" s="13" t="str">
        <f>IF(I103="","",IF(I103=0,"","L="))</f>
        <v/>
      </c>
      <c r="I103" s="97"/>
      <c r="J103" s="97"/>
      <c r="K103" s="14" t="str">
        <f>IF(I103="","",IF(I103=0,"","m"))</f>
        <v/>
      </c>
      <c r="N103" s="13" t="str">
        <f>IF(O103="","",IF(O103=0,"","L="))</f>
        <v/>
      </c>
      <c r="O103" s="97"/>
      <c r="P103" s="97"/>
      <c r="Q103" s="14" t="str">
        <f>IF(O103="","",IF(O103=0,"","m"))</f>
        <v/>
      </c>
      <c r="R103" s="100"/>
      <c r="S103" s="101"/>
      <c r="U103" s="94"/>
      <c r="V103" s="95"/>
      <c r="W103" s="104"/>
      <c r="X103" s="103"/>
      <c r="Y103" s="103"/>
      <c r="Z103" s="103"/>
      <c r="AA103" s="99"/>
      <c r="AC103" s="1">
        <f>IF(U98="",0,IF(U98&gt;SUM(W98:AA103),U98-SUM(W98:AA103),0))</f>
        <v>0</v>
      </c>
    </row>
    <row r="104" spans="2:29" ht="6" customHeight="1" x14ac:dyDescent="0.2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15" customHeight="1" x14ac:dyDescent="0.25">
      <c r="B105" s="84" t="s">
        <v>38</v>
      </c>
      <c r="C105" s="85"/>
      <c r="D105" s="85"/>
      <c r="E105" s="85"/>
      <c r="F105" s="86"/>
      <c r="G105" s="47" t="s">
        <v>21</v>
      </c>
      <c r="H105" s="48"/>
      <c r="I105" s="48"/>
      <c r="J105" s="49"/>
      <c r="K105" s="50"/>
      <c r="L105" s="48"/>
      <c r="M105" s="49" t="s">
        <v>18</v>
      </c>
      <c r="N105" s="50"/>
      <c r="O105" s="48"/>
      <c r="P105" s="48"/>
      <c r="Q105" s="49"/>
      <c r="R105" s="48"/>
      <c r="S105" s="48"/>
      <c r="T105" s="48" t="s">
        <v>22</v>
      </c>
      <c r="U105" s="9"/>
      <c r="V105" s="77"/>
      <c r="W105" s="22"/>
      <c r="X105" s="23"/>
      <c r="Y105" s="23"/>
      <c r="Z105" s="23"/>
      <c r="AA105" s="37"/>
    </row>
    <row r="106" spans="2:29" ht="30" customHeight="1" thickBot="1" x14ac:dyDescent="0.3">
      <c r="B106" s="87"/>
      <c r="C106" s="88"/>
      <c r="D106" s="88"/>
      <c r="E106" s="88"/>
      <c r="F106" s="89"/>
      <c r="G106" s="25" t="str">
        <f>U2</f>
        <v>GX</v>
      </c>
      <c r="H106" s="88">
        <f>Y2</f>
        <v>150</v>
      </c>
      <c r="I106" s="88"/>
      <c r="J106" s="89"/>
      <c r="K106" s="90">
        <f>IF(B10="",0,LARGE(B10:B104,1))-13</f>
        <v>11</v>
      </c>
      <c r="L106" s="91"/>
      <c r="M106" s="21"/>
      <c r="N106" s="25"/>
      <c r="O106" s="20"/>
      <c r="P106" s="20"/>
      <c r="Q106" s="21"/>
      <c r="R106" s="92">
        <f>SUM(S10:S104)</f>
        <v>10.7</v>
      </c>
      <c r="S106" s="93"/>
      <c r="T106" s="20"/>
      <c r="U106" s="51">
        <f t="shared" ref="U106:AA106" si="0">SUM(U10:U104)</f>
        <v>14</v>
      </c>
      <c r="V106" s="79">
        <f t="shared" si="0"/>
        <v>0</v>
      </c>
      <c r="W106" s="73">
        <f t="shared" si="0"/>
        <v>17</v>
      </c>
      <c r="X106" s="53">
        <f t="shared" si="0"/>
        <v>0</v>
      </c>
      <c r="Y106" s="53">
        <f t="shared" si="0"/>
        <v>0</v>
      </c>
      <c r="Z106" s="53">
        <f t="shared" si="0"/>
        <v>0</v>
      </c>
      <c r="AA106" s="54">
        <f t="shared" si="0"/>
        <v>0</v>
      </c>
      <c r="AC106" s="1">
        <f>SUM(AC9:AC104)</f>
        <v>0</v>
      </c>
    </row>
    <row r="107" spans="2:29" ht="15" customHeight="1" x14ac:dyDescent="0.25">
      <c r="B107" s="84" t="s">
        <v>17</v>
      </c>
      <c r="C107" s="85"/>
      <c r="D107" s="85"/>
      <c r="E107" s="85"/>
      <c r="F107" s="86"/>
      <c r="G107" s="47" t="s">
        <v>21</v>
      </c>
      <c r="H107" s="48"/>
      <c r="I107" s="48"/>
      <c r="J107" s="49"/>
      <c r="K107" s="50"/>
      <c r="L107" s="48"/>
      <c r="M107" s="49" t="s">
        <v>18</v>
      </c>
      <c r="N107" s="50"/>
      <c r="O107" s="48"/>
      <c r="P107" s="48"/>
      <c r="Q107" s="49"/>
      <c r="R107" s="48"/>
      <c r="S107" s="48"/>
      <c r="T107" s="48" t="s">
        <v>22</v>
      </c>
      <c r="U107" s="9"/>
      <c r="V107" s="77"/>
      <c r="W107" s="22"/>
      <c r="X107" s="23"/>
      <c r="Y107" s="23"/>
      <c r="Z107" s="23"/>
      <c r="AA107" s="37"/>
    </row>
    <row r="108" spans="2:29" ht="30" customHeight="1" thickBot="1" x14ac:dyDescent="0.3">
      <c r="B108" s="87"/>
      <c r="C108" s="88"/>
      <c r="D108" s="88"/>
      <c r="E108" s="88"/>
      <c r="F108" s="89"/>
      <c r="G108" s="25" t="str">
        <f>+G106</f>
        <v>GX</v>
      </c>
      <c r="H108" s="88">
        <f>+H106</f>
        <v>150</v>
      </c>
      <c r="I108" s="88"/>
      <c r="J108" s="89"/>
      <c r="K108" s="90">
        <f>+'GX　150'!K114:L114+'GX　150 (2)'!K106:L106</f>
        <v>24</v>
      </c>
      <c r="L108" s="91"/>
      <c r="M108" s="21"/>
      <c r="N108" s="25"/>
      <c r="O108" s="20"/>
      <c r="P108" s="20"/>
      <c r="Q108" s="21"/>
      <c r="R108" s="92">
        <f>+'GX　150'!R114:S114+'GX　150 (2)'!R106:S106</f>
        <v>29.5</v>
      </c>
      <c r="S108" s="93"/>
      <c r="T108" s="20"/>
      <c r="U108" s="51">
        <f>+'GX　150'!U114+'GX　150 (2)'!U106</f>
        <v>34</v>
      </c>
      <c r="V108" s="79">
        <f>+'GX　150'!V114+'GX　150 (2)'!V106</f>
        <v>0</v>
      </c>
      <c r="W108" s="73">
        <f>+'GX　150'!W114+'GX　150 (2)'!W106</f>
        <v>37</v>
      </c>
      <c r="X108" s="53">
        <f>+'GX　150'!X114+'GX　150 (2)'!X106</f>
        <v>0</v>
      </c>
      <c r="Y108" s="53">
        <f>+'GX　150'!Y114+'GX　150 (2)'!Y106</f>
        <v>0</v>
      </c>
      <c r="Z108" s="53">
        <f>+'GX　150'!Z114+'GX　150 (2)'!Z106</f>
        <v>0</v>
      </c>
      <c r="AA108" s="54">
        <f>+'GX　150'!AA114+'GX　150 (2)'!AA106</f>
        <v>0</v>
      </c>
      <c r="AC108" s="1">
        <f>SUM(AC11:AC106)</f>
        <v>0</v>
      </c>
    </row>
  </sheetData>
  <mergeCells count="208">
    <mergeCell ref="B107:F108"/>
    <mergeCell ref="H108:J108"/>
    <mergeCell ref="K108:L108"/>
    <mergeCell ref="R108:S108"/>
    <mergeCell ref="B105:F106"/>
    <mergeCell ref="H106:J106"/>
    <mergeCell ref="K106:L106"/>
    <mergeCell ref="R106:S106"/>
    <mergeCell ref="AA98:AA103"/>
    <mergeCell ref="R101:R103"/>
    <mergeCell ref="B98:B103"/>
    <mergeCell ref="F98:G98"/>
    <mergeCell ref="L98:M98"/>
    <mergeCell ref="U98:U103"/>
    <mergeCell ref="I103:J103"/>
    <mergeCell ref="O103:P103"/>
    <mergeCell ref="X98:X103"/>
    <mergeCell ref="Y98:Y103"/>
    <mergeCell ref="Z98:Z103"/>
    <mergeCell ref="V98:V103"/>
    <mergeCell ref="W98:W103"/>
    <mergeCell ref="R98:R100"/>
    <mergeCell ref="S98:S103"/>
    <mergeCell ref="T98:T100"/>
    <mergeCell ref="I87:J87"/>
    <mergeCell ref="O87:P87"/>
    <mergeCell ref="X82:X87"/>
    <mergeCell ref="Y82:Y87"/>
    <mergeCell ref="Z82:Z87"/>
    <mergeCell ref="AA90:AA95"/>
    <mergeCell ref="X90:X95"/>
    <mergeCell ref="Y90:Y95"/>
    <mergeCell ref="Z90:Z95"/>
    <mergeCell ref="U82:U87"/>
    <mergeCell ref="V82:V87"/>
    <mergeCell ref="W82:W87"/>
    <mergeCell ref="U90:U95"/>
    <mergeCell ref="V90:V95"/>
    <mergeCell ref="W90:W95"/>
    <mergeCell ref="AA82:AA87"/>
    <mergeCell ref="R85:R87"/>
    <mergeCell ref="B90:B95"/>
    <mergeCell ref="F90:G90"/>
    <mergeCell ref="L90:M90"/>
    <mergeCell ref="R90:R92"/>
    <mergeCell ref="S90:S95"/>
    <mergeCell ref="T90:T92"/>
    <mergeCell ref="R93:R95"/>
    <mergeCell ref="I95:J95"/>
    <mergeCell ref="O95:P95"/>
    <mergeCell ref="B82:B87"/>
    <mergeCell ref="F82:G82"/>
    <mergeCell ref="L82:M82"/>
    <mergeCell ref="R82:R84"/>
    <mergeCell ref="S82:S87"/>
    <mergeCell ref="T82:T84"/>
    <mergeCell ref="AA66:AA71"/>
    <mergeCell ref="R69:R71"/>
    <mergeCell ref="I71:J71"/>
    <mergeCell ref="O71:P71"/>
    <mergeCell ref="B74:B79"/>
    <mergeCell ref="F74:G74"/>
    <mergeCell ref="L74:M74"/>
    <mergeCell ref="R74:R76"/>
    <mergeCell ref="S74:S79"/>
    <mergeCell ref="T74:T76"/>
    <mergeCell ref="U66:U71"/>
    <mergeCell ref="V66:V71"/>
    <mergeCell ref="W66:W71"/>
    <mergeCell ref="X66:X71"/>
    <mergeCell ref="Y66:Y71"/>
    <mergeCell ref="Z66:Z71"/>
    <mergeCell ref="AA74:AA79"/>
    <mergeCell ref="R77:R79"/>
    <mergeCell ref="I79:J79"/>
    <mergeCell ref="O79:P79"/>
    <mergeCell ref="X74:X79"/>
    <mergeCell ref="Y74:Y79"/>
    <mergeCell ref="Z74:Z79"/>
    <mergeCell ref="B66:B71"/>
    <mergeCell ref="F66:G66"/>
    <mergeCell ref="L66:M66"/>
    <mergeCell ref="R66:R68"/>
    <mergeCell ref="S66:S71"/>
    <mergeCell ref="T66:T68"/>
    <mergeCell ref="U74:U79"/>
    <mergeCell ref="V74:V79"/>
    <mergeCell ref="W74:W79"/>
    <mergeCell ref="Y50:Y55"/>
    <mergeCell ref="Z50:Z55"/>
    <mergeCell ref="AA58:AA63"/>
    <mergeCell ref="U50:U55"/>
    <mergeCell ref="V50:V55"/>
    <mergeCell ref="W50:W55"/>
    <mergeCell ref="AA50:AA55"/>
    <mergeCell ref="X50:X55"/>
    <mergeCell ref="R61:R63"/>
    <mergeCell ref="I63:J63"/>
    <mergeCell ref="O63:P63"/>
    <mergeCell ref="X58:X63"/>
    <mergeCell ref="Y58:Y63"/>
    <mergeCell ref="Z58:Z63"/>
    <mergeCell ref="B58:B63"/>
    <mergeCell ref="F58:G58"/>
    <mergeCell ref="L58:M58"/>
    <mergeCell ref="R58:R60"/>
    <mergeCell ref="S58:S63"/>
    <mergeCell ref="T58:T60"/>
    <mergeCell ref="U58:U63"/>
    <mergeCell ref="V58:V63"/>
    <mergeCell ref="W58:W63"/>
    <mergeCell ref="B50:B55"/>
    <mergeCell ref="F50:G50"/>
    <mergeCell ref="L50:M50"/>
    <mergeCell ref="R50:R52"/>
    <mergeCell ref="S50:S55"/>
    <mergeCell ref="T50:T52"/>
    <mergeCell ref="U42:U47"/>
    <mergeCell ref="V42:V47"/>
    <mergeCell ref="W42:W47"/>
    <mergeCell ref="R53:R55"/>
    <mergeCell ref="I55:J55"/>
    <mergeCell ref="O55:P55"/>
    <mergeCell ref="B42:B47"/>
    <mergeCell ref="F42:G42"/>
    <mergeCell ref="AA34:AA39"/>
    <mergeCell ref="R37:R39"/>
    <mergeCell ref="I39:J39"/>
    <mergeCell ref="O39:P39"/>
    <mergeCell ref="X34:X39"/>
    <mergeCell ref="Y34:Y39"/>
    <mergeCell ref="Z34:Z39"/>
    <mergeCell ref="AA42:AA47"/>
    <mergeCell ref="X42:X47"/>
    <mergeCell ref="Y42:Y47"/>
    <mergeCell ref="Z42:Z47"/>
    <mergeCell ref="L42:M42"/>
    <mergeCell ref="R42:R44"/>
    <mergeCell ref="S42:S47"/>
    <mergeCell ref="T42:T44"/>
    <mergeCell ref="U34:U39"/>
    <mergeCell ref="V34:V39"/>
    <mergeCell ref="W34:W39"/>
    <mergeCell ref="R45:R47"/>
    <mergeCell ref="I47:J47"/>
    <mergeCell ref="O47:P47"/>
    <mergeCell ref="B34:B39"/>
    <mergeCell ref="F34:G34"/>
    <mergeCell ref="L34:M34"/>
    <mergeCell ref="R34:R36"/>
    <mergeCell ref="S34:S39"/>
    <mergeCell ref="T34:T36"/>
    <mergeCell ref="AA18:AA23"/>
    <mergeCell ref="R21:R23"/>
    <mergeCell ref="I23:J23"/>
    <mergeCell ref="O23:P23"/>
    <mergeCell ref="B26:B31"/>
    <mergeCell ref="F26:G26"/>
    <mergeCell ref="L26:M26"/>
    <mergeCell ref="R26:R28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I31:J31"/>
    <mergeCell ref="O31:P31"/>
    <mergeCell ref="X26:X31"/>
    <mergeCell ref="Y26:Y31"/>
    <mergeCell ref="Z26:Z31"/>
    <mergeCell ref="B18:B23"/>
    <mergeCell ref="F18:G18"/>
    <mergeCell ref="L18:M18"/>
    <mergeCell ref="R18:R20"/>
    <mergeCell ref="S18:S23"/>
    <mergeCell ref="T18:T20"/>
    <mergeCell ref="U26:U31"/>
    <mergeCell ref="V26:V31"/>
    <mergeCell ref="W26:W31"/>
    <mergeCell ref="C1:Q1"/>
    <mergeCell ref="U2:V3"/>
    <mergeCell ref="Y2:Z3"/>
    <mergeCell ref="B7:B8"/>
    <mergeCell ref="C7:Q8"/>
    <mergeCell ref="R7:T8"/>
    <mergeCell ref="U7:V7"/>
    <mergeCell ref="W7:AA7"/>
    <mergeCell ref="AA10:AA15"/>
    <mergeCell ref="R13:R15"/>
    <mergeCell ref="I15:J15"/>
    <mergeCell ref="O15:P15"/>
    <mergeCell ref="X10:X15"/>
    <mergeCell ref="Y10:Y15"/>
    <mergeCell ref="Z10:Z15"/>
    <mergeCell ref="U10:U15"/>
    <mergeCell ref="V10:V15"/>
    <mergeCell ref="W10:W15"/>
    <mergeCell ref="B10:B15"/>
    <mergeCell ref="F10:G10"/>
    <mergeCell ref="L10:M10"/>
    <mergeCell ref="R10:R12"/>
    <mergeCell ref="S10:S15"/>
    <mergeCell ref="T10:T12"/>
  </mergeCells>
  <phoneticPr fontId="2"/>
  <conditionalFormatting sqref="S10:S15 S18:S23 S26:S31 S34:S39 S42:S47 S50:S55 S58:S63 S66:S71 S74:S79 S82:S87 S90:S95 S98:S103">
    <cfRule type="cellIs" dxfId="15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scale="95" orientation="portrait" cellComments="asDisplayed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tabColor theme="1" tint="0.499984740745262"/>
  </sheetPr>
  <dimension ref="B1:AC114"/>
  <sheetViews>
    <sheetView showGridLines="0" view="pageBreakPreview" topLeftCell="A73" zoomScale="123" zoomScaleNormal="123" zoomScaleSheetLayoutView="123" workbookViewId="0">
      <selection activeCell="W80" sqref="W80"/>
    </sheetView>
  </sheetViews>
  <sheetFormatPr defaultColWidth="9.0703125" defaultRowHeight="12" x14ac:dyDescent="0.25"/>
  <cols>
    <col min="1" max="1" width="0.92578125" style="1" customWidth="1"/>
    <col min="2" max="2" width="8.92578125" style="1" customWidth="1"/>
    <col min="3" max="17" width="2.7109375" style="1" customWidth="1"/>
    <col min="18" max="18" width="2.92578125" style="1" customWidth="1"/>
    <col min="19" max="19" width="5.7109375" style="1" customWidth="1"/>
    <col min="20" max="20" width="2.7109375" style="1" customWidth="1"/>
    <col min="21" max="27" width="5.7109375" style="1" customWidth="1"/>
    <col min="28" max="16384" width="9.0703125" style="1"/>
  </cols>
  <sheetData>
    <row r="1" spans="2:29" x14ac:dyDescent="0.25">
      <c r="B1" s="56" t="s">
        <v>19</v>
      </c>
      <c r="C1" s="112" t="str">
        <f>'白紙(5m)'!C1</f>
        <v>長田（花山町2丁目他）配水管取替工事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25">
      <c r="S2" s="12"/>
      <c r="T2" s="3"/>
      <c r="U2" s="114" t="s">
        <v>36</v>
      </c>
      <c r="V2" s="114"/>
      <c r="W2" s="2"/>
      <c r="X2" s="12"/>
      <c r="Y2" s="114">
        <v>300</v>
      </c>
      <c r="Z2" s="114"/>
      <c r="AA2" s="2"/>
      <c r="AC2" s="1">
        <f>IF(AC1=4,0,IF(Y2&lt;=250,5,0))</f>
        <v>0</v>
      </c>
    </row>
    <row r="3" spans="2:29" ht="12" customHeight="1" x14ac:dyDescent="0.25">
      <c r="S3" s="44" t="s">
        <v>12</v>
      </c>
      <c r="T3" s="15"/>
      <c r="U3" s="115"/>
      <c r="V3" s="115"/>
      <c r="W3" s="17" t="s">
        <v>15</v>
      </c>
      <c r="X3" s="44" t="s">
        <v>14</v>
      </c>
      <c r="Y3" s="115"/>
      <c r="Z3" s="115"/>
      <c r="AA3" s="17" t="s">
        <v>20</v>
      </c>
      <c r="AC3" s="1">
        <f>IF(Y2&gt;250,6,0)</f>
        <v>6</v>
      </c>
    </row>
    <row r="4" spans="2:29" ht="6.75" customHeight="1" x14ac:dyDescent="0.25">
      <c r="S4" s="18"/>
      <c r="U4" s="45"/>
      <c r="V4" s="45"/>
      <c r="X4" s="18"/>
      <c r="Y4" s="45"/>
      <c r="Z4" s="45"/>
    </row>
    <row r="5" spans="2:29" ht="21.75" customHeight="1" x14ac:dyDescent="0.25">
      <c r="B5" s="46" t="s">
        <v>16</v>
      </c>
    </row>
    <row r="6" spans="2:29" ht="6.75" customHeight="1" thickBot="1" x14ac:dyDescent="0.3"/>
    <row r="7" spans="2:29" ht="14.25" customHeight="1" x14ac:dyDescent="0.25">
      <c r="B7" s="116" t="s">
        <v>0</v>
      </c>
      <c r="C7" s="108" t="s">
        <v>3</v>
      </c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09"/>
      <c r="R7" s="117" t="s">
        <v>1</v>
      </c>
      <c r="S7" s="117"/>
      <c r="T7" s="117"/>
      <c r="U7" s="108" t="s">
        <v>2</v>
      </c>
      <c r="V7" s="109"/>
      <c r="W7" s="110" t="s">
        <v>4</v>
      </c>
      <c r="X7" s="110"/>
      <c r="Y7" s="110"/>
      <c r="Z7" s="110"/>
      <c r="AA7" s="111"/>
    </row>
    <row r="8" spans="2:29" ht="10.5" customHeight="1" x14ac:dyDescent="0.25">
      <c r="B8" s="96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20"/>
      <c r="R8" s="119"/>
      <c r="S8" s="119"/>
      <c r="T8" s="119"/>
      <c r="U8" s="74" t="s">
        <v>39</v>
      </c>
      <c r="V8" s="75" t="s">
        <v>35</v>
      </c>
      <c r="W8" s="70" t="s">
        <v>39</v>
      </c>
      <c r="X8" s="32" t="s">
        <v>7</v>
      </c>
      <c r="Y8" s="32" t="s">
        <v>8</v>
      </c>
      <c r="Z8" s="33" t="s">
        <v>9</v>
      </c>
      <c r="AA8" s="34" t="s">
        <v>10</v>
      </c>
    </row>
    <row r="9" spans="2:29" ht="6" customHeight="1" x14ac:dyDescent="0.2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25">
      <c r="B10" s="96">
        <f>IF(S10="","",1)</f>
        <v>1</v>
      </c>
      <c r="C10" s="3"/>
      <c r="E10" s="13" t="str">
        <f>IF(F10="","",IF(F10=0,"","L="))</f>
        <v>L=</v>
      </c>
      <c r="F10" s="97">
        <v>1.9</v>
      </c>
      <c r="G10" s="97"/>
      <c r="H10" s="14" t="str">
        <f>IF(F10="","",IF(F10=0,"","m"))</f>
        <v>m</v>
      </c>
      <c r="K10" s="13" t="str">
        <f>IF(L10="","",IF(L10=0,"","L="))</f>
        <v/>
      </c>
      <c r="L10" s="97"/>
      <c r="M10" s="97"/>
      <c r="N10" s="14" t="str">
        <f>IF(L10="","",IF(L10=0,"","m"))</f>
        <v/>
      </c>
      <c r="Q10" s="2"/>
      <c r="R10" s="106" t="str">
        <f>IF(OR(S10="入力ｴﾗｰ",S10=0,S10="")=TRUE,"",IF(F10="","甲",IF(F10=0,"甲","")))</f>
        <v/>
      </c>
      <c r="S10" s="101">
        <f>IF((F10+I15+L10+O15)=0,"",IF((F10+I15+L10+O15)&gt;SUM($AC$1:$AC$3),"入力ｴﾗｰ",SUM($AC$1:$AC$3)-(F10+I15+L10+O15)))</f>
        <v>0.5</v>
      </c>
      <c r="T10" s="102" t="str">
        <f>IF(S10="","",IF(S10="入力ｴﾗｰ","","m"))</f>
        <v>m</v>
      </c>
      <c r="U10" s="94">
        <f>IF(B10="","",COUNT(F10,I15,L10,O15)-IF(S10=0,1,0)-V10)</f>
        <v>2</v>
      </c>
      <c r="V10" s="95"/>
      <c r="W10" s="104">
        <v>2</v>
      </c>
      <c r="X10" s="103"/>
      <c r="Y10" s="103"/>
      <c r="Z10" s="107"/>
      <c r="AA10" s="99"/>
    </row>
    <row r="11" spans="2:29" ht="3" customHeight="1" x14ac:dyDescent="0.25">
      <c r="B11" s="96"/>
      <c r="C11" s="3"/>
      <c r="G11" s="3"/>
      <c r="H11" s="2"/>
      <c r="I11" s="3"/>
      <c r="K11" s="3"/>
      <c r="M11" s="3"/>
      <c r="O11" s="3"/>
      <c r="Q11" s="2"/>
      <c r="R11" s="106"/>
      <c r="S11" s="101"/>
      <c r="T11" s="102"/>
      <c r="U11" s="94"/>
      <c r="V11" s="95"/>
      <c r="W11" s="104"/>
      <c r="X11" s="103"/>
      <c r="Y11" s="103"/>
      <c r="Z11" s="107"/>
      <c r="AA11" s="99"/>
    </row>
    <row r="12" spans="2:29" ht="3" customHeight="1" x14ac:dyDescent="0.25">
      <c r="B12" s="96"/>
      <c r="C12" s="3"/>
      <c r="E12" s="67"/>
      <c r="F12" s="68"/>
      <c r="G12" s="69"/>
      <c r="H12" s="68"/>
      <c r="I12" s="69"/>
      <c r="J12" s="68"/>
      <c r="K12" s="69"/>
      <c r="L12" s="68"/>
      <c r="M12" s="69"/>
      <c r="N12" s="67"/>
      <c r="O12" s="69"/>
      <c r="P12" s="67"/>
      <c r="Q12" s="2"/>
      <c r="R12" s="106"/>
      <c r="S12" s="101"/>
      <c r="T12" s="102"/>
      <c r="U12" s="94"/>
      <c r="V12" s="95"/>
      <c r="W12" s="104"/>
      <c r="X12" s="103"/>
      <c r="Y12" s="103"/>
      <c r="Z12" s="107"/>
      <c r="AA12" s="99"/>
    </row>
    <row r="13" spans="2:29" ht="3" customHeight="1" x14ac:dyDescent="0.25">
      <c r="B13" s="96"/>
      <c r="C13" s="3"/>
      <c r="E13" s="66"/>
      <c r="F13" s="65"/>
      <c r="G13" s="64"/>
      <c r="I13" s="64"/>
      <c r="J13" s="66"/>
      <c r="K13" s="64"/>
      <c r="L13" s="65"/>
      <c r="M13" s="64"/>
      <c r="N13" s="66"/>
      <c r="O13" s="64"/>
      <c r="P13" s="66"/>
      <c r="Q13" s="2"/>
      <c r="R13" s="105" t="str">
        <f>IF(R10="甲","",IF(OR(S10=0,S10="")=TRUE,"",IF(S10="入力ｴﾗｰ","","乙")))</f>
        <v>乙</v>
      </c>
      <c r="S13" s="101"/>
      <c r="U13" s="94"/>
      <c r="V13" s="95"/>
      <c r="W13" s="104"/>
      <c r="X13" s="103"/>
      <c r="Y13" s="103"/>
      <c r="Z13" s="107"/>
      <c r="AA13" s="99"/>
    </row>
    <row r="14" spans="2:29" ht="3" customHeight="1" x14ac:dyDescent="0.25">
      <c r="B14" s="96"/>
      <c r="C14" s="3"/>
      <c r="F14" s="2"/>
      <c r="G14" s="3"/>
      <c r="I14" s="3"/>
      <c r="K14" s="3"/>
      <c r="L14" s="2"/>
      <c r="M14" s="3"/>
      <c r="O14" s="3"/>
      <c r="Q14" s="2"/>
      <c r="R14" s="105"/>
      <c r="S14" s="101"/>
      <c r="U14" s="94"/>
      <c r="V14" s="95"/>
      <c r="W14" s="104"/>
      <c r="X14" s="103"/>
      <c r="Y14" s="103"/>
      <c r="Z14" s="107"/>
      <c r="AA14" s="99"/>
    </row>
    <row r="15" spans="2:29" ht="15" customHeight="1" x14ac:dyDescent="0.25">
      <c r="B15" s="96"/>
      <c r="C15" s="3"/>
      <c r="G15" s="18"/>
      <c r="H15" s="13" t="str">
        <f>IF(I15="","",IF(I15=0,"","L="))</f>
        <v/>
      </c>
      <c r="I15" s="97"/>
      <c r="J15" s="97"/>
      <c r="K15" s="14" t="str">
        <f>IF(I15="","",IF(I15=0,"","m"))</f>
        <v/>
      </c>
      <c r="N15" s="13" t="str">
        <f>IF(O15="","",IF(O15=0,"","L="))</f>
        <v>L=</v>
      </c>
      <c r="O15" s="97">
        <v>3.6</v>
      </c>
      <c r="P15" s="97"/>
      <c r="Q15" s="24" t="str">
        <f>IF(O15="","",IF(O15=0,"","m"))</f>
        <v>m</v>
      </c>
      <c r="R15" s="105"/>
      <c r="S15" s="101"/>
      <c r="U15" s="94"/>
      <c r="V15" s="95"/>
      <c r="W15" s="104"/>
      <c r="X15" s="103"/>
      <c r="Y15" s="103"/>
      <c r="Z15" s="107"/>
      <c r="AA15" s="99"/>
      <c r="AC15" s="1">
        <f>IF(U10="",0,IF(U10&gt;SUM(W10:AA15),U10-SUM(W10:AA15),0))</f>
        <v>0</v>
      </c>
    </row>
    <row r="16" spans="2:29" ht="6" customHeight="1" x14ac:dyDescent="0.2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2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25">
      <c r="B18" s="96">
        <f>IF(S18="","",IF(B10="","",1+B10))</f>
        <v>2</v>
      </c>
      <c r="C18" s="3"/>
      <c r="E18" s="13" t="str">
        <f>IF(F18="","",IF(F18=0,"","L="))</f>
        <v>L=</v>
      </c>
      <c r="F18" s="97">
        <v>1</v>
      </c>
      <c r="G18" s="97"/>
      <c r="H18" s="14" t="str">
        <f>IF(F18="","",IF(F18=0,"","m"))</f>
        <v>m</v>
      </c>
      <c r="K18" s="13" t="str">
        <f>IF(L18="","",IF(L18=0,"","L="))</f>
        <v/>
      </c>
      <c r="L18" s="97"/>
      <c r="M18" s="97"/>
      <c r="N18" s="14" t="str">
        <f>IF(L18="","",IF(L18=0,"","m"))</f>
        <v/>
      </c>
      <c r="Q18" s="2"/>
      <c r="R18" s="106" t="str">
        <f>IF(OR(S18="入力ｴﾗｰ",S18=0,S18="")=TRUE,"",IF(F18="","甲",IF(F18=0,"甲","")))</f>
        <v/>
      </c>
      <c r="S18" s="101">
        <f>IF((F18+I23+L18+O23)=0,"",IF((F18+I23+L18+O23)&gt;SUM($AC$1:$AC$3),"入力ｴﾗｰ",SUM($AC$1:$AC$3)-(F18+I23+L18+O23)))</f>
        <v>5</v>
      </c>
      <c r="T18" s="102" t="str">
        <f>IF(S18="","",IF(S18="入力ｴﾗｰ","","m"))</f>
        <v>m</v>
      </c>
      <c r="U18" s="94">
        <f>IF(B18="","",COUNT(F18,I23,L18,O23)-IF(S18=0,1,0)-V18)</f>
        <v>1</v>
      </c>
      <c r="V18" s="95"/>
      <c r="W18" s="104">
        <v>1</v>
      </c>
      <c r="X18" s="103"/>
      <c r="Y18" s="103"/>
      <c r="Z18" s="103"/>
      <c r="AA18" s="99"/>
    </row>
    <row r="19" spans="2:29" ht="3" customHeight="1" x14ac:dyDescent="0.25">
      <c r="B19" s="96"/>
      <c r="C19" s="3"/>
      <c r="G19" s="3"/>
      <c r="H19" s="2"/>
      <c r="K19" s="3"/>
      <c r="M19" s="3"/>
      <c r="O19" s="3"/>
      <c r="Q19" s="2"/>
      <c r="R19" s="106"/>
      <c r="S19" s="101"/>
      <c r="T19" s="102"/>
      <c r="U19" s="94"/>
      <c r="V19" s="95"/>
      <c r="W19" s="104"/>
      <c r="X19" s="103"/>
      <c r="Y19" s="103"/>
      <c r="Z19" s="103"/>
      <c r="AA19" s="99"/>
    </row>
    <row r="20" spans="2:29" ht="3" customHeight="1" x14ac:dyDescent="0.25">
      <c r="B20" s="96"/>
      <c r="C20" s="3"/>
      <c r="E20" s="67"/>
      <c r="F20" s="67"/>
      <c r="G20" s="69"/>
      <c r="H20" s="68"/>
      <c r="I20" s="67"/>
      <c r="J20" s="67"/>
      <c r="K20" s="69"/>
      <c r="L20" s="67"/>
      <c r="M20" s="69"/>
      <c r="N20" s="67"/>
      <c r="O20" s="69"/>
      <c r="P20" s="67"/>
      <c r="Q20" s="2"/>
      <c r="R20" s="106"/>
      <c r="S20" s="101"/>
      <c r="T20" s="102"/>
      <c r="U20" s="94"/>
      <c r="V20" s="95"/>
      <c r="W20" s="104"/>
      <c r="X20" s="103"/>
      <c r="Y20" s="103"/>
      <c r="Z20" s="103"/>
      <c r="AA20" s="99"/>
    </row>
    <row r="21" spans="2:29" ht="3" customHeight="1" x14ac:dyDescent="0.25">
      <c r="B21" s="96"/>
      <c r="C21" s="3"/>
      <c r="E21" s="66"/>
      <c r="F21" s="66"/>
      <c r="G21" s="64"/>
      <c r="H21" s="65"/>
      <c r="I21" s="64"/>
      <c r="J21" s="65"/>
      <c r="K21" s="64"/>
      <c r="L21" s="65"/>
      <c r="M21" s="64"/>
      <c r="N21" s="66"/>
      <c r="O21" s="64"/>
      <c r="P21" s="66"/>
      <c r="Q21" s="2"/>
      <c r="R21" s="105" t="str">
        <f>IF(R18="甲","",IF(OR(S18=0,S18="")=TRUE,"",IF(S18="入力ｴﾗｰ","","乙")))</f>
        <v>乙</v>
      </c>
      <c r="S21" s="101"/>
      <c r="U21" s="94"/>
      <c r="V21" s="95"/>
      <c r="W21" s="104"/>
      <c r="X21" s="103"/>
      <c r="Y21" s="103"/>
      <c r="Z21" s="103"/>
      <c r="AA21" s="99"/>
    </row>
    <row r="22" spans="2:29" ht="3" customHeight="1" x14ac:dyDescent="0.25">
      <c r="B22" s="96"/>
      <c r="C22" s="3"/>
      <c r="F22" s="2"/>
      <c r="G22" s="3"/>
      <c r="H22" s="2"/>
      <c r="J22" s="2"/>
      <c r="K22" s="3"/>
      <c r="L22" s="2"/>
      <c r="M22" s="3"/>
      <c r="O22" s="3"/>
      <c r="Q22" s="2"/>
      <c r="R22" s="105"/>
      <c r="S22" s="101"/>
      <c r="U22" s="94"/>
      <c r="V22" s="95"/>
      <c r="W22" s="104"/>
      <c r="X22" s="103"/>
      <c r="Y22" s="103"/>
      <c r="Z22" s="103"/>
      <c r="AA22" s="99"/>
    </row>
    <row r="23" spans="2:29" ht="15" customHeight="1" x14ac:dyDescent="0.25">
      <c r="B23" s="96"/>
      <c r="C23" s="3"/>
      <c r="G23" s="18"/>
      <c r="H23" s="13" t="str">
        <f>IF(I23="","",IF(I23=0,"","L="))</f>
        <v/>
      </c>
      <c r="I23" s="97"/>
      <c r="J23" s="97"/>
      <c r="K23" s="14" t="str">
        <f>IF(I23="","",IF(I23=0,"","m"))</f>
        <v/>
      </c>
      <c r="N23" s="13" t="str">
        <f>IF(O23="","",IF(O23=0,"","L="))</f>
        <v/>
      </c>
      <c r="O23" s="97"/>
      <c r="P23" s="97"/>
      <c r="Q23" s="24" t="str">
        <f>IF(O23="","",IF(O23=0,"","m"))</f>
        <v/>
      </c>
      <c r="R23" s="105"/>
      <c r="S23" s="101"/>
      <c r="U23" s="94"/>
      <c r="V23" s="95"/>
      <c r="W23" s="104"/>
      <c r="X23" s="103"/>
      <c r="Y23" s="103"/>
      <c r="Z23" s="103"/>
      <c r="AA23" s="99"/>
      <c r="AC23" s="1">
        <f>IF(U18="",0,IF(U18&gt;SUM(W18:AA23),U18-SUM(W18:AA23),0))</f>
        <v>0</v>
      </c>
    </row>
    <row r="24" spans="2:29" ht="6" customHeight="1" x14ac:dyDescent="0.2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2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25">
      <c r="B26" s="96">
        <f>IF(S26="","",IF(B18="","",1+B18))</f>
        <v>3</v>
      </c>
      <c r="C26" s="3"/>
      <c r="E26" s="13" t="str">
        <f>IF(F26="","",IF(F26=0,"","L="))</f>
        <v>L=</v>
      </c>
      <c r="F26" s="97">
        <v>1</v>
      </c>
      <c r="G26" s="97"/>
      <c r="H26" s="14" t="str">
        <f>IF(F26="","",IF(F26=0,"","m"))</f>
        <v>m</v>
      </c>
      <c r="K26" s="13" t="str">
        <f>IF(L26="","",IF(L26=0,"","L="))</f>
        <v/>
      </c>
      <c r="L26" s="97"/>
      <c r="M26" s="97"/>
      <c r="N26" s="14" t="str">
        <f>IF(L26="","",IF(L26=0,"","m"))</f>
        <v/>
      </c>
      <c r="R26" s="98" t="str">
        <f>IF(OR(S26="入力ｴﾗｰ",S26=0,S26="")=TRUE,"",IF(F26="","甲",IF(F26=0,"甲","")))</f>
        <v/>
      </c>
      <c r="S26" s="101">
        <f>IF((F26+I31+L26+O31)=0,"",IF((F26+I31+L26+O31)&gt;SUM($AC$1:$AC$3),"入力ｴﾗｰ",SUM($AC$1:$AC$3)-(F26+I31+L26+O31)))</f>
        <v>3</v>
      </c>
      <c r="T26" s="102" t="str">
        <f>IF(S26="","",IF(S26="入力ｴﾗｰ","","m"))</f>
        <v>m</v>
      </c>
      <c r="U26" s="94">
        <f>IF(B26="","",COUNT(F26,I31,L26,O31)-IF(S26=0,1,0)-V26)</f>
        <v>2</v>
      </c>
      <c r="V26" s="95"/>
      <c r="W26" s="104">
        <v>2</v>
      </c>
      <c r="X26" s="103"/>
      <c r="Y26" s="103"/>
      <c r="Z26" s="103"/>
      <c r="AA26" s="99"/>
    </row>
    <row r="27" spans="2:29" ht="3" customHeight="1" x14ac:dyDescent="0.25">
      <c r="B27" s="96"/>
      <c r="C27" s="3"/>
      <c r="G27" s="3"/>
      <c r="K27" s="3"/>
      <c r="L27" s="2"/>
      <c r="M27" s="3"/>
      <c r="O27" s="3"/>
      <c r="R27" s="98"/>
      <c r="S27" s="101"/>
      <c r="T27" s="102"/>
      <c r="U27" s="94"/>
      <c r="V27" s="95"/>
      <c r="W27" s="104"/>
      <c r="X27" s="103"/>
      <c r="Y27" s="103"/>
      <c r="Z27" s="103"/>
      <c r="AA27" s="99"/>
    </row>
    <row r="28" spans="2:29" ht="3" customHeight="1" x14ac:dyDescent="0.25">
      <c r="B28" s="96"/>
      <c r="C28" s="3"/>
      <c r="E28" s="67"/>
      <c r="F28" s="67"/>
      <c r="G28" s="69"/>
      <c r="H28" s="68"/>
      <c r="I28" s="69"/>
      <c r="J28" s="68"/>
      <c r="K28" s="3"/>
      <c r="L28" s="2"/>
      <c r="M28" s="3"/>
      <c r="O28" s="3"/>
      <c r="R28" s="98"/>
      <c r="S28" s="101"/>
      <c r="T28" s="102"/>
      <c r="U28" s="94"/>
      <c r="V28" s="95"/>
      <c r="W28" s="104"/>
      <c r="X28" s="103"/>
      <c r="Y28" s="103"/>
      <c r="Z28" s="103"/>
      <c r="AA28" s="99"/>
    </row>
    <row r="29" spans="2:29" ht="3" customHeight="1" x14ac:dyDescent="0.25">
      <c r="B29" s="96"/>
      <c r="C29" s="3"/>
      <c r="E29" s="66"/>
      <c r="F29" s="66"/>
      <c r="G29" s="64"/>
      <c r="H29" s="66"/>
      <c r="I29" s="64"/>
      <c r="J29" s="65"/>
      <c r="K29" s="64"/>
      <c r="L29" s="65"/>
      <c r="M29" s="64"/>
      <c r="N29" s="66"/>
      <c r="O29" s="64"/>
      <c r="P29" s="66"/>
      <c r="R29" s="100" t="str">
        <f>IF(R26="甲","",IF(OR(S26=0,S26="")=TRUE,"",IF(S26="入力ｴﾗｰ","","乙")))</f>
        <v>乙</v>
      </c>
      <c r="S29" s="101"/>
      <c r="U29" s="94"/>
      <c r="V29" s="95"/>
      <c r="W29" s="104"/>
      <c r="X29" s="103"/>
      <c r="Y29" s="103"/>
      <c r="Z29" s="103"/>
      <c r="AA29" s="99"/>
    </row>
    <row r="30" spans="2:29" ht="3" customHeight="1" x14ac:dyDescent="0.25">
      <c r="B30" s="96"/>
      <c r="C30" s="3"/>
      <c r="F30" s="2"/>
      <c r="G30" s="3"/>
      <c r="J30" s="2"/>
      <c r="K30" s="3"/>
      <c r="L30" s="2"/>
      <c r="M30" s="3"/>
      <c r="O30" s="3"/>
      <c r="R30" s="100"/>
      <c r="S30" s="101"/>
      <c r="U30" s="94"/>
      <c r="V30" s="95"/>
      <c r="W30" s="104"/>
      <c r="X30" s="103"/>
      <c r="Y30" s="103"/>
      <c r="Z30" s="103"/>
      <c r="AA30" s="99"/>
    </row>
    <row r="31" spans="2:29" ht="15" customHeight="1" x14ac:dyDescent="0.25">
      <c r="B31" s="96"/>
      <c r="C31" s="3"/>
      <c r="G31" s="18"/>
      <c r="H31" s="13" t="str">
        <f>IF(I31="","",IF(I31=0,"","L="))</f>
        <v/>
      </c>
      <c r="I31" s="97"/>
      <c r="J31" s="97"/>
      <c r="K31" s="14" t="str">
        <f>IF(I31="","",IF(I31=0,"","m"))</f>
        <v/>
      </c>
      <c r="N31" s="13" t="str">
        <f>IF(O31="","",IF(O31=0,"","L="))</f>
        <v>L=</v>
      </c>
      <c r="O31" s="97">
        <v>2</v>
      </c>
      <c r="P31" s="97"/>
      <c r="Q31" s="14" t="str">
        <f>IF(O31="","",IF(O31=0,"","m"))</f>
        <v>m</v>
      </c>
      <c r="R31" s="100"/>
      <c r="S31" s="101"/>
      <c r="U31" s="94"/>
      <c r="V31" s="95"/>
      <c r="W31" s="104"/>
      <c r="X31" s="103"/>
      <c r="Y31" s="103"/>
      <c r="Z31" s="103"/>
      <c r="AA31" s="99"/>
      <c r="AC31" s="1">
        <f>IF(U26="",0,IF(U26&gt;SUM(W26:AA31),U26-SUM(W26:AA31),0))</f>
        <v>0</v>
      </c>
    </row>
    <row r="32" spans="2:29" ht="6" customHeight="1" x14ac:dyDescent="0.2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2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25">
      <c r="B34" s="96">
        <f>IF(S34="","",IF(B26="","",1+B26))</f>
        <v>4</v>
      </c>
      <c r="C34" s="3"/>
      <c r="E34" s="13" t="str">
        <f>IF(F34="","",IF(F34=0,"","L="))</f>
        <v>L=</v>
      </c>
      <c r="F34" s="97">
        <v>1</v>
      </c>
      <c r="G34" s="97"/>
      <c r="H34" s="14" t="str">
        <f>IF(F34="","",IF(F34=0,"","m"))</f>
        <v>m</v>
      </c>
      <c r="K34" s="13" t="str">
        <f>IF(L34="","",IF(L34=0,"","L="))</f>
        <v/>
      </c>
      <c r="L34" s="97"/>
      <c r="M34" s="97"/>
      <c r="N34" s="14" t="str">
        <f>IF(L34="","",IF(L34=0,"","m"))</f>
        <v/>
      </c>
      <c r="R34" s="98" t="str">
        <f>IF(OR(S34="入力ｴﾗｰ",S34=0,S34="")=TRUE,"",IF(F34="","甲",IF(F34=0,"甲","")))</f>
        <v/>
      </c>
      <c r="S34" s="101">
        <f>IF((F34+I39+L34+O39)=0,"",IF((F34+I39+L34+O39)&gt;SUM($AC$1:$AC$3),"入力ｴﾗｰ",SUM($AC$1:$AC$3)-(F34+I39+L34+O39)))</f>
        <v>2.1</v>
      </c>
      <c r="T34" s="102" t="str">
        <f>IF(S34="","",IF(S34="入力ｴﾗｰ","","m"))</f>
        <v>m</v>
      </c>
      <c r="U34" s="94">
        <f>IF(B34="","",COUNT(F34,I39,L34,O39)-IF(S34=0,1,0)-V34)</f>
        <v>2</v>
      </c>
      <c r="V34" s="95"/>
      <c r="W34" s="104">
        <v>2</v>
      </c>
      <c r="X34" s="103"/>
      <c r="Y34" s="103"/>
      <c r="Z34" s="103"/>
      <c r="AA34" s="99"/>
    </row>
    <row r="35" spans="2:29" ht="3" customHeight="1" x14ac:dyDescent="0.25">
      <c r="B35" s="96"/>
      <c r="C35" s="3"/>
      <c r="G35" s="3"/>
      <c r="H35" s="2"/>
      <c r="J35" s="2"/>
      <c r="K35" s="3"/>
      <c r="L35" s="2"/>
      <c r="M35" s="3"/>
      <c r="O35" s="3"/>
      <c r="R35" s="98"/>
      <c r="S35" s="101"/>
      <c r="T35" s="102"/>
      <c r="U35" s="94"/>
      <c r="V35" s="95"/>
      <c r="W35" s="104"/>
      <c r="X35" s="103"/>
      <c r="Y35" s="103"/>
      <c r="Z35" s="103"/>
      <c r="AA35" s="99"/>
    </row>
    <row r="36" spans="2:29" ht="3" customHeight="1" x14ac:dyDescent="0.25">
      <c r="B36" s="96"/>
      <c r="C36" s="3"/>
      <c r="E36" s="67"/>
      <c r="F36" s="67"/>
      <c r="G36" s="69"/>
      <c r="H36" s="68"/>
      <c r="I36" s="67"/>
      <c r="J36" s="2"/>
      <c r="K36" s="3"/>
      <c r="L36" s="2"/>
      <c r="M36" s="69"/>
      <c r="N36" s="67"/>
      <c r="O36" s="3"/>
      <c r="R36" s="98"/>
      <c r="S36" s="101"/>
      <c r="T36" s="102"/>
      <c r="U36" s="94"/>
      <c r="V36" s="95"/>
      <c r="W36" s="104"/>
      <c r="X36" s="103"/>
      <c r="Y36" s="103"/>
      <c r="Z36" s="103"/>
      <c r="AA36" s="99"/>
    </row>
    <row r="37" spans="2:29" ht="3" customHeight="1" x14ac:dyDescent="0.25">
      <c r="B37" s="96"/>
      <c r="C37" s="3"/>
      <c r="G37" s="3"/>
      <c r="H37" s="2"/>
      <c r="I37" s="3"/>
      <c r="J37" s="65"/>
      <c r="K37" s="64"/>
      <c r="L37" s="65"/>
      <c r="M37" s="3"/>
      <c r="O37" s="64"/>
      <c r="P37" s="66"/>
      <c r="R37" s="100" t="str">
        <f>IF(R34="甲","",IF(OR(S34=0,S34="")=TRUE,"",IF(S34="入力ｴﾗｰ","","乙")))</f>
        <v>乙</v>
      </c>
      <c r="S37" s="101"/>
      <c r="U37" s="94"/>
      <c r="V37" s="95"/>
      <c r="W37" s="104"/>
      <c r="X37" s="103"/>
      <c r="Y37" s="103"/>
      <c r="Z37" s="103"/>
      <c r="AA37" s="99"/>
    </row>
    <row r="38" spans="2:29" ht="3" customHeight="1" x14ac:dyDescent="0.25">
      <c r="B38" s="96"/>
      <c r="C38" s="3"/>
      <c r="F38" s="2"/>
      <c r="G38" s="3"/>
      <c r="H38" s="2"/>
      <c r="J38" s="2"/>
      <c r="K38" s="3"/>
      <c r="L38" s="2"/>
      <c r="M38" s="3"/>
      <c r="O38" s="3"/>
      <c r="R38" s="100"/>
      <c r="S38" s="101"/>
      <c r="U38" s="94"/>
      <c r="V38" s="95"/>
      <c r="W38" s="104"/>
      <c r="X38" s="103"/>
      <c r="Y38" s="103"/>
      <c r="Z38" s="103"/>
      <c r="AA38" s="99"/>
    </row>
    <row r="39" spans="2:29" ht="15" customHeight="1" x14ac:dyDescent="0.25">
      <c r="B39" s="96"/>
      <c r="C39" s="3"/>
      <c r="G39" s="18"/>
      <c r="H39" s="13" t="str">
        <f>IF(I39="","",IF(I39=0,"","L="))</f>
        <v/>
      </c>
      <c r="I39" s="97"/>
      <c r="J39" s="97"/>
      <c r="K39" s="14" t="str">
        <f>IF(I39="","",IF(I39=0,"","m"))</f>
        <v/>
      </c>
      <c r="N39" s="13" t="str">
        <f>IF(O39="","",IF(O39=0,"","L="))</f>
        <v>L=</v>
      </c>
      <c r="O39" s="97">
        <v>2.9</v>
      </c>
      <c r="P39" s="97"/>
      <c r="Q39" s="14" t="str">
        <f>IF(O39="","",IF(O39=0,"","m"))</f>
        <v>m</v>
      </c>
      <c r="R39" s="100"/>
      <c r="S39" s="101"/>
      <c r="U39" s="94"/>
      <c r="V39" s="95"/>
      <c r="W39" s="104"/>
      <c r="X39" s="103"/>
      <c r="Y39" s="103"/>
      <c r="Z39" s="103"/>
      <c r="AA39" s="99"/>
      <c r="AC39" s="1">
        <f>IF(U34="",0,IF(U34&gt;SUM(W34:AA39),U34-SUM(W34:AA39),0))</f>
        <v>0</v>
      </c>
    </row>
    <row r="40" spans="2:29" ht="6" customHeight="1" x14ac:dyDescent="0.2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2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25">
      <c r="B42" s="96">
        <f>IF(S42="","",IF(B34="","",1+B34))</f>
        <v>5</v>
      </c>
      <c r="C42" s="3"/>
      <c r="E42" s="13" t="str">
        <f>IF(F42="","",IF(F42=0,"","L="))</f>
        <v>L=</v>
      </c>
      <c r="F42" s="97">
        <v>4</v>
      </c>
      <c r="G42" s="97"/>
      <c r="H42" s="14" t="str">
        <f>IF(F42="","",IF(F42=0,"","m"))</f>
        <v>m</v>
      </c>
      <c r="K42" s="13" t="str">
        <f>IF(L42="","",IF(L42=0,"","L="))</f>
        <v/>
      </c>
      <c r="L42" s="97"/>
      <c r="M42" s="97"/>
      <c r="N42" s="14" t="str">
        <f>IF(L42="","",IF(L42=0,"","m"))</f>
        <v/>
      </c>
      <c r="R42" s="98" t="str">
        <f>IF(OR(S42="入力ｴﾗｰ",S42=0,S42="")=TRUE,"",IF(F42="","甲",IF(F42=0,"甲","")))</f>
        <v/>
      </c>
      <c r="S42" s="101">
        <f>IF((F42+I47+L42+O47)=0,"",IF((F42+I47+L42+O47)&gt;SUM($AC$1:$AC$3),"入力ｴﾗｰ",SUM($AC$1:$AC$3)-(F42+I47+L42+O47)))</f>
        <v>2</v>
      </c>
      <c r="T42" s="102" t="str">
        <f>IF(S42="","",IF(S42="入力ｴﾗｰ","","m"))</f>
        <v>m</v>
      </c>
      <c r="U42" s="94">
        <f>IF(B42="","",COUNT(F42,I47,L42,O47)-IF(S42=0,1,0)-V42)</f>
        <v>1</v>
      </c>
      <c r="V42" s="95"/>
      <c r="W42" s="104">
        <v>1</v>
      </c>
      <c r="X42" s="103"/>
      <c r="Y42" s="103"/>
      <c r="Z42" s="103"/>
      <c r="AA42" s="99"/>
    </row>
    <row r="43" spans="2:29" ht="3" customHeight="1" x14ac:dyDescent="0.25">
      <c r="B43" s="96"/>
      <c r="C43" s="3"/>
      <c r="G43" s="3"/>
      <c r="H43" s="2"/>
      <c r="K43" s="3"/>
      <c r="L43" s="2"/>
      <c r="M43" s="3"/>
      <c r="O43" s="3"/>
      <c r="R43" s="98"/>
      <c r="S43" s="101"/>
      <c r="T43" s="102"/>
      <c r="U43" s="94"/>
      <c r="V43" s="95"/>
      <c r="W43" s="104"/>
      <c r="X43" s="103"/>
      <c r="Y43" s="103"/>
      <c r="Z43" s="103"/>
      <c r="AA43" s="99"/>
    </row>
    <row r="44" spans="2:29" ht="3" customHeight="1" x14ac:dyDescent="0.25">
      <c r="B44" s="96"/>
      <c r="C44" s="3"/>
      <c r="E44" s="67"/>
      <c r="F44" s="67"/>
      <c r="G44" s="69"/>
      <c r="H44" s="68"/>
      <c r="I44" s="67"/>
      <c r="J44" s="67"/>
      <c r="K44" s="69"/>
      <c r="L44" s="2"/>
      <c r="M44" s="3"/>
      <c r="O44" s="3"/>
      <c r="R44" s="98"/>
      <c r="S44" s="101"/>
      <c r="T44" s="102"/>
      <c r="U44" s="94"/>
      <c r="V44" s="95"/>
      <c r="W44" s="104"/>
      <c r="X44" s="103"/>
      <c r="Y44" s="103"/>
      <c r="Z44" s="103"/>
      <c r="AA44" s="99"/>
    </row>
    <row r="45" spans="2:29" ht="3" customHeight="1" x14ac:dyDescent="0.25">
      <c r="B45" s="96"/>
      <c r="C45" s="3"/>
      <c r="E45" s="66"/>
      <c r="F45" s="66"/>
      <c r="G45" s="64"/>
      <c r="H45" s="65"/>
      <c r="I45" s="64"/>
      <c r="J45" s="65"/>
      <c r="K45" s="64"/>
      <c r="L45" s="65"/>
      <c r="M45" s="64"/>
      <c r="N45" s="66"/>
      <c r="O45" s="64"/>
      <c r="P45" s="66"/>
      <c r="R45" s="100" t="str">
        <f>IF(R42="甲","",IF(OR(S42=0,S42="")=TRUE,"",IF(S42="入力ｴﾗｰ","","乙")))</f>
        <v>乙</v>
      </c>
      <c r="S45" s="101"/>
      <c r="U45" s="94"/>
      <c r="V45" s="95"/>
      <c r="W45" s="104"/>
      <c r="X45" s="103"/>
      <c r="Y45" s="103"/>
      <c r="Z45" s="103"/>
      <c r="AA45" s="99"/>
    </row>
    <row r="46" spans="2:29" ht="3" customHeight="1" x14ac:dyDescent="0.25">
      <c r="B46" s="96"/>
      <c r="C46" s="3"/>
      <c r="F46" s="2"/>
      <c r="G46" s="3"/>
      <c r="H46" s="2"/>
      <c r="J46" s="2"/>
      <c r="K46" s="3"/>
      <c r="L46" s="2"/>
      <c r="M46" s="3"/>
      <c r="O46" s="3"/>
      <c r="R46" s="100"/>
      <c r="S46" s="101"/>
      <c r="U46" s="94"/>
      <c r="V46" s="95"/>
      <c r="W46" s="104"/>
      <c r="X46" s="103"/>
      <c r="Y46" s="103"/>
      <c r="Z46" s="103"/>
      <c r="AA46" s="99"/>
    </row>
    <row r="47" spans="2:29" ht="15" customHeight="1" x14ac:dyDescent="0.25">
      <c r="B47" s="96"/>
      <c r="C47" s="3"/>
      <c r="G47" s="18"/>
      <c r="H47" s="13" t="str">
        <f>IF(I47="","",IF(I47=0,"","L="))</f>
        <v/>
      </c>
      <c r="I47" s="97"/>
      <c r="J47" s="97"/>
      <c r="K47" s="14" t="str">
        <f>IF(I47="","",IF(I47=0,"","m"))</f>
        <v/>
      </c>
      <c r="N47" s="13" t="str">
        <f>IF(O47="","",IF(O47=0,"","L="))</f>
        <v/>
      </c>
      <c r="O47" s="97"/>
      <c r="P47" s="97"/>
      <c r="Q47" s="14" t="str">
        <f>IF(O47="","",IF(O47=0,"","m"))</f>
        <v/>
      </c>
      <c r="R47" s="100"/>
      <c r="S47" s="101"/>
      <c r="U47" s="94"/>
      <c r="V47" s="95"/>
      <c r="W47" s="104"/>
      <c r="X47" s="103"/>
      <c r="Y47" s="103"/>
      <c r="Z47" s="103"/>
      <c r="AA47" s="99"/>
      <c r="AC47" s="1">
        <f>IF(U42="",0,IF(U42&gt;SUM(W42:AA47),U42-SUM(W42:AA47),0))</f>
        <v>0</v>
      </c>
    </row>
    <row r="48" spans="2:29" ht="6" customHeight="1" x14ac:dyDescent="0.2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2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25">
      <c r="B50" s="96">
        <f>IF(S50="","",IF(B42="","",1+B42))</f>
        <v>6</v>
      </c>
      <c r="C50" s="3"/>
      <c r="E50" s="13" t="str">
        <f>IF(F50="","",IF(F50=0,"","L="))</f>
        <v>L=</v>
      </c>
      <c r="F50" s="97">
        <v>2.7</v>
      </c>
      <c r="G50" s="97"/>
      <c r="H50" s="14" t="str">
        <f>IF(F50="","",IF(F50=0,"","m"))</f>
        <v>m</v>
      </c>
      <c r="I50" s="82"/>
      <c r="J50" s="81"/>
      <c r="K50" s="13" t="str">
        <f>IF(L50="","",IF(L50=0,"","L="))</f>
        <v/>
      </c>
      <c r="L50" s="97"/>
      <c r="M50" s="97"/>
      <c r="N50" s="14"/>
      <c r="R50" s="98" t="str">
        <f>IF(OR(S50="入力ｴﾗｰ",S50=0,S50="")=TRUE,"",IF(F50="","甲",IF(F50=0,"甲","")))</f>
        <v/>
      </c>
      <c r="S50" s="101">
        <f>IF((F50+I55+L50+O55)=0,"",IF((F50+I55+L50+O55)&gt;SUM($AC$1:$AC$3),"入力ｴﾗｰ",SUM($AC$1:$AC$3)-(F50+I55+L50+O55)))</f>
        <v>3.3</v>
      </c>
      <c r="T50" s="102" t="str">
        <f>IF(S50="","",IF(S50="入力ｴﾗｰ","","m"))</f>
        <v>m</v>
      </c>
      <c r="U50" s="94">
        <f>IF(B50="","",COUNT(F50,I55,L50,O55)-IF(S50=0,1,0)-V50)</f>
        <v>1</v>
      </c>
      <c r="V50" s="95"/>
      <c r="W50" s="104">
        <v>1</v>
      </c>
      <c r="X50" s="103"/>
      <c r="Y50" s="103"/>
      <c r="Z50" s="103"/>
      <c r="AA50" s="99"/>
    </row>
    <row r="51" spans="2:29" ht="3" customHeight="1" x14ac:dyDescent="0.25">
      <c r="B51" s="96"/>
      <c r="C51" s="3"/>
      <c r="G51" s="3"/>
      <c r="H51" s="2"/>
      <c r="I51" s="3"/>
      <c r="J51" s="2"/>
      <c r="K51" s="3"/>
      <c r="L51" s="2"/>
      <c r="M51" s="3"/>
      <c r="O51" s="3"/>
      <c r="R51" s="98"/>
      <c r="S51" s="101"/>
      <c r="T51" s="102"/>
      <c r="U51" s="94"/>
      <c r="V51" s="95"/>
      <c r="W51" s="104"/>
      <c r="X51" s="103"/>
      <c r="Y51" s="103"/>
      <c r="Z51" s="103"/>
      <c r="AA51" s="99"/>
    </row>
    <row r="52" spans="2:29" ht="3" customHeight="1" x14ac:dyDescent="0.25">
      <c r="B52" s="96"/>
      <c r="C52" s="3"/>
      <c r="E52" s="67"/>
      <c r="F52" s="67"/>
      <c r="G52" s="69"/>
      <c r="H52" s="68"/>
      <c r="I52" s="3"/>
      <c r="J52" s="2"/>
      <c r="K52" s="3"/>
      <c r="L52" s="2"/>
      <c r="M52" s="69"/>
      <c r="N52" s="67"/>
      <c r="O52" s="3"/>
      <c r="R52" s="98"/>
      <c r="S52" s="101"/>
      <c r="T52" s="102"/>
      <c r="U52" s="94"/>
      <c r="V52" s="95"/>
      <c r="W52" s="104"/>
      <c r="X52" s="103"/>
      <c r="Y52" s="103"/>
      <c r="Z52" s="103"/>
      <c r="AA52" s="99"/>
    </row>
    <row r="53" spans="2:29" ht="3" customHeight="1" x14ac:dyDescent="0.25">
      <c r="B53" s="96"/>
      <c r="C53" s="3"/>
      <c r="E53" s="66"/>
      <c r="F53" s="66"/>
      <c r="G53" s="64"/>
      <c r="H53" s="65"/>
      <c r="I53" s="64"/>
      <c r="J53" s="65"/>
      <c r="K53" s="64"/>
      <c r="L53" s="65"/>
      <c r="M53" s="3"/>
      <c r="O53" s="64"/>
      <c r="P53" s="66"/>
      <c r="R53" s="100" t="str">
        <f>IF(R50="甲","",IF(OR(S50=0,S50="")=TRUE,"",IF(S50="入力ｴﾗｰ","","乙")))</f>
        <v>乙</v>
      </c>
      <c r="S53" s="101"/>
      <c r="U53" s="94"/>
      <c r="V53" s="95"/>
      <c r="W53" s="104"/>
      <c r="X53" s="103"/>
      <c r="Y53" s="103"/>
      <c r="Z53" s="103"/>
      <c r="AA53" s="99"/>
    </row>
    <row r="54" spans="2:29" ht="3" customHeight="1" x14ac:dyDescent="0.25">
      <c r="B54" s="96"/>
      <c r="C54" s="3"/>
      <c r="F54" s="2"/>
      <c r="G54" s="3"/>
      <c r="H54" s="2"/>
      <c r="I54" s="3"/>
      <c r="J54" s="2"/>
      <c r="K54" s="3"/>
      <c r="L54" s="2"/>
      <c r="M54" s="3"/>
      <c r="O54" s="3"/>
      <c r="R54" s="100"/>
      <c r="S54" s="101"/>
      <c r="U54" s="94"/>
      <c r="V54" s="95"/>
      <c r="W54" s="104"/>
      <c r="X54" s="103"/>
      <c r="Y54" s="103"/>
      <c r="Z54" s="103"/>
      <c r="AA54" s="99"/>
    </row>
    <row r="55" spans="2:29" ht="15" customHeight="1" x14ac:dyDescent="0.25">
      <c r="B55" s="96"/>
      <c r="C55" s="3"/>
      <c r="G55" s="18"/>
      <c r="H55" s="13" t="str">
        <f>IF(I55="","",IF(I55=0,"","L="))</f>
        <v/>
      </c>
      <c r="I55" s="97"/>
      <c r="J55" s="97"/>
      <c r="K55" s="14"/>
      <c r="L55" s="80"/>
      <c r="N55" s="13" t="str">
        <f>IF(O55="","",IF(O55=0,"","L="))</f>
        <v/>
      </c>
      <c r="O55" s="97"/>
      <c r="P55" s="97"/>
      <c r="Q55" s="14" t="str">
        <f>IF(O55="","",IF(O55=0,"","m"))</f>
        <v/>
      </c>
      <c r="R55" s="100"/>
      <c r="S55" s="101"/>
      <c r="U55" s="94"/>
      <c r="V55" s="95"/>
      <c r="W55" s="104"/>
      <c r="X55" s="103"/>
      <c r="Y55" s="103"/>
      <c r="Z55" s="103"/>
      <c r="AA55" s="99"/>
      <c r="AC55" s="1">
        <f>IF(U50="",0,IF(U50&gt;SUM(W50:AA55),U50-SUM(W50:AA55),0))</f>
        <v>0</v>
      </c>
    </row>
    <row r="56" spans="2:29" ht="6" customHeight="1" x14ac:dyDescent="0.2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2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25">
      <c r="B58" s="96">
        <f>IF(S58="","",IF(B50="","",1+B50))</f>
        <v>7</v>
      </c>
      <c r="C58" s="3"/>
      <c r="E58" s="13" t="str">
        <f>IF(F58="","",IF(F58=0,"","L="))</f>
        <v>L=</v>
      </c>
      <c r="F58" s="97">
        <v>2.2999999999999998</v>
      </c>
      <c r="G58" s="97"/>
      <c r="H58" s="14" t="str">
        <f>IF(F58="","",IF(F58=0,"","m"))</f>
        <v>m</v>
      </c>
      <c r="K58" s="13" t="str">
        <f>IF(L58="","",IF(L58=0,"","L="))</f>
        <v/>
      </c>
      <c r="L58" s="97"/>
      <c r="M58" s="97"/>
      <c r="N58" s="14" t="str">
        <f>IF(L58="","",IF(L58=0,"","m"))</f>
        <v/>
      </c>
      <c r="R58" s="98" t="str">
        <f>IF(OR(S58="入力ｴﾗｰ",S58=0,S58="")=TRUE,"",IF(F58="","甲",IF(F58=0,"甲","")))</f>
        <v/>
      </c>
      <c r="S58" s="101">
        <f>IF((F58+I63+L58+O63)=0,"",IF((F58+I63+L58+O63)&gt;SUM($AC$1:$AC$3),"入力ｴﾗｰ",SUM($AC$1:$AC$3)-(F58+I63+L58+O63)))</f>
        <v>0</v>
      </c>
      <c r="T58" s="102" t="str">
        <f>IF(S58="","",IF(S58="入力ｴﾗｰ","","m"))</f>
        <v>m</v>
      </c>
      <c r="U58" s="94">
        <f>IF(B58="","",COUNT(F58,I63,L58,O63)-IF(S58=0,1,0)-V58)</f>
        <v>1</v>
      </c>
      <c r="V58" s="95"/>
      <c r="W58" s="104">
        <v>2</v>
      </c>
      <c r="X58" s="103"/>
      <c r="Y58" s="103"/>
      <c r="Z58" s="103"/>
      <c r="AA58" s="99"/>
    </row>
    <row r="59" spans="2:29" ht="3" customHeight="1" x14ac:dyDescent="0.25">
      <c r="B59" s="96"/>
      <c r="C59" s="3"/>
      <c r="G59" s="3"/>
      <c r="I59" s="3"/>
      <c r="J59" s="2"/>
      <c r="K59" s="3"/>
      <c r="L59" s="2"/>
      <c r="M59" s="3"/>
      <c r="O59" s="3"/>
      <c r="R59" s="98"/>
      <c r="S59" s="101"/>
      <c r="T59" s="102"/>
      <c r="U59" s="94"/>
      <c r="V59" s="95"/>
      <c r="W59" s="104"/>
      <c r="X59" s="103"/>
      <c r="Y59" s="103"/>
      <c r="Z59" s="103"/>
      <c r="AA59" s="99"/>
    </row>
    <row r="60" spans="2:29" ht="3" customHeight="1" x14ac:dyDescent="0.25">
      <c r="B60" s="96"/>
      <c r="C60" s="3"/>
      <c r="E60" s="67"/>
      <c r="F60" s="67"/>
      <c r="G60" s="3"/>
      <c r="I60" s="3"/>
      <c r="J60" s="2"/>
      <c r="K60" s="3"/>
      <c r="L60" s="2"/>
      <c r="M60" s="3"/>
      <c r="O60" s="3"/>
      <c r="R60" s="98"/>
      <c r="S60" s="101"/>
      <c r="T60" s="102"/>
      <c r="U60" s="94"/>
      <c r="V60" s="95"/>
      <c r="W60" s="104"/>
      <c r="X60" s="103"/>
      <c r="Y60" s="103"/>
      <c r="Z60" s="103"/>
      <c r="AA60" s="99"/>
    </row>
    <row r="61" spans="2:29" ht="3" customHeight="1" x14ac:dyDescent="0.25">
      <c r="B61" s="96"/>
      <c r="C61" s="3"/>
      <c r="E61" s="66"/>
      <c r="F61" s="66"/>
      <c r="G61" s="64"/>
      <c r="H61" s="66"/>
      <c r="I61" s="64"/>
      <c r="J61" s="65"/>
      <c r="K61" s="64"/>
      <c r="L61" s="65"/>
      <c r="M61" s="64"/>
      <c r="N61" s="66"/>
      <c r="O61" s="64"/>
      <c r="P61" s="66"/>
      <c r="R61" s="100" t="str">
        <f>IF(R58="甲","",IF(OR(S58=0,S58="")=TRUE,"",IF(S58="入力ｴﾗｰ","","乙")))</f>
        <v/>
      </c>
      <c r="S61" s="101"/>
      <c r="U61" s="94"/>
      <c r="V61" s="95"/>
      <c r="W61" s="104"/>
      <c r="X61" s="103"/>
      <c r="Y61" s="103"/>
      <c r="Z61" s="103"/>
      <c r="AA61" s="99"/>
    </row>
    <row r="62" spans="2:29" ht="3" customHeight="1" x14ac:dyDescent="0.25">
      <c r="B62" s="96"/>
      <c r="C62" s="3"/>
      <c r="F62" s="2"/>
      <c r="G62" s="3"/>
      <c r="I62" s="3"/>
      <c r="J62" s="2"/>
      <c r="K62" s="3"/>
      <c r="L62" s="2"/>
      <c r="M62" s="3"/>
      <c r="O62" s="3"/>
      <c r="R62" s="100"/>
      <c r="S62" s="101"/>
      <c r="U62" s="94"/>
      <c r="V62" s="95"/>
      <c r="W62" s="104"/>
      <c r="X62" s="103"/>
      <c r="Y62" s="103"/>
      <c r="Z62" s="103"/>
      <c r="AA62" s="99"/>
    </row>
    <row r="63" spans="2:29" ht="15" customHeight="1" x14ac:dyDescent="0.25">
      <c r="B63" s="96"/>
      <c r="C63" s="3"/>
      <c r="G63" s="18"/>
      <c r="H63" s="13" t="str">
        <f>IF(I63="","",IF(I63=0,"","L="))</f>
        <v/>
      </c>
      <c r="I63" s="97"/>
      <c r="J63" s="97"/>
      <c r="K63" s="14" t="str">
        <f>IF(I63="","",IF(I63=0,"","m"))</f>
        <v/>
      </c>
      <c r="N63" s="13" t="str">
        <f>IF(O63="","",IF(O63=0,"","L="))</f>
        <v>L=</v>
      </c>
      <c r="O63" s="97">
        <v>3.7</v>
      </c>
      <c r="P63" s="97"/>
      <c r="Q63" s="14" t="str">
        <f>IF(O63="","",IF(O63=0,"","m"))</f>
        <v>m</v>
      </c>
      <c r="R63" s="100"/>
      <c r="S63" s="101"/>
      <c r="U63" s="94"/>
      <c r="V63" s="95"/>
      <c r="W63" s="104"/>
      <c r="X63" s="103"/>
      <c r="Y63" s="103"/>
      <c r="Z63" s="103"/>
      <c r="AA63" s="99"/>
      <c r="AC63" s="1">
        <f>IF(U58="",0,IF(U58&gt;SUM(W58:AA63),U58-SUM(W58:AA63),0))</f>
        <v>0</v>
      </c>
    </row>
    <row r="64" spans="2:29" ht="6" customHeight="1" x14ac:dyDescent="0.2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2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25">
      <c r="B66" s="96">
        <f>IF(S66="","",IF(B58="","",1+B58))</f>
        <v>8</v>
      </c>
      <c r="C66" s="3"/>
      <c r="E66" s="13" t="str">
        <f>IF(F66="","",IF(F66=0,"","L="))</f>
        <v>L=</v>
      </c>
      <c r="F66" s="97">
        <v>3.5</v>
      </c>
      <c r="G66" s="97"/>
      <c r="H66" s="14" t="str">
        <f>IF(F66="","",IF(F66=0,"","m"))</f>
        <v>m</v>
      </c>
      <c r="K66" s="13" t="str">
        <f>IF(L66="","",IF(L66=0,"","L="))</f>
        <v>L=</v>
      </c>
      <c r="L66" s="97">
        <v>1</v>
      </c>
      <c r="M66" s="97"/>
      <c r="N66" s="14" t="str">
        <f>IF(L66="","",IF(L66=0,"","m"))</f>
        <v>m</v>
      </c>
      <c r="R66" s="98" t="str">
        <f>IF(OR(S66="入力ｴﾗｰ",S66=0,S66="")=TRUE,"",IF(F66="","甲",IF(F66=0,"甲","")))</f>
        <v/>
      </c>
      <c r="S66" s="101">
        <f>IF((F66+I71+L66+O71)=0,"",IF((F66+I71+L66+O71)&gt;SUM($AC$1:$AC$3),"入力ｴﾗｰ",SUM($AC$1:$AC$3)-(F66+I71+L66+O71)))</f>
        <v>1.5</v>
      </c>
      <c r="T66" s="102" t="str">
        <f>IF(S66="","",IF(S66="入力ｴﾗｰ","","m"))</f>
        <v>m</v>
      </c>
      <c r="U66" s="94">
        <f>IF(B66="","",COUNT(F66,I71,L66,O71)-IF(S66=0,1,0)-V66)</f>
        <v>1</v>
      </c>
      <c r="V66" s="95">
        <v>1</v>
      </c>
      <c r="W66" s="104">
        <v>1</v>
      </c>
      <c r="X66" s="103"/>
      <c r="Y66" s="103"/>
      <c r="Z66" s="103"/>
      <c r="AA66" s="99"/>
    </row>
    <row r="67" spans="2:29" ht="3" customHeight="1" x14ac:dyDescent="0.25">
      <c r="B67" s="96"/>
      <c r="C67" s="3"/>
      <c r="F67" s="2"/>
      <c r="G67" s="3"/>
      <c r="I67" s="3"/>
      <c r="J67" s="2"/>
      <c r="K67" s="3"/>
      <c r="L67" s="2"/>
      <c r="M67" s="3"/>
      <c r="O67" s="3"/>
      <c r="R67" s="98"/>
      <c r="S67" s="101"/>
      <c r="T67" s="102"/>
      <c r="U67" s="94"/>
      <c r="V67" s="95"/>
      <c r="W67" s="104"/>
      <c r="X67" s="103"/>
      <c r="Y67" s="103"/>
      <c r="Z67" s="103"/>
      <c r="AA67" s="99"/>
    </row>
    <row r="68" spans="2:29" ht="3" customHeight="1" x14ac:dyDescent="0.25">
      <c r="B68" s="96"/>
      <c r="C68" s="3"/>
      <c r="E68" s="67"/>
      <c r="F68" s="67"/>
      <c r="G68" s="3"/>
      <c r="I68" s="3"/>
      <c r="J68" s="2"/>
      <c r="K68" s="3"/>
      <c r="L68" s="2"/>
      <c r="M68" s="3"/>
      <c r="O68" s="3"/>
      <c r="R68" s="98"/>
      <c r="S68" s="101"/>
      <c r="T68" s="102"/>
      <c r="U68" s="94"/>
      <c r="V68" s="95"/>
      <c r="W68" s="104"/>
      <c r="X68" s="103"/>
      <c r="Y68" s="103"/>
      <c r="Z68" s="103"/>
      <c r="AA68" s="99"/>
    </row>
    <row r="69" spans="2:29" ht="3" customHeight="1" x14ac:dyDescent="0.25">
      <c r="B69" s="96"/>
      <c r="C69" s="3"/>
      <c r="E69" s="66"/>
      <c r="F69" s="66"/>
      <c r="G69" s="64"/>
      <c r="H69" s="66"/>
      <c r="I69" s="64"/>
      <c r="J69" s="65"/>
      <c r="K69" s="64"/>
      <c r="L69" s="65"/>
      <c r="M69" s="64"/>
      <c r="N69" s="66"/>
      <c r="O69" s="64"/>
      <c r="P69" s="66"/>
      <c r="R69" s="100" t="str">
        <f>IF(R66="甲","",IF(OR(S66=0,S66="")=TRUE,"",IF(S66="入力ｴﾗｰ","","乙")))</f>
        <v>乙</v>
      </c>
      <c r="S69" s="101"/>
      <c r="U69" s="94"/>
      <c r="V69" s="95"/>
      <c r="W69" s="104"/>
      <c r="X69" s="103"/>
      <c r="Y69" s="103"/>
      <c r="Z69" s="103"/>
      <c r="AA69" s="99"/>
    </row>
    <row r="70" spans="2:29" ht="3" customHeight="1" x14ac:dyDescent="0.25">
      <c r="B70" s="96"/>
      <c r="C70" s="3"/>
      <c r="F70" s="2"/>
      <c r="G70" s="3"/>
      <c r="I70" s="3"/>
      <c r="J70" s="2"/>
      <c r="K70" s="3"/>
      <c r="L70" s="2"/>
      <c r="M70" s="3"/>
      <c r="O70" s="3"/>
      <c r="R70" s="100"/>
      <c r="S70" s="101"/>
      <c r="U70" s="94"/>
      <c r="V70" s="95"/>
      <c r="W70" s="104"/>
      <c r="X70" s="103"/>
      <c r="Y70" s="103"/>
      <c r="Z70" s="103"/>
      <c r="AA70" s="99"/>
    </row>
    <row r="71" spans="2:29" ht="15" customHeight="1" x14ac:dyDescent="0.25">
      <c r="B71" s="96"/>
      <c r="C71" s="3"/>
      <c r="G71" s="18"/>
      <c r="H71" s="13" t="str">
        <f>IF(I71="","",IF(I71=0,"","L="))</f>
        <v/>
      </c>
      <c r="I71" s="97"/>
      <c r="J71" s="97"/>
      <c r="K71" s="83" t="s">
        <v>45</v>
      </c>
      <c r="L71" s="80" t="s">
        <v>44</v>
      </c>
      <c r="M71" s="82" t="s">
        <v>44</v>
      </c>
      <c r="N71" s="13" t="str">
        <f>IF(O71="","",IF(O71=0,"","L="))</f>
        <v/>
      </c>
      <c r="O71" s="97"/>
      <c r="P71" s="97"/>
      <c r="Q71" s="14" t="str">
        <f>IF(O71="","",IF(O71=0,"","m"))</f>
        <v/>
      </c>
      <c r="R71" s="100"/>
      <c r="S71" s="101"/>
      <c r="U71" s="94"/>
      <c r="V71" s="95"/>
      <c r="W71" s="104"/>
      <c r="X71" s="103"/>
      <c r="Y71" s="103"/>
      <c r="Z71" s="103"/>
      <c r="AA71" s="99"/>
      <c r="AC71" s="1">
        <f>IF(U66="",0,IF(U66&gt;SUM(W66:AA71),U66-SUM(W66:AA71),0))</f>
        <v>0</v>
      </c>
    </row>
    <row r="72" spans="2:29" ht="6" customHeight="1" x14ac:dyDescent="0.2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2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25">
      <c r="B74" s="96">
        <f>IF(S74="","",IF(B66="","",1+B66))</f>
        <v>9</v>
      </c>
      <c r="C74" s="3"/>
      <c r="E74" s="13" t="str">
        <f>IF(F74="","",IF(F74=0,"","L="))</f>
        <v>L=</v>
      </c>
      <c r="F74" s="97">
        <v>4.5999999999999996</v>
      </c>
      <c r="G74" s="97"/>
      <c r="H74" s="14" t="str">
        <f>IF(F74="","",IF(F74=0,"","m"))</f>
        <v>m</v>
      </c>
      <c r="K74" s="13" t="str">
        <f>IF(L74="","",IF(L74=0,"","L="))</f>
        <v/>
      </c>
      <c r="L74" s="97"/>
      <c r="M74" s="97"/>
      <c r="N74" s="14" t="str">
        <f>IF(L74="","",IF(L74=0,"","m"))</f>
        <v/>
      </c>
      <c r="R74" s="98" t="str">
        <f>IF(OR(S74="入力ｴﾗｰ",S74=0,S74="")=TRUE,"",IF(F74="","甲",IF(F74=0,"甲","")))</f>
        <v/>
      </c>
      <c r="S74" s="101">
        <f>IF((F74+I79+L74+O79)=0,"",IF((F74+I79+L74+O79)&gt;SUM($AC$1:$AC$3),"入力ｴﾗｰ",SUM($AC$1:$AC$3)-(F74+I79+L74+O79)))</f>
        <v>0.40000000000000036</v>
      </c>
      <c r="T74" s="102" t="str">
        <f>IF(S74="","",IF(S74="入力ｴﾗｰ","","m"))</f>
        <v>m</v>
      </c>
      <c r="U74" s="94">
        <f>IF(B74="","",COUNT(F74,I79,L74,O79)-IF(S74=0,1,0)-V74)</f>
        <v>2</v>
      </c>
      <c r="V74" s="95"/>
      <c r="W74" s="104">
        <v>2</v>
      </c>
      <c r="X74" s="103"/>
      <c r="Y74" s="103"/>
      <c r="Z74" s="103"/>
      <c r="AA74" s="99"/>
    </row>
    <row r="75" spans="2:29" ht="3" customHeight="1" x14ac:dyDescent="0.25">
      <c r="B75" s="96"/>
      <c r="C75" s="3"/>
      <c r="G75" s="3"/>
      <c r="I75" s="3"/>
      <c r="J75" s="2"/>
      <c r="K75" s="3"/>
      <c r="L75" s="2"/>
      <c r="M75" s="3"/>
      <c r="O75" s="3"/>
      <c r="R75" s="98"/>
      <c r="S75" s="101"/>
      <c r="T75" s="102"/>
      <c r="U75" s="94"/>
      <c r="V75" s="95"/>
      <c r="W75" s="104"/>
      <c r="X75" s="103"/>
      <c r="Y75" s="103"/>
      <c r="Z75" s="103"/>
      <c r="AA75" s="99"/>
    </row>
    <row r="76" spans="2:29" ht="3" customHeight="1" x14ac:dyDescent="0.25">
      <c r="B76" s="96"/>
      <c r="C76" s="3"/>
      <c r="G76" s="3"/>
      <c r="I76" s="3"/>
      <c r="J76" s="2"/>
      <c r="K76" s="3"/>
      <c r="L76" s="2"/>
      <c r="M76" s="3"/>
      <c r="O76" s="3"/>
      <c r="R76" s="98"/>
      <c r="S76" s="101"/>
      <c r="T76" s="102"/>
      <c r="U76" s="94"/>
      <c r="V76" s="95"/>
      <c r="W76" s="104"/>
      <c r="X76" s="103"/>
      <c r="Y76" s="103"/>
      <c r="Z76" s="103"/>
      <c r="AA76" s="99"/>
    </row>
    <row r="77" spans="2:29" ht="3" customHeight="1" x14ac:dyDescent="0.25">
      <c r="B77" s="96"/>
      <c r="C77" s="3"/>
      <c r="E77" s="66"/>
      <c r="F77" s="65"/>
      <c r="G77" s="64"/>
      <c r="H77" s="66"/>
      <c r="I77" s="64"/>
      <c r="J77" s="65"/>
      <c r="K77" s="64"/>
      <c r="L77" s="65"/>
      <c r="M77" s="64"/>
      <c r="N77" s="66"/>
      <c r="O77" s="64"/>
      <c r="P77" s="66"/>
      <c r="R77" s="100" t="str">
        <f>IF(R74="甲","",IF(OR(S74=0,S74="")=TRUE,"",IF(S74="入力ｴﾗｰ","","乙")))</f>
        <v>乙</v>
      </c>
      <c r="S77" s="101"/>
      <c r="U77" s="94"/>
      <c r="V77" s="95"/>
      <c r="W77" s="104"/>
      <c r="X77" s="103"/>
      <c r="Y77" s="103"/>
      <c r="Z77" s="103"/>
      <c r="AA77" s="99"/>
    </row>
    <row r="78" spans="2:29" ht="3" customHeight="1" x14ac:dyDescent="0.25">
      <c r="B78" s="96"/>
      <c r="C78" s="3"/>
      <c r="F78" s="2"/>
      <c r="G78" s="3"/>
      <c r="I78" s="3"/>
      <c r="J78" s="2"/>
      <c r="K78" s="3"/>
      <c r="L78" s="2"/>
      <c r="M78" s="3"/>
      <c r="O78" s="3"/>
      <c r="R78" s="100"/>
      <c r="S78" s="101"/>
      <c r="U78" s="94"/>
      <c r="V78" s="95"/>
      <c r="W78" s="104"/>
      <c r="X78" s="103"/>
      <c r="Y78" s="103"/>
      <c r="Z78" s="103"/>
      <c r="AA78" s="99"/>
    </row>
    <row r="79" spans="2:29" ht="15" customHeight="1" x14ac:dyDescent="0.25">
      <c r="B79" s="96"/>
      <c r="C79" s="3"/>
      <c r="G79" s="18"/>
      <c r="H79" s="13" t="str">
        <f>IF(I79="","",IF(I79=0,"","L="))</f>
        <v/>
      </c>
      <c r="I79" s="97"/>
      <c r="J79" s="97"/>
      <c r="K79" s="14" t="str">
        <f>IF(I79="","",IF(I79=0,"","m"))</f>
        <v/>
      </c>
      <c r="N79" s="13" t="str">
        <f>IF(O79="","",IF(O79=0,"","L="))</f>
        <v>L=</v>
      </c>
      <c r="O79" s="97">
        <v>1</v>
      </c>
      <c r="P79" s="97"/>
      <c r="Q79" s="14" t="str">
        <f>IF(O79="","",IF(O79=0,"","m"))</f>
        <v>m</v>
      </c>
      <c r="R79" s="100"/>
      <c r="S79" s="101"/>
      <c r="U79" s="94"/>
      <c r="V79" s="95"/>
      <c r="W79" s="104"/>
      <c r="X79" s="103"/>
      <c r="Y79" s="103"/>
      <c r="Z79" s="103"/>
      <c r="AA79" s="99"/>
      <c r="AC79" s="1">
        <f>IF(U74="",0,IF(U74&gt;SUM(W74:AA79),U74-SUM(W74:AA79),0))</f>
        <v>0</v>
      </c>
    </row>
    <row r="80" spans="2:29" ht="6" customHeight="1" x14ac:dyDescent="0.2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2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25">
      <c r="B82" s="96">
        <f>IF(S82="","",IF(B74="","",1+B74))</f>
        <v>10</v>
      </c>
      <c r="C82" s="3"/>
      <c r="E82" s="13" t="str">
        <f>IF(F82="","",IF(F82=0,"","L="))</f>
        <v>L=</v>
      </c>
      <c r="F82" s="97">
        <v>3.6</v>
      </c>
      <c r="G82" s="97"/>
      <c r="H82" s="14" t="str">
        <f>IF(F82="","",IF(F82=0,"","m"))</f>
        <v>m</v>
      </c>
      <c r="K82" s="13" t="str">
        <f>IF(L82="","",IF(L82=0,"","L="))</f>
        <v/>
      </c>
      <c r="L82" s="97"/>
      <c r="M82" s="97"/>
      <c r="N82" s="14" t="str">
        <f>IF(L82="","",IF(L82=0,"","m"))</f>
        <v/>
      </c>
      <c r="R82" s="98" t="str">
        <f>IF(OR(S82="入力ｴﾗｰ",S82=0,S82="")=TRUE,"",IF(F82="","甲",IF(F82=0,"甲","")))</f>
        <v/>
      </c>
      <c r="S82" s="101">
        <f>IF((F82+I87+L82+O87)=0,"",IF((F82+I87+L82+O87)&gt;SUM($AC$1:$AC$3),"入力ｴﾗｰ",SUM($AC$1:$AC$3)-(F82+I87+L82+O87)))</f>
        <v>1.0999999999999996</v>
      </c>
      <c r="T82" s="102" t="str">
        <f>IF(S82="","",IF(S82="入力ｴﾗｰ","","m"))</f>
        <v>m</v>
      </c>
      <c r="U82" s="94">
        <f>IF(B82="","",COUNT(F82,I87,L82,O87)-IF(S82=0,1,0)-V82)</f>
        <v>2</v>
      </c>
      <c r="V82" s="95"/>
      <c r="W82" s="104">
        <v>2</v>
      </c>
      <c r="X82" s="103"/>
      <c r="Y82" s="103"/>
      <c r="Z82" s="103"/>
      <c r="AA82" s="99"/>
    </row>
    <row r="83" spans="2:29" ht="3" customHeight="1" x14ac:dyDescent="0.25">
      <c r="B83" s="96"/>
      <c r="C83" s="3"/>
      <c r="G83" s="3"/>
      <c r="I83" s="3"/>
      <c r="J83" s="2"/>
      <c r="K83" s="3"/>
      <c r="L83" s="2"/>
      <c r="M83" s="3"/>
      <c r="O83" s="3"/>
      <c r="R83" s="98"/>
      <c r="S83" s="101"/>
      <c r="T83" s="102"/>
      <c r="U83" s="94"/>
      <c r="V83" s="95"/>
      <c r="W83" s="104"/>
      <c r="X83" s="103"/>
      <c r="Y83" s="103"/>
      <c r="Z83" s="103"/>
      <c r="AA83" s="99"/>
    </row>
    <row r="84" spans="2:29" ht="3" customHeight="1" x14ac:dyDescent="0.25">
      <c r="B84" s="96"/>
      <c r="C84" s="3"/>
      <c r="G84" s="3"/>
      <c r="I84" s="3"/>
      <c r="J84" s="2"/>
      <c r="K84" s="3"/>
      <c r="L84" s="2"/>
      <c r="M84" s="3"/>
      <c r="O84" s="3"/>
      <c r="R84" s="98"/>
      <c r="S84" s="101"/>
      <c r="T84" s="102"/>
      <c r="U84" s="94"/>
      <c r="V84" s="95"/>
      <c r="W84" s="104"/>
      <c r="X84" s="103"/>
      <c r="Y84" s="103"/>
      <c r="Z84" s="103"/>
      <c r="AA84" s="99"/>
    </row>
    <row r="85" spans="2:29" ht="3" customHeight="1" x14ac:dyDescent="0.25">
      <c r="B85" s="96"/>
      <c r="C85" s="3"/>
      <c r="E85" s="66"/>
      <c r="F85" s="65"/>
      <c r="G85" s="64"/>
      <c r="H85" s="66"/>
      <c r="I85" s="64"/>
      <c r="J85" s="65"/>
      <c r="K85" s="64"/>
      <c r="L85" s="65"/>
      <c r="M85" s="64"/>
      <c r="N85" s="66"/>
      <c r="O85" s="64"/>
      <c r="P85" s="66"/>
      <c r="R85" s="100" t="str">
        <f>IF(R82="甲","",IF(OR(S82=0,S82="")=TRUE,"",IF(S82="入力ｴﾗｰ","","乙")))</f>
        <v>乙</v>
      </c>
      <c r="S85" s="101"/>
      <c r="U85" s="94"/>
      <c r="V85" s="95"/>
      <c r="W85" s="104"/>
      <c r="X85" s="103"/>
      <c r="Y85" s="103"/>
      <c r="Z85" s="103"/>
      <c r="AA85" s="99"/>
    </row>
    <row r="86" spans="2:29" ht="3" customHeight="1" x14ac:dyDescent="0.25">
      <c r="B86" s="96"/>
      <c r="C86" s="3"/>
      <c r="F86" s="2"/>
      <c r="G86" s="3"/>
      <c r="I86" s="3"/>
      <c r="J86" s="2"/>
      <c r="K86" s="3"/>
      <c r="L86" s="2"/>
      <c r="M86" s="3"/>
      <c r="O86" s="3"/>
      <c r="R86" s="100"/>
      <c r="S86" s="101"/>
      <c r="U86" s="94"/>
      <c r="V86" s="95"/>
      <c r="W86" s="104"/>
      <c r="X86" s="103"/>
      <c r="Y86" s="103"/>
      <c r="Z86" s="103"/>
      <c r="AA86" s="99"/>
    </row>
    <row r="87" spans="2:29" ht="15" customHeight="1" x14ac:dyDescent="0.25">
      <c r="B87" s="96"/>
      <c r="C87" s="3"/>
      <c r="G87" s="18"/>
      <c r="H87" s="13" t="str">
        <f>IF(I87="","",IF(I87=0,"","L="))</f>
        <v/>
      </c>
      <c r="I87" s="97"/>
      <c r="J87" s="97"/>
      <c r="K87" s="14" t="str">
        <f>IF(I87="","",IF(I87=0,"","m"))</f>
        <v/>
      </c>
      <c r="N87" s="13" t="str">
        <f>IF(O87="","",IF(O87=0,"","L="))</f>
        <v>L=</v>
      </c>
      <c r="O87" s="97">
        <v>1.3</v>
      </c>
      <c r="P87" s="97"/>
      <c r="Q87" s="14" t="str">
        <f>IF(O87="","",IF(O87=0,"","m"))</f>
        <v>m</v>
      </c>
      <c r="R87" s="100"/>
      <c r="S87" s="101"/>
      <c r="U87" s="94"/>
      <c r="V87" s="95"/>
      <c r="W87" s="104"/>
      <c r="X87" s="103"/>
      <c r="Y87" s="103"/>
      <c r="Z87" s="103"/>
      <c r="AA87" s="99"/>
      <c r="AC87" s="1">
        <f>IF(U82="",0,IF(U82&gt;SUM(W82:AA87),U82-SUM(W82:AA87),0))</f>
        <v>0</v>
      </c>
    </row>
    <row r="88" spans="2:29" ht="6" customHeight="1" x14ac:dyDescent="0.2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2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25">
      <c r="B90" s="96">
        <f>IF(S90="","",IF(B82="","",1+B82))</f>
        <v>11</v>
      </c>
      <c r="C90" s="3"/>
      <c r="E90" s="13" t="str">
        <f>IF(F90="","",IF(F90=0,"","L="))</f>
        <v>L=</v>
      </c>
      <c r="F90" s="97">
        <v>3</v>
      </c>
      <c r="G90" s="97"/>
      <c r="H90" s="14" t="str">
        <f>IF(F90="","",IF(F90=0,"","m"))</f>
        <v>m</v>
      </c>
      <c r="K90" s="13" t="str">
        <f>IF(L90="","",IF(L90=0,"","L="))</f>
        <v/>
      </c>
      <c r="L90" s="97"/>
      <c r="M90" s="97"/>
      <c r="N90" s="14" t="str">
        <f>IF(L90="","",IF(L90=0,"","m"))</f>
        <v/>
      </c>
      <c r="R90" s="98" t="str">
        <f>IF(OR(S90="入力ｴﾗｰ",S90=0,S90="")=TRUE,"",IF(F90="","甲",IF(F90=0,"甲","")))</f>
        <v/>
      </c>
      <c r="S90" s="101">
        <f>IF((F90+I95+L90+O95)=0,"",IF((F90+I95+L90+O95)&gt;SUM($AC$1:$AC$3),"入力ｴﾗｰ",SUM($AC$1:$AC$3)-(F90+I95+L90+O95)))</f>
        <v>1.7000000000000002</v>
      </c>
      <c r="T90" s="102" t="str">
        <f>IF(S90="","",IF(S90="入力ｴﾗｰ","","m"))</f>
        <v>m</v>
      </c>
      <c r="U90" s="94">
        <f>IF(B90="","",COUNT(F90,I95,L90,O95)-IF(S90=0,1,0)-V90)</f>
        <v>2</v>
      </c>
      <c r="V90" s="95"/>
      <c r="W90" s="104">
        <v>2</v>
      </c>
      <c r="X90" s="103"/>
      <c r="Y90" s="103"/>
      <c r="Z90" s="103"/>
      <c r="AA90" s="99"/>
    </row>
    <row r="91" spans="2:29" ht="3" customHeight="1" x14ac:dyDescent="0.25">
      <c r="B91" s="96"/>
      <c r="C91" s="3"/>
      <c r="G91" s="3"/>
      <c r="I91" s="3"/>
      <c r="J91" s="2"/>
      <c r="K91" s="3"/>
      <c r="L91" s="2"/>
      <c r="M91" s="3"/>
      <c r="O91" s="3"/>
      <c r="R91" s="98"/>
      <c r="S91" s="101"/>
      <c r="T91" s="102"/>
      <c r="U91" s="94"/>
      <c r="V91" s="95"/>
      <c r="W91" s="104"/>
      <c r="X91" s="103"/>
      <c r="Y91" s="103"/>
      <c r="Z91" s="103"/>
      <c r="AA91" s="99"/>
    </row>
    <row r="92" spans="2:29" ht="3" customHeight="1" x14ac:dyDescent="0.25">
      <c r="B92" s="96"/>
      <c r="C92" s="3"/>
      <c r="G92" s="3"/>
      <c r="I92" s="3"/>
      <c r="J92" s="2"/>
      <c r="K92" s="3"/>
      <c r="L92" s="2"/>
      <c r="M92" s="3"/>
      <c r="O92" s="3"/>
      <c r="R92" s="98"/>
      <c r="S92" s="101"/>
      <c r="T92" s="102"/>
      <c r="U92" s="94"/>
      <c r="V92" s="95"/>
      <c r="W92" s="104"/>
      <c r="X92" s="103"/>
      <c r="Y92" s="103"/>
      <c r="Z92" s="103"/>
      <c r="AA92" s="99"/>
    </row>
    <row r="93" spans="2:29" ht="3" customHeight="1" x14ac:dyDescent="0.25">
      <c r="B93" s="96"/>
      <c r="C93" s="3"/>
      <c r="E93" s="66"/>
      <c r="F93" s="65"/>
      <c r="G93" s="64"/>
      <c r="H93" s="66"/>
      <c r="I93" s="64"/>
      <c r="J93" s="65"/>
      <c r="K93" s="64"/>
      <c r="L93" s="65"/>
      <c r="M93" s="64"/>
      <c r="N93" s="66"/>
      <c r="O93" s="64"/>
      <c r="P93" s="66"/>
      <c r="R93" s="100" t="str">
        <f>IF(R90="甲","",IF(OR(S90=0,S90="")=TRUE,"",IF(S90="入力ｴﾗｰ","","乙")))</f>
        <v>乙</v>
      </c>
      <c r="S93" s="101"/>
      <c r="U93" s="94"/>
      <c r="V93" s="95"/>
      <c r="W93" s="104"/>
      <c r="X93" s="103"/>
      <c r="Y93" s="103"/>
      <c r="Z93" s="103"/>
      <c r="AA93" s="99"/>
    </row>
    <row r="94" spans="2:29" ht="3" customHeight="1" x14ac:dyDescent="0.25">
      <c r="B94" s="96"/>
      <c r="C94" s="3"/>
      <c r="F94" s="2"/>
      <c r="G94" s="3"/>
      <c r="I94" s="3"/>
      <c r="J94" s="2"/>
      <c r="K94" s="3"/>
      <c r="L94" s="2"/>
      <c r="M94" s="3"/>
      <c r="O94" s="3"/>
      <c r="R94" s="100"/>
      <c r="S94" s="101"/>
      <c r="U94" s="94"/>
      <c r="V94" s="95"/>
      <c r="W94" s="104"/>
      <c r="X94" s="103"/>
      <c r="Y94" s="103"/>
      <c r="Z94" s="103"/>
      <c r="AA94" s="99"/>
    </row>
    <row r="95" spans="2:29" ht="15" customHeight="1" x14ac:dyDescent="0.25">
      <c r="B95" s="96"/>
      <c r="C95" s="3"/>
      <c r="G95" s="18"/>
      <c r="H95" s="13" t="str">
        <f>IF(I95="","",IF(I95=0,"","L="))</f>
        <v/>
      </c>
      <c r="I95" s="97"/>
      <c r="J95" s="97"/>
      <c r="K95" s="14" t="str">
        <f>IF(I95="","",IF(I95=0,"","m"))</f>
        <v/>
      </c>
      <c r="N95" s="13" t="str">
        <f>IF(O95="","",IF(O95=0,"","L="))</f>
        <v>L=</v>
      </c>
      <c r="O95" s="97">
        <v>1.3</v>
      </c>
      <c r="P95" s="97"/>
      <c r="Q95" s="14" t="str">
        <f>IF(O95="","",IF(O95=0,"","m"))</f>
        <v>m</v>
      </c>
      <c r="R95" s="100"/>
      <c r="S95" s="101"/>
      <c r="U95" s="94"/>
      <c r="V95" s="95"/>
      <c r="W95" s="104"/>
      <c r="X95" s="103"/>
      <c r="Y95" s="103"/>
      <c r="Z95" s="103"/>
      <c r="AA95" s="99"/>
      <c r="AC95" s="1">
        <f>IF(U90="",0,IF(U90&gt;SUM(W90:AA95),U90-SUM(W90:AA95),0))</f>
        <v>0</v>
      </c>
    </row>
    <row r="96" spans="2:29" ht="6" customHeight="1" x14ac:dyDescent="0.2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2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25">
      <c r="B98" s="96">
        <f>IF(S98="","",IF(B90="","",1+B90))</f>
        <v>12</v>
      </c>
      <c r="C98" s="3"/>
      <c r="E98" s="13" t="str">
        <f>IF(F98="","",IF(F98=0,"","L="))</f>
        <v>L=</v>
      </c>
      <c r="F98" s="97">
        <v>3</v>
      </c>
      <c r="G98" s="97"/>
      <c r="H98" s="14" t="str">
        <f>IF(F98="","",IF(F98=0,"","m"))</f>
        <v>m</v>
      </c>
      <c r="K98" s="13" t="str">
        <f>IF(L98="","",IF(L98=0,"","L="))</f>
        <v/>
      </c>
      <c r="L98" s="97"/>
      <c r="M98" s="97"/>
      <c r="N98" s="14" t="str">
        <f>IF(L98="","",IF(L98=0,"","m"))</f>
        <v/>
      </c>
      <c r="R98" s="98" t="str">
        <f>IF(OR(S98="入力ｴﾗｰ",S98=0,S98="")=TRUE,"",IF(F98="","甲",IF(F98=0,"甲","")))</f>
        <v/>
      </c>
      <c r="S98" s="101">
        <f>IF((F98+I103+L98+O103)=0,"",IF((F98+I103+L98+O103)&gt;SUM($AC$1:$AC$3),"入力ｴﾗｰ",SUM($AC$1:$AC$3)-(F98+I103+L98+O103)))</f>
        <v>3</v>
      </c>
      <c r="T98" s="102" t="str">
        <f>IF(S98="","",IF(S98="入力ｴﾗｰ","","m"))</f>
        <v>m</v>
      </c>
      <c r="U98" s="94">
        <f>IF(B98="","",COUNT(F98,I103,L98,O103)-IF(S98=0,1,0)-V98)</f>
        <v>1</v>
      </c>
      <c r="V98" s="95"/>
      <c r="W98" s="104">
        <v>1</v>
      </c>
      <c r="X98" s="103"/>
      <c r="Y98" s="103"/>
      <c r="Z98" s="103"/>
      <c r="AA98" s="99"/>
    </row>
    <row r="99" spans="2:29" ht="3" customHeight="1" x14ac:dyDescent="0.25">
      <c r="B99" s="96"/>
      <c r="C99" s="3"/>
      <c r="G99" s="3"/>
      <c r="I99" s="3"/>
      <c r="J99" s="2"/>
      <c r="K99" s="3"/>
      <c r="L99" s="2"/>
      <c r="M99" s="3"/>
      <c r="O99" s="3"/>
      <c r="R99" s="98"/>
      <c r="S99" s="101"/>
      <c r="T99" s="102"/>
      <c r="U99" s="94"/>
      <c r="V99" s="95"/>
      <c r="W99" s="104"/>
      <c r="X99" s="103"/>
      <c r="Y99" s="103"/>
      <c r="Z99" s="103"/>
      <c r="AA99" s="99"/>
    </row>
    <row r="100" spans="2:29" ht="3" customHeight="1" x14ac:dyDescent="0.25">
      <c r="B100" s="96"/>
      <c r="C100" s="3"/>
      <c r="G100" s="3"/>
      <c r="I100" s="3"/>
      <c r="J100" s="2"/>
      <c r="K100" s="3"/>
      <c r="L100" s="2"/>
      <c r="M100" s="3"/>
      <c r="O100" s="3"/>
      <c r="R100" s="98"/>
      <c r="S100" s="101"/>
      <c r="T100" s="102"/>
      <c r="U100" s="94"/>
      <c r="V100" s="95"/>
      <c r="W100" s="104"/>
      <c r="X100" s="103"/>
      <c r="Y100" s="103"/>
      <c r="Z100" s="103"/>
      <c r="AA100" s="99"/>
    </row>
    <row r="101" spans="2:29" ht="3" customHeight="1" x14ac:dyDescent="0.25">
      <c r="B101" s="96"/>
      <c r="C101" s="3"/>
      <c r="E101" s="66"/>
      <c r="F101" s="65"/>
      <c r="G101" s="64"/>
      <c r="H101" s="66"/>
      <c r="I101" s="64"/>
      <c r="J101" s="65"/>
      <c r="K101" s="64"/>
      <c r="L101" s="65"/>
      <c r="M101" s="64"/>
      <c r="N101" s="66"/>
      <c r="O101" s="64"/>
      <c r="P101" s="66"/>
      <c r="R101" s="100" t="str">
        <f>IF(R98="甲","",IF(OR(S98=0,S98="")=TRUE,"",IF(S98="入力ｴﾗｰ","","乙")))</f>
        <v>乙</v>
      </c>
      <c r="S101" s="101"/>
      <c r="U101" s="94"/>
      <c r="V101" s="95"/>
      <c r="W101" s="104"/>
      <c r="X101" s="103"/>
      <c r="Y101" s="103"/>
      <c r="Z101" s="103"/>
      <c r="AA101" s="99"/>
    </row>
    <row r="102" spans="2:29" ht="3" customHeight="1" x14ac:dyDescent="0.25">
      <c r="B102" s="96"/>
      <c r="C102" s="3"/>
      <c r="F102" s="2"/>
      <c r="G102" s="3"/>
      <c r="I102" s="3"/>
      <c r="J102" s="2"/>
      <c r="K102" s="3"/>
      <c r="L102" s="2"/>
      <c r="M102" s="3"/>
      <c r="O102" s="3"/>
      <c r="R102" s="100"/>
      <c r="S102" s="101"/>
      <c r="U102" s="94"/>
      <c r="V102" s="95"/>
      <c r="W102" s="104"/>
      <c r="X102" s="103"/>
      <c r="Y102" s="103"/>
      <c r="Z102" s="103"/>
      <c r="AA102" s="99"/>
    </row>
    <row r="103" spans="2:29" ht="15" customHeight="1" x14ac:dyDescent="0.25">
      <c r="B103" s="96"/>
      <c r="C103" s="3"/>
      <c r="G103" s="18"/>
      <c r="H103" s="13" t="str">
        <f>IF(I103="","",IF(I103=0,"","L="))</f>
        <v/>
      </c>
      <c r="I103" s="97"/>
      <c r="J103" s="97"/>
      <c r="K103" s="14" t="str">
        <f>IF(I103="","",IF(I103=0,"","m"))</f>
        <v/>
      </c>
      <c r="N103" s="13" t="str">
        <f>IF(O103="","",IF(O103=0,"","L="))</f>
        <v/>
      </c>
      <c r="O103" s="97"/>
      <c r="P103" s="97"/>
      <c r="Q103" s="14" t="str">
        <f>IF(O103="","",IF(O103=0,"","m"))</f>
        <v/>
      </c>
      <c r="R103" s="100"/>
      <c r="S103" s="101"/>
      <c r="U103" s="94"/>
      <c r="V103" s="95"/>
      <c r="W103" s="104"/>
      <c r="X103" s="103"/>
      <c r="Y103" s="103"/>
      <c r="Z103" s="103"/>
      <c r="AA103" s="99"/>
      <c r="AC103" s="1">
        <f>IF(U98="",0,IF(U98&gt;SUM(W98:AA103),U98-SUM(W98:AA103),0))</f>
        <v>0</v>
      </c>
    </row>
    <row r="104" spans="2:29" ht="6" customHeight="1" x14ac:dyDescent="0.2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2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25">
      <c r="B106" s="96">
        <f>IF(S106="","",IF(B98="","",1+B98))</f>
        <v>13</v>
      </c>
      <c r="C106" s="3"/>
      <c r="E106" s="13" t="str">
        <f>IF(F106="","",IF(F106=0,"","L="))</f>
        <v>L=</v>
      </c>
      <c r="F106" s="97">
        <v>3</v>
      </c>
      <c r="G106" s="97"/>
      <c r="H106" s="14" t="str">
        <f>IF(F106="","",IF(F106=0,"","m"))</f>
        <v>m</v>
      </c>
      <c r="K106" s="13" t="str">
        <f>IF(L106="","",IF(L106=0,"","L="))</f>
        <v/>
      </c>
      <c r="L106" s="97"/>
      <c r="M106" s="97"/>
      <c r="N106" s="14" t="str">
        <f>IF(L106="","",IF(L106=0,"","m"))</f>
        <v/>
      </c>
      <c r="R106" s="98" t="str">
        <f>IF(OR(S106="入力ｴﾗｰ",S106=0,S106="")=TRUE,"",IF(F106="","甲",IF(F106=0,"甲","")))</f>
        <v/>
      </c>
      <c r="S106" s="101">
        <f>IF((F106+I111+L106+O111)=0,"",IF((F106+I111+L106+O111)&gt;SUM($AC$1:$AC$3),"入力ｴﾗｰ",SUM($AC$1:$AC$3)-(F106+I111+L106+O111)))</f>
        <v>3</v>
      </c>
      <c r="T106" s="102" t="str">
        <f>IF(S106="","",IF(S106="入力ｴﾗｰ","","m"))</f>
        <v>m</v>
      </c>
      <c r="U106" s="94">
        <f>IF(B106="","",COUNT(F106,I111,L106,O111)-IF(S106=0,1,0)-V106)</f>
        <v>1</v>
      </c>
      <c r="V106" s="95"/>
      <c r="W106" s="104">
        <v>1</v>
      </c>
      <c r="X106" s="103"/>
      <c r="Y106" s="103"/>
      <c r="Z106" s="103"/>
      <c r="AA106" s="99"/>
    </row>
    <row r="107" spans="2:29" ht="3" customHeight="1" x14ac:dyDescent="0.25">
      <c r="B107" s="96"/>
      <c r="C107" s="3"/>
      <c r="G107" s="3"/>
      <c r="I107" s="3"/>
      <c r="J107" s="2"/>
      <c r="K107" s="3"/>
      <c r="L107" s="2"/>
      <c r="M107" s="3"/>
      <c r="O107" s="3"/>
      <c r="R107" s="98"/>
      <c r="S107" s="101"/>
      <c r="T107" s="102"/>
      <c r="U107" s="94"/>
      <c r="V107" s="95"/>
      <c r="W107" s="104"/>
      <c r="X107" s="103"/>
      <c r="Y107" s="103"/>
      <c r="Z107" s="103"/>
      <c r="AA107" s="99"/>
    </row>
    <row r="108" spans="2:29" ht="3" customHeight="1" x14ac:dyDescent="0.25">
      <c r="B108" s="96"/>
      <c r="C108" s="3"/>
      <c r="G108" s="3"/>
      <c r="I108" s="3"/>
      <c r="J108" s="2"/>
      <c r="K108" s="3"/>
      <c r="L108" s="2"/>
      <c r="M108" s="3"/>
      <c r="O108" s="3"/>
      <c r="R108" s="98"/>
      <c r="S108" s="101"/>
      <c r="T108" s="102"/>
      <c r="U108" s="94"/>
      <c r="V108" s="95"/>
      <c r="W108" s="104"/>
      <c r="X108" s="103"/>
      <c r="Y108" s="103"/>
      <c r="Z108" s="103"/>
      <c r="AA108" s="99"/>
    </row>
    <row r="109" spans="2:29" ht="3" customHeight="1" x14ac:dyDescent="0.25">
      <c r="B109" s="96"/>
      <c r="C109" s="3"/>
      <c r="E109" s="66"/>
      <c r="F109" s="65"/>
      <c r="G109" s="64"/>
      <c r="H109" s="66"/>
      <c r="I109" s="64"/>
      <c r="J109" s="65"/>
      <c r="K109" s="64"/>
      <c r="L109" s="65"/>
      <c r="M109" s="64"/>
      <c r="N109" s="66"/>
      <c r="O109" s="64"/>
      <c r="P109" s="66"/>
      <c r="R109" s="100" t="str">
        <f>IF(R106="甲","",IF(OR(S106=0,S106="")=TRUE,"",IF(S106="入力ｴﾗｰ","","乙")))</f>
        <v>乙</v>
      </c>
      <c r="S109" s="101"/>
      <c r="U109" s="94"/>
      <c r="V109" s="95"/>
      <c r="W109" s="104"/>
      <c r="X109" s="103"/>
      <c r="Y109" s="103"/>
      <c r="Z109" s="103"/>
      <c r="AA109" s="99"/>
    </row>
    <row r="110" spans="2:29" ht="3" customHeight="1" x14ac:dyDescent="0.25">
      <c r="B110" s="96"/>
      <c r="C110" s="3"/>
      <c r="F110" s="2"/>
      <c r="G110" s="3"/>
      <c r="I110" s="3"/>
      <c r="J110" s="2"/>
      <c r="K110" s="3"/>
      <c r="L110" s="2"/>
      <c r="M110" s="3"/>
      <c r="O110" s="3"/>
      <c r="R110" s="100"/>
      <c r="S110" s="101"/>
      <c r="U110" s="94"/>
      <c r="V110" s="95"/>
      <c r="W110" s="104"/>
      <c r="X110" s="103"/>
      <c r="Y110" s="103"/>
      <c r="Z110" s="103"/>
      <c r="AA110" s="99"/>
    </row>
    <row r="111" spans="2:29" ht="15" customHeight="1" x14ac:dyDescent="0.25">
      <c r="B111" s="96"/>
      <c r="C111" s="3"/>
      <c r="G111" s="18"/>
      <c r="H111" s="13" t="str">
        <f>IF(I111="","",IF(I111=0,"","L="))</f>
        <v/>
      </c>
      <c r="I111" s="97"/>
      <c r="J111" s="97"/>
      <c r="K111" s="14" t="str">
        <f>IF(I111="","",IF(I111=0,"","m"))</f>
        <v/>
      </c>
      <c r="N111" s="13" t="str">
        <f>IF(O111="","",IF(O111=0,"","L="))</f>
        <v/>
      </c>
      <c r="O111" s="97"/>
      <c r="P111" s="97"/>
      <c r="Q111" s="14" t="str">
        <f>IF(O111="","",IF(O111=0,"","m"))</f>
        <v/>
      </c>
      <c r="R111" s="100"/>
      <c r="S111" s="101"/>
      <c r="U111" s="94"/>
      <c r="V111" s="95"/>
      <c r="W111" s="104"/>
      <c r="X111" s="103"/>
      <c r="Y111" s="103"/>
      <c r="Z111" s="103"/>
      <c r="AA111" s="99"/>
      <c r="AC111" s="1">
        <f>IF(U106="",0,IF(U106&gt;SUM(W106:AA111),U106-SUM(W106:AA111),0))</f>
        <v>0</v>
      </c>
    </row>
    <row r="112" spans="2:29" ht="6" customHeight="1" x14ac:dyDescent="0.2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25">
      <c r="B113" s="84" t="s">
        <v>38</v>
      </c>
      <c r="C113" s="85"/>
      <c r="D113" s="85"/>
      <c r="E113" s="85"/>
      <c r="F113" s="86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3">
      <c r="B114" s="87"/>
      <c r="C114" s="88"/>
      <c r="D114" s="88"/>
      <c r="E114" s="88"/>
      <c r="F114" s="89"/>
      <c r="G114" s="25" t="str">
        <f>U2</f>
        <v>GX</v>
      </c>
      <c r="H114" s="88">
        <f>Y2</f>
        <v>300</v>
      </c>
      <c r="I114" s="88"/>
      <c r="J114" s="89"/>
      <c r="K114" s="90">
        <f>IF(B10="",0,LARGE(B10:B111,1))</f>
        <v>13</v>
      </c>
      <c r="L114" s="91"/>
      <c r="M114" s="21"/>
      <c r="N114" s="25"/>
      <c r="O114" s="20"/>
      <c r="P114" s="20"/>
      <c r="Q114" s="21"/>
      <c r="R114" s="92">
        <f>SUM(S10:S111)</f>
        <v>26.599999999999998</v>
      </c>
      <c r="S114" s="93"/>
      <c r="T114" s="20"/>
      <c r="U114" s="51">
        <f t="shared" ref="U114:AA114" si="0">SUM(U10:U111)</f>
        <v>19</v>
      </c>
      <c r="V114" s="79">
        <f t="shared" si="0"/>
        <v>1</v>
      </c>
      <c r="W114" s="73">
        <f t="shared" si="0"/>
        <v>20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B113:F114"/>
    <mergeCell ref="H114:J114"/>
    <mergeCell ref="K114:L114"/>
    <mergeCell ref="R114:S114"/>
    <mergeCell ref="U106:U111"/>
    <mergeCell ref="V106:V111"/>
    <mergeCell ref="B106:B111"/>
    <mergeCell ref="F106:G106"/>
    <mergeCell ref="L106:M106"/>
    <mergeCell ref="R106:R108"/>
    <mergeCell ref="W106:W111"/>
    <mergeCell ref="X106:X111"/>
    <mergeCell ref="I111:J111"/>
    <mergeCell ref="O111:P111"/>
    <mergeCell ref="Y98:Y103"/>
    <mergeCell ref="Z98:Z103"/>
    <mergeCell ref="Y106:Y111"/>
    <mergeCell ref="Z106:Z111"/>
    <mergeCell ref="AA98:AA103"/>
    <mergeCell ref="R101:R103"/>
    <mergeCell ref="S106:S111"/>
    <mergeCell ref="T106:T108"/>
    <mergeCell ref="U98:U103"/>
    <mergeCell ref="V98:V103"/>
    <mergeCell ref="AA106:AA111"/>
    <mergeCell ref="R109:R111"/>
    <mergeCell ref="B98:B103"/>
    <mergeCell ref="F98:G98"/>
    <mergeCell ref="L98:M98"/>
    <mergeCell ref="R98:R100"/>
    <mergeCell ref="W98:W103"/>
    <mergeCell ref="X98:X103"/>
    <mergeCell ref="I103:J103"/>
    <mergeCell ref="O103:P103"/>
    <mergeCell ref="S98:S103"/>
    <mergeCell ref="T98:T100"/>
    <mergeCell ref="B90:B95"/>
    <mergeCell ref="F90:G90"/>
    <mergeCell ref="L90:M90"/>
    <mergeCell ref="R90:R92"/>
    <mergeCell ref="W90:W95"/>
    <mergeCell ref="X90:X95"/>
    <mergeCell ref="I95:J95"/>
    <mergeCell ref="O95:P95"/>
    <mergeCell ref="AA82:AA87"/>
    <mergeCell ref="R85:R87"/>
    <mergeCell ref="S90:S95"/>
    <mergeCell ref="T90:T92"/>
    <mergeCell ref="U82:U87"/>
    <mergeCell ref="V82:V87"/>
    <mergeCell ref="Y82:Y87"/>
    <mergeCell ref="Z82:Z87"/>
    <mergeCell ref="AA90:AA95"/>
    <mergeCell ref="R93:R95"/>
    <mergeCell ref="U90:U95"/>
    <mergeCell ref="V90:V95"/>
    <mergeCell ref="Y90:Y95"/>
    <mergeCell ref="Z90:Z95"/>
    <mergeCell ref="AA74:AA79"/>
    <mergeCell ref="R77:R79"/>
    <mergeCell ref="B82:B87"/>
    <mergeCell ref="F82:G82"/>
    <mergeCell ref="L82:M82"/>
    <mergeCell ref="R82:R84"/>
    <mergeCell ref="W82:W87"/>
    <mergeCell ref="X82:X87"/>
    <mergeCell ref="I87:J87"/>
    <mergeCell ref="O87:P87"/>
    <mergeCell ref="S82:S87"/>
    <mergeCell ref="T82:T84"/>
    <mergeCell ref="Y74:Y79"/>
    <mergeCell ref="Z74:Z79"/>
    <mergeCell ref="B74:B79"/>
    <mergeCell ref="F74:G74"/>
    <mergeCell ref="L74:M74"/>
    <mergeCell ref="R74:R76"/>
    <mergeCell ref="W74:W79"/>
    <mergeCell ref="X74:X79"/>
    <mergeCell ref="I79:J79"/>
    <mergeCell ref="O79:P79"/>
    <mergeCell ref="U74:U79"/>
    <mergeCell ref="V74:V79"/>
    <mergeCell ref="S74:S79"/>
    <mergeCell ref="T74:T76"/>
    <mergeCell ref="B66:B71"/>
    <mergeCell ref="F66:G66"/>
    <mergeCell ref="L66:M66"/>
    <mergeCell ref="R66:R68"/>
    <mergeCell ref="W66:W71"/>
    <mergeCell ref="X66:X71"/>
    <mergeCell ref="I71:J71"/>
    <mergeCell ref="O71:P71"/>
    <mergeCell ref="AA58:AA63"/>
    <mergeCell ref="R61:R63"/>
    <mergeCell ref="S66:S71"/>
    <mergeCell ref="T66:T68"/>
    <mergeCell ref="U58:U63"/>
    <mergeCell ref="V58:V63"/>
    <mergeCell ref="Y58:Y63"/>
    <mergeCell ref="Z58:Z63"/>
    <mergeCell ref="AA66:AA71"/>
    <mergeCell ref="R69:R71"/>
    <mergeCell ref="U66:U71"/>
    <mergeCell ref="V66:V71"/>
    <mergeCell ref="Y66:Y71"/>
    <mergeCell ref="Z66:Z71"/>
    <mergeCell ref="B58:B63"/>
    <mergeCell ref="F58:G58"/>
    <mergeCell ref="L58:M58"/>
    <mergeCell ref="R58:R60"/>
    <mergeCell ref="W58:W63"/>
    <mergeCell ref="X58:X63"/>
    <mergeCell ref="I63:J63"/>
    <mergeCell ref="O63:P63"/>
    <mergeCell ref="S58:S63"/>
    <mergeCell ref="T58:T60"/>
    <mergeCell ref="B50:B55"/>
    <mergeCell ref="F50:G50"/>
    <mergeCell ref="L50:M50"/>
    <mergeCell ref="R50:R52"/>
    <mergeCell ref="W50:W55"/>
    <mergeCell ref="X50:X55"/>
    <mergeCell ref="I55:J55"/>
    <mergeCell ref="O55:P55"/>
    <mergeCell ref="AA42:AA47"/>
    <mergeCell ref="R45:R47"/>
    <mergeCell ref="S50:S55"/>
    <mergeCell ref="T50:T52"/>
    <mergeCell ref="U42:U47"/>
    <mergeCell ref="V42:V47"/>
    <mergeCell ref="Y42:Y47"/>
    <mergeCell ref="Z42:Z47"/>
    <mergeCell ref="AA50:AA55"/>
    <mergeCell ref="R53:R55"/>
    <mergeCell ref="U50:U55"/>
    <mergeCell ref="V50:V55"/>
    <mergeCell ref="Y50:Y55"/>
    <mergeCell ref="Z50:Z55"/>
    <mergeCell ref="AA34:AA39"/>
    <mergeCell ref="R37:R39"/>
    <mergeCell ref="B42:B47"/>
    <mergeCell ref="F42:G42"/>
    <mergeCell ref="L42:M42"/>
    <mergeCell ref="R42:R44"/>
    <mergeCell ref="W42:W47"/>
    <mergeCell ref="X42:X47"/>
    <mergeCell ref="I47:J47"/>
    <mergeCell ref="O47:P47"/>
    <mergeCell ref="S42:S47"/>
    <mergeCell ref="T42:T44"/>
    <mergeCell ref="Y34:Y39"/>
    <mergeCell ref="Z34:Z39"/>
    <mergeCell ref="B34:B39"/>
    <mergeCell ref="F34:G34"/>
    <mergeCell ref="L34:M34"/>
    <mergeCell ref="R34:R36"/>
    <mergeCell ref="W34:W39"/>
    <mergeCell ref="X34:X39"/>
    <mergeCell ref="I39:J39"/>
    <mergeCell ref="O39:P39"/>
    <mergeCell ref="U34:U39"/>
    <mergeCell ref="V34:V39"/>
    <mergeCell ref="S34:S39"/>
    <mergeCell ref="T34:T36"/>
    <mergeCell ref="B26:B31"/>
    <mergeCell ref="F26:G26"/>
    <mergeCell ref="L26:M26"/>
    <mergeCell ref="R26:R28"/>
    <mergeCell ref="W26:W31"/>
    <mergeCell ref="X26:X31"/>
    <mergeCell ref="I31:J31"/>
    <mergeCell ref="O31:P31"/>
    <mergeCell ref="AA18:AA23"/>
    <mergeCell ref="R21:R23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U26:U31"/>
    <mergeCell ref="V26:V31"/>
    <mergeCell ref="Y26:Y31"/>
    <mergeCell ref="Z26:Z31"/>
    <mergeCell ref="C1:Q1"/>
    <mergeCell ref="U2:V3"/>
    <mergeCell ref="I15:J15"/>
    <mergeCell ref="O15:P15"/>
    <mergeCell ref="B18:B23"/>
    <mergeCell ref="F18:G18"/>
    <mergeCell ref="L18:M18"/>
    <mergeCell ref="R18:R20"/>
    <mergeCell ref="I23:J23"/>
    <mergeCell ref="O23:P23"/>
    <mergeCell ref="B10:B15"/>
    <mergeCell ref="F10:G10"/>
    <mergeCell ref="R13:R15"/>
    <mergeCell ref="S18:S23"/>
    <mergeCell ref="T18:T20"/>
    <mergeCell ref="U10:U15"/>
    <mergeCell ref="V10:V15"/>
    <mergeCell ref="U7:V7"/>
    <mergeCell ref="Y2:Z3"/>
    <mergeCell ref="B7:B8"/>
    <mergeCell ref="C7:Q8"/>
    <mergeCell ref="R7:T8"/>
    <mergeCell ref="L10:M10"/>
    <mergeCell ref="R10:R12"/>
    <mergeCell ref="S10:S15"/>
    <mergeCell ref="T10:T12"/>
    <mergeCell ref="AA10:AA15"/>
    <mergeCell ref="W10:W15"/>
    <mergeCell ref="X10:X15"/>
    <mergeCell ref="Y10:Y15"/>
    <mergeCell ref="Z10:Z15"/>
    <mergeCell ref="W7:AA7"/>
  </mergeCells>
  <phoneticPr fontId="2"/>
  <conditionalFormatting sqref="S10:S15 S18:S23 S26:S31 S34:S39 S42:S47 S50:S55 S58:S63 S66:S71 S74:S79 S82:S87 S98:S103 S106:S111">
    <cfRule type="cellIs" dxfId="14" priority="2" stopIfTrue="1" operator="equal">
      <formula>"入力ｴﾗｰ"</formula>
    </cfRule>
  </conditionalFormatting>
  <conditionalFormatting sqref="S90:S95">
    <cfRule type="cellIs" dxfId="13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scale="9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 tint="0.499984740745262"/>
  </sheetPr>
  <dimension ref="B1:AC108"/>
  <sheetViews>
    <sheetView showGridLines="0" view="pageBreakPreview" zoomScale="123" zoomScaleNormal="123" zoomScaleSheetLayoutView="123" workbookViewId="0">
      <selection activeCell="R108" sqref="R108:S108"/>
    </sheetView>
  </sheetViews>
  <sheetFormatPr defaultColWidth="9.0703125" defaultRowHeight="12" x14ac:dyDescent="0.25"/>
  <cols>
    <col min="1" max="1" width="0.92578125" style="1" customWidth="1"/>
    <col min="2" max="2" width="8.92578125" style="1" customWidth="1"/>
    <col min="3" max="17" width="2.7109375" style="1" customWidth="1"/>
    <col min="18" max="18" width="2.92578125" style="1" customWidth="1"/>
    <col min="19" max="19" width="5.7109375" style="1" customWidth="1"/>
    <col min="20" max="20" width="2.7109375" style="1" customWidth="1"/>
    <col min="21" max="27" width="5.7109375" style="1" customWidth="1"/>
    <col min="28" max="16384" width="9.0703125" style="1"/>
  </cols>
  <sheetData>
    <row r="1" spans="2:29" x14ac:dyDescent="0.25">
      <c r="B1" s="56" t="s">
        <v>19</v>
      </c>
      <c r="C1" s="112" t="str">
        <f>'白紙(5m)'!C1</f>
        <v>長田（花山町2丁目他）配水管取替工事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25">
      <c r="S2" s="12"/>
      <c r="T2" s="3"/>
      <c r="U2" s="114" t="s">
        <v>36</v>
      </c>
      <c r="V2" s="114"/>
      <c r="W2" s="2"/>
      <c r="X2" s="12"/>
      <c r="Y2" s="114">
        <v>300</v>
      </c>
      <c r="Z2" s="114"/>
      <c r="AA2" s="2"/>
      <c r="AC2" s="1">
        <f>IF(AC1=4,0,IF(Y2&lt;=250,5,0))</f>
        <v>0</v>
      </c>
    </row>
    <row r="3" spans="2:29" ht="12" customHeight="1" x14ac:dyDescent="0.25">
      <c r="S3" s="44" t="s">
        <v>12</v>
      </c>
      <c r="T3" s="15"/>
      <c r="U3" s="115"/>
      <c r="V3" s="115"/>
      <c r="W3" s="17" t="s">
        <v>15</v>
      </c>
      <c r="X3" s="44" t="s">
        <v>14</v>
      </c>
      <c r="Y3" s="115"/>
      <c r="Z3" s="115"/>
      <c r="AA3" s="17" t="s">
        <v>20</v>
      </c>
      <c r="AC3" s="1">
        <f>IF(Y2&gt;250,6,0)</f>
        <v>6</v>
      </c>
    </row>
    <row r="4" spans="2:29" ht="6.75" customHeight="1" x14ac:dyDescent="0.25">
      <c r="S4" s="18"/>
      <c r="U4" s="45"/>
      <c r="V4" s="45"/>
      <c r="X4" s="18"/>
      <c r="Y4" s="45"/>
      <c r="Z4" s="45"/>
    </row>
    <row r="5" spans="2:29" ht="21.75" customHeight="1" x14ac:dyDescent="0.25">
      <c r="B5" s="46" t="s">
        <v>16</v>
      </c>
    </row>
    <row r="6" spans="2:29" ht="6.75" customHeight="1" thickBot="1" x14ac:dyDescent="0.3"/>
    <row r="7" spans="2:29" ht="14.25" customHeight="1" x14ac:dyDescent="0.25">
      <c r="B7" s="116" t="s">
        <v>0</v>
      </c>
      <c r="C7" s="108" t="s">
        <v>3</v>
      </c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09"/>
      <c r="R7" s="117" t="s">
        <v>1</v>
      </c>
      <c r="S7" s="117"/>
      <c r="T7" s="117"/>
      <c r="U7" s="108" t="s">
        <v>2</v>
      </c>
      <c r="V7" s="109"/>
      <c r="W7" s="110" t="s">
        <v>4</v>
      </c>
      <c r="X7" s="110"/>
      <c r="Y7" s="110"/>
      <c r="Z7" s="110"/>
      <c r="AA7" s="111"/>
    </row>
    <row r="8" spans="2:29" ht="10.5" customHeight="1" x14ac:dyDescent="0.25">
      <c r="B8" s="96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20"/>
      <c r="R8" s="119"/>
      <c r="S8" s="119"/>
      <c r="T8" s="119"/>
      <c r="U8" s="74" t="s">
        <v>39</v>
      </c>
      <c r="V8" s="75" t="s">
        <v>35</v>
      </c>
      <c r="W8" s="70" t="s">
        <v>39</v>
      </c>
      <c r="X8" s="32" t="s">
        <v>7</v>
      </c>
      <c r="Y8" s="32" t="s">
        <v>8</v>
      </c>
      <c r="Z8" s="33" t="s">
        <v>9</v>
      </c>
      <c r="AA8" s="34" t="s">
        <v>10</v>
      </c>
    </row>
    <row r="9" spans="2:29" ht="6" customHeight="1" x14ac:dyDescent="0.2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25">
      <c r="B10" s="96">
        <f>IF(S10="","",1)+13</f>
        <v>14</v>
      </c>
      <c r="C10" s="3"/>
      <c r="E10" s="13" t="str">
        <f>IF(F10="","",IF(F10=0,"","L="))</f>
        <v>L=</v>
      </c>
      <c r="F10" s="97">
        <v>3</v>
      </c>
      <c r="G10" s="97"/>
      <c r="H10" s="14" t="str">
        <f>IF(F10="","",IF(F10=0,"","m"))</f>
        <v>m</v>
      </c>
      <c r="K10" s="13" t="str">
        <f>IF(L10="","",IF(L10=0,"","L="))</f>
        <v/>
      </c>
      <c r="L10" s="97"/>
      <c r="M10" s="97"/>
      <c r="N10" s="14" t="str">
        <f>IF(L10="","",IF(L10=0,"","m"))</f>
        <v/>
      </c>
      <c r="Q10" s="2"/>
      <c r="R10" s="106" t="str">
        <f>IF(OR(S10="入力ｴﾗｰ",S10=0,S10="")=TRUE,"",IF(F10="","甲",IF(F10=0,"甲","")))</f>
        <v/>
      </c>
      <c r="S10" s="101">
        <f>IF((F10+I15+L10+O15)=0,"",IF((F10+I15+L10+O15)&gt;SUM($AC$1:$AC$3),"入力ｴﾗｰ",SUM($AC$1:$AC$3)-(F10+I15+L10+O15)))</f>
        <v>9.9999999999999645E-2</v>
      </c>
      <c r="T10" s="102" t="str">
        <f>IF(S10="","",IF(S10="入力ｴﾗｰ","","m"))</f>
        <v>m</v>
      </c>
      <c r="U10" s="94">
        <f>IF(B10="","",COUNT(F10,I15,L10,O15)-IF(S10=0,1,0)-V10)</f>
        <v>2</v>
      </c>
      <c r="V10" s="95"/>
      <c r="W10" s="104">
        <v>2</v>
      </c>
      <c r="X10" s="103"/>
      <c r="Y10" s="103"/>
      <c r="Z10" s="107"/>
      <c r="AA10" s="99"/>
    </row>
    <row r="11" spans="2:29" ht="3" customHeight="1" x14ac:dyDescent="0.25">
      <c r="B11" s="96"/>
      <c r="C11" s="3"/>
      <c r="G11" s="3"/>
      <c r="H11" s="2"/>
      <c r="I11" s="3"/>
      <c r="K11" s="3"/>
      <c r="M11" s="3"/>
      <c r="O11" s="3"/>
      <c r="Q11" s="2"/>
      <c r="R11" s="106"/>
      <c r="S11" s="101"/>
      <c r="T11" s="102"/>
      <c r="U11" s="94"/>
      <c r="V11" s="95"/>
      <c r="W11" s="104"/>
      <c r="X11" s="103"/>
      <c r="Y11" s="103"/>
      <c r="Z11" s="107"/>
      <c r="AA11" s="99"/>
    </row>
    <row r="12" spans="2:29" ht="3" customHeight="1" x14ac:dyDescent="0.25">
      <c r="B12" s="96"/>
      <c r="C12" s="3"/>
      <c r="E12" s="67"/>
      <c r="F12" s="68"/>
      <c r="G12" s="69"/>
      <c r="H12" s="68"/>
      <c r="I12" s="69"/>
      <c r="J12" s="68"/>
      <c r="K12" s="69"/>
      <c r="L12" s="68"/>
      <c r="M12" s="69"/>
      <c r="N12" s="67"/>
      <c r="O12" s="69"/>
      <c r="P12" s="67"/>
      <c r="Q12" s="2"/>
      <c r="R12" s="106"/>
      <c r="S12" s="101"/>
      <c r="T12" s="102"/>
      <c r="U12" s="94"/>
      <c r="V12" s="95"/>
      <c r="W12" s="104"/>
      <c r="X12" s="103"/>
      <c r="Y12" s="103"/>
      <c r="Z12" s="107"/>
      <c r="AA12" s="99"/>
    </row>
    <row r="13" spans="2:29" ht="3" customHeight="1" x14ac:dyDescent="0.25">
      <c r="B13" s="96"/>
      <c r="C13" s="3"/>
      <c r="E13" s="66"/>
      <c r="F13" s="65"/>
      <c r="G13" s="64"/>
      <c r="I13" s="64"/>
      <c r="J13" s="66"/>
      <c r="K13" s="64"/>
      <c r="L13" s="65"/>
      <c r="M13" s="64"/>
      <c r="N13" s="66"/>
      <c r="O13" s="64"/>
      <c r="P13" s="66"/>
      <c r="Q13" s="2"/>
      <c r="R13" s="105" t="str">
        <f>IF(R10="甲","",IF(OR(S10=0,S10="")=TRUE,"",IF(S10="入力ｴﾗｰ","","乙")))</f>
        <v>乙</v>
      </c>
      <c r="S13" s="101"/>
      <c r="U13" s="94"/>
      <c r="V13" s="95"/>
      <c r="W13" s="104"/>
      <c r="X13" s="103"/>
      <c r="Y13" s="103"/>
      <c r="Z13" s="107"/>
      <c r="AA13" s="99"/>
    </row>
    <row r="14" spans="2:29" ht="3" customHeight="1" x14ac:dyDescent="0.25">
      <c r="B14" s="96"/>
      <c r="C14" s="3"/>
      <c r="F14" s="2"/>
      <c r="G14" s="3"/>
      <c r="I14" s="3"/>
      <c r="K14" s="3"/>
      <c r="L14" s="2"/>
      <c r="M14" s="3"/>
      <c r="O14" s="3"/>
      <c r="Q14" s="2"/>
      <c r="R14" s="105"/>
      <c r="S14" s="101"/>
      <c r="U14" s="94"/>
      <c r="V14" s="95"/>
      <c r="W14" s="104"/>
      <c r="X14" s="103"/>
      <c r="Y14" s="103"/>
      <c r="Z14" s="107"/>
      <c r="AA14" s="99"/>
    </row>
    <row r="15" spans="2:29" ht="15" customHeight="1" x14ac:dyDescent="0.25">
      <c r="B15" s="96"/>
      <c r="C15" s="3"/>
      <c r="G15" s="18"/>
      <c r="H15" s="13" t="str">
        <f>IF(I15="","",IF(I15=0,"","L="))</f>
        <v/>
      </c>
      <c r="I15" s="97"/>
      <c r="J15" s="97"/>
      <c r="K15" s="14" t="str">
        <f>IF(I15="","",IF(I15=0,"","m"))</f>
        <v/>
      </c>
      <c r="N15" s="13" t="str">
        <f>IF(O15="","",IF(O15=0,"","L="))</f>
        <v>L=</v>
      </c>
      <c r="O15" s="97">
        <v>2.9</v>
      </c>
      <c r="P15" s="97"/>
      <c r="Q15" s="24" t="str">
        <f>IF(O15="","",IF(O15=0,"","m"))</f>
        <v>m</v>
      </c>
      <c r="R15" s="105"/>
      <c r="S15" s="101"/>
      <c r="U15" s="94"/>
      <c r="V15" s="95"/>
      <c r="W15" s="104"/>
      <c r="X15" s="103"/>
      <c r="Y15" s="103"/>
      <c r="Z15" s="107"/>
      <c r="AA15" s="99"/>
      <c r="AC15" s="1">
        <f>IF(U10="",0,IF(U10&gt;SUM(W10:AA15),U10-SUM(W10:AA15),0))</f>
        <v>0</v>
      </c>
    </row>
    <row r="16" spans="2:29" ht="6" customHeight="1" x14ac:dyDescent="0.2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2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25">
      <c r="B18" s="96">
        <f>IF(S18="","",IF(B10="","",1+B10))</f>
        <v>15</v>
      </c>
      <c r="C18" s="3"/>
      <c r="E18" s="13" t="str">
        <f>IF(F18="","",IF(F18=0,"","L="))</f>
        <v>L=</v>
      </c>
      <c r="F18" s="97">
        <v>3</v>
      </c>
      <c r="G18" s="97"/>
      <c r="H18" s="14" t="str">
        <f>IF(F18="","",IF(F18=0,"","m"))</f>
        <v>m</v>
      </c>
      <c r="K18" s="13" t="str">
        <f>IF(L18="","",IF(L18=0,"","L="))</f>
        <v/>
      </c>
      <c r="L18" s="97"/>
      <c r="M18" s="97"/>
      <c r="N18" s="14" t="str">
        <f>IF(L18="","",IF(L18=0,"","m"))</f>
        <v/>
      </c>
      <c r="Q18" s="2"/>
      <c r="R18" s="106" t="str">
        <f>IF(OR(S18="入力ｴﾗｰ",S18=0,S18="")=TRUE,"",IF(F18="","甲",IF(F18=0,"甲","")))</f>
        <v/>
      </c>
      <c r="S18" s="101">
        <f>IF((F18+I23+L18+O23)=0,"",IF((F18+I23+L18+O23)&gt;SUM($AC$1:$AC$3),"入力ｴﾗｰ",SUM($AC$1:$AC$3)-(F18+I23+L18+O23)))</f>
        <v>3</v>
      </c>
      <c r="T18" s="102" t="str">
        <f>IF(S18="","",IF(S18="入力ｴﾗｰ","","m"))</f>
        <v>m</v>
      </c>
      <c r="U18" s="94">
        <f>IF(B18="","",COUNT(F18,I23,L18,O23)-IF(S18=0,1,0)-V18)</f>
        <v>1</v>
      </c>
      <c r="V18" s="95"/>
      <c r="W18" s="104">
        <v>1</v>
      </c>
      <c r="X18" s="103"/>
      <c r="Y18" s="103"/>
      <c r="Z18" s="103"/>
      <c r="AA18" s="99"/>
    </row>
    <row r="19" spans="2:29" ht="3" customHeight="1" x14ac:dyDescent="0.25">
      <c r="B19" s="96"/>
      <c r="C19" s="3"/>
      <c r="G19" s="3"/>
      <c r="H19" s="2"/>
      <c r="K19" s="3"/>
      <c r="M19" s="3"/>
      <c r="O19" s="3"/>
      <c r="Q19" s="2"/>
      <c r="R19" s="106"/>
      <c r="S19" s="101"/>
      <c r="T19" s="102"/>
      <c r="U19" s="94"/>
      <c r="V19" s="95"/>
      <c r="W19" s="104"/>
      <c r="X19" s="103"/>
      <c r="Y19" s="103"/>
      <c r="Z19" s="103"/>
      <c r="AA19" s="99"/>
    </row>
    <row r="20" spans="2:29" ht="3" customHeight="1" x14ac:dyDescent="0.25">
      <c r="B20" s="96"/>
      <c r="C20" s="3"/>
      <c r="E20" s="67"/>
      <c r="F20" s="67"/>
      <c r="G20" s="69"/>
      <c r="H20" s="68"/>
      <c r="I20" s="67"/>
      <c r="J20" s="67"/>
      <c r="K20" s="69"/>
      <c r="L20" s="67"/>
      <c r="M20" s="69"/>
      <c r="N20" s="67"/>
      <c r="O20" s="69"/>
      <c r="P20" s="67"/>
      <c r="Q20" s="2"/>
      <c r="R20" s="106"/>
      <c r="S20" s="101"/>
      <c r="T20" s="102"/>
      <c r="U20" s="94"/>
      <c r="V20" s="95"/>
      <c r="W20" s="104"/>
      <c r="X20" s="103"/>
      <c r="Y20" s="103"/>
      <c r="Z20" s="103"/>
      <c r="AA20" s="99"/>
    </row>
    <row r="21" spans="2:29" ht="3" customHeight="1" x14ac:dyDescent="0.25">
      <c r="B21" s="96"/>
      <c r="C21" s="3"/>
      <c r="E21" s="66"/>
      <c r="F21" s="66"/>
      <c r="G21" s="64"/>
      <c r="H21" s="65"/>
      <c r="I21" s="64"/>
      <c r="J21" s="65"/>
      <c r="K21" s="64"/>
      <c r="L21" s="65"/>
      <c r="M21" s="64"/>
      <c r="N21" s="66"/>
      <c r="O21" s="64"/>
      <c r="P21" s="66"/>
      <c r="Q21" s="2"/>
      <c r="R21" s="105" t="str">
        <f>IF(R18="甲","",IF(OR(S18=0,S18="")=TRUE,"",IF(S18="入力ｴﾗｰ","","乙")))</f>
        <v>乙</v>
      </c>
      <c r="S21" s="101"/>
      <c r="U21" s="94"/>
      <c r="V21" s="95"/>
      <c r="W21" s="104"/>
      <c r="X21" s="103"/>
      <c r="Y21" s="103"/>
      <c r="Z21" s="103"/>
      <c r="AA21" s="99"/>
    </row>
    <row r="22" spans="2:29" ht="3" customHeight="1" x14ac:dyDescent="0.25">
      <c r="B22" s="96"/>
      <c r="C22" s="3"/>
      <c r="F22" s="2"/>
      <c r="G22" s="3"/>
      <c r="H22" s="2"/>
      <c r="J22" s="2"/>
      <c r="K22" s="3"/>
      <c r="L22" s="2"/>
      <c r="M22" s="3"/>
      <c r="O22" s="3"/>
      <c r="Q22" s="2"/>
      <c r="R22" s="105"/>
      <c r="S22" s="101"/>
      <c r="U22" s="94"/>
      <c r="V22" s="95"/>
      <c r="W22" s="104"/>
      <c r="X22" s="103"/>
      <c r="Y22" s="103"/>
      <c r="Z22" s="103"/>
      <c r="AA22" s="99"/>
    </row>
    <row r="23" spans="2:29" ht="15" customHeight="1" x14ac:dyDescent="0.25">
      <c r="B23" s="96"/>
      <c r="C23" s="3"/>
      <c r="G23" s="18"/>
      <c r="H23" s="13" t="str">
        <f>IF(I23="","",IF(I23=0,"","L="))</f>
        <v/>
      </c>
      <c r="I23" s="97"/>
      <c r="J23" s="97"/>
      <c r="K23" s="14" t="str">
        <f>IF(I23="","",IF(I23=0,"","m"))</f>
        <v/>
      </c>
      <c r="N23" s="13" t="str">
        <f>IF(O23="","",IF(O23=0,"","L="))</f>
        <v/>
      </c>
      <c r="O23" s="97"/>
      <c r="P23" s="97"/>
      <c r="Q23" s="24" t="str">
        <f>IF(O23="","",IF(O23=0,"","m"))</f>
        <v/>
      </c>
      <c r="R23" s="105"/>
      <c r="S23" s="101"/>
      <c r="U23" s="94"/>
      <c r="V23" s="95"/>
      <c r="W23" s="104"/>
      <c r="X23" s="103"/>
      <c r="Y23" s="103"/>
      <c r="Z23" s="103"/>
      <c r="AA23" s="99"/>
      <c r="AC23" s="1">
        <f>IF(U18="",0,IF(U18&gt;SUM(W18:AA23),U18-SUM(W18:AA23),0))</f>
        <v>0</v>
      </c>
    </row>
    <row r="24" spans="2:29" ht="6" customHeight="1" x14ac:dyDescent="0.2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2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25">
      <c r="B26" s="96">
        <f>IF(S26="","",IF(B18="","",1+B18))</f>
        <v>16</v>
      </c>
      <c r="C26" s="3"/>
      <c r="E26" s="13" t="str">
        <f>IF(F26="","",IF(F26=0,"","L="))</f>
        <v>L=</v>
      </c>
      <c r="F26" s="97">
        <v>3</v>
      </c>
      <c r="G26" s="97"/>
      <c r="H26" s="14" t="str">
        <f>IF(F26="","",IF(F26=0,"","m"))</f>
        <v>m</v>
      </c>
      <c r="K26" s="13" t="str">
        <f>IF(L26="","",IF(L26=0,"","L="))</f>
        <v/>
      </c>
      <c r="L26" s="97"/>
      <c r="M26" s="97"/>
      <c r="N26" s="14" t="str">
        <f>IF(L26="","",IF(L26=0,"","m"))</f>
        <v/>
      </c>
      <c r="R26" s="98" t="str">
        <f>IF(OR(S26="入力ｴﾗｰ",S26=0,S26="")=TRUE,"",IF(F26="","甲",IF(F26=0,"甲","")))</f>
        <v/>
      </c>
      <c r="S26" s="101">
        <f>IF((F26+I31+L26+O31)=0,"",IF((F26+I31+L26+O31)&gt;SUM($AC$1:$AC$3),"入力ｴﾗｰ",SUM($AC$1:$AC$3)-(F26+I31+L26+O31)))</f>
        <v>3</v>
      </c>
      <c r="T26" s="102" t="str">
        <f>IF(S26="","",IF(S26="入力ｴﾗｰ","","m"))</f>
        <v>m</v>
      </c>
      <c r="U26" s="94">
        <f>IF(B26="","",COUNT(F26,I31,L26,O31)-IF(S26=0,1,0)-V26)</f>
        <v>1</v>
      </c>
      <c r="V26" s="95"/>
      <c r="W26" s="104">
        <v>1</v>
      </c>
      <c r="X26" s="103"/>
      <c r="Y26" s="103"/>
      <c r="Z26" s="103"/>
      <c r="AA26" s="99"/>
    </row>
    <row r="27" spans="2:29" ht="3" customHeight="1" x14ac:dyDescent="0.25">
      <c r="B27" s="96"/>
      <c r="C27" s="3"/>
      <c r="G27" s="3"/>
      <c r="K27" s="3"/>
      <c r="L27" s="2"/>
      <c r="M27" s="3"/>
      <c r="O27" s="3"/>
      <c r="R27" s="98"/>
      <c r="S27" s="101"/>
      <c r="T27" s="102"/>
      <c r="U27" s="94"/>
      <c r="V27" s="95"/>
      <c r="W27" s="104"/>
      <c r="X27" s="103"/>
      <c r="Y27" s="103"/>
      <c r="Z27" s="103"/>
      <c r="AA27" s="99"/>
    </row>
    <row r="28" spans="2:29" ht="3" customHeight="1" x14ac:dyDescent="0.25">
      <c r="B28" s="96"/>
      <c r="C28" s="3"/>
      <c r="E28" s="67"/>
      <c r="F28" s="67"/>
      <c r="G28" s="69"/>
      <c r="H28" s="68"/>
      <c r="I28" s="69"/>
      <c r="J28" s="68"/>
      <c r="K28" s="3"/>
      <c r="L28" s="2"/>
      <c r="M28" s="3"/>
      <c r="O28" s="3"/>
      <c r="R28" s="98"/>
      <c r="S28" s="101"/>
      <c r="T28" s="102"/>
      <c r="U28" s="94"/>
      <c r="V28" s="95"/>
      <c r="W28" s="104"/>
      <c r="X28" s="103"/>
      <c r="Y28" s="103"/>
      <c r="Z28" s="103"/>
      <c r="AA28" s="99"/>
    </row>
    <row r="29" spans="2:29" ht="3" customHeight="1" x14ac:dyDescent="0.25">
      <c r="B29" s="96"/>
      <c r="C29" s="3"/>
      <c r="E29" s="66"/>
      <c r="F29" s="66"/>
      <c r="G29" s="64"/>
      <c r="H29" s="66"/>
      <c r="I29" s="64"/>
      <c r="J29" s="65"/>
      <c r="K29" s="64"/>
      <c r="L29" s="65"/>
      <c r="M29" s="64"/>
      <c r="N29" s="66"/>
      <c r="O29" s="64"/>
      <c r="P29" s="66"/>
      <c r="R29" s="100" t="str">
        <f>IF(R26="甲","",IF(OR(S26=0,S26="")=TRUE,"",IF(S26="入力ｴﾗｰ","","乙")))</f>
        <v>乙</v>
      </c>
      <c r="S29" s="101"/>
      <c r="U29" s="94"/>
      <c r="V29" s="95"/>
      <c r="W29" s="104"/>
      <c r="X29" s="103"/>
      <c r="Y29" s="103"/>
      <c r="Z29" s="103"/>
      <c r="AA29" s="99"/>
    </row>
    <row r="30" spans="2:29" ht="3" customHeight="1" x14ac:dyDescent="0.25">
      <c r="B30" s="96"/>
      <c r="C30" s="3"/>
      <c r="F30" s="2"/>
      <c r="G30" s="3"/>
      <c r="J30" s="2"/>
      <c r="K30" s="3"/>
      <c r="L30" s="2"/>
      <c r="M30" s="3"/>
      <c r="O30" s="3"/>
      <c r="R30" s="100"/>
      <c r="S30" s="101"/>
      <c r="U30" s="94"/>
      <c r="V30" s="95"/>
      <c r="W30" s="104"/>
      <c r="X30" s="103"/>
      <c r="Y30" s="103"/>
      <c r="Z30" s="103"/>
      <c r="AA30" s="99"/>
    </row>
    <row r="31" spans="2:29" ht="15" customHeight="1" x14ac:dyDescent="0.25">
      <c r="B31" s="96"/>
      <c r="C31" s="3"/>
      <c r="G31" s="18"/>
      <c r="H31" s="13" t="str">
        <f>IF(I31="","",IF(I31=0,"","L="))</f>
        <v/>
      </c>
      <c r="I31" s="97"/>
      <c r="J31" s="97"/>
      <c r="K31" s="14" t="str">
        <f>IF(I31="","",IF(I31=0,"","m"))</f>
        <v/>
      </c>
      <c r="N31" s="13" t="str">
        <f>IF(O31="","",IF(O31=0,"","L="))</f>
        <v/>
      </c>
      <c r="O31" s="97"/>
      <c r="P31" s="97"/>
      <c r="Q31" s="14" t="str">
        <f>IF(O31="","",IF(O31=0,"","m"))</f>
        <v/>
      </c>
      <c r="R31" s="100"/>
      <c r="S31" s="101"/>
      <c r="U31" s="94"/>
      <c r="V31" s="95"/>
      <c r="W31" s="104"/>
      <c r="X31" s="103"/>
      <c r="Y31" s="103"/>
      <c r="Z31" s="103"/>
      <c r="AA31" s="99"/>
      <c r="AC31" s="1">
        <f>IF(U26="",0,IF(U26&gt;SUM(W26:AA31),U26-SUM(W26:AA31),0))</f>
        <v>0</v>
      </c>
    </row>
    <row r="32" spans="2:29" ht="6" customHeight="1" x14ac:dyDescent="0.2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2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25">
      <c r="B34" s="96">
        <f>IF(S34="","",IF(B26="","",1+B26))</f>
        <v>17</v>
      </c>
      <c r="C34" s="3"/>
      <c r="E34" s="13" t="str">
        <f>IF(F34="","",IF(F34=0,"","L="))</f>
        <v>L=</v>
      </c>
      <c r="F34" s="97">
        <v>4.4000000000000004</v>
      </c>
      <c r="G34" s="97"/>
      <c r="H34" s="14" t="str">
        <f>IF(F34="","",IF(F34=0,"","m"))</f>
        <v>m</v>
      </c>
      <c r="K34" s="13" t="str">
        <f>IF(L34="","",IF(L34=0,"","L="))</f>
        <v/>
      </c>
      <c r="L34" s="97"/>
      <c r="M34" s="97"/>
      <c r="N34" s="14" t="str">
        <f>IF(L34="","",IF(L34=0,"","m"))</f>
        <v/>
      </c>
      <c r="R34" s="98" t="str">
        <f>IF(OR(S34="入力ｴﾗｰ",S34=0,S34="")=TRUE,"",IF(F34="","甲",IF(F34=0,"甲","")))</f>
        <v/>
      </c>
      <c r="S34" s="101">
        <f>IF((F34+I39+L34+O39)=0,"",IF((F34+I39+L34+O39)&gt;SUM($AC$1:$AC$3),"入力ｴﾗｰ",SUM($AC$1:$AC$3)-(F34+I39+L34+O39)))</f>
        <v>1.5999999999999996</v>
      </c>
      <c r="T34" s="102" t="str">
        <f>IF(S34="","",IF(S34="入力ｴﾗｰ","","m"))</f>
        <v>m</v>
      </c>
      <c r="U34" s="94">
        <f>IF(B34="","",COUNT(F34,I39,L34,O39)-IF(S34=0,1,0)-V34)</f>
        <v>1</v>
      </c>
      <c r="V34" s="95"/>
      <c r="W34" s="104">
        <v>1</v>
      </c>
      <c r="X34" s="103"/>
      <c r="Y34" s="103"/>
      <c r="Z34" s="103"/>
      <c r="AA34" s="99"/>
    </row>
    <row r="35" spans="2:29" ht="3" customHeight="1" x14ac:dyDescent="0.25">
      <c r="B35" s="96"/>
      <c r="C35" s="3"/>
      <c r="G35" s="3"/>
      <c r="H35" s="2"/>
      <c r="J35" s="2"/>
      <c r="K35" s="3"/>
      <c r="L35" s="2"/>
      <c r="M35" s="3"/>
      <c r="O35" s="3"/>
      <c r="R35" s="98"/>
      <c r="S35" s="101"/>
      <c r="T35" s="102"/>
      <c r="U35" s="94"/>
      <c r="V35" s="95"/>
      <c r="W35" s="104"/>
      <c r="X35" s="103"/>
      <c r="Y35" s="103"/>
      <c r="Z35" s="103"/>
      <c r="AA35" s="99"/>
    </row>
    <row r="36" spans="2:29" ht="3" customHeight="1" x14ac:dyDescent="0.25">
      <c r="B36" s="96"/>
      <c r="C36" s="3"/>
      <c r="E36" s="67"/>
      <c r="F36" s="67"/>
      <c r="G36" s="69"/>
      <c r="H36" s="68"/>
      <c r="I36" s="67"/>
      <c r="J36" s="2"/>
      <c r="K36" s="3"/>
      <c r="L36" s="2"/>
      <c r="M36" s="69"/>
      <c r="N36" s="67"/>
      <c r="O36" s="3"/>
      <c r="R36" s="98"/>
      <c r="S36" s="101"/>
      <c r="T36" s="102"/>
      <c r="U36" s="94"/>
      <c r="V36" s="95"/>
      <c r="W36" s="104"/>
      <c r="X36" s="103"/>
      <c r="Y36" s="103"/>
      <c r="Z36" s="103"/>
      <c r="AA36" s="99"/>
    </row>
    <row r="37" spans="2:29" ht="3" customHeight="1" x14ac:dyDescent="0.25">
      <c r="B37" s="96"/>
      <c r="C37" s="3"/>
      <c r="G37" s="3"/>
      <c r="H37" s="2"/>
      <c r="I37" s="3"/>
      <c r="J37" s="65"/>
      <c r="K37" s="64"/>
      <c r="L37" s="65"/>
      <c r="M37" s="3"/>
      <c r="O37" s="64"/>
      <c r="P37" s="66"/>
      <c r="R37" s="100" t="str">
        <f>IF(R34="甲","",IF(OR(S34=0,S34="")=TRUE,"",IF(S34="入力ｴﾗｰ","","乙")))</f>
        <v>乙</v>
      </c>
      <c r="S37" s="101"/>
      <c r="U37" s="94"/>
      <c r="V37" s="95"/>
      <c r="W37" s="104"/>
      <c r="X37" s="103"/>
      <c r="Y37" s="103"/>
      <c r="Z37" s="103"/>
      <c r="AA37" s="99"/>
    </row>
    <row r="38" spans="2:29" ht="3" customHeight="1" x14ac:dyDescent="0.25">
      <c r="B38" s="96"/>
      <c r="C38" s="3"/>
      <c r="F38" s="2"/>
      <c r="G38" s="3"/>
      <c r="H38" s="2"/>
      <c r="J38" s="2"/>
      <c r="K38" s="3"/>
      <c r="L38" s="2"/>
      <c r="M38" s="3"/>
      <c r="O38" s="3"/>
      <c r="R38" s="100"/>
      <c r="S38" s="101"/>
      <c r="U38" s="94"/>
      <c r="V38" s="95"/>
      <c r="W38" s="104"/>
      <c r="X38" s="103"/>
      <c r="Y38" s="103"/>
      <c r="Z38" s="103"/>
      <c r="AA38" s="99"/>
    </row>
    <row r="39" spans="2:29" ht="15" customHeight="1" x14ac:dyDescent="0.25">
      <c r="B39" s="96"/>
      <c r="C39" s="3"/>
      <c r="G39" s="18"/>
      <c r="H39" s="13" t="str">
        <f>IF(I39="","",IF(I39=0,"","L="))</f>
        <v/>
      </c>
      <c r="I39" s="97"/>
      <c r="J39" s="97"/>
      <c r="K39" s="14" t="str">
        <f>IF(I39="","",IF(I39=0,"","m"))</f>
        <v/>
      </c>
      <c r="N39" s="13" t="str">
        <f>IF(O39="","",IF(O39=0,"","L="))</f>
        <v/>
      </c>
      <c r="O39" s="97"/>
      <c r="P39" s="97"/>
      <c r="Q39" s="14" t="str">
        <f>IF(O39="","",IF(O39=0,"","m"))</f>
        <v/>
      </c>
      <c r="R39" s="100"/>
      <c r="S39" s="101"/>
      <c r="U39" s="94"/>
      <c r="V39" s="95"/>
      <c r="W39" s="104"/>
      <c r="X39" s="103"/>
      <c r="Y39" s="103"/>
      <c r="Z39" s="103"/>
      <c r="AA39" s="99"/>
      <c r="AC39" s="1">
        <f>IF(U34="",0,IF(U34&gt;SUM(W34:AA39),U34-SUM(W34:AA39),0))</f>
        <v>0</v>
      </c>
    </row>
    <row r="40" spans="2:29" ht="6" customHeight="1" x14ac:dyDescent="0.2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2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25">
      <c r="B42" s="96">
        <f>IF(S42="","",IF(B34="","",1+B34))</f>
        <v>18</v>
      </c>
      <c r="C42" s="3"/>
      <c r="E42" s="13" t="str">
        <f>IF(F42="","",IF(F42=0,"","L="))</f>
        <v>L=</v>
      </c>
      <c r="F42" s="97">
        <v>3.3</v>
      </c>
      <c r="G42" s="97"/>
      <c r="H42" s="14" t="str">
        <f>IF(F42="","",IF(F42=0,"","m"))</f>
        <v>m</v>
      </c>
      <c r="K42" s="13" t="str">
        <f>IF(L42="","",IF(L42=0,"","L="))</f>
        <v/>
      </c>
      <c r="L42" s="97"/>
      <c r="M42" s="97"/>
      <c r="N42" s="14" t="str">
        <f>IF(L42="","",IF(L42=0,"","m"))</f>
        <v/>
      </c>
      <c r="R42" s="98" t="str">
        <f>IF(OR(S42="入力ｴﾗｰ",S42=0,S42="")=TRUE,"",IF(F42="","甲",IF(F42=0,"甲","")))</f>
        <v/>
      </c>
      <c r="S42" s="101">
        <f>IF((F42+I47+L42+O47)=0,"",IF((F42+I47+L42+O47)&gt;SUM($AC$1:$AC$3),"入力ｴﾗｰ",SUM($AC$1:$AC$3)-(F42+I47+L42+O47)))</f>
        <v>2.7</v>
      </c>
      <c r="T42" s="102" t="str">
        <f>IF(S42="","",IF(S42="入力ｴﾗｰ","","m"))</f>
        <v>m</v>
      </c>
      <c r="U42" s="94">
        <f>IF(B42="","",COUNT(F42,I47,L42,O47)-IF(S42=0,1,0)-V42)</f>
        <v>1</v>
      </c>
      <c r="V42" s="95"/>
      <c r="W42" s="104">
        <v>1</v>
      </c>
      <c r="X42" s="103"/>
      <c r="Y42" s="103"/>
      <c r="Z42" s="103"/>
      <c r="AA42" s="99"/>
    </row>
    <row r="43" spans="2:29" ht="3" customHeight="1" x14ac:dyDescent="0.25">
      <c r="B43" s="96"/>
      <c r="C43" s="3"/>
      <c r="G43" s="3"/>
      <c r="H43" s="2"/>
      <c r="K43" s="3"/>
      <c r="L43" s="2"/>
      <c r="M43" s="3"/>
      <c r="O43" s="3"/>
      <c r="R43" s="98"/>
      <c r="S43" s="101"/>
      <c r="T43" s="102"/>
      <c r="U43" s="94"/>
      <c r="V43" s="95"/>
      <c r="W43" s="104"/>
      <c r="X43" s="103"/>
      <c r="Y43" s="103"/>
      <c r="Z43" s="103"/>
      <c r="AA43" s="99"/>
    </row>
    <row r="44" spans="2:29" ht="3" customHeight="1" x14ac:dyDescent="0.25">
      <c r="B44" s="96"/>
      <c r="C44" s="3"/>
      <c r="E44" s="67"/>
      <c r="F44" s="67"/>
      <c r="G44" s="69"/>
      <c r="H44" s="68"/>
      <c r="I44" s="67"/>
      <c r="J44" s="67"/>
      <c r="K44" s="69"/>
      <c r="L44" s="2"/>
      <c r="M44" s="3"/>
      <c r="O44" s="3"/>
      <c r="R44" s="98"/>
      <c r="S44" s="101"/>
      <c r="T44" s="102"/>
      <c r="U44" s="94"/>
      <c r="V44" s="95"/>
      <c r="W44" s="104"/>
      <c r="X44" s="103"/>
      <c r="Y44" s="103"/>
      <c r="Z44" s="103"/>
      <c r="AA44" s="99"/>
    </row>
    <row r="45" spans="2:29" ht="3" customHeight="1" x14ac:dyDescent="0.25">
      <c r="B45" s="96"/>
      <c r="C45" s="3"/>
      <c r="E45" s="66"/>
      <c r="F45" s="66"/>
      <c r="G45" s="64"/>
      <c r="H45" s="65"/>
      <c r="I45" s="64"/>
      <c r="J45" s="65"/>
      <c r="K45" s="64"/>
      <c r="L45" s="65"/>
      <c r="M45" s="64"/>
      <c r="N45" s="66"/>
      <c r="O45" s="64"/>
      <c r="P45" s="66"/>
      <c r="R45" s="100" t="str">
        <f>IF(R42="甲","",IF(OR(S42=0,S42="")=TRUE,"",IF(S42="入力ｴﾗｰ","","乙")))</f>
        <v>乙</v>
      </c>
      <c r="S45" s="101"/>
      <c r="U45" s="94"/>
      <c r="V45" s="95"/>
      <c r="W45" s="104"/>
      <c r="X45" s="103"/>
      <c r="Y45" s="103"/>
      <c r="Z45" s="103"/>
      <c r="AA45" s="99"/>
    </row>
    <row r="46" spans="2:29" ht="3" customHeight="1" x14ac:dyDescent="0.25">
      <c r="B46" s="96"/>
      <c r="C46" s="3"/>
      <c r="F46" s="2"/>
      <c r="G46" s="3"/>
      <c r="H46" s="2"/>
      <c r="J46" s="2"/>
      <c r="K46" s="3"/>
      <c r="L46" s="2"/>
      <c r="M46" s="3"/>
      <c r="O46" s="3"/>
      <c r="R46" s="100"/>
      <c r="S46" s="101"/>
      <c r="U46" s="94"/>
      <c r="V46" s="95"/>
      <c r="W46" s="104"/>
      <c r="X46" s="103"/>
      <c r="Y46" s="103"/>
      <c r="Z46" s="103"/>
      <c r="AA46" s="99"/>
    </row>
    <row r="47" spans="2:29" ht="15" customHeight="1" x14ac:dyDescent="0.25">
      <c r="B47" s="96"/>
      <c r="C47" s="3"/>
      <c r="G47" s="18"/>
      <c r="H47" s="13" t="str">
        <f>IF(I47="","",IF(I47=0,"","L="))</f>
        <v/>
      </c>
      <c r="I47" s="97"/>
      <c r="J47" s="97"/>
      <c r="K47" s="14" t="str">
        <f>IF(I47="","",IF(I47=0,"","m"))</f>
        <v/>
      </c>
      <c r="N47" s="13" t="str">
        <f>IF(O47="","",IF(O47=0,"","L="))</f>
        <v/>
      </c>
      <c r="O47" s="97"/>
      <c r="P47" s="97"/>
      <c r="Q47" s="14" t="str">
        <f>IF(O47="","",IF(O47=0,"","m"))</f>
        <v/>
      </c>
      <c r="R47" s="100"/>
      <c r="S47" s="101"/>
      <c r="U47" s="94"/>
      <c r="V47" s="95"/>
      <c r="W47" s="104"/>
      <c r="X47" s="103"/>
      <c r="Y47" s="103"/>
      <c r="Z47" s="103"/>
      <c r="AA47" s="99"/>
      <c r="AC47" s="1">
        <f>IF(U42="",0,IF(U42&gt;SUM(W42:AA47),U42-SUM(W42:AA47),0))</f>
        <v>0</v>
      </c>
    </row>
    <row r="48" spans="2:29" ht="6" customHeight="1" x14ac:dyDescent="0.2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2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25">
      <c r="B50" s="96">
        <f>IF(S50="","",IF(B42="","",1+B42))</f>
        <v>19</v>
      </c>
      <c r="C50" s="3"/>
      <c r="E50" s="13" t="str">
        <f>IF(F50="","",IF(F50=0,"","L="))</f>
        <v>L=</v>
      </c>
      <c r="F50" s="97">
        <v>0.9</v>
      </c>
      <c r="G50" s="97"/>
      <c r="H50" s="14" t="str">
        <f>IF(F50="","",IF(F50=0,"","m"))</f>
        <v>m</v>
      </c>
      <c r="K50" s="13" t="str">
        <f>IF(L50="","",IF(L50=0,"","L="))</f>
        <v/>
      </c>
      <c r="L50" s="97"/>
      <c r="M50" s="97"/>
      <c r="N50" s="14" t="str">
        <f>IF(L50="","",IF(L50=0,"","m"))</f>
        <v/>
      </c>
      <c r="R50" s="98" t="str">
        <f>IF(OR(S50="入力ｴﾗｰ",S50=0,S50="")=TRUE,"",IF(F50="","甲",IF(F50=0,"甲","")))</f>
        <v/>
      </c>
      <c r="S50" s="101">
        <f>IF((F50+I55+L50+O55)=0,"",IF((F50+I55+L50+O55)&gt;SUM($AC$1:$AC$3),"入力ｴﾗｰ",SUM($AC$1:$AC$3)-(F50+I55+L50+O55)))</f>
        <v>0</v>
      </c>
      <c r="T50" s="102" t="str">
        <f>IF(S50="","",IF(S50="入力ｴﾗｰ","","m"))</f>
        <v>m</v>
      </c>
      <c r="U50" s="94">
        <f>IF(B50="","",COUNT(F50,I55,L50,O55)-IF(S50=0,1,0)-V50)</f>
        <v>1</v>
      </c>
      <c r="V50" s="95"/>
      <c r="W50" s="104">
        <v>2</v>
      </c>
      <c r="X50" s="103"/>
      <c r="Y50" s="103"/>
      <c r="Z50" s="103"/>
      <c r="AA50" s="99"/>
    </row>
    <row r="51" spans="2:29" ht="3" customHeight="1" x14ac:dyDescent="0.25">
      <c r="B51" s="96"/>
      <c r="C51" s="3"/>
      <c r="G51" s="3"/>
      <c r="H51" s="2"/>
      <c r="I51" s="3"/>
      <c r="J51" s="2"/>
      <c r="K51" s="3"/>
      <c r="L51" s="2"/>
      <c r="M51" s="3"/>
      <c r="O51" s="3"/>
      <c r="R51" s="98"/>
      <c r="S51" s="101"/>
      <c r="T51" s="102"/>
      <c r="U51" s="94"/>
      <c r="V51" s="95"/>
      <c r="W51" s="104"/>
      <c r="X51" s="103"/>
      <c r="Y51" s="103"/>
      <c r="Z51" s="103"/>
      <c r="AA51" s="99"/>
    </row>
    <row r="52" spans="2:29" ht="3" customHeight="1" x14ac:dyDescent="0.25">
      <c r="B52" s="96"/>
      <c r="C52" s="3"/>
      <c r="E52" s="67"/>
      <c r="F52" s="67"/>
      <c r="G52" s="69"/>
      <c r="H52" s="68"/>
      <c r="I52" s="3"/>
      <c r="J52" s="2"/>
      <c r="K52" s="3"/>
      <c r="L52" s="2"/>
      <c r="M52" s="69"/>
      <c r="N52" s="67"/>
      <c r="O52" s="3"/>
      <c r="R52" s="98"/>
      <c r="S52" s="101"/>
      <c r="T52" s="102"/>
      <c r="U52" s="94"/>
      <c r="V52" s="95"/>
      <c r="W52" s="104"/>
      <c r="X52" s="103"/>
      <c r="Y52" s="103"/>
      <c r="Z52" s="103"/>
      <c r="AA52" s="99"/>
    </row>
    <row r="53" spans="2:29" ht="3" customHeight="1" x14ac:dyDescent="0.25">
      <c r="B53" s="96"/>
      <c r="C53" s="3"/>
      <c r="E53" s="66"/>
      <c r="F53" s="66"/>
      <c r="G53" s="64"/>
      <c r="H53" s="65"/>
      <c r="I53" s="64"/>
      <c r="J53" s="65"/>
      <c r="K53" s="64"/>
      <c r="L53" s="65"/>
      <c r="M53" s="3"/>
      <c r="O53" s="64"/>
      <c r="P53" s="66"/>
      <c r="R53" s="100" t="str">
        <f>IF(R50="甲","",IF(OR(S50=0,S50="")=TRUE,"",IF(S50="入力ｴﾗｰ","","乙")))</f>
        <v/>
      </c>
      <c r="S53" s="101"/>
      <c r="U53" s="94"/>
      <c r="V53" s="95"/>
      <c r="W53" s="104"/>
      <c r="X53" s="103"/>
      <c r="Y53" s="103"/>
      <c r="Z53" s="103"/>
      <c r="AA53" s="99"/>
    </row>
    <row r="54" spans="2:29" ht="3" customHeight="1" x14ac:dyDescent="0.25">
      <c r="B54" s="96"/>
      <c r="C54" s="3"/>
      <c r="F54" s="2"/>
      <c r="G54" s="3"/>
      <c r="H54" s="2"/>
      <c r="I54" s="3"/>
      <c r="J54" s="2"/>
      <c r="K54" s="3"/>
      <c r="L54" s="2"/>
      <c r="M54" s="3"/>
      <c r="O54" s="3"/>
      <c r="R54" s="100"/>
      <c r="S54" s="101"/>
      <c r="U54" s="94"/>
      <c r="V54" s="95"/>
      <c r="W54" s="104"/>
      <c r="X54" s="103"/>
      <c r="Y54" s="103"/>
      <c r="Z54" s="103"/>
      <c r="AA54" s="99"/>
    </row>
    <row r="55" spans="2:29" ht="15" customHeight="1" x14ac:dyDescent="0.25">
      <c r="B55" s="96"/>
      <c r="C55" s="3"/>
      <c r="G55" s="18"/>
      <c r="H55" s="13" t="str">
        <f>IF(I55="","",IF(I55=0,"","L="))</f>
        <v/>
      </c>
      <c r="I55" s="97"/>
      <c r="J55" s="97"/>
      <c r="K55" s="14" t="str">
        <f>IF(I55="","",IF(I55=0,"","m"))</f>
        <v/>
      </c>
      <c r="N55" s="13" t="str">
        <f>IF(O55="","",IF(O55=0,"","L="))</f>
        <v>L=</v>
      </c>
      <c r="O55" s="97">
        <v>5.0999999999999996</v>
      </c>
      <c r="P55" s="97"/>
      <c r="Q55" s="14" t="str">
        <f>IF(O55="","",IF(O55=0,"","m"))</f>
        <v>m</v>
      </c>
      <c r="R55" s="100"/>
      <c r="S55" s="101"/>
      <c r="U55" s="94"/>
      <c r="V55" s="95"/>
      <c r="W55" s="104"/>
      <c r="X55" s="103"/>
      <c r="Y55" s="103"/>
      <c r="Z55" s="103"/>
      <c r="AA55" s="99"/>
      <c r="AC55" s="1">
        <f>IF(U50="",0,IF(U50&gt;SUM(W50:AA55),U50-SUM(W50:AA55),0))</f>
        <v>0</v>
      </c>
    </row>
    <row r="56" spans="2:29" ht="6" customHeight="1" x14ac:dyDescent="0.2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2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25">
      <c r="B58" s="96">
        <f>IF(S58="","",IF(B50="","",1+B50))</f>
        <v>20</v>
      </c>
      <c r="C58" s="3"/>
      <c r="E58" s="13" t="str">
        <f>IF(F58="","",IF(F58=0,"","L="))</f>
        <v>L=</v>
      </c>
      <c r="F58" s="97">
        <v>0.9</v>
      </c>
      <c r="G58" s="97"/>
      <c r="H58" s="14" t="str">
        <f>IF(F58="","",IF(F58=0,"","m"))</f>
        <v>m</v>
      </c>
      <c r="K58" s="13" t="str">
        <f>IF(L58="","",IF(L58=0,"","L="))</f>
        <v/>
      </c>
      <c r="L58" s="97"/>
      <c r="M58" s="97"/>
      <c r="N58" s="14" t="str">
        <f>IF(L58="","",IF(L58=0,"","m"))</f>
        <v/>
      </c>
      <c r="R58" s="98" t="str">
        <f>IF(OR(S58="入力ｴﾗｰ",S58=0,S58="")=TRUE,"",IF(F58="","甲",IF(F58=0,"甲","")))</f>
        <v/>
      </c>
      <c r="S58" s="101">
        <f>IF((F58+I63+L58+O63)=0,"",IF((F58+I63+L58+O63)&gt;SUM($AC$1:$AC$3),"入力ｴﾗｰ",SUM($AC$1:$AC$3)-(F58+I63+L58+O63)))</f>
        <v>0.89999999999999947</v>
      </c>
      <c r="T58" s="102" t="str">
        <f>IF(S58="","",IF(S58="入力ｴﾗｰ","","m"))</f>
        <v>m</v>
      </c>
      <c r="U58" s="94">
        <f>IF(B58="","",COUNT(F58,I63,L58,O63)-IF(S58=0,1,0)-V58)</f>
        <v>2</v>
      </c>
      <c r="V58" s="95"/>
      <c r="W58" s="104">
        <v>2</v>
      </c>
      <c r="X58" s="103"/>
      <c r="Y58" s="103"/>
      <c r="Z58" s="103"/>
      <c r="AA58" s="99"/>
    </row>
    <row r="59" spans="2:29" ht="3" customHeight="1" x14ac:dyDescent="0.25">
      <c r="B59" s="96"/>
      <c r="C59" s="3"/>
      <c r="G59" s="3"/>
      <c r="I59" s="3"/>
      <c r="J59" s="2"/>
      <c r="K59" s="3"/>
      <c r="L59" s="2"/>
      <c r="M59" s="3"/>
      <c r="O59" s="3"/>
      <c r="R59" s="98"/>
      <c r="S59" s="101"/>
      <c r="T59" s="102"/>
      <c r="U59" s="94"/>
      <c r="V59" s="95"/>
      <c r="W59" s="104"/>
      <c r="X59" s="103"/>
      <c r="Y59" s="103"/>
      <c r="Z59" s="103"/>
      <c r="AA59" s="99"/>
    </row>
    <row r="60" spans="2:29" ht="3" customHeight="1" x14ac:dyDescent="0.25">
      <c r="B60" s="96"/>
      <c r="C60" s="3"/>
      <c r="E60" s="67"/>
      <c r="F60" s="67"/>
      <c r="G60" s="3"/>
      <c r="I60" s="3"/>
      <c r="J60" s="2"/>
      <c r="K60" s="3"/>
      <c r="L60" s="2"/>
      <c r="M60" s="3"/>
      <c r="O60" s="3"/>
      <c r="R60" s="98"/>
      <c r="S60" s="101"/>
      <c r="T60" s="102"/>
      <c r="U60" s="94"/>
      <c r="V60" s="95"/>
      <c r="W60" s="104"/>
      <c r="X60" s="103"/>
      <c r="Y60" s="103"/>
      <c r="Z60" s="103"/>
      <c r="AA60" s="99"/>
    </row>
    <row r="61" spans="2:29" ht="3" customHeight="1" x14ac:dyDescent="0.25">
      <c r="B61" s="96"/>
      <c r="C61" s="3"/>
      <c r="E61" s="66"/>
      <c r="F61" s="66"/>
      <c r="G61" s="64"/>
      <c r="H61" s="66"/>
      <c r="I61" s="64"/>
      <c r="J61" s="65"/>
      <c r="K61" s="64"/>
      <c r="L61" s="65"/>
      <c r="M61" s="64"/>
      <c r="N61" s="66"/>
      <c r="O61" s="64"/>
      <c r="P61" s="66"/>
      <c r="R61" s="100" t="str">
        <f>IF(R58="甲","",IF(OR(S58=0,S58="")=TRUE,"",IF(S58="入力ｴﾗｰ","","乙")))</f>
        <v>乙</v>
      </c>
      <c r="S61" s="101"/>
      <c r="U61" s="94"/>
      <c r="V61" s="95"/>
      <c r="W61" s="104"/>
      <c r="X61" s="103"/>
      <c r="Y61" s="103"/>
      <c r="Z61" s="103"/>
      <c r="AA61" s="99"/>
    </row>
    <row r="62" spans="2:29" ht="3" customHeight="1" x14ac:dyDescent="0.25">
      <c r="B62" s="96"/>
      <c r="C62" s="3"/>
      <c r="F62" s="2"/>
      <c r="G62" s="3"/>
      <c r="I62" s="3"/>
      <c r="J62" s="2"/>
      <c r="K62" s="3"/>
      <c r="L62" s="2"/>
      <c r="M62" s="3"/>
      <c r="O62" s="3"/>
      <c r="R62" s="100"/>
      <c r="S62" s="101"/>
      <c r="U62" s="94"/>
      <c r="V62" s="95"/>
      <c r="W62" s="104"/>
      <c r="X62" s="103"/>
      <c r="Y62" s="103"/>
      <c r="Z62" s="103"/>
      <c r="AA62" s="99"/>
    </row>
    <row r="63" spans="2:29" ht="15" customHeight="1" x14ac:dyDescent="0.25">
      <c r="B63" s="96"/>
      <c r="C63" s="3"/>
      <c r="G63" s="18"/>
      <c r="H63" s="13" t="str">
        <f>IF(I63="","",IF(I63=0,"","L="))</f>
        <v/>
      </c>
      <c r="I63" s="97"/>
      <c r="J63" s="97"/>
      <c r="K63" s="14" t="str">
        <f>IF(I63="","",IF(I63=0,"","m"))</f>
        <v/>
      </c>
      <c r="N63" s="13" t="str">
        <f>IF(O63="","",IF(O63=0,"","L="))</f>
        <v>L=</v>
      </c>
      <c r="O63" s="97">
        <v>4.2</v>
      </c>
      <c r="P63" s="97"/>
      <c r="Q63" s="14" t="str">
        <f>IF(O63="","",IF(O63=0,"","m"))</f>
        <v>m</v>
      </c>
      <c r="R63" s="100"/>
      <c r="S63" s="101"/>
      <c r="U63" s="94"/>
      <c r="V63" s="95"/>
      <c r="W63" s="104"/>
      <c r="X63" s="103"/>
      <c r="Y63" s="103"/>
      <c r="Z63" s="103"/>
      <c r="AA63" s="99"/>
      <c r="AC63" s="1">
        <f>IF(U58="",0,IF(U58&gt;SUM(W58:AA63),U58-SUM(W58:AA63),0))</f>
        <v>0</v>
      </c>
    </row>
    <row r="64" spans="2:29" ht="6" customHeight="1" x14ac:dyDescent="0.2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2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25">
      <c r="B66" s="96">
        <f>IF(S66="","",IF(B58="","",1+B58))</f>
        <v>21</v>
      </c>
      <c r="C66" s="3"/>
      <c r="E66" s="13" t="str">
        <f>IF(F66="","",IF(F66=0,"","L="))</f>
        <v>L=</v>
      </c>
      <c r="F66" s="97">
        <v>4.9000000000000004</v>
      </c>
      <c r="G66" s="97"/>
      <c r="H66" s="14" t="str">
        <f>IF(F66="","",IF(F66=0,"","m"))</f>
        <v>m</v>
      </c>
      <c r="K66" s="13" t="str">
        <f>IF(L66="","",IF(L66=0,"","L="))</f>
        <v/>
      </c>
      <c r="L66" s="97"/>
      <c r="M66" s="97"/>
      <c r="N66" s="14" t="str">
        <f>IF(L66="","",IF(L66=0,"","m"))</f>
        <v/>
      </c>
      <c r="R66" s="98" t="str">
        <f>IF(OR(S66="入力ｴﾗｰ",S66=0,S66="")=TRUE,"",IF(F66="","甲",IF(F66=0,"甲","")))</f>
        <v/>
      </c>
      <c r="S66" s="101">
        <f>IF((F66+I71+L66+O71)=0,"",IF((F66+I71+L66+O71)&gt;SUM($AC$1:$AC$3),"入力ｴﾗｰ",SUM($AC$1:$AC$3)-(F66+I71+L66+O71)))</f>
        <v>1.0999999999999996</v>
      </c>
      <c r="T66" s="102" t="str">
        <f>IF(S66="","",IF(S66="入力ｴﾗｰ","","m"))</f>
        <v>m</v>
      </c>
      <c r="U66" s="94">
        <f>IF(B66="","",COUNT(F66,I71,L66,O71)-IF(S66=0,1,0)-V66)</f>
        <v>1</v>
      </c>
      <c r="V66" s="95"/>
      <c r="W66" s="104">
        <v>1</v>
      </c>
      <c r="X66" s="103"/>
      <c r="Y66" s="103"/>
      <c r="Z66" s="103"/>
      <c r="AA66" s="99"/>
    </row>
    <row r="67" spans="2:29" ht="3" customHeight="1" x14ac:dyDescent="0.25">
      <c r="B67" s="96"/>
      <c r="C67" s="3"/>
      <c r="F67" s="2"/>
      <c r="G67" s="3"/>
      <c r="I67" s="3"/>
      <c r="J67" s="2"/>
      <c r="K67" s="3"/>
      <c r="L67" s="2"/>
      <c r="M67" s="3"/>
      <c r="O67" s="3"/>
      <c r="R67" s="98"/>
      <c r="S67" s="101"/>
      <c r="T67" s="102"/>
      <c r="U67" s="94"/>
      <c r="V67" s="95"/>
      <c r="W67" s="104"/>
      <c r="X67" s="103"/>
      <c r="Y67" s="103"/>
      <c r="Z67" s="103"/>
      <c r="AA67" s="99"/>
    </row>
    <row r="68" spans="2:29" ht="3" customHeight="1" x14ac:dyDescent="0.25">
      <c r="B68" s="96"/>
      <c r="C68" s="3"/>
      <c r="E68" s="67"/>
      <c r="F68" s="67"/>
      <c r="G68" s="3"/>
      <c r="I68" s="3"/>
      <c r="J68" s="2"/>
      <c r="K68" s="3"/>
      <c r="L68" s="2"/>
      <c r="M68" s="3"/>
      <c r="O68" s="3"/>
      <c r="R68" s="98"/>
      <c r="S68" s="101"/>
      <c r="T68" s="102"/>
      <c r="U68" s="94"/>
      <c r="V68" s="95"/>
      <c r="W68" s="104"/>
      <c r="X68" s="103"/>
      <c r="Y68" s="103"/>
      <c r="Z68" s="103"/>
      <c r="AA68" s="99"/>
    </row>
    <row r="69" spans="2:29" ht="3" customHeight="1" x14ac:dyDescent="0.25">
      <c r="B69" s="96"/>
      <c r="C69" s="3"/>
      <c r="E69" s="66"/>
      <c r="F69" s="66"/>
      <c r="G69" s="64"/>
      <c r="H69" s="66"/>
      <c r="I69" s="64"/>
      <c r="J69" s="65"/>
      <c r="K69" s="64"/>
      <c r="L69" s="65"/>
      <c r="M69" s="64"/>
      <c r="N69" s="66"/>
      <c r="O69" s="64"/>
      <c r="P69" s="66"/>
      <c r="R69" s="100" t="str">
        <f>IF(R66="甲","",IF(OR(S66=0,S66="")=TRUE,"",IF(S66="入力ｴﾗｰ","","乙")))</f>
        <v>乙</v>
      </c>
      <c r="S69" s="101"/>
      <c r="U69" s="94"/>
      <c r="V69" s="95"/>
      <c r="W69" s="104"/>
      <c r="X69" s="103"/>
      <c r="Y69" s="103"/>
      <c r="Z69" s="103"/>
      <c r="AA69" s="99"/>
    </row>
    <row r="70" spans="2:29" ht="3" customHeight="1" x14ac:dyDescent="0.25">
      <c r="B70" s="96"/>
      <c r="C70" s="3"/>
      <c r="F70" s="2"/>
      <c r="G70" s="3"/>
      <c r="I70" s="3"/>
      <c r="J70" s="2"/>
      <c r="K70" s="3"/>
      <c r="L70" s="2"/>
      <c r="M70" s="3"/>
      <c r="O70" s="3"/>
      <c r="R70" s="100"/>
      <c r="S70" s="101"/>
      <c r="U70" s="94"/>
      <c r="V70" s="95"/>
      <c r="W70" s="104"/>
      <c r="X70" s="103"/>
      <c r="Y70" s="103"/>
      <c r="Z70" s="103"/>
      <c r="AA70" s="99"/>
    </row>
    <row r="71" spans="2:29" ht="15" customHeight="1" x14ac:dyDescent="0.25">
      <c r="B71" s="96"/>
      <c r="C71" s="3"/>
      <c r="G71" s="18"/>
      <c r="H71" s="13" t="str">
        <f>IF(I71="","",IF(I71=0,"","L="))</f>
        <v/>
      </c>
      <c r="I71" s="97"/>
      <c r="J71" s="97"/>
      <c r="K71" s="14" t="str">
        <f>IF(I71="","",IF(I71=0,"","m"))</f>
        <v/>
      </c>
      <c r="N71" s="13" t="str">
        <f>IF(O71="","",IF(O71=0,"","L="))</f>
        <v/>
      </c>
      <c r="O71" s="97"/>
      <c r="P71" s="97"/>
      <c r="Q71" s="14" t="str">
        <f>IF(O71="","",IF(O71=0,"","m"))</f>
        <v/>
      </c>
      <c r="R71" s="100"/>
      <c r="S71" s="101"/>
      <c r="U71" s="94"/>
      <c r="V71" s="95"/>
      <c r="W71" s="104"/>
      <c r="X71" s="103"/>
      <c r="Y71" s="103"/>
      <c r="Z71" s="103"/>
      <c r="AA71" s="99"/>
      <c r="AC71" s="1">
        <f>IF(U66="",0,IF(U66&gt;SUM(W66:AA71),U66-SUM(W66:AA71),0))</f>
        <v>0</v>
      </c>
    </row>
    <row r="72" spans="2:29" ht="6" customHeight="1" x14ac:dyDescent="0.2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2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25">
      <c r="B74" s="96">
        <f>IF(S74="","",IF(B66="","",1+B66))</f>
        <v>22</v>
      </c>
      <c r="C74" s="3"/>
      <c r="E74" s="13" t="str">
        <f>IF(F74="","",IF(F74=0,"","L="))</f>
        <v>L=</v>
      </c>
      <c r="F74" s="97">
        <v>1</v>
      </c>
      <c r="G74" s="97"/>
      <c r="H74" s="14" t="str">
        <f>IF(F74="","",IF(F74=0,"","m"))</f>
        <v>m</v>
      </c>
      <c r="K74" s="13" t="str">
        <f>IF(L74="","",IF(L74=0,"","L="))</f>
        <v/>
      </c>
      <c r="L74" s="97"/>
      <c r="M74" s="97"/>
      <c r="N74" s="14" t="str">
        <f>IF(L74="","",IF(L74=0,"","m"))</f>
        <v/>
      </c>
      <c r="R74" s="98" t="str">
        <f>IF(OR(S74="入力ｴﾗｰ",S74=0,S74="")=TRUE,"",IF(F74="","甲",IF(F74=0,"甲","")))</f>
        <v/>
      </c>
      <c r="S74" s="101">
        <f>IF((F74+I79+L74+O79)=0,"",IF((F74+I79+L74+O79)&gt;SUM($AC$1:$AC$3),"入力ｴﾗｰ",SUM($AC$1:$AC$3)-(F74+I79+L74+O79)))</f>
        <v>5</v>
      </c>
      <c r="T74" s="102" t="str">
        <f>IF(S74="","",IF(S74="入力ｴﾗｰ","","m"))</f>
        <v>m</v>
      </c>
      <c r="U74" s="94">
        <f>IF(B74="","",COUNT(F74,I79,L74,O79)-IF(S74=0,1,0)-V74)</f>
        <v>1</v>
      </c>
      <c r="V74" s="95"/>
      <c r="W74" s="104">
        <v>1</v>
      </c>
      <c r="X74" s="103"/>
      <c r="Y74" s="103"/>
      <c r="Z74" s="103"/>
      <c r="AA74" s="99"/>
    </row>
    <row r="75" spans="2:29" ht="3" customHeight="1" x14ac:dyDescent="0.25">
      <c r="B75" s="96"/>
      <c r="C75" s="3"/>
      <c r="G75" s="3"/>
      <c r="I75" s="3"/>
      <c r="J75" s="2"/>
      <c r="K75" s="3"/>
      <c r="L75" s="2"/>
      <c r="M75" s="3"/>
      <c r="O75" s="3"/>
      <c r="R75" s="98"/>
      <c r="S75" s="101"/>
      <c r="T75" s="102"/>
      <c r="U75" s="94"/>
      <c r="V75" s="95"/>
      <c r="W75" s="104"/>
      <c r="X75" s="103"/>
      <c r="Y75" s="103"/>
      <c r="Z75" s="103"/>
      <c r="AA75" s="99"/>
    </row>
    <row r="76" spans="2:29" ht="3" customHeight="1" x14ac:dyDescent="0.25">
      <c r="B76" s="96"/>
      <c r="C76" s="3"/>
      <c r="G76" s="3"/>
      <c r="I76" s="3"/>
      <c r="J76" s="2"/>
      <c r="K76" s="3"/>
      <c r="L76" s="2"/>
      <c r="M76" s="3"/>
      <c r="O76" s="3"/>
      <c r="R76" s="98"/>
      <c r="S76" s="101"/>
      <c r="T76" s="102"/>
      <c r="U76" s="94"/>
      <c r="V76" s="95"/>
      <c r="W76" s="104"/>
      <c r="X76" s="103"/>
      <c r="Y76" s="103"/>
      <c r="Z76" s="103"/>
      <c r="AA76" s="99"/>
    </row>
    <row r="77" spans="2:29" ht="3" customHeight="1" x14ac:dyDescent="0.25">
      <c r="B77" s="96"/>
      <c r="C77" s="3"/>
      <c r="E77" s="66"/>
      <c r="F77" s="65"/>
      <c r="G77" s="64"/>
      <c r="H77" s="66"/>
      <c r="I77" s="64"/>
      <c r="J77" s="65"/>
      <c r="K77" s="64"/>
      <c r="L77" s="65"/>
      <c r="M77" s="64"/>
      <c r="N77" s="66"/>
      <c r="O77" s="64"/>
      <c r="P77" s="66"/>
      <c r="R77" s="100" t="str">
        <f>IF(R74="甲","",IF(OR(S74=0,S74="")=TRUE,"",IF(S74="入力ｴﾗｰ","","乙")))</f>
        <v>乙</v>
      </c>
      <c r="S77" s="101"/>
      <c r="U77" s="94"/>
      <c r="V77" s="95"/>
      <c r="W77" s="104"/>
      <c r="X77" s="103"/>
      <c r="Y77" s="103"/>
      <c r="Z77" s="103"/>
      <c r="AA77" s="99"/>
    </row>
    <row r="78" spans="2:29" ht="3" customHeight="1" x14ac:dyDescent="0.25">
      <c r="B78" s="96"/>
      <c r="C78" s="3"/>
      <c r="F78" s="2"/>
      <c r="G78" s="3"/>
      <c r="I78" s="3"/>
      <c r="J78" s="2"/>
      <c r="K78" s="3"/>
      <c r="L78" s="2"/>
      <c r="M78" s="3"/>
      <c r="O78" s="3"/>
      <c r="R78" s="100"/>
      <c r="S78" s="101"/>
      <c r="U78" s="94"/>
      <c r="V78" s="95"/>
      <c r="W78" s="104"/>
      <c r="X78" s="103"/>
      <c r="Y78" s="103"/>
      <c r="Z78" s="103"/>
      <c r="AA78" s="99"/>
    </row>
    <row r="79" spans="2:29" ht="15" customHeight="1" x14ac:dyDescent="0.25">
      <c r="B79" s="96"/>
      <c r="C79" s="3"/>
      <c r="G79" s="18"/>
      <c r="H79" s="13" t="str">
        <f>IF(I79="","",IF(I79=0,"","L="))</f>
        <v/>
      </c>
      <c r="I79" s="97"/>
      <c r="J79" s="97"/>
      <c r="K79" s="14" t="str">
        <f>IF(I79="","",IF(I79=0,"","m"))</f>
        <v/>
      </c>
      <c r="N79" s="13" t="str">
        <f>IF(O79="","",IF(O79=0,"","L="))</f>
        <v/>
      </c>
      <c r="O79" s="97"/>
      <c r="P79" s="97"/>
      <c r="Q79" s="14" t="str">
        <f>IF(O79="","",IF(O79=0,"","m"))</f>
        <v/>
      </c>
      <c r="R79" s="100"/>
      <c r="S79" s="101"/>
      <c r="U79" s="94"/>
      <c r="V79" s="95"/>
      <c r="W79" s="104"/>
      <c r="X79" s="103"/>
      <c r="Y79" s="103"/>
      <c r="Z79" s="103"/>
      <c r="AA79" s="99"/>
      <c r="AC79" s="1">
        <f>IF(U74="",0,IF(U74&gt;SUM(W74:AA79),U74-SUM(W74:AA79),0))</f>
        <v>0</v>
      </c>
    </row>
    <row r="80" spans="2:29" ht="6" customHeight="1" x14ac:dyDescent="0.2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2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25">
      <c r="B82" s="96">
        <f>IF(S82="","",IF(B74="","",1+B74))</f>
        <v>23</v>
      </c>
      <c r="C82" s="3"/>
      <c r="E82" s="13" t="str">
        <f>IF(F82="","",IF(F82=0,"","L="))</f>
        <v>L=</v>
      </c>
      <c r="F82" s="97">
        <v>4.3</v>
      </c>
      <c r="G82" s="97"/>
      <c r="H82" s="14" t="str">
        <f>IF(F82="","",IF(F82=0,"","m"))</f>
        <v>m</v>
      </c>
      <c r="K82" s="13" t="str">
        <f>IF(L82="","",IF(L82=0,"","L="))</f>
        <v/>
      </c>
      <c r="L82" s="97"/>
      <c r="M82" s="97"/>
      <c r="N82" s="14" t="str">
        <f>IF(L82="","",IF(L82=0,"","m"))</f>
        <v/>
      </c>
      <c r="R82" s="98" t="str">
        <f>IF(OR(S82="入力ｴﾗｰ",S82=0,S82="")=TRUE,"",IF(F82="","甲",IF(F82=0,"甲","")))</f>
        <v/>
      </c>
      <c r="S82" s="101">
        <f>IF((F82+I87+L82+O87)=0,"",IF((F82+I87+L82+O87)&gt;SUM($AC$1:$AC$3),"入力ｴﾗｰ",SUM($AC$1:$AC$3)-(F82+I87+L82+O87)))</f>
        <v>0</v>
      </c>
      <c r="T82" s="102" t="str">
        <f>IF(S82="","",IF(S82="入力ｴﾗｰ","","m"))</f>
        <v>m</v>
      </c>
      <c r="U82" s="94">
        <f>IF(B82="","",COUNT(F82,I87,L82,O87)-IF(S82=0,1,0)-V82)</f>
        <v>1</v>
      </c>
      <c r="V82" s="95"/>
      <c r="W82" s="104">
        <v>2</v>
      </c>
      <c r="X82" s="103"/>
      <c r="Y82" s="103"/>
      <c r="Z82" s="103"/>
      <c r="AA82" s="99"/>
    </row>
    <row r="83" spans="2:29" ht="3" customHeight="1" x14ac:dyDescent="0.25">
      <c r="B83" s="96"/>
      <c r="C83" s="3"/>
      <c r="G83" s="3"/>
      <c r="I83" s="3"/>
      <c r="J83" s="2"/>
      <c r="K83" s="3"/>
      <c r="L83" s="2"/>
      <c r="M83" s="3"/>
      <c r="O83" s="3"/>
      <c r="R83" s="98"/>
      <c r="S83" s="101"/>
      <c r="T83" s="102"/>
      <c r="U83" s="94"/>
      <c r="V83" s="95"/>
      <c r="W83" s="104"/>
      <c r="X83" s="103"/>
      <c r="Y83" s="103"/>
      <c r="Z83" s="103"/>
      <c r="AA83" s="99"/>
    </row>
    <row r="84" spans="2:29" ht="3" customHeight="1" x14ac:dyDescent="0.25">
      <c r="B84" s="96"/>
      <c r="C84" s="3"/>
      <c r="G84" s="3"/>
      <c r="I84" s="3"/>
      <c r="J84" s="2"/>
      <c r="K84" s="3"/>
      <c r="L84" s="2"/>
      <c r="M84" s="3"/>
      <c r="O84" s="3"/>
      <c r="R84" s="98"/>
      <c r="S84" s="101"/>
      <c r="T84" s="102"/>
      <c r="U84" s="94"/>
      <c r="V84" s="95"/>
      <c r="W84" s="104"/>
      <c r="X84" s="103"/>
      <c r="Y84" s="103"/>
      <c r="Z84" s="103"/>
      <c r="AA84" s="99"/>
    </row>
    <row r="85" spans="2:29" ht="3" customHeight="1" x14ac:dyDescent="0.25">
      <c r="B85" s="96"/>
      <c r="C85" s="3"/>
      <c r="E85" s="66"/>
      <c r="F85" s="65"/>
      <c r="G85" s="64"/>
      <c r="H85" s="66"/>
      <c r="I85" s="64"/>
      <c r="J85" s="65"/>
      <c r="K85" s="64"/>
      <c r="L85" s="65"/>
      <c r="M85" s="64"/>
      <c r="N85" s="66"/>
      <c r="O85" s="64"/>
      <c r="P85" s="66"/>
      <c r="R85" s="100" t="str">
        <f>IF(R82="甲","",IF(OR(S82=0,S82="")=TRUE,"",IF(S82="入力ｴﾗｰ","","乙")))</f>
        <v/>
      </c>
      <c r="S85" s="101"/>
      <c r="U85" s="94"/>
      <c r="V85" s="95"/>
      <c r="W85" s="104"/>
      <c r="X85" s="103"/>
      <c r="Y85" s="103"/>
      <c r="Z85" s="103"/>
      <c r="AA85" s="99"/>
    </row>
    <row r="86" spans="2:29" ht="3" customHeight="1" x14ac:dyDescent="0.25">
      <c r="B86" s="96"/>
      <c r="C86" s="3"/>
      <c r="F86" s="2"/>
      <c r="G86" s="3"/>
      <c r="I86" s="3"/>
      <c r="J86" s="2"/>
      <c r="K86" s="3"/>
      <c r="L86" s="2"/>
      <c r="M86" s="3"/>
      <c r="O86" s="3"/>
      <c r="R86" s="100"/>
      <c r="S86" s="101"/>
      <c r="U86" s="94"/>
      <c r="V86" s="95"/>
      <c r="W86" s="104"/>
      <c r="X86" s="103"/>
      <c r="Y86" s="103"/>
      <c r="Z86" s="103"/>
      <c r="AA86" s="99"/>
    </row>
    <row r="87" spans="2:29" ht="15" customHeight="1" x14ac:dyDescent="0.25">
      <c r="B87" s="96"/>
      <c r="C87" s="3"/>
      <c r="G87" s="18"/>
      <c r="H87" s="13" t="str">
        <f>IF(I87="","",IF(I87=0,"","L="))</f>
        <v/>
      </c>
      <c r="I87" s="97"/>
      <c r="J87" s="97"/>
      <c r="K87" s="14" t="str">
        <f>IF(I87="","",IF(I87=0,"","m"))</f>
        <v/>
      </c>
      <c r="N87" s="13" t="str">
        <f>IF(O87="","",IF(O87=0,"","L="))</f>
        <v>L=</v>
      </c>
      <c r="O87" s="97">
        <v>1.7</v>
      </c>
      <c r="P87" s="97"/>
      <c r="Q87" s="14" t="str">
        <f>IF(O87="","",IF(O87=0,"","m"))</f>
        <v>m</v>
      </c>
      <c r="R87" s="100"/>
      <c r="S87" s="101"/>
      <c r="U87" s="94"/>
      <c r="V87" s="95"/>
      <c r="W87" s="104"/>
      <c r="X87" s="103"/>
      <c r="Y87" s="103"/>
      <c r="Z87" s="103"/>
      <c r="AA87" s="99"/>
      <c r="AC87" s="1">
        <f>IF(U82="",0,IF(U82&gt;SUM(W82:AA87),U82-SUM(W82:AA87),0))</f>
        <v>0</v>
      </c>
    </row>
    <row r="88" spans="2:29" ht="6" customHeight="1" x14ac:dyDescent="0.2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2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25">
      <c r="B90" s="96">
        <f>IF(S90="","",IF(B82="","",1+B82))</f>
        <v>24</v>
      </c>
      <c r="C90" s="3"/>
      <c r="E90" s="13" t="str">
        <f>IF(F90="","",IF(F90=0,"","L="))</f>
        <v>L=</v>
      </c>
      <c r="F90" s="97">
        <v>4</v>
      </c>
      <c r="G90" s="97"/>
      <c r="H90" s="14" t="str">
        <f>IF(F90="","",IF(F90=0,"","m"))</f>
        <v>m</v>
      </c>
      <c r="K90" s="13" t="str">
        <f>IF(L90="","",IF(L90=0,"","L="))</f>
        <v/>
      </c>
      <c r="L90" s="97"/>
      <c r="M90" s="97"/>
      <c r="N90" s="14" t="str">
        <f>IF(L90="","",IF(L90=0,"","m"))</f>
        <v/>
      </c>
      <c r="R90" s="98" t="str">
        <f>IF(OR(S90="入力ｴﾗｰ",S90=0,S90="")=TRUE,"",IF(F90="","甲",IF(F90=0,"甲","")))</f>
        <v/>
      </c>
      <c r="S90" s="101">
        <f>IF((F90+I95+L90+O95)=0,"",IF((F90+I95+L90+O95)&gt;SUM($AC$1:$AC$3),"入力ｴﾗｰ",SUM($AC$1:$AC$3)-(F90+I95+L90+O95)))</f>
        <v>0</v>
      </c>
      <c r="T90" s="102" t="str">
        <f>IF(S90="","",IF(S90="入力ｴﾗｰ","","m"))</f>
        <v>m</v>
      </c>
      <c r="U90" s="94">
        <f>IF(B90="","",COUNT(F90,I95,L90,O95)-IF(S90=0,1,0)-V90)</f>
        <v>1</v>
      </c>
      <c r="V90" s="95"/>
      <c r="W90" s="104">
        <v>2</v>
      </c>
      <c r="X90" s="103"/>
      <c r="Y90" s="103"/>
      <c r="Z90" s="103"/>
      <c r="AA90" s="99"/>
    </row>
    <row r="91" spans="2:29" ht="3" customHeight="1" x14ac:dyDescent="0.25">
      <c r="B91" s="96"/>
      <c r="C91" s="3"/>
      <c r="G91" s="3"/>
      <c r="I91" s="3"/>
      <c r="J91" s="2"/>
      <c r="K91" s="3"/>
      <c r="L91" s="2"/>
      <c r="M91" s="3"/>
      <c r="O91" s="3"/>
      <c r="R91" s="98"/>
      <c r="S91" s="101"/>
      <c r="T91" s="102"/>
      <c r="U91" s="94"/>
      <c r="V91" s="95"/>
      <c r="W91" s="104"/>
      <c r="X91" s="103"/>
      <c r="Y91" s="103"/>
      <c r="Z91" s="103"/>
      <c r="AA91" s="99"/>
    </row>
    <row r="92" spans="2:29" ht="3" customHeight="1" x14ac:dyDescent="0.25">
      <c r="B92" s="96"/>
      <c r="C92" s="3"/>
      <c r="G92" s="3"/>
      <c r="I92" s="3"/>
      <c r="J92" s="2"/>
      <c r="K92" s="3"/>
      <c r="L92" s="2"/>
      <c r="M92" s="3"/>
      <c r="O92" s="3"/>
      <c r="R92" s="98"/>
      <c r="S92" s="101"/>
      <c r="T92" s="102"/>
      <c r="U92" s="94"/>
      <c r="V92" s="95"/>
      <c r="W92" s="104"/>
      <c r="X92" s="103"/>
      <c r="Y92" s="103"/>
      <c r="Z92" s="103"/>
      <c r="AA92" s="99"/>
    </row>
    <row r="93" spans="2:29" ht="3" customHeight="1" x14ac:dyDescent="0.25">
      <c r="B93" s="96"/>
      <c r="C93" s="3"/>
      <c r="E93" s="66"/>
      <c r="F93" s="65"/>
      <c r="G93" s="64"/>
      <c r="H93" s="66"/>
      <c r="I93" s="64"/>
      <c r="J93" s="65"/>
      <c r="K93" s="64"/>
      <c r="L93" s="65"/>
      <c r="M93" s="64"/>
      <c r="N93" s="66"/>
      <c r="O93" s="64"/>
      <c r="P93" s="66"/>
      <c r="R93" s="100" t="str">
        <f>IF(R90="甲","",IF(OR(S90=0,S90="")=TRUE,"",IF(S90="入力ｴﾗｰ","","乙")))</f>
        <v/>
      </c>
      <c r="S93" s="101"/>
      <c r="U93" s="94"/>
      <c r="V93" s="95"/>
      <c r="W93" s="104"/>
      <c r="X93" s="103"/>
      <c r="Y93" s="103"/>
      <c r="Z93" s="103"/>
      <c r="AA93" s="99"/>
    </row>
    <row r="94" spans="2:29" ht="3" customHeight="1" x14ac:dyDescent="0.25">
      <c r="B94" s="96"/>
      <c r="C94" s="3"/>
      <c r="F94" s="2"/>
      <c r="G94" s="3"/>
      <c r="I94" s="3"/>
      <c r="J94" s="2"/>
      <c r="K94" s="3"/>
      <c r="L94" s="2"/>
      <c r="M94" s="3"/>
      <c r="O94" s="3"/>
      <c r="R94" s="100"/>
      <c r="S94" s="101"/>
      <c r="U94" s="94"/>
      <c r="V94" s="95"/>
      <c r="W94" s="104"/>
      <c r="X94" s="103"/>
      <c r="Y94" s="103"/>
      <c r="Z94" s="103"/>
      <c r="AA94" s="99"/>
    </row>
    <row r="95" spans="2:29" ht="15" customHeight="1" x14ac:dyDescent="0.25">
      <c r="B95" s="96"/>
      <c r="C95" s="3"/>
      <c r="G95" s="18"/>
      <c r="H95" s="13" t="str">
        <f>IF(I95="","",IF(I95=0,"","L="))</f>
        <v/>
      </c>
      <c r="I95" s="97"/>
      <c r="J95" s="97"/>
      <c r="K95" s="14" t="str">
        <f>IF(I95="","",IF(I95=0,"","m"))</f>
        <v/>
      </c>
      <c r="N95" s="13" t="str">
        <f>IF(O95="","",IF(O95=0,"","L="))</f>
        <v>L=</v>
      </c>
      <c r="O95" s="97">
        <v>2</v>
      </c>
      <c r="P95" s="97"/>
      <c r="Q95" s="14" t="str">
        <f>IF(O95="","",IF(O95=0,"","m"))</f>
        <v>m</v>
      </c>
      <c r="R95" s="100"/>
      <c r="S95" s="101"/>
      <c r="U95" s="94"/>
      <c r="V95" s="95"/>
      <c r="W95" s="104"/>
      <c r="X95" s="103"/>
      <c r="Y95" s="103"/>
      <c r="Z95" s="103"/>
      <c r="AA95" s="99"/>
      <c r="AC95" s="1">
        <f>IF(U90="",0,IF(U90&gt;SUM(W90:AA95),U90-SUM(W90:AA95),0))</f>
        <v>0</v>
      </c>
    </row>
    <row r="96" spans="2:29" ht="6" customHeight="1" x14ac:dyDescent="0.2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2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25">
      <c r="B98" s="96" t="s">
        <v>43</v>
      </c>
      <c r="C98" s="3"/>
      <c r="E98" s="13" t="str">
        <f>IF(F98="","",IF(F98=0,"","L="))</f>
        <v/>
      </c>
      <c r="F98" s="97"/>
      <c r="G98" s="97"/>
      <c r="H98" s="14" t="str">
        <f>IF(F98="","",IF(F98=0,"","m"))</f>
        <v/>
      </c>
      <c r="K98" s="13" t="str">
        <f>IF(L98="","",IF(L98=0,"","L="))</f>
        <v/>
      </c>
      <c r="L98" s="97"/>
      <c r="M98" s="97"/>
      <c r="N98" s="14" t="str">
        <f>IF(L98="","",IF(L98=0,"","m"))</f>
        <v/>
      </c>
      <c r="R98" s="98" t="str">
        <f>IF(OR(S98="入力ｴﾗｰ",S98=0,S98="")=TRUE,"",IF(F98="","甲",IF(F98=0,"甲","")))</f>
        <v/>
      </c>
      <c r="S98" s="101" t="str">
        <f>IF((F98+I103+L98+O103)=0,"",IF((F98+I103+L98+O103)&gt;SUM($AC$1:$AC$3),"入力ｴﾗｰ",SUM($AC$1:$AC$3)-(F98+I103+L98+O103)))</f>
        <v/>
      </c>
      <c r="T98" s="102" t="str">
        <f>IF(S98="","",IF(S98="入力ｴﾗｰ","","m"))</f>
        <v/>
      </c>
      <c r="U98" s="94">
        <v>1</v>
      </c>
      <c r="V98" s="95">
        <v>2</v>
      </c>
      <c r="W98" s="104">
        <v>1</v>
      </c>
      <c r="X98" s="103"/>
      <c r="Y98" s="103"/>
      <c r="Z98" s="103"/>
      <c r="AA98" s="99"/>
    </row>
    <row r="99" spans="2:29" ht="3" customHeight="1" x14ac:dyDescent="0.25">
      <c r="B99" s="96"/>
      <c r="C99" s="3"/>
      <c r="G99" s="3"/>
      <c r="I99" s="3"/>
      <c r="J99" s="2"/>
      <c r="K99" s="3"/>
      <c r="L99" s="2"/>
      <c r="M99" s="3"/>
      <c r="O99" s="3"/>
      <c r="R99" s="98"/>
      <c r="S99" s="101"/>
      <c r="T99" s="102"/>
      <c r="U99" s="94"/>
      <c r="V99" s="95"/>
      <c r="W99" s="104"/>
      <c r="X99" s="103"/>
      <c r="Y99" s="103"/>
      <c r="Z99" s="103"/>
      <c r="AA99" s="99"/>
    </row>
    <row r="100" spans="2:29" ht="3" customHeight="1" x14ac:dyDescent="0.25">
      <c r="B100" s="96"/>
      <c r="C100" s="3"/>
      <c r="G100" s="3"/>
      <c r="I100" s="3"/>
      <c r="J100" s="2"/>
      <c r="K100" s="3"/>
      <c r="L100" s="2"/>
      <c r="M100" s="3"/>
      <c r="O100" s="3"/>
      <c r="R100" s="98"/>
      <c r="S100" s="101"/>
      <c r="T100" s="102"/>
      <c r="U100" s="94"/>
      <c r="V100" s="95"/>
      <c r="W100" s="104"/>
      <c r="X100" s="103"/>
      <c r="Y100" s="103"/>
      <c r="Z100" s="103"/>
      <c r="AA100" s="99"/>
    </row>
    <row r="101" spans="2:29" ht="3" customHeight="1" x14ac:dyDescent="0.25">
      <c r="B101" s="96"/>
      <c r="C101" s="3"/>
      <c r="E101" s="66"/>
      <c r="F101" s="65"/>
      <c r="G101" s="64"/>
      <c r="H101" s="66"/>
      <c r="I101" s="64"/>
      <c r="J101" s="65"/>
      <c r="K101" s="64"/>
      <c r="L101" s="65"/>
      <c r="M101" s="64"/>
      <c r="N101" s="66"/>
      <c r="O101" s="64"/>
      <c r="P101" s="66"/>
      <c r="R101" s="100" t="str">
        <f>IF(R98="甲","",IF(OR(S98=0,S98="")=TRUE,"",IF(S98="入力ｴﾗｰ","","乙")))</f>
        <v/>
      </c>
      <c r="S101" s="101"/>
      <c r="U101" s="94"/>
      <c r="V101" s="95"/>
      <c r="W101" s="104"/>
      <c r="X101" s="103"/>
      <c r="Y101" s="103"/>
      <c r="Z101" s="103"/>
      <c r="AA101" s="99"/>
    </row>
    <row r="102" spans="2:29" ht="3" customHeight="1" x14ac:dyDescent="0.25">
      <c r="B102" s="96"/>
      <c r="C102" s="3"/>
      <c r="F102" s="2"/>
      <c r="G102" s="3"/>
      <c r="I102" s="3"/>
      <c r="J102" s="2"/>
      <c r="K102" s="3"/>
      <c r="L102" s="2"/>
      <c r="M102" s="3"/>
      <c r="O102" s="3"/>
      <c r="R102" s="100"/>
      <c r="S102" s="101"/>
      <c r="U102" s="94"/>
      <c r="V102" s="95"/>
      <c r="W102" s="104"/>
      <c r="X102" s="103"/>
      <c r="Y102" s="103"/>
      <c r="Z102" s="103"/>
      <c r="AA102" s="99"/>
    </row>
    <row r="103" spans="2:29" ht="15" customHeight="1" x14ac:dyDescent="0.25">
      <c r="B103" s="96"/>
      <c r="C103" s="3"/>
      <c r="G103" s="18"/>
      <c r="H103" s="13" t="str">
        <f>IF(I103="","",IF(I103=0,"","L="))</f>
        <v/>
      </c>
      <c r="I103" s="97"/>
      <c r="J103" s="97"/>
      <c r="K103" s="14" t="str">
        <f>IF(I103="","",IF(I103=0,"","m"))</f>
        <v/>
      </c>
      <c r="N103" s="13" t="str">
        <f>IF(O103="","",IF(O103=0,"","L="))</f>
        <v/>
      </c>
      <c r="O103" s="97"/>
      <c r="P103" s="97"/>
      <c r="Q103" s="14" t="str">
        <f>IF(O103="","",IF(O103=0,"","m"))</f>
        <v/>
      </c>
      <c r="R103" s="100"/>
      <c r="S103" s="101"/>
      <c r="U103" s="94"/>
      <c r="V103" s="95"/>
      <c r="W103" s="104"/>
      <c r="X103" s="103"/>
      <c r="Y103" s="103"/>
      <c r="Z103" s="103"/>
      <c r="AA103" s="99"/>
      <c r="AC103" s="1">
        <f>IF(U98="",0,IF(U98&gt;SUM(W98:AA103),U98-SUM(W98:AA103),0))</f>
        <v>0</v>
      </c>
    </row>
    <row r="104" spans="2:29" ht="6" customHeight="1" x14ac:dyDescent="0.2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15" customHeight="1" x14ac:dyDescent="0.25">
      <c r="B105" s="84" t="s">
        <v>38</v>
      </c>
      <c r="C105" s="85"/>
      <c r="D105" s="85"/>
      <c r="E105" s="85"/>
      <c r="F105" s="86"/>
      <c r="G105" s="47" t="s">
        <v>21</v>
      </c>
      <c r="H105" s="48"/>
      <c r="I105" s="48"/>
      <c r="J105" s="49"/>
      <c r="K105" s="50"/>
      <c r="L105" s="48"/>
      <c r="M105" s="49" t="s">
        <v>18</v>
      </c>
      <c r="N105" s="50"/>
      <c r="O105" s="48"/>
      <c r="P105" s="48"/>
      <c r="Q105" s="49"/>
      <c r="R105" s="48"/>
      <c r="S105" s="48"/>
      <c r="T105" s="48" t="s">
        <v>22</v>
      </c>
      <c r="U105" s="9"/>
      <c r="V105" s="77"/>
      <c r="W105" s="22"/>
      <c r="X105" s="23"/>
      <c r="Y105" s="23"/>
      <c r="Z105" s="23"/>
      <c r="AA105" s="37"/>
    </row>
    <row r="106" spans="2:29" ht="30" customHeight="1" thickBot="1" x14ac:dyDescent="0.3">
      <c r="B106" s="87"/>
      <c r="C106" s="88"/>
      <c r="D106" s="88"/>
      <c r="E106" s="88"/>
      <c r="F106" s="89"/>
      <c r="G106" s="25" t="str">
        <f>U2</f>
        <v>GX</v>
      </c>
      <c r="H106" s="88">
        <f>Y2</f>
        <v>300</v>
      </c>
      <c r="I106" s="88"/>
      <c r="J106" s="89"/>
      <c r="K106" s="90">
        <f>IF(B10="",0,LARGE(B10:B104,1))-13</f>
        <v>11</v>
      </c>
      <c r="L106" s="91"/>
      <c r="M106" s="21"/>
      <c r="N106" s="25"/>
      <c r="O106" s="20"/>
      <c r="P106" s="20"/>
      <c r="Q106" s="21"/>
      <c r="R106" s="92">
        <f>SUM(S10:S104)</f>
        <v>17.399999999999999</v>
      </c>
      <c r="S106" s="93"/>
      <c r="T106" s="20"/>
      <c r="U106" s="51">
        <f t="shared" ref="U106:AA106" si="0">SUM(U10:U104)</f>
        <v>14</v>
      </c>
      <c r="V106" s="79">
        <f t="shared" si="0"/>
        <v>2</v>
      </c>
      <c r="W106" s="73">
        <f t="shared" si="0"/>
        <v>17</v>
      </c>
      <c r="X106" s="53">
        <f t="shared" si="0"/>
        <v>0</v>
      </c>
      <c r="Y106" s="53">
        <f t="shared" si="0"/>
        <v>0</v>
      </c>
      <c r="Z106" s="53">
        <f t="shared" si="0"/>
        <v>0</v>
      </c>
      <c r="AA106" s="54">
        <f t="shared" si="0"/>
        <v>0</v>
      </c>
      <c r="AC106" s="1">
        <f>SUM(AC9:AC104)</f>
        <v>0</v>
      </c>
    </row>
    <row r="107" spans="2:29" ht="15" customHeight="1" x14ac:dyDescent="0.25">
      <c r="B107" s="84" t="s">
        <v>17</v>
      </c>
      <c r="C107" s="85"/>
      <c r="D107" s="85"/>
      <c r="E107" s="85"/>
      <c r="F107" s="86"/>
      <c r="G107" s="47" t="s">
        <v>21</v>
      </c>
      <c r="H107" s="48"/>
      <c r="I107" s="48"/>
      <c r="J107" s="49"/>
      <c r="K107" s="50"/>
      <c r="L107" s="48"/>
      <c r="M107" s="49" t="s">
        <v>18</v>
      </c>
      <c r="N107" s="50"/>
      <c r="O107" s="48"/>
      <c r="P107" s="48"/>
      <c r="Q107" s="49"/>
      <c r="R107" s="48"/>
      <c r="S107" s="48"/>
      <c r="T107" s="48" t="s">
        <v>22</v>
      </c>
      <c r="U107" s="9"/>
      <c r="V107" s="77"/>
      <c r="W107" s="22"/>
      <c r="X107" s="23"/>
      <c r="Y107" s="23"/>
      <c r="Z107" s="23"/>
      <c r="AA107" s="37"/>
    </row>
    <row r="108" spans="2:29" ht="30" customHeight="1" thickBot="1" x14ac:dyDescent="0.3">
      <c r="B108" s="87"/>
      <c r="C108" s="88"/>
      <c r="D108" s="88"/>
      <c r="E108" s="88"/>
      <c r="F108" s="89"/>
      <c r="G108" s="25" t="str">
        <f>+G106</f>
        <v>GX</v>
      </c>
      <c r="H108" s="88">
        <f>+H106</f>
        <v>300</v>
      </c>
      <c r="I108" s="88"/>
      <c r="J108" s="89"/>
      <c r="K108" s="90">
        <f>+'GX　300'!K114:L114+'GX　300 (2)'!K106:L106</f>
        <v>24</v>
      </c>
      <c r="L108" s="91"/>
      <c r="M108" s="21"/>
      <c r="N108" s="25"/>
      <c r="O108" s="20"/>
      <c r="P108" s="20"/>
      <c r="Q108" s="21"/>
      <c r="R108" s="92">
        <f>+'GX　300'!R114:S114+'GX　300 (2)'!R106:S106</f>
        <v>44</v>
      </c>
      <c r="S108" s="93"/>
      <c r="T108" s="20"/>
      <c r="U108" s="51">
        <f>+'GX　300'!U114+'GX　300 (2)'!U106</f>
        <v>33</v>
      </c>
      <c r="V108" s="79">
        <f>+'GX　300'!V114+'GX　300 (2)'!V106</f>
        <v>3</v>
      </c>
      <c r="W108" s="73">
        <f>+'GX　300'!W114+'GX　300 (2)'!W106</f>
        <v>37</v>
      </c>
      <c r="X108" s="53">
        <f>+'GX　300'!X114+'GX　300 (2)'!X106</f>
        <v>0</v>
      </c>
      <c r="Y108" s="53">
        <f>+'GX　300'!Y114+'GX　300 (2)'!Y106</f>
        <v>0</v>
      </c>
      <c r="Z108" s="53">
        <f>+'GX　300'!Z114+'GX　300 (2)'!Z106</f>
        <v>0</v>
      </c>
      <c r="AA108" s="54">
        <f>+'GX　300'!AA114+'GX　300 (2)'!AA106</f>
        <v>0</v>
      </c>
      <c r="AC108" s="1">
        <f>SUM(AC11:AC106)</f>
        <v>0</v>
      </c>
    </row>
  </sheetData>
  <mergeCells count="208">
    <mergeCell ref="B107:F108"/>
    <mergeCell ref="H108:J108"/>
    <mergeCell ref="K108:L108"/>
    <mergeCell ref="R108:S108"/>
    <mergeCell ref="B105:F106"/>
    <mergeCell ref="H106:J106"/>
    <mergeCell ref="K106:L106"/>
    <mergeCell ref="R106:S106"/>
    <mergeCell ref="AA98:AA103"/>
    <mergeCell ref="R101:R103"/>
    <mergeCell ref="B98:B103"/>
    <mergeCell ref="F98:G98"/>
    <mergeCell ref="L98:M98"/>
    <mergeCell ref="U98:U103"/>
    <mergeCell ref="I103:J103"/>
    <mergeCell ref="O103:P103"/>
    <mergeCell ref="X98:X103"/>
    <mergeCell ref="Y98:Y103"/>
    <mergeCell ref="Z98:Z103"/>
    <mergeCell ref="V98:V103"/>
    <mergeCell ref="W98:W103"/>
    <mergeCell ref="R98:R100"/>
    <mergeCell ref="S98:S103"/>
    <mergeCell ref="T98:T100"/>
    <mergeCell ref="I87:J87"/>
    <mergeCell ref="O87:P87"/>
    <mergeCell ref="X82:X87"/>
    <mergeCell ref="Y82:Y87"/>
    <mergeCell ref="Z82:Z87"/>
    <mergeCell ref="AA90:AA95"/>
    <mergeCell ref="X90:X95"/>
    <mergeCell ref="Y90:Y95"/>
    <mergeCell ref="Z90:Z95"/>
    <mergeCell ref="U82:U87"/>
    <mergeCell ref="V82:V87"/>
    <mergeCell ref="W82:W87"/>
    <mergeCell ref="U90:U95"/>
    <mergeCell ref="V90:V95"/>
    <mergeCell ref="W90:W95"/>
    <mergeCell ref="AA82:AA87"/>
    <mergeCell ref="R85:R87"/>
    <mergeCell ref="B90:B95"/>
    <mergeCell ref="F90:G90"/>
    <mergeCell ref="L90:M90"/>
    <mergeCell ref="R90:R92"/>
    <mergeCell ref="S90:S95"/>
    <mergeCell ref="T90:T92"/>
    <mergeCell ref="R93:R95"/>
    <mergeCell ref="I95:J95"/>
    <mergeCell ref="O95:P95"/>
    <mergeCell ref="B82:B87"/>
    <mergeCell ref="F82:G82"/>
    <mergeCell ref="L82:M82"/>
    <mergeCell ref="R82:R84"/>
    <mergeCell ref="S82:S87"/>
    <mergeCell ref="T82:T84"/>
    <mergeCell ref="AA66:AA71"/>
    <mergeCell ref="R69:R71"/>
    <mergeCell ref="I71:J71"/>
    <mergeCell ref="O71:P71"/>
    <mergeCell ref="B74:B79"/>
    <mergeCell ref="F74:G74"/>
    <mergeCell ref="L74:M74"/>
    <mergeCell ref="R74:R76"/>
    <mergeCell ref="S74:S79"/>
    <mergeCell ref="T74:T76"/>
    <mergeCell ref="U66:U71"/>
    <mergeCell ref="V66:V71"/>
    <mergeCell ref="W66:W71"/>
    <mergeCell ref="X66:X71"/>
    <mergeCell ref="Y66:Y71"/>
    <mergeCell ref="Z66:Z71"/>
    <mergeCell ref="AA74:AA79"/>
    <mergeCell ref="R77:R79"/>
    <mergeCell ref="I79:J79"/>
    <mergeCell ref="O79:P79"/>
    <mergeCell ref="X74:X79"/>
    <mergeCell ref="Y74:Y79"/>
    <mergeCell ref="Z74:Z79"/>
    <mergeCell ref="B66:B71"/>
    <mergeCell ref="F66:G66"/>
    <mergeCell ref="L66:M66"/>
    <mergeCell ref="R66:R68"/>
    <mergeCell ref="S66:S71"/>
    <mergeCell ref="T66:T68"/>
    <mergeCell ref="U74:U79"/>
    <mergeCell ref="V74:V79"/>
    <mergeCell ref="W74:W79"/>
    <mergeCell ref="Y50:Y55"/>
    <mergeCell ref="Z50:Z55"/>
    <mergeCell ref="AA58:AA63"/>
    <mergeCell ref="U50:U55"/>
    <mergeCell ref="V50:V55"/>
    <mergeCell ref="W50:W55"/>
    <mergeCell ref="AA50:AA55"/>
    <mergeCell ref="X50:X55"/>
    <mergeCell ref="R61:R63"/>
    <mergeCell ref="I63:J63"/>
    <mergeCell ref="O63:P63"/>
    <mergeCell ref="X58:X63"/>
    <mergeCell ref="Y58:Y63"/>
    <mergeCell ref="Z58:Z63"/>
    <mergeCell ref="B58:B63"/>
    <mergeCell ref="F58:G58"/>
    <mergeCell ref="L58:M58"/>
    <mergeCell ref="R58:R60"/>
    <mergeCell ref="S58:S63"/>
    <mergeCell ref="T58:T60"/>
    <mergeCell ref="U58:U63"/>
    <mergeCell ref="V58:V63"/>
    <mergeCell ref="W58:W63"/>
    <mergeCell ref="B50:B55"/>
    <mergeCell ref="F50:G50"/>
    <mergeCell ref="L50:M50"/>
    <mergeCell ref="R50:R52"/>
    <mergeCell ref="S50:S55"/>
    <mergeCell ref="T50:T52"/>
    <mergeCell ref="U42:U47"/>
    <mergeCell ref="V42:V47"/>
    <mergeCell ref="W42:W47"/>
    <mergeCell ref="R53:R55"/>
    <mergeCell ref="I55:J55"/>
    <mergeCell ref="O55:P55"/>
    <mergeCell ref="B42:B47"/>
    <mergeCell ref="F42:G42"/>
    <mergeCell ref="AA34:AA39"/>
    <mergeCell ref="R37:R39"/>
    <mergeCell ref="I39:J39"/>
    <mergeCell ref="O39:P39"/>
    <mergeCell ref="X34:X39"/>
    <mergeCell ref="Y34:Y39"/>
    <mergeCell ref="Z34:Z39"/>
    <mergeCell ref="AA42:AA47"/>
    <mergeCell ref="X42:X47"/>
    <mergeCell ref="Y42:Y47"/>
    <mergeCell ref="Z42:Z47"/>
    <mergeCell ref="L42:M42"/>
    <mergeCell ref="R42:R44"/>
    <mergeCell ref="S42:S47"/>
    <mergeCell ref="T42:T44"/>
    <mergeCell ref="U34:U39"/>
    <mergeCell ref="V34:V39"/>
    <mergeCell ref="W34:W39"/>
    <mergeCell ref="R45:R47"/>
    <mergeCell ref="I47:J47"/>
    <mergeCell ref="O47:P47"/>
    <mergeCell ref="B34:B39"/>
    <mergeCell ref="F34:G34"/>
    <mergeCell ref="L34:M34"/>
    <mergeCell ref="R34:R36"/>
    <mergeCell ref="S34:S39"/>
    <mergeCell ref="T34:T36"/>
    <mergeCell ref="AA18:AA23"/>
    <mergeCell ref="R21:R23"/>
    <mergeCell ref="I23:J23"/>
    <mergeCell ref="O23:P23"/>
    <mergeCell ref="B26:B31"/>
    <mergeCell ref="F26:G26"/>
    <mergeCell ref="L26:M26"/>
    <mergeCell ref="R26:R28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I31:J31"/>
    <mergeCell ref="O31:P31"/>
    <mergeCell ref="X26:X31"/>
    <mergeCell ref="Y26:Y31"/>
    <mergeCell ref="Z26:Z31"/>
    <mergeCell ref="B18:B23"/>
    <mergeCell ref="F18:G18"/>
    <mergeCell ref="L18:M18"/>
    <mergeCell ref="R18:R20"/>
    <mergeCell ref="S18:S23"/>
    <mergeCell ref="T18:T20"/>
    <mergeCell ref="U26:U31"/>
    <mergeCell ref="V26:V31"/>
    <mergeCell ref="W26:W31"/>
    <mergeCell ref="C1:Q1"/>
    <mergeCell ref="U2:V3"/>
    <mergeCell ref="Y2:Z3"/>
    <mergeCell ref="B7:B8"/>
    <mergeCell ref="C7:Q8"/>
    <mergeCell ref="R7:T8"/>
    <mergeCell ref="U7:V7"/>
    <mergeCell ref="W7:AA7"/>
    <mergeCell ref="AA10:AA15"/>
    <mergeCell ref="R13:R15"/>
    <mergeCell ref="I15:J15"/>
    <mergeCell ref="O15:P15"/>
    <mergeCell ref="X10:X15"/>
    <mergeCell ref="Y10:Y15"/>
    <mergeCell ref="Z10:Z15"/>
    <mergeCell ref="U10:U15"/>
    <mergeCell ref="V10:V15"/>
    <mergeCell ref="W10:W15"/>
    <mergeCell ref="B10:B15"/>
    <mergeCell ref="F10:G10"/>
    <mergeCell ref="L10:M10"/>
    <mergeCell ref="R10:R12"/>
    <mergeCell ref="S10:S15"/>
    <mergeCell ref="T10:T12"/>
  </mergeCells>
  <phoneticPr fontId="2"/>
  <conditionalFormatting sqref="S10:S15 S18:S23 S26:S31 S34:S39 S42:S47 S50:S55 S58:S63 S66:S71 S74:S79 S82:S87 S98:S103">
    <cfRule type="cellIs" dxfId="12" priority="2" stopIfTrue="1" operator="equal">
      <formula>"入力ｴﾗｰ"</formula>
    </cfRule>
  </conditionalFormatting>
  <conditionalFormatting sqref="S90:S95">
    <cfRule type="cellIs" dxfId="11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scale="9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 tint="0.499984740745262"/>
  </sheetPr>
  <dimension ref="B1:AC114"/>
  <sheetViews>
    <sheetView showGridLines="0" view="pageBreakPreview" zoomScale="130" zoomScaleNormal="123" zoomScaleSheetLayoutView="130" workbookViewId="0">
      <selection activeCell="Y10" sqref="Y10:Y15"/>
    </sheetView>
  </sheetViews>
  <sheetFormatPr defaultColWidth="9.0703125" defaultRowHeight="12" x14ac:dyDescent="0.25"/>
  <cols>
    <col min="1" max="1" width="0.92578125" style="1" customWidth="1"/>
    <col min="2" max="2" width="8.92578125" style="1" customWidth="1"/>
    <col min="3" max="17" width="2.7109375" style="1" customWidth="1"/>
    <col min="18" max="18" width="2.92578125" style="1" customWidth="1"/>
    <col min="19" max="19" width="5.7109375" style="1" customWidth="1"/>
    <col min="20" max="20" width="2.7109375" style="1" customWidth="1"/>
    <col min="21" max="27" width="5.7109375" style="1" customWidth="1"/>
    <col min="28" max="16384" width="9.0703125" style="1"/>
  </cols>
  <sheetData>
    <row r="1" spans="2:29" x14ac:dyDescent="0.25">
      <c r="B1" s="56" t="s">
        <v>19</v>
      </c>
      <c r="C1" s="112" t="str">
        <f>'白紙(5m)'!C1:Q1</f>
        <v>長田（花山町2丁目他）配水管取替工事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25">
      <c r="S2" s="12"/>
      <c r="T2" s="3"/>
      <c r="U2" s="114" t="s">
        <v>30</v>
      </c>
      <c r="V2" s="114"/>
      <c r="W2" s="2"/>
      <c r="X2" s="12"/>
      <c r="Y2" s="114">
        <v>150</v>
      </c>
      <c r="Z2" s="114"/>
      <c r="AA2" s="2"/>
      <c r="AC2" s="1">
        <f>IF(AC1=4,0,IF(Y2&lt;=200,5,0))</f>
        <v>5</v>
      </c>
    </row>
    <row r="3" spans="2:29" ht="12" customHeight="1" x14ac:dyDescent="0.25">
      <c r="S3" s="44" t="s">
        <v>12</v>
      </c>
      <c r="T3" s="15"/>
      <c r="U3" s="115"/>
      <c r="V3" s="115"/>
      <c r="W3" s="17" t="s">
        <v>15</v>
      </c>
      <c r="X3" s="44" t="s">
        <v>14</v>
      </c>
      <c r="Y3" s="115"/>
      <c r="Z3" s="115"/>
      <c r="AA3" s="17" t="s">
        <v>20</v>
      </c>
      <c r="AC3" s="1">
        <f>IF(Y2&gt;200,6,0)</f>
        <v>0</v>
      </c>
    </row>
    <row r="4" spans="2:29" ht="6.75" customHeight="1" x14ac:dyDescent="0.25">
      <c r="S4" s="18"/>
      <c r="U4" s="45"/>
      <c r="V4" s="45"/>
      <c r="X4" s="18"/>
      <c r="Y4" s="45"/>
      <c r="Z4" s="45"/>
    </row>
    <row r="5" spans="2:29" ht="21.75" customHeight="1" x14ac:dyDescent="0.25">
      <c r="B5" s="46" t="s">
        <v>16</v>
      </c>
    </row>
    <row r="6" spans="2:29" ht="6.75" customHeight="1" thickBot="1" x14ac:dyDescent="0.3"/>
    <row r="7" spans="2:29" ht="14.25" customHeight="1" x14ac:dyDescent="0.25">
      <c r="B7" s="116" t="s">
        <v>0</v>
      </c>
      <c r="C7" s="108" t="s">
        <v>3</v>
      </c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09"/>
      <c r="R7" s="117" t="s">
        <v>1</v>
      </c>
      <c r="S7" s="117"/>
      <c r="T7" s="117"/>
      <c r="U7" s="108" t="s">
        <v>2</v>
      </c>
      <c r="V7" s="109"/>
      <c r="W7" s="110" t="s">
        <v>4</v>
      </c>
      <c r="X7" s="110"/>
      <c r="Y7" s="110"/>
      <c r="Z7" s="110"/>
      <c r="AA7" s="111"/>
    </row>
    <row r="8" spans="2:29" ht="10.5" customHeight="1" x14ac:dyDescent="0.25">
      <c r="B8" s="96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20"/>
      <c r="R8" s="119"/>
      <c r="S8" s="119"/>
      <c r="T8" s="119"/>
      <c r="U8" s="74" t="s">
        <v>39</v>
      </c>
      <c r="V8" s="75" t="s">
        <v>35</v>
      </c>
      <c r="W8" s="70" t="s">
        <v>39</v>
      </c>
      <c r="X8" s="32" t="s">
        <v>7</v>
      </c>
      <c r="Y8" s="32" t="s">
        <v>8</v>
      </c>
      <c r="Z8" s="33" t="s">
        <v>9</v>
      </c>
      <c r="AA8" s="34" t="s">
        <v>10</v>
      </c>
    </row>
    <row r="9" spans="2:29" ht="6" customHeight="1" x14ac:dyDescent="0.2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25">
      <c r="B10" s="96">
        <f>IF(S10="","",1)</f>
        <v>1</v>
      </c>
      <c r="C10" s="3"/>
      <c r="E10" s="13" t="str">
        <f>IF(F10="","",IF(F10=0,"","L="))</f>
        <v>L=</v>
      </c>
      <c r="F10" s="97">
        <v>2.1</v>
      </c>
      <c r="G10" s="97"/>
      <c r="H10" s="14" t="str">
        <f>IF(F10="","",IF(F10=0,"","m"))</f>
        <v>m</v>
      </c>
      <c r="K10" s="13" t="str">
        <f>IF(L10="","",IF(L10=0,"","L="))</f>
        <v/>
      </c>
      <c r="L10" s="97"/>
      <c r="M10" s="97"/>
      <c r="N10" s="14" t="str">
        <f>IF(L10="","",IF(L10=0,"","m"))</f>
        <v/>
      </c>
      <c r="Q10" s="2"/>
      <c r="R10" s="106" t="str">
        <f>IF(OR(S10="入力ｴﾗｰ",S10=0,S10="")=TRUE,"",IF(F10="","甲",IF(F10=0,"甲","")))</f>
        <v/>
      </c>
      <c r="S10" s="101">
        <f>IF((F10+I15+L10+O15)=0,"",IF((F10+I15+L10+O15)&gt;SUM($AC$1:$AC$3),"入力ｴﾗｰ",SUM($AC$1:$AC$3)-(F10+I15+L10+O15)))</f>
        <v>1.9</v>
      </c>
      <c r="T10" s="102" t="str">
        <f>IF(S10="","",IF(S10="入力ｴﾗｰ","","m"))</f>
        <v>m</v>
      </c>
      <c r="U10" s="94">
        <f>IF(B10="","",COUNT(F10,I15,L10,O15)-IF(S10=0,1,0)-V10)</f>
        <v>0</v>
      </c>
      <c r="V10" s="95">
        <v>2</v>
      </c>
      <c r="W10" s="104"/>
      <c r="X10" s="103"/>
      <c r="Y10" s="103"/>
      <c r="Z10" s="107"/>
      <c r="AA10" s="99"/>
    </row>
    <row r="11" spans="2:29" ht="3" customHeight="1" x14ac:dyDescent="0.25">
      <c r="B11" s="96"/>
      <c r="C11" s="3"/>
      <c r="G11" s="3"/>
      <c r="H11" s="2"/>
      <c r="K11" s="3"/>
      <c r="L11" s="2"/>
      <c r="M11" s="3"/>
      <c r="Q11" s="2"/>
      <c r="R11" s="106"/>
      <c r="S11" s="101"/>
      <c r="T11" s="102"/>
      <c r="U11" s="94"/>
      <c r="V11" s="95"/>
      <c r="W11" s="104"/>
      <c r="X11" s="103"/>
      <c r="Y11" s="103"/>
      <c r="Z11" s="107"/>
      <c r="AA11" s="99"/>
    </row>
    <row r="12" spans="2:29" ht="3" customHeight="1" x14ac:dyDescent="0.25">
      <c r="B12" s="96"/>
      <c r="C12" s="3"/>
      <c r="E12" s="4"/>
      <c r="F12" s="55"/>
      <c r="G12" s="3"/>
      <c r="H12" s="2"/>
      <c r="K12" s="3"/>
      <c r="L12" s="2"/>
      <c r="M12" s="5"/>
      <c r="N12" s="4"/>
      <c r="Q12" s="2"/>
      <c r="R12" s="106"/>
      <c r="S12" s="101"/>
      <c r="T12" s="102"/>
      <c r="U12" s="94"/>
      <c r="V12" s="95"/>
      <c r="W12" s="104"/>
      <c r="X12" s="103"/>
      <c r="Y12" s="103"/>
      <c r="Z12" s="107"/>
      <c r="AA12" s="99"/>
    </row>
    <row r="13" spans="2:29" ht="3" customHeight="1" x14ac:dyDescent="0.25">
      <c r="B13" s="96"/>
      <c r="C13" s="3"/>
      <c r="E13" s="6"/>
      <c r="F13" s="8"/>
      <c r="G13" s="7"/>
      <c r="H13" s="8"/>
      <c r="I13" s="7"/>
      <c r="J13" s="8"/>
      <c r="K13" s="7"/>
      <c r="L13" s="8"/>
      <c r="M13" s="7"/>
      <c r="N13" s="6"/>
      <c r="Q13" s="2"/>
      <c r="R13" s="105" t="str">
        <f>IF(R10="甲","",IF(OR(S10=0,S10="")=TRUE,"",IF(S10="入力ｴﾗｰ","","乙")))</f>
        <v>乙</v>
      </c>
      <c r="S13" s="101"/>
      <c r="U13" s="94"/>
      <c r="V13" s="95"/>
      <c r="W13" s="104"/>
      <c r="X13" s="103"/>
      <c r="Y13" s="103"/>
      <c r="Z13" s="107"/>
      <c r="AA13" s="99"/>
    </row>
    <row r="14" spans="2:29" ht="3" customHeight="1" x14ac:dyDescent="0.25">
      <c r="B14" s="96"/>
      <c r="C14" s="3"/>
      <c r="F14" s="2"/>
      <c r="G14" s="3"/>
      <c r="H14" s="2"/>
      <c r="K14" s="3"/>
      <c r="L14" s="2"/>
      <c r="M14" s="3"/>
      <c r="Q14" s="2"/>
      <c r="R14" s="105"/>
      <c r="S14" s="101"/>
      <c r="U14" s="94"/>
      <c r="V14" s="95"/>
      <c r="W14" s="104"/>
      <c r="X14" s="103"/>
      <c r="Y14" s="103"/>
      <c r="Z14" s="107"/>
      <c r="AA14" s="99"/>
    </row>
    <row r="15" spans="2:29" ht="15" customHeight="1" x14ac:dyDescent="0.25">
      <c r="B15" s="96"/>
      <c r="C15" s="3"/>
      <c r="G15" s="18"/>
      <c r="H15" s="13" t="str">
        <f>IF(I15="","",IF(I15=0,"","L="))</f>
        <v/>
      </c>
      <c r="I15" s="97"/>
      <c r="J15" s="97"/>
      <c r="K15" s="14" t="str">
        <f>IF(I15="","",IF(I15=0,"","m"))</f>
        <v/>
      </c>
      <c r="N15" s="13" t="str">
        <f>IF(O15="","",IF(O15=0,"","L="))</f>
        <v>L=</v>
      </c>
      <c r="O15" s="97">
        <v>1</v>
      </c>
      <c r="P15" s="97"/>
      <c r="Q15" s="24" t="str">
        <f>IF(O15="","",IF(O15=0,"","m"))</f>
        <v>m</v>
      </c>
      <c r="R15" s="105"/>
      <c r="S15" s="101"/>
      <c r="U15" s="94"/>
      <c r="V15" s="95"/>
      <c r="W15" s="104"/>
      <c r="X15" s="103"/>
      <c r="Y15" s="103"/>
      <c r="Z15" s="107"/>
      <c r="AA15" s="99"/>
      <c r="AC15" s="1">
        <f>IF(U10="",0,IF(U10&gt;SUM(W10:AA15),U10-SUM(W10:AA15),0))</f>
        <v>0</v>
      </c>
    </row>
    <row r="16" spans="2:29" ht="6" customHeight="1" x14ac:dyDescent="0.2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2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25">
      <c r="B18" s="96" t="s">
        <v>41</v>
      </c>
      <c r="C18" s="3"/>
      <c r="E18" s="13" t="str">
        <f>IF(F18="","",IF(F18=0,"","L="))</f>
        <v/>
      </c>
      <c r="F18" s="97"/>
      <c r="G18" s="97"/>
      <c r="H18" s="14" t="str">
        <f>IF(F18="","",IF(F18=0,"","m"))</f>
        <v/>
      </c>
      <c r="K18" s="13" t="str">
        <f>IF(L18="","",IF(L18=0,"","L="))</f>
        <v/>
      </c>
      <c r="L18" s="97"/>
      <c r="M18" s="97"/>
      <c r="N18" s="14" t="str">
        <f>IF(L18="","",IF(L18=0,"","m"))</f>
        <v/>
      </c>
      <c r="Q18" s="2"/>
      <c r="R18" s="106" t="str">
        <f>IF(OR(S18="入力ｴﾗｰ",S18=0,S18="")=TRUE,"",IF(F18="","甲",IF(F18=0,"甲","")))</f>
        <v/>
      </c>
      <c r="S18" s="101" t="str">
        <f>IF((F18+I23+L18+O23)=0,"",IF((F18+I23+L18+O23)&gt;SUM($AC$1:$AC$3),"入力ｴﾗｰ",SUM($AC$1:$AC$3)-(F18+I23+L18+O23)))</f>
        <v/>
      </c>
      <c r="T18" s="102" t="str">
        <f>IF(S18="","",IF(S18="入力ｴﾗｰ","","m"))</f>
        <v/>
      </c>
      <c r="U18" s="94"/>
      <c r="V18" s="95">
        <v>2</v>
      </c>
      <c r="W18" s="104"/>
      <c r="X18" s="103"/>
      <c r="Y18" s="103"/>
      <c r="Z18" s="103"/>
      <c r="AA18" s="99"/>
    </row>
    <row r="19" spans="2:29" ht="3" customHeight="1" x14ac:dyDescent="0.25">
      <c r="B19" s="96"/>
      <c r="C19" s="3"/>
      <c r="G19" s="3"/>
      <c r="H19" s="2"/>
      <c r="K19" s="3"/>
      <c r="L19" s="2"/>
      <c r="M19" s="3"/>
      <c r="Q19" s="2"/>
      <c r="R19" s="106"/>
      <c r="S19" s="101"/>
      <c r="T19" s="102"/>
      <c r="U19" s="94"/>
      <c r="V19" s="95"/>
      <c r="W19" s="104"/>
      <c r="X19" s="103"/>
      <c r="Y19" s="103"/>
      <c r="Z19" s="103"/>
      <c r="AA19" s="99"/>
    </row>
    <row r="20" spans="2:29" ht="3" customHeight="1" x14ac:dyDescent="0.25">
      <c r="B20" s="96"/>
      <c r="C20" s="3"/>
      <c r="E20" s="4"/>
      <c r="F20" s="55"/>
      <c r="G20" s="3"/>
      <c r="H20" s="2"/>
      <c r="K20" s="3"/>
      <c r="L20" s="2"/>
      <c r="M20" s="5"/>
      <c r="N20" s="4"/>
      <c r="Q20" s="2"/>
      <c r="R20" s="106"/>
      <c r="S20" s="101"/>
      <c r="T20" s="102"/>
      <c r="U20" s="94"/>
      <c r="V20" s="95"/>
      <c r="W20" s="104"/>
      <c r="X20" s="103"/>
      <c r="Y20" s="103"/>
      <c r="Z20" s="103"/>
      <c r="AA20" s="99"/>
    </row>
    <row r="21" spans="2:29" ht="3" customHeight="1" x14ac:dyDescent="0.25">
      <c r="B21" s="96"/>
      <c r="C21" s="3"/>
      <c r="E21" s="6"/>
      <c r="F21" s="8"/>
      <c r="G21" s="7"/>
      <c r="H21" s="8"/>
      <c r="I21" s="7"/>
      <c r="J21" s="8"/>
      <c r="K21" s="7"/>
      <c r="L21" s="8"/>
      <c r="M21" s="7"/>
      <c r="N21" s="6"/>
      <c r="Q21" s="2"/>
      <c r="R21" s="105" t="str">
        <f>IF(R18="甲","",IF(OR(S18=0,S18="")=TRUE,"",IF(S18="入力ｴﾗｰ","","乙")))</f>
        <v/>
      </c>
      <c r="S21" s="101"/>
      <c r="U21" s="94"/>
      <c r="V21" s="95"/>
      <c r="W21" s="104"/>
      <c r="X21" s="103"/>
      <c r="Y21" s="103"/>
      <c r="Z21" s="103"/>
      <c r="AA21" s="99"/>
    </row>
    <row r="22" spans="2:29" ht="3" customHeight="1" x14ac:dyDescent="0.25">
      <c r="B22" s="96"/>
      <c r="C22" s="3"/>
      <c r="F22" s="2"/>
      <c r="G22" s="3"/>
      <c r="H22" s="2"/>
      <c r="K22" s="3"/>
      <c r="L22" s="2"/>
      <c r="M22" s="3"/>
      <c r="Q22" s="2"/>
      <c r="R22" s="105"/>
      <c r="S22" s="101"/>
      <c r="U22" s="94"/>
      <c r="V22" s="95"/>
      <c r="W22" s="104"/>
      <c r="X22" s="103"/>
      <c r="Y22" s="103"/>
      <c r="Z22" s="103"/>
      <c r="AA22" s="99"/>
    </row>
    <row r="23" spans="2:29" ht="15" customHeight="1" x14ac:dyDescent="0.25">
      <c r="B23" s="96"/>
      <c r="C23" s="3"/>
      <c r="G23" s="18"/>
      <c r="H23" s="13" t="str">
        <f>IF(I23="","",IF(I23=0,"","L="))</f>
        <v/>
      </c>
      <c r="I23" s="97"/>
      <c r="J23" s="97"/>
      <c r="K23" s="14" t="str">
        <f>IF(I23="","",IF(I23=0,"","m"))</f>
        <v/>
      </c>
      <c r="N23" s="13" t="str">
        <f>IF(O23="","",IF(O23=0,"","L="))</f>
        <v/>
      </c>
      <c r="O23" s="97"/>
      <c r="P23" s="97"/>
      <c r="Q23" s="24" t="str">
        <f>IF(O23="","",IF(O23=0,"","m"))</f>
        <v/>
      </c>
      <c r="R23" s="105"/>
      <c r="S23" s="101"/>
      <c r="U23" s="94"/>
      <c r="V23" s="95"/>
      <c r="W23" s="104"/>
      <c r="X23" s="103"/>
      <c r="Y23" s="103"/>
      <c r="Z23" s="103"/>
      <c r="AA23" s="99"/>
      <c r="AC23" s="1">
        <f>IF(U18="",0,IF(U18&gt;SUM(W18:AA23),U18-SUM(W18:AA23),0))</f>
        <v>0</v>
      </c>
    </row>
    <row r="24" spans="2:29" ht="6" customHeight="1" x14ac:dyDescent="0.2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2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25">
      <c r="B26" s="96" t="str">
        <f>IF(S26="","",IF(B18="","",1+B18))</f>
        <v/>
      </c>
      <c r="C26" s="3"/>
      <c r="E26" s="13" t="str">
        <f>IF(F26="","",IF(F26=0,"","L="))</f>
        <v/>
      </c>
      <c r="F26" s="97"/>
      <c r="G26" s="97"/>
      <c r="H26" s="14" t="str">
        <f>IF(F26="","",IF(F26=0,"","m"))</f>
        <v/>
      </c>
      <c r="K26" s="13" t="str">
        <f>IF(L26="","",IF(L26=0,"","L="))</f>
        <v/>
      </c>
      <c r="L26" s="97"/>
      <c r="M26" s="97"/>
      <c r="N26" s="14" t="str">
        <f>IF(L26="","",IF(L26=0,"","m"))</f>
        <v/>
      </c>
      <c r="Q26" s="2"/>
      <c r="R26" s="106" t="str">
        <f>IF(OR(S26="入力ｴﾗｰ",S26=0,S26="")=TRUE,"",IF(F26="","甲",IF(F26=0,"甲","")))</f>
        <v/>
      </c>
      <c r="S26" s="101" t="str">
        <f>IF((F26+I31+L26+O31)=0,"",IF((F26+I31+L26+O31)&gt;SUM($AC$1:$AC$3),"入力ｴﾗｰ",SUM($AC$1:$AC$3)-(F26+I31+L26+O31)))</f>
        <v/>
      </c>
      <c r="T26" s="102" t="str">
        <f>IF(S26="","",IF(S26="入力ｴﾗｰ","","m"))</f>
        <v/>
      </c>
      <c r="U26" s="94" t="str">
        <f>IF(B26="","",COUNT(F26,I31,L26,O31)-IF(S26=0,1,0)-V26)</f>
        <v/>
      </c>
      <c r="V26" s="95"/>
      <c r="W26" s="104"/>
      <c r="X26" s="103"/>
      <c r="Y26" s="103"/>
      <c r="Z26" s="103"/>
      <c r="AA26" s="99"/>
    </row>
    <row r="27" spans="2:29" ht="3" customHeight="1" x14ac:dyDescent="0.25">
      <c r="B27" s="96"/>
      <c r="C27" s="3"/>
      <c r="G27" s="3"/>
      <c r="H27" s="2"/>
      <c r="K27" s="3"/>
      <c r="L27" s="2"/>
      <c r="M27" s="3"/>
      <c r="Q27" s="2"/>
      <c r="R27" s="106"/>
      <c r="S27" s="101"/>
      <c r="T27" s="102"/>
      <c r="U27" s="94"/>
      <c r="V27" s="95"/>
      <c r="W27" s="104"/>
      <c r="X27" s="103"/>
      <c r="Y27" s="103"/>
      <c r="Z27" s="103"/>
      <c r="AA27" s="99"/>
    </row>
    <row r="28" spans="2:29" ht="3" customHeight="1" x14ac:dyDescent="0.25">
      <c r="B28" s="96"/>
      <c r="C28" s="3"/>
      <c r="E28" s="4"/>
      <c r="F28" s="55"/>
      <c r="G28" s="3"/>
      <c r="H28" s="2"/>
      <c r="K28" s="3"/>
      <c r="L28" s="2"/>
      <c r="M28" s="5"/>
      <c r="N28" s="4"/>
      <c r="Q28" s="2"/>
      <c r="R28" s="106"/>
      <c r="S28" s="101"/>
      <c r="T28" s="102"/>
      <c r="U28" s="94"/>
      <c r="V28" s="95"/>
      <c r="W28" s="104"/>
      <c r="X28" s="103"/>
      <c r="Y28" s="103"/>
      <c r="Z28" s="103"/>
      <c r="AA28" s="99"/>
    </row>
    <row r="29" spans="2:29" ht="3" customHeight="1" x14ac:dyDescent="0.25">
      <c r="B29" s="96"/>
      <c r="C29" s="3"/>
      <c r="E29" s="6"/>
      <c r="F29" s="6"/>
      <c r="G29" s="7"/>
      <c r="H29" s="8"/>
      <c r="I29" s="7"/>
      <c r="J29" s="8"/>
      <c r="K29" s="7"/>
      <c r="L29" s="8"/>
      <c r="M29" s="7"/>
      <c r="N29" s="6"/>
      <c r="Q29" s="2"/>
      <c r="R29" s="105" t="str">
        <f>IF(R26="甲","",IF(OR(S26=0,S26="")=TRUE,"",IF(S26="入力ｴﾗｰ","","乙")))</f>
        <v/>
      </c>
      <c r="S29" s="101"/>
      <c r="U29" s="94"/>
      <c r="V29" s="95"/>
      <c r="W29" s="104"/>
      <c r="X29" s="103"/>
      <c r="Y29" s="103"/>
      <c r="Z29" s="103"/>
      <c r="AA29" s="99"/>
    </row>
    <row r="30" spans="2:29" ht="3" customHeight="1" x14ac:dyDescent="0.25">
      <c r="B30" s="96"/>
      <c r="C30" s="3"/>
      <c r="F30" s="2"/>
      <c r="G30" s="3"/>
      <c r="H30" s="2"/>
      <c r="K30" s="3"/>
      <c r="L30" s="2"/>
      <c r="M30" s="3"/>
      <c r="Q30" s="2"/>
      <c r="R30" s="105"/>
      <c r="S30" s="101"/>
      <c r="U30" s="94"/>
      <c r="V30" s="95"/>
      <c r="W30" s="104"/>
      <c r="X30" s="103"/>
      <c r="Y30" s="103"/>
      <c r="Z30" s="103"/>
      <c r="AA30" s="99"/>
    </row>
    <row r="31" spans="2:29" ht="15" customHeight="1" x14ac:dyDescent="0.25">
      <c r="B31" s="96"/>
      <c r="C31" s="3"/>
      <c r="G31" s="18"/>
      <c r="H31" s="13" t="str">
        <f>IF(I31="","",IF(I31=0,"","L="))</f>
        <v/>
      </c>
      <c r="I31" s="97"/>
      <c r="J31" s="97"/>
      <c r="K31" s="14" t="str">
        <f>IF(I31="","",IF(I31=0,"","m"))</f>
        <v/>
      </c>
      <c r="N31" s="13" t="str">
        <f>IF(O31="","",IF(O31=0,"","L="))</f>
        <v/>
      </c>
      <c r="O31" s="97"/>
      <c r="P31" s="97"/>
      <c r="Q31" s="24" t="str">
        <f>IF(O31="","",IF(O31=0,"","m"))</f>
        <v/>
      </c>
      <c r="R31" s="105"/>
      <c r="S31" s="101"/>
      <c r="U31" s="94"/>
      <c r="V31" s="95"/>
      <c r="W31" s="104"/>
      <c r="X31" s="103"/>
      <c r="Y31" s="103"/>
      <c r="Z31" s="103"/>
      <c r="AA31" s="99"/>
      <c r="AC31" s="1">
        <f>IF(U26="",0,IF(U26&gt;SUM(W26:AA31),U26-SUM(W26:AA31),0))</f>
        <v>0</v>
      </c>
    </row>
    <row r="32" spans="2:29" ht="6" customHeight="1" x14ac:dyDescent="0.2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7"/>
      <c r="R32" s="16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2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0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25">
      <c r="B34" s="96" t="str">
        <f>IF(S34="","",IF(B26="","",1+B26))</f>
        <v/>
      </c>
      <c r="C34" s="3"/>
      <c r="E34" s="13" t="str">
        <f>IF(F34="","",IF(F34=0,"","L="))</f>
        <v/>
      </c>
      <c r="F34" s="97"/>
      <c r="G34" s="97"/>
      <c r="H34" s="14" t="str">
        <f>IF(F34="","",IF(F34=0,"","m"))</f>
        <v/>
      </c>
      <c r="K34" s="13" t="str">
        <f>IF(L34="","",IF(L34=0,"","L="))</f>
        <v/>
      </c>
      <c r="L34" s="97"/>
      <c r="M34" s="97"/>
      <c r="N34" s="14" t="str">
        <f>IF(L34="","",IF(L34=0,"","m"))</f>
        <v/>
      </c>
      <c r="Q34" s="2"/>
      <c r="R34" s="106" t="str">
        <f>IF(OR(S34="入力ｴﾗｰ",S34=0,S34="")=TRUE,"",IF(F34="","甲",IF(F34=0,"甲","")))</f>
        <v/>
      </c>
      <c r="S34" s="101" t="str">
        <f>IF((F34+I39+L34+O39)=0,"",IF((F34+I39+L34+O39)&gt;SUM($AC$1:$AC$3),"入力ｴﾗｰ",SUM($AC$1:$AC$3)-(F34+I39+L34+O39)))</f>
        <v/>
      </c>
      <c r="T34" s="102" t="str">
        <f>IF(S34="","",IF(S34="入力ｴﾗｰ","","m"))</f>
        <v/>
      </c>
      <c r="U34" s="94" t="str">
        <f>IF(B34="","",COUNT(F34,I39,L34,O39)-IF(S34=0,1,0)-V34)</f>
        <v/>
      </c>
      <c r="V34" s="95"/>
      <c r="W34" s="104"/>
      <c r="X34" s="103"/>
      <c r="Y34" s="103"/>
      <c r="Z34" s="103"/>
      <c r="AA34" s="99"/>
    </row>
    <row r="35" spans="2:29" ht="3" customHeight="1" x14ac:dyDescent="0.25">
      <c r="B35" s="96"/>
      <c r="C35" s="3"/>
      <c r="G35" s="3"/>
      <c r="H35" s="2"/>
      <c r="K35" s="3"/>
      <c r="L35" s="2"/>
      <c r="M35" s="3"/>
      <c r="Q35" s="2"/>
      <c r="R35" s="106"/>
      <c r="S35" s="101"/>
      <c r="T35" s="102"/>
      <c r="U35" s="94"/>
      <c r="V35" s="95"/>
      <c r="W35" s="104"/>
      <c r="X35" s="103"/>
      <c r="Y35" s="103"/>
      <c r="Z35" s="103"/>
      <c r="AA35" s="99"/>
    </row>
    <row r="36" spans="2:29" ht="3" customHeight="1" x14ac:dyDescent="0.25">
      <c r="B36" s="96"/>
      <c r="C36" s="3"/>
      <c r="G36" s="3"/>
      <c r="H36" s="2"/>
      <c r="K36" s="3"/>
      <c r="L36" s="2"/>
      <c r="M36" s="5"/>
      <c r="N36" s="4"/>
      <c r="Q36" s="2"/>
      <c r="R36" s="106"/>
      <c r="S36" s="101"/>
      <c r="T36" s="102"/>
      <c r="U36" s="94"/>
      <c r="V36" s="95"/>
      <c r="W36" s="104"/>
      <c r="X36" s="103"/>
      <c r="Y36" s="103"/>
      <c r="Z36" s="103"/>
      <c r="AA36" s="99"/>
    </row>
    <row r="37" spans="2:29" ht="3" customHeight="1" x14ac:dyDescent="0.25">
      <c r="B37" s="96"/>
      <c r="C37" s="3"/>
      <c r="E37" s="6"/>
      <c r="F37" s="6"/>
      <c r="G37" s="7"/>
      <c r="H37" s="8"/>
      <c r="I37" s="7"/>
      <c r="J37" s="8"/>
      <c r="K37" s="7"/>
      <c r="L37" s="8"/>
      <c r="M37" s="7"/>
      <c r="N37" s="6"/>
      <c r="Q37" s="2"/>
      <c r="R37" s="105" t="str">
        <f>IF(R34="甲","",IF(OR(S34=0,S34="")=TRUE,"",IF(S34="入力ｴﾗｰ","","乙")))</f>
        <v/>
      </c>
      <c r="S37" s="101"/>
      <c r="U37" s="94"/>
      <c r="V37" s="95"/>
      <c r="W37" s="104"/>
      <c r="X37" s="103"/>
      <c r="Y37" s="103"/>
      <c r="Z37" s="103"/>
      <c r="AA37" s="99"/>
    </row>
    <row r="38" spans="2:29" ht="3" customHeight="1" x14ac:dyDescent="0.25">
      <c r="B38" s="96"/>
      <c r="C38" s="3"/>
      <c r="F38" s="2"/>
      <c r="G38" s="3"/>
      <c r="H38" s="2"/>
      <c r="K38" s="3"/>
      <c r="L38" s="2"/>
      <c r="M38" s="3"/>
      <c r="Q38" s="2"/>
      <c r="R38" s="105"/>
      <c r="S38" s="101"/>
      <c r="U38" s="94"/>
      <c r="V38" s="95"/>
      <c r="W38" s="104"/>
      <c r="X38" s="103"/>
      <c r="Y38" s="103"/>
      <c r="Z38" s="103"/>
      <c r="AA38" s="99"/>
    </row>
    <row r="39" spans="2:29" ht="15" customHeight="1" x14ac:dyDescent="0.25">
      <c r="B39" s="96"/>
      <c r="C39" s="3"/>
      <c r="G39" s="18"/>
      <c r="H39" s="13" t="str">
        <f>IF(I39="","",IF(I39=0,"","L="))</f>
        <v/>
      </c>
      <c r="I39" s="97"/>
      <c r="J39" s="97"/>
      <c r="K39" s="14" t="str">
        <f>IF(I39="","",IF(I39=0,"","m"))</f>
        <v/>
      </c>
      <c r="N39" s="13" t="str">
        <f>IF(O39="","",IF(O39=0,"","L="))</f>
        <v/>
      </c>
      <c r="O39" s="97"/>
      <c r="P39" s="97"/>
      <c r="Q39" s="24" t="str">
        <f>IF(O39="","",IF(O39=0,"","m"))</f>
        <v/>
      </c>
      <c r="R39" s="105"/>
      <c r="S39" s="101"/>
      <c r="U39" s="94"/>
      <c r="V39" s="95"/>
      <c r="W39" s="104"/>
      <c r="X39" s="103"/>
      <c r="Y39" s="103"/>
      <c r="Z39" s="103"/>
      <c r="AA39" s="99"/>
      <c r="AC39" s="1">
        <f>IF(U34="",0,IF(U34&gt;SUM(W34:AA39),U34-SUM(W34:AA39),0))</f>
        <v>0</v>
      </c>
    </row>
    <row r="40" spans="2:29" ht="6" customHeight="1" x14ac:dyDescent="0.2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/>
      <c r="R40" s="16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2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0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25">
      <c r="B42" s="96" t="str">
        <f>IF(S42="","",IF(B34="","",1+B34))</f>
        <v/>
      </c>
      <c r="C42" s="3"/>
      <c r="E42" s="13" t="str">
        <f>IF(F42="","",IF(F42=0,"","L="))</f>
        <v/>
      </c>
      <c r="F42" s="97"/>
      <c r="G42" s="97"/>
      <c r="H42" s="14" t="str">
        <f>IF(F42="","",IF(F42=0,"","m"))</f>
        <v/>
      </c>
      <c r="K42" s="13" t="str">
        <f>IF(L42="","",IF(L42=0,"","L="))</f>
        <v/>
      </c>
      <c r="L42" s="97"/>
      <c r="M42" s="97"/>
      <c r="N42" s="14" t="str">
        <f>IF(L42="","",IF(L42=0,"","m"))</f>
        <v/>
      </c>
      <c r="Q42" s="2"/>
      <c r="R42" s="106" t="str">
        <f>IF(OR(S42="入力ｴﾗｰ",S42=0,S42="")=TRUE,"",IF(F42="","甲",IF(F42=0,"甲","")))</f>
        <v/>
      </c>
      <c r="S42" s="101" t="str">
        <f>IF((F42+I47+L42+O47)=0,"",IF((F42+I47+L42+O47)&gt;SUM($AC$1:$AC$3),"入力ｴﾗｰ",SUM($AC$1:$AC$3)-(F42+I47+L42+O47)))</f>
        <v/>
      </c>
      <c r="T42" s="102" t="str">
        <f>IF(S42="","",IF(S42="入力ｴﾗｰ","","m"))</f>
        <v/>
      </c>
      <c r="U42" s="94" t="str">
        <f>IF(B42="","",COUNT(F42,I47,L42,O47)-IF(S42=0,1,0)-V42)</f>
        <v/>
      </c>
      <c r="V42" s="95"/>
      <c r="W42" s="104"/>
      <c r="X42" s="103"/>
      <c r="Y42" s="103"/>
      <c r="Z42" s="103"/>
      <c r="AA42" s="99"/>
    </row>
    <row r="43" spans="2:29" ht="3" customHeight="1" x14ac:dyDescent="0.25">
      <c r="B43" s="96"/>
      <c r="C43" s="3"/>
      <c r="G43" s="3"/>
      <c r="H43" s="2"/>
      <c r="K43" s="3"/>
      <c r="L43" s="2"/>
      <c r="M43" s="3"/>
      <c r="Q43" s="2"/>
      <c r="R43" s="106"/>
      <c r="S43" s="101"/>
      <c r="T43" s="102"/>
      <c r="U43" s="94"/>
      <c r="V43" s="95"/>
      <c r="W43" s="104"/>
      <c r="X43" s="103"/>
      <c r="Y43" s="103"/>
      <c r="Z43" s="103"/>
      <c r="AA43" s="99"/>
    </row>
    <row r="44" spans="2:29" ht="3" customHeight="1" x14ac:dyDescent="0.25">
      <c r="B44" s="96"/>
      <c r="C44" s="3"/>
      <c r="G44" s="3"/>
      <c r="H44" s="2"/>
      <c r="K44" s="3"/>
      <c r="L44" s="2"/>
      <c r="M44" s="5"/>
      <c r="N44" s="4"/>
      <c r="Q44" s="2"/>
      <c r="R44" s="106"/>
      <c r="S44" s="101"/>
      <c r="T44" s="102"/>
      <c r="U44" s="94"/>
      <c r="V44" s="95"/>
      <c r="W44" s="104"/>
      <c r="X44" s="103"/>
      <c r="Y44" s="103"/>
      <c r="Z44" s="103"/>
      <c r="AA44" s="99"/>
    </row>
    <row r="45" spans="2:29" ht="3" customHeight="1" x14ac:dyDescent="0.25">
      <c r="B45" s="96"/>
      <c r="C45" s="3"/>
      <c r="E45" s="6"/>
      <c r="F45" s="6"/>
      <c r="G45" s="7"/>
      <c r="H45" s="8"/>
      <c r="I45" s="7"/>
      <c r="J45" s="8"/>
      <c r="K45" s="7"/>
      <c r="L45" s="8"/>
      <c r="M45" s="7"/>
      <c r="N45" s="6"/>
      <c r="Q45" s="2"/>
      <c r="R45" s="105" t="str">
        <f>IF(R42="甲","",IF(OR(S42=0,S42="")=TRUE,"",IF(S42="入力ｴﾗｰ","","乙")))</f>
        <v/>
      </c>
      <c r="S45" s="101"/>
      <c r="U45" s="94"/>
      <c r="V45" s="95"/>
      <c r="W45" s="104"/>
      <c r="X45" s="103"/>
      <c r="Y45" s="103"/>
      <c r="Z45" s="103"/>
      <c r="AA45" s="99"/>
    </row>
    <row r="46" spans="2:29" ht="3" customHeight="1" x14ac:dyDescent="0.25">
      <c r="B46" s="96"/>
      <c r="C46" s="3"/>
      <c r="F46" s="2"/>
      <c r="G46" s="3"/>
      <c r="H46" s="2"/>
      <c r="K46" s="3"/>
      <c r="L46" s="2"/>
      <c r="M46" s="3"/>
      <c r="Q46" s="2"/>
      <c r="R46" s="105"/>
      <c r="S46" s="101"/>
      <c r="U46" s="94"/>
      <c r="V46" s="95"/>
      <c r="W46" s="104"/>
      <c r="X46" s="103"/>
      <c r="Y46" s="103"/>
      <c r="Z46" s="103"/>
      <c r="AA46" s="99"/>
    </row>
    <row r="47" spans="2:29" ht="15" customHeight="1" x14ac:dyDescent="0.25">
      <c r="B47" s="96"/>
      <c r="C47" s="3"/>
      <c r="G47" s="18"/>
      <c r="H47" s="13" t="str">
        <f>IF(I47="","",IF(I47=0,"","L="))</f>
        <v/>
      </c>
      <c r="I47" s="97"/>
      <c r="J47" s="97"/>
      <c r="K47" s="14" t="str">
        <f>IF(I47="","",IF(I47=0,"","m"))</f>
        <v/>
      </c>
      <c r="N47" s="13" t="str">
        <f>IF(O47="","",IF(O47=0,"","L="))</f>
        <v/>
      </c>
      <c r="O47" s="97"/>
      <c r="P47" s="97"/>
      <c r="Q47" s="24" t="str">
        <f>IF(O47="","",IF(O47=0,"","m"))</f>
        <v/>
      </c>
      <c r="R47" s="105"/>
      <c r="S47" s="101"/>
      <c r="U47" s="94"/>
      <c r="V47" s="95"/>
      <c r="W47" s="104"/>
      <c r="X47" s="103"/>
      <c r="Y47" s="103"/>
      <c r="Z47" s="103"/>
      <c r="AA47" s="99"/>
      <c r="AC47" s="1">
        <f>IF(U42="",0,IF(U42&gt;SUM(W42:AA47),U42-SUM(W42:AA47),0))</f>
        <v>0</v>
      </c>
    </row>
    <row r="48" spans="2:29" ht="6" customHeight="1" x14ac:dyDescent="0.2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  <c r="R48" s="16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2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0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25">
      <c r="B50" s="96" t="str">
        <f>IF(S50="","",IF(B42="","",1+B42))</f>
        <v/>
      </c>
      <c r="C50" s="3"/>
      <c r="E50" s="13" t="str">
        <f>IF(F50="","",IF(F50=0,"","L="))</f>
        <v/>
      </c>
      <c r="F50" s="97"/>
      <c r="G50" s="97"/>
      <c r="H50" s="14" t="str">
        <f>IF(F50="","",IF(F50=0,"","m"))</f>
        <v/>
      </c>
      <c r="K50" s="13" t="str">
        <f>IF(L50="","",IF(L50=0,"","L="))</f>
        <v/>
      </c>
      <c r="L50" s="97"/>
      <c r="M50" s="97"/>
      <c r="N50" s="14" t="str">
        <f>IF(L50="","",IF(L50=0,"","m"))</f>
        <v/>
      </c>
      <c r="Q50" s="2"/>
      <c r="R50" s="106" t="str">
        <f>IF(OR(S50="入力ｴﾗｰ",S50=0,S50="")=TRUE,"",IF(F50="","甲",IF(F50=0,"甲","")))</f>
        <v/>
      </c>
      <c r="S50" s="101" t="str">
        <f>IF((F50+I55+L50+O55)=0,"",IF((F50+I55+L50+O55)&gt;SUM($AC$1:$AC$3),"入力ｴﾗｰ",SUM($AC$1:$AC$3)-(F50+I55+L50+O55)))</f>
        <v/>
      </c>
      <c r="T50" s="102" t="str">
        <f>IF(S50="","",IF(S50="入力ｴﾗｰ","","m"))</f>
        <v/>
      </c>
      <c r="U50" s="94" t="str">
        <f>IF(B50="","",COUNT(F50,I55,L50,O55)-IF(S50=0,1,0)-V50)</f>
        <v/>
      </c>
      <c r="V50" s="95"/>
      <c r="W50" s="104"/>
      <c r="X50" s="103"/>
      <c r="Y50" s="103"/>
      <c r="Z50" s="103"/>
      <c r="AA50" s="99"/>
    </row>
    <row r="51" spans="2:29" ht="3" customHeight="1" x14ac:dyDescent="0.25">
      <c r="B51" s="96"/>
      <c r="C51" s="3"/>
      <c r="G51" s="3"/>
      <c r="H51" s="2"/>
      <c r="K51" s="3"/>
      <c r="L51" s="2"/>
      <c r="M51" s="3"/>
      <c r="Q51" s="2"/>
      <c r="R51" s="106"/>
      <c r="S51" s="101"/>
      <c r="T51" s="102"/>
      <c r="U51" s="94"/>
      <c r="V51" s="95"/>
      <c r="W51" s="104"/>
      <c r="X51" s="103"/>
      <c r="Y51" s="103"/>
      <c r="Z51" s="103"/>
      <c r="AA51" s="99"/>
    </row>
    <row r="52" spans="2:29" ht="3" customHeight="1" x14ac:dyDescent="0.25">
      <c r="B52" s="96"/>
      <c r="C52" s="3"/>
      <c r="G52" s="3"/>
      <c r="H52" s="2"/>
      <c r="K52" s="3"/>
      <c r="L52" s="2"/>
      <c r="M52" s="5"/>
      <c r="N52" s="4"/>
      <c r="Q52" s="2"/>
      <c r="R52" s="106"/>
      <c r="S52" s="101"/>
      <c r="T52" s="102"/>
      <c r="U52" s="94"/>
      <c r="V52" s="95"/>
      <c r="W52" s="104"/>
      <c r="X52" s="103"/>
      <c r="Y52" s="103"/>
      <c r="Z52" s="103"/>
      <c r="AA52" s="99"/>
    </row>
    <row r="53" spans="2:29" ht="3" customHeight="1" x14ac:dyDescent="0.25">
      <c r="B53" s="96"/>
      <c r="C53" s="3"/>
      <c r="E53" s="6"/>
      <c r="F53" s="6"/>
      <c r="G53" s="7"/>
      <c r="H53" s="8"/>
      <c r="I53" s="7"/>
      <c r="J53" s="8"/>
      <c r="K53" s="7"/>
      <c r="L53" s="8"/>
      <c r="M53" s="7"/>
      <c r="N53" s="6"/>
      <c r="Q53" s="2"/>
      <c r="R53" s="105" t="str">
        <f>IF(R50="甲","",IF(OR(S50=0,S50="")=TRUE,"",IF(S50="入力ｴﾗｰ","","乙")))</f>
        <v/>
      </c>
      <c r="S53" s="101"/>
      <c r="U53" s="94"/>
      <c r="V53" s="95"/>
      <c r="W53" s="104"/>
      <c r="X53" s="103"/>
      <c r="Y53" s="103"/>
      <c r="Z53" s="103"/>
      <c r="AA53" s="99"/>
    </row>
    <row r="54" spans="2:29" ht="3" customHeight="1" x14ac:dyDescent="0.25">
      <c r="B54" s="96"/>
      <c r="C54" s="3"/>
      <c r="F54" s="2"/>
      <c r="G54" s="3"/>
      <c r="H54" s="2"/>
      <c r="K54" s="3"/>
      <c r="L54" s="2"/>
      <c r="M54" s="3"/>
      <c r="Q54" s="2"/>
      <c r="R54" s="105"/>
      <c r="S54" s="101"/>
      <c r="U54" s="94"/>
      <c r="V54" s="95"/>
      <c r="W54" s="104"/>
      <c r="X54" s="103"/>
      <c r="Y54" s="103"/>
      <c r="Z54" s="103"/>
      <c r="AA54" s="99"/>
    </row>
    <row r="55" spans="2:29" ht="15" customHeight="1" x14ac:dyDescent="0.25">
      <c r="B55" s="96"/>
      <c r="C55" s="3"/>
      <c r="G55" s="18"/>
      <c r="H55" s="13" t="str">
        <f>IF(I55="","",IF(I55=0,"","L="))</f>
        <v/>
      </c>
      <c r="I55" s="97"/>
      <c r="J55" s="97"/>
      <c r="K55" s="14" t="str">
        <f>IF(I55="","",IF(I55=0,"","m"))</f>
        <v/>
      </c>
      <c r="N55" s="13" t="str">
        <f>IF(O55="","",IF(O55=0,"","L="))</f>
        <v/>
      </c>
      <c r="O55" s="97"/>
      <c r="P55" s="97"/>
      <c r="Q55" s="24" t="str">
        <f>IF(O55="","",IF(O55=0,"","m"))</f>
        <v/>
      </c>
      <c r="R55" s="105"/>
      <c r="S55" s="101"/>
      <c r="U55" s="94"/>
      <c r="V55" s="95"/>
      <c r="W55" s="104"/>
      <c r="X55" s="103"/>
      <c r="Y55" s="103"/>
      <c r="Z55" s="103"/>
      <c r="AA55" s="99"/>
      <c r="AC55" s="1">
        <f>IF(U50="",0,IF(U50&gt;SUM(W50:AA55),U50-SUM(W50:AA55),0))</f>
        <v>0</v>
      </c>
    </row>
    <row r="56" spans="2:29" ht="6" customHeight="1" x14ac:dyDescent="0.2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7"/>
      <c r="R56" s="16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2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1"/>
      <c r="R57" s="10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25">
      <c r="B58" s="96" t="str">
        <f>IF(S58="","",IF(B50="","",1+B50))</f>
        <v/>
      </c>
      <c r="C58" s="3"/>
      <c r="E58" s="13" t="str">
        <f>IF(F58="","",IF(F58=0,"","L="))</f>
        <v/>
      </c>
      <c r="F58" s="97"/>
      <c r="G58" s="97"/>
      <c r="H58" s="14" t="str">
        <f>IF(F58="","",IF(F58=0,"","m"))</f>
        <v/>
      </c>
      <c r="K58" s="13" t="str">
        <f>IF(L58="","",IF(L58=0,"","L="))</f>
        <v/>
      </c>
      <c r="L58" s="97"/>
      <c r="M58" s="97"/>
      <c r="N58" s="14" t="str">
        <f>IF(L58="","",IF(L58=0,"","m"))</f>
        <v/>
      </c>
      <c r="Q58" s="2"/>
      <c r="R58" s="106" t="str">
        <f>IF(OR(S58="入力ｴﾗｰ",S58=0,S58="")=TRUE,"",IF(F58="","甲",IF(F58=0,"甲","")))</f>
        <v/>
      </c>
      <c r="S58" s="101" t="str">
        <f>IF((F58+I63+L58+O63)=0,"",IF((F58+I63+L58+O63)&gt;SUM($AC$1:$AC$3),"入力ｴﾗｰ",SUM($AC$1:$AC$3)-(F58+I63+L58+O63)))</f>
        <v/>
      </c>
      <c r="T58" s="102" t="str">
        <f>IF(S58="","",IF(S58="入力ｴﾗｰ","","m"))</f>
        <v/>
      </c>
      <c r="U58" s="94" t="str">
        <f>IF(B58="","",COUNT(F58,I63,L58,O63)-IF(S58=0,1,0)-V58)</f>
        <v/>
      </c>
      <c r="V58" s="95"/>
      <c r="W58" s="104"/>
      <c r="X58" s="103"/>
      <c r="Y58" s="103"/>
      <c r="Z58" s="103"/>
      <c r="AA58" s="99"/>
    </row>
    <row r="59" spans="2:29" ht="3" customHeight="1" x14ac:dyDescent="0.25">
      <c r="B59" s="96"/>
      <c r="C59" s="3"/>
      <c r="G59" s="3"/>
      <c r="H59" s="2"/>
      <c r="K59" s="3"/>
      <c r="L59" s="2"/>
      <c r="M59" s="3"/>
      <c r="Q59" s="2"/>
      <c r="R59" s="106"/>
      <c r="S59" s="101"/>
      <c r="T59" s="102"/>
      <c r="U59" s="94"/>
      <c r="V59" s="95"/>
      <c r="W59" s="104"/>
      <c r="X59" s="103"/>
      <c r="Y59" s="103"/>
      <c r="Z59" s="103"/>
      <c r="AA59" s="99"/>
    </row>
    <row r="60" spans="2:29" ht="3" customHeight="1" x14ac:dyDescent="0.25">
      <c r="B60" s="96"/>
      <c r="C60" s="3"/>
      <c r="G60" s="3"/>
      <c r="H60" s="2"/>
      <c r="K60" s="3"/>
      <c r="L60" s="2"/>
      <c r="M60" s="5"/>
      <c r="N60" s="4"/>
      <c r="Q60" s="2"/>
      <c r="R60" s="106"/>
      <c r="S60" s="101"/>
      <c r="T60" s="102"/>
      <c r="U60" s="94"/>
      <c r="V60" s="95"/>
      <c r="W60" s="104"/>
      <c r="X60" s="103"/>
      <c r="Y60" s="103"/>
      <c r="Z60" s="103"/>
      <c r="AA60" s="99"/>
    </row>
    <row r="61" spans="2:29" ht="3" customHeight="1" x14ac:dyDescent="0.25">
      <c r="B61" s="96"/>
      <c r="C61" s="3"/>
      <c r="E61" s="6"/>
      <c r="F61" s="6"/>
      <c r="G61" s="7"/>
      <c r="H61" s="8"/>
      <c r="I61" s="7"/>
      <c r="J61" s="8"/>
      <c r="K61" s="7"/>
      <c r="L61" s="8"/>
      <c r="M61" s="7"/>
      <c r="N61" s="6"/>
      <c r="Q61" s="2"/>
      <c r="R61" s="105" t="str">
        <f>IF(R58="甲","",IF(OR(S58=0,S58="")=TRUE,"",IF(S58="入力ｴﾗｰ","","乙")))</f>
        <v/>
      </c>
      <c r="S61" s="101"/>
      <c r="U61" s="94"/>
      <c r="V61" s="95"/>
      <c r="W61" s="104"/>
      <c r="X61" s="103"/>
      <c r="Y61" s="103"/>
      <c r="Z61" s="103"/>
      <c r="AA61" s="99"/>
    </row>
    <row r="62" spans="2:29" ht="3" customHeight="1" x14ac:dyDescent="0.25">
      <c r="B62" s="96"/>
      <c r="C62" s="3"/>
      <c r="F62" s="2"/>
      <c r="G62" s="3"/>
      <c r="H62" s="2"/>
      <c r="K62" s="3"/>
      <c r="L62" s="2"/>
      <c r="M62" s="3"/>
      <c r="Q62" s="2"/>
      <c r="R62" s="105"/>
      <c r="S62" s="101"/>
      <c r="U62" s="94"/>
      <c r="V62" s="95"/>
      <c r="W62" s="104"/>
      <c r="X62" s="103"/>
      <c r="Y62" s="103"/>
      <c r="Z62" s="103"/>
      <c r="AA62" s="99"/>
    </row>
    <row r="63" spans="2:29" ht="15" customHeight="1" x14ac:dyDescent="0.25">
      <c r="B63" s="96"/>
      <c r="C63" s="3"/>
      <c r="G63" s="18"/>
      <c r="H63" s="13" t="str">
        <f>IF(I63="","",IF(I63=0,"","L="))</f>
        <v/>
      </c>
      <c r="I63" s="97"/>
      <c r="J63" s="97"/>
      <c r="K63" s="14"/>
      <c r="N63" s="13" t="str">
        <f>IF(O63="","",IF(O63=0,"","L="))</f>
        <v/>
      </c>
      <c r="O63" s="97"/>
      <c r="P63" s="97"/>
      <c r="Q63" s="24" t="str">
        <f>IF(O63="","",IF(O63=0,"","m"))</f>
        <v/>
      </c>
      <c r="R63" s="105"/>
      <c r="S63" s="101"/>
      <c r="U63" s="94"/>
      <c r="V63" s="95"/>
      <c r="W63" s="104"/>
      <c r="X63" s="103"/>
      <c r="Y63" s="103"/>
      <c r="Z63" s="103"/>
      <c r="AA63" s="99"/>
      <c r="AC63" s="1">
        <f>IF(U58="",0,IF(U58&gt;SUM(W58:AA63),U58-SUM(W58:AA63),0))</f>
        <v>0</v>
      </c>
    </row>
    <row r="64" spans="2:29" ht="6" customHeight="1" x14ac:dyDescent="0.2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6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2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1"/>
      <c r="R65" s="10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25">
      <c r="B66" s="96" t="str">
        <f>IF(S66="","",IF(B58="","",1+B58))</f>
        <v/>
      </c>
      <c r="C66" s="3"/>
      <c r="E66" s="13" t="str">
        <f>IF(F66="","",IF(F66=0,"","L="))</f>
        <v/>
      </c>
      <c r="F66" s="97"/>
      <c r="G66" s="97"/>
      <c r="H66" s="14"/>
      <c r="K66" s="13" t="str">
        <f>IF(L66="","",IF(L66=0,"","L="))</f>
        <v/>
      </c>
      <c r="L66" s="97"/>
      <c r="M66" s="97"/>
      <c r="N66" s="14" t="str">
        <f>IF(L66="","",IF(L66=0,"","m"))</f>
        <v/>
      </c>
      <c r="Q66" s="2"/>
      <c r="R66" s="106" t="str">
        <f>IF(OR(S66="入力ｴﾗｰ",S66=0,S66="")=TRUE,"",IF(F66="","甲",IF(F66=0,"甲","")))</f>
        <v/>
      </c>
      <c r="S66" s="101" t="str">
        <f>IF((F66+I71+L66+O71)=0,"",IF((F66+I71+L66+O71)&gt;SUM($AC$1:$AC$3),"入力ｴﾗｰ",SUM($AC$1:$AC$3)-(F66+I71+L66+O71)))</f>
        <v/>
      </c>
      <c r="T66" s="102" t="str">
        <f>IF(S66="","",IF(S66="入力ｴﾗｰ","","m"))</f>
        <v/>
      </c>
      <c r="U66" s="94" t="str">
        <f>IF(B66="","",COUNT(F66,I71,L66,O71)-IF(S66=0,1,0)-V66)</f>
        <v/>
      </c>
      <c r="V66" s="95"/>
      <c r="W66" s="104"/>
      <c r="X66" s="103"/>
      <c r="Y66" s="103"/>
      <c r="Z66" s="103"/>
      <c r="AA66" s="99"/>
    </row>
    <row r="67" spans="2:29" ht="3" customHeight="1" x14ac:dyDescent="0.25">
      <c r="B67" s="96"/>
      <c r="C67" s="3"/>
      <c r="G67" s="3"/>
      <c r="H67" s="2"/>
      <c r="K67" s="3"/>
      <c r="L67" s="2"/>
      <c r="M67" s="3"/>
      <c r="Q67" s="2"/>
      <c r="R67" s="106"/>
      <c r="S67" s="101"/>
      <c r="T67" s="102"/>
      <c r="U67" s="94"/>
      <c r="V67" s="95"/>
      <c r="W67" s="104"/>
      <c r="X67" s="103"/>
      <c r="Y67" s="103"/>
      <c r="Z67" s="103"/>
      <c r="AA67" s="99"/>
    </row>
    <row r="68" spans="2:29" ht="3" customHeight="1" x14ac:dyDescent="0.25">
      <c r="B68" s="96"/>
      <c r="C68" s="3"/>
      <c r="G68" s="3"/>
      <c r="H68" s="2"/>
      <c r="K68" s="3"/>
      <c r="L68" s="2"/>
      <c r="M68" s="5"/>
      <c r="N68" s="4"/>
      <c r="Q68" s="2"/>
      <c r="R68" s="106"/>
      <c r="S68" s="101"/>
      <c r="T68" s="102"/>
      <c r="U68" s="94"/>
      <c r="V68" s="95"/>
      <c r="W68" s="104"/>
      <c r="X68" s="103"/>
      <c r="Y68" s="103"/>
      <c r="Z68" s="103"/>
      <c r="AA68" s="99"/>
    </row>
    <row r="69" spans="2:29" ht="3" customHeight="1" x14ac:dyDescent="0.25">
      <c r="B69" s="96"/>
      <c r="C69" s="3"/>
      <c r="E69" s="6"/>
      <c r="F69" s="6"/>
      <c r="G69" s="7"/>
      <c r="H69" s="8"/>
      <c r="I69" s="7"/>
      <c r="J69" s="8"/>
      <c r="K69" s="7"/>
      <c r="L69" s="8"/>
      <c r="M69" s="7"/>
      <c r="N69" s="6"/>
      <c r="Q69" s="2"/>
      <c r="R69" s="105" t="str">
        <f>IF(R66="甲","",IF(OR(S66=0,S66="")=TRUE,"",IF(S66="入力ｴﾗｰ","","乙")))</f>
        <v/>
      </c>
      <c r="S69" s="101"/>
      <c r="U69" s="94"/>
      <c r="V69" s="95"/>
      <c r="W69" s="104"/>
      <c r="X69" s="103"/>
      <c r="Y69" s="103"/>
      <c r="Z69" s="103"/>
      <c r="AA69" s="99"/>
    </row>
    <row r="70" spans="2:29" ht="3" customHeight="1" x14ac:dyDescent="0.25">
      <c r="B70" s="96"/>
      <c r="C70" s="3"/>
      <c r="F70" s="2"/>
      <c r="G70" s="3"/>
      <c r="H70" s="2"/>
      <c r="K70" s="3"/>
      <c r="L70" s="2"/>
      <c r="M70" s="3"/>
      <c r="Q70" s="2"/>
      <c r="R70" s="105"/>
      <c r="S70" s="101"/>
      <c r="U70" s="94"/>
      <c r="V70" s="95"/>
      <c r="W70" s="104"/>
      <c r="X70" s="103"/>
      <c r="Y70" s="103"/>
      <c r="Z70" s="103"/>
      <c r="AA70" s="99"/>
    </row>
    <row r="71" spans="2:29" ht="15" customHeight="1" x14ac:dyDescent="0.25">
      <c r="B71" s="96"/>
      <c r="C71" s="3"/>
      <c r="G71" s="18"/>
      <c r="H71" s="13" t="str">
        <f>IF(I71="","",IF(I71=0,"","L="))</f>
        <v/>
      </c>
      <c r="I71" s="97"/>
      <c r="J71" s="97"/>
      <c r="K71" s="14"/>
      <c r="N71" s="13" t="str">
        <f>IF(O71="","",IF(O71=0,"","L="))</f>
        <v/>
      </c>
      <c r="O71" s="97"/>
      <c r="P71" s="97"/>
      <c r="Q71" s="24" t="str">
        <f>IF(O71="","",IF(O71=0,"","m"))</f>
        <v/>
      </c>
      <c r="R71" s="105"/>
      <c r="S71" s="101"/>
      <c r="U71" s="94"/>
      <c r="V71" s="95"/>
      <c r="W71" s="104"/>
      <c r="X71" s="103"/>
      <c r="Y71" s="103"/>
      <c r="Z71" s="103"/>
      <c r="AA71" s="99"/>
      <c r="AC71" s="1">
        <f>IF(U66="",0,IF(U66&gt;SUM(W66:AA71),U66-SUM(W66:AA71),0))</f>
        <v>0</v>
      </c>
    </row>
    <row r="72" spans="2:29" ht="6" customHeight="1" x14ac:dyDescent="0.2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/>
      <c r="R72" s="16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2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1"/>
      <c r="R73" s="10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25">
      <c r="B74" s="96" t="str">
        <f>IF(S74="","",IF(B66="","",1+B66))</f>
        <v/>
      </c>
      <c r="C74" s="3"/>
      <c r="E74" s="13" t="str">
        <f>IF(F74="","",IF(F74=0,"","L="))</f>
        <v/>
      </c>
      <c r="F74" s="97"/>
      <c r="G74" s="97"/>
      <c r="H74" s="14"/>
      <c r="K74" s="13" t="str">
        <f>IF(L74="","",IF(L74=0,"","L="))</f>
        <v/>
      </c>
      <c r="L74" s="97"/>
      <c r="M74" s="97"/>
      <c r="N74" s="14" t="str">
        <f>IF(L74="","",IF(L74=0,"","m"))</f>
        <v/>
      </c>
      <c r="Q74" s="2"/>
      <c r="R74" s="106" t="str">
        <f>IF(OR(S74="入力ｴﾗｰ",S74=0,S74="")=TRUE,"",IF(F74="","甲",IF(F74=0,"甲","")))</f>
        <v/>
      </c>
      <c r="S74" s="101" t="str">
        <f>IF((F74+I79+L74+O79)=0,"",IF((F74+I79+L74+O79)&gt;SUM($AC$1:$AC$3),"入力ｴﾗｰ",SUM($AC$1:$AC$3)-(F74+I79+L74+O79)))</f>
        <v/>
      </c>
      <c r="T74" s="102" t="str">
        <f>IF(S74="","",IF(S74="入力ｴﾗｰ","","m"))</f>
        <v/>
      </c>
      <c r="U74" s="94" t="str">
        <f>IF(B74="","",COUNT(F74,I79,L74,O79)-IF(S74=0,1,0)-V74)</f>
        <v/>
      </c>
      <c r="V74" s="95"/>
      <c r="W74" s="104"/>
      <c r="X74" s="103"/>
      <c r="Y74" s="103"/>
      <c r="Z74" s="103"/>
      <c r="AA74" s="99"/>
    </row>
    <row r="75" spans="2:29" ht="3" customHeight="1" x14ac:dyDescent="0.25">
      <c r="B75" s="96"/>
      <c r="C75" s="3"/>
      <c r="G75" s="3"/>
      <c r="H75" s="2"/>
      <c r="K75" s="3"/>
      <c r="L75" s="2"/>
      <c r="M75" s="3"/>
      <c r="Q75" s="2"/>
      <c r="R75" s="106"/>
      <c r="S75" s="101"/>
      <c r="T75" s="102"/>
      <c r="U75" s="94"/>
      <c r="V75" s="95"/>
      <c r="W75" s="104"/>
      <c r="X75" s="103"/>
      <c r="Y75" s="103"/>
      <c r="Z75" s="103"/>
      <c r="AA75" s="99"/>
    </row>
    <row r="76" spans="2:29" ht="3" customHeight="1" x14ac:dyDescent="0.25">
      <c r="B76" s="96"/>
      <c r="C76" s="3"/>
      <c r="G76" s="3"/>
      <c r="H76" s="2"/>
      <c r="K76" s="3"/>
      <c r="L76" s="2"/>
      <c r="M76" s="5"/>
      <c r="N76" s="4"/>
      <c r="Q76" s="2"/>
      <c r="R76" s="106"/>
      <c r="S76" s="101"/>
      <c r="T76" s="102"/>
      <c r="U76" s="94"/>
      <c r="V76" s="95"/>
      <c r="W76" s="104"/>
      <c r="X76" s="103"/>
      <c r="Y76" s="103"/>
      <c r="Z76" s="103"/>
      <c r="AA76" s="99"/>
    </row>
    <row r="77" spans="2:29" ht="3" customHeight="1" x14ac:dyDescent="0.25">
      <c r="B77" s="96"/>
      <c r="C77" s="3"/>
      <c r="E77" s="6"/>
      <c r="F77" s="6"/>
      <c r="G77" s="7"/>
      <c r="H77" s="8"/>
      <c r="I77" s="7"/>
      <c r="J77" s="8"/>
      <c r="K77" s="7"/>
      <c r="L77" s="8"/>
      <c r="M77" s="7"/>
      <c r="N77" s="6"/>
      <c r="Q77" s="2"/>
      <c r="R77" s="105" t="str">
        <f>IF(R74="甲","",IF(OR(S74=0,S74="")=TRUE,"",IF(S74="入力ｴﾗｰ","","乙")))</f>
        <v/>
      </c>
      <c r="S77" s="101"/>
      <c r="U77" s="94"/>
      <c r="V77" s="95"/>
      <c r="W77" s="104"/>
      <c r="X77" s="103"/>
      <c r="Y77" s="103"/>
      <c r="Z77" s="103"/>
      <c r="AA77" s="99"/>
    </row>
    <row r="78" spans="2:29" ht="3" customHeight="1" x14ac:dyDescent="0.25">
      <c r="B78" s="96"/>
      <c r="C78" s="3"/>
      <c r="F78" s="2"/>
      <c r="G78" s="3"/>
      <c r="H78" s="2"/>
      <c r="J78" s="2"/>
      <c r="K78" s="3"/>
      <c r="L78" s="2"/>
      <c r="M78" s="3"/>
      <c r="Q78" s="2"/>
      <c r="R78" s="105"/>
      <c r="S78" s="101"/>
      <c r="U78" s="94"/>
      <c r="V78" s="95"/>
      <c r="W78" s="104"/>
      <c r="X78" s="103"/>
      <c r="Y78" s="103"/>
      <c r="Z78" s="103"/>
      <c r="AA78" s="99"/>
    </row>
    <row r="79" spans="2:29" ht="15" customHeight="1" x14ac:dyDescent="0.25">
      <c r="B79" s="96"/>
      <c r="C79" s="3"/>
      <c r="G79" s="18"/>
      <c r="H79" s="13" t="str">
        <f>IF(I79="","",IF(I79=0,"","L="))</f>
        <v/>
      </c>
      <c r="I79" s="97"/>
      <c r="J79" s="97"/>
      <c r="K79" s="14"/>
      <c r="N79" s="13" t="str">
        <f>IF(O79="","",IF(O79=0,"","L="))</f>
        <v/>
      </c>
      <c r="O79" s="97"/>
      <c r="P79" s="97"/>
      <c r="Q79" s="24" t="str">
        <f>IF(O79="","",IF(O79=0,"","m"))</f>
        <v/>
      </c>
      <c r="R79" s="105"/>
      <c r="S79" s="101"/>
      <c r="U79" s="94"/>
      <c r="V79" s="95"/>
      <c r="W79" s="104"/>
      <c r="X79" s="103"/>
      <c r="Y79" s="103"/>
      <c r="Z79" s="103"/>
      <c r="AA79" s="99"/>
      <c r="AC79" s="1">
        <f>IF(U74="",0,IF(U74&gt;SUM(W74:AA79),U74-SUM(W74:AA79),0))</f>
        <v>0</v>
      </c>
    </row>
    <row r="80" spans="2:29" ht="6" customHeight="1" x14ac:dyDescent="0.2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7"/>
      <c r="R80" s="16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2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1"/>
      <c r="R81" s="10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25">
      <c r="B82" s="96" t="str">
        <f>IF(S82="","",IF(B74="","",1+B74))</f>
        <v/>
      </c>
      <c r="C82" s="3"/>
      <c r="E82" s="13" t="str">
        <f>IF(F82="","",IF(F82=0,"","L="))</f>
        <v/>
      </c>
      <c r="F82" s="97"/>
      <c r="G82" s="97"/>
      <c r="H82" s="14"/>
      <c r="K82" s="13" t="str">
        <f>IF(L82="","",IF(L82=0,"","L="))</f>
        <v/>
      </c>
      <c r="L82" s="97"/>
      <c r="M82" s="97"/>
      <c r="N82" s="14" t="str">
        <f>IF(L82="","",IF(L82=0,"","m"))</f>
        <v/>
      </c>
      <c r="Q82" s="2"/>
      <c r="R82" s="106" t="str">
        <f>IF(OR(S82="入力ｴﾗｰ",S82=0,S82="")=TRUE,"",IF(F82="","甲",IF(F82=0,"甲","")))</f>
        <v/>
      </c>
      <c r="S82" s="101" t="str">
        <f>IF((F82+I87+L82+O87)=0,"",IF((F82+I87+L82+O87)&gt;SUM($AC$1:$AC$3),"入力ｴﾗｰ",SUM($AC$1:$AC$3)-(F82+I87+L82+O87)))</f>
        <v/>
      </c>
      <c r="T82" s="102" t="str">
        <f>IF(S82="","",IF(S82="入力ｴﾗｰ","","m"))</f>
        <v/>
      </c>
      <c r="U82" s="94" t="str">
        <f>IF(B82="","",COUNT(F82,I87,L82,O87)-IF(S82=0,1,0)-V82)</f>
        <v/>
      </c>
      <c r="V82" s="95"/>
      <c r="W82" s="104"/>
      <c r="X82" s="103"/>
      <c r="Y82" s="103"/>
      <c r="Z82" s="103"/>
      <c r="AA82" s="99"/>
    </row>
    <row r="83" spans="2:29" ht="3" customHeight="1" x14ac:dyDescent="0.25">
      <c r="B83" s="96"/>
      <c r="C83" s="3"/>
      <c r="G83" s="3"/>
      <c r="H83" s="2"/>
      <c r="K83" s="3"/>
      <c r="L83" s="2"/>
      <c r="M83" s="3"/>
      <c r="Q83" s="2"/>
      <c r="R83" s="106"/>
      <c r="S83" s="101"/>
      <c r="T83" s="102"/>
      <c r="U83" s="94"/>
      <c r="V83" s="95"/>
      <c r="W83" s="104"/>
      <c r="X83" s="103"/>
      <c r="Y83" s="103"/>
      <c r="Z83" s="103"/>
      <c r="AA83" s="99"/>
    </row>
    <row r="84" spans="2:29" ht="3" customHeight="1" x14ac:dyDescent="0.25">
      <c r="B84" s="96"/>
      <c r="C84" s="3"/>
      <c r="G84" s="3"/>
      <c r="H84" s="2"/>
      <c r="K84" s="3"/>
      <c r="L84" s="2"/>
      <c r="M84" s="5"/>
      <c r="N84" s="4"/>
      <c r="Q84" s="2"/>
      <c r="R84" s="106"/>
      <c r="S84" s="101"/>
      <c r="T84" s="102"/>
      <c r="U84" s="94"/>
      <c r="V84" s="95"/>
      <c r="W84" s="104"/>
      <c r="X84" s="103"/>
      <c r="Y84" s="103"/>
      <c r="Z84" s="103"/>
      <c r="AA84" s="99"/>
    </row>
    <row r="85" spans="2:29" ht="3" customHeight="1" x14ac:dyDescent="0.25">
      <c r="B85" s="96"/>
      <c r="C85" s="3"/>
      <c r="E85" s="6"/>
      <c r="F85" s="6"/>
      <c r="G85" s="7"/>
      <c r="H85" s="8"/>
      <c r="I85" s="7"/>
      <c r="J85" s="8"/>
      <c r="K85" s="7"/>
      <c r="L85" s="8"/>
      <c r="M85" s="7"/>
      <c r="N85" s="6"/>
      <c r="Q85" s="2"/>
      <c r="R85" s="105" t="str">
        <f>IF(R82="甲","",IF(OR(S82=0,S82="")=TRUE,"",IF(S82="入力ｴﾗｰ","","乙")))</f>
        <v/>
      </c>
      <c r="S85" s="101"/>
      <c r="U85" s="94"/>
      <c r="V85" s="95"/>
      <c r="W85" s="104"/>
      <c r="X85" s="103"/>
      <c r="Y85" s="103"/>
      <c r="Z85" s="103"/>
      <c r="AA85" s="99"/>
    </row>
    <row r="86" spans="2:29" ht="3" customHeight="1" x14ac:dyDescent="0.25">
      <c r="B86" s="96"/>
      <c r="C86" s="3"/>
      <c r="F86" s="2"/>
      <c r="G86" s="3"/>
      <c r="H86" s="2"/>
      <c r="K86" s="3"/>
      <c r="L86" s="2"/>
      <c r="M86" s="3"/>
      <c r="Q86" s="2"/>
      <c r="R86" s="105"/>
      <c r="S86" s="101"/>
      <c r="U86" s="94"/>
      <c r="V86" s="95"/>
      <c r="W86" s="104"/>
      <c r="X86" s="103"/>
      <c r="Y86" s="103"/>
      <c r="Z86" s="103"/>
      <c r="AA86" s="99"/>
    </row>
    <row r="87" spans="2:29" ht="15" customHeight="1" x14ac:dyDescent="0.25">
      <c r="B87" s="96"/>
      <c r="C87" s="3"/>
      <c r="G87" s="18"/>
      <c r="H87" s="13" t="str">
        <f>IF(I87="","",IF(I87=0,"","L="))</f>
        <v/>
      </c>
      <c r="I87" s="97"/>
      <c r="J87" s="97"/>
      <c r="K87" s="14"/>
      <c r="N87" s="13" t="str">
        <f>IF(O87="","",IF(O87=0,"","L="))</f>
        <v/>
      </c>
      <c r="O87" s="97"/>
      <c r="P87" s="97"/>
      <c r="Q87" s="24" t="str">
        <f>IF(O87="","",IF(O87=0,"","m"))</f>
        <v/>
      </c>
      <c r="R87" s="105"/>
      <c r="S87" s="101"/>
      <c r="U87" s="94"/>
      <c r="V87" s="95"/>
      <c r="W87" s="104"/>
      <c r="X87" s="103"/>
      <c r="Y87" s="103"/>
      <c r="Z87" s="103"/>
      <c r="AA87" s="99"/>
      <c r="AC87" s="1">
        <f>IF(U82="",0,IF(U82&gt;SUM(W82:AA87),U82-SUM(W82:AA87),0))</f>
        <v>0</v>
      </c>
    </row>
    <row r="88" spans="2:29" ht="6" customHeight="1" x14ac:dyDescent="0.2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/>
      <c r="R88" s="16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2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1"/>
      <c r="R89" s="10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25">
      <c r="B90" s="96" t="str">
        <f>IF(S90="","",IF(B82="","",1+B82))</f>
        <v/>
      </c>
      <c r="C90" s="3"/>
      <c r="E90" s="13" t="str">
        <f>IF(F90="","",IF(F90=0,"","L="))</f>
        <v/>
      </c>
      <c r="F90" s="97"/>
      <c r="G90" s="97"/>
      <c r="H90" s="14"/>
      <c r="K90" s="13" t="str">
        <f>IF(L90="","",IF(L90=0,"","L="))</f>
        <v/>
      </c>
      <c r="L90" s="97"/>
      <c r="M90" s="97"/>
      <c r="N90" s="14" t="str">
        <f>IF(L90="","",IF(L90=0,"","m"))</f>
        <v/>
      </c>
      <c r="Q90" s="2"/>
      <c r="R90" s="106" t="str">
        <f>IF(OR(S90="入力ｴﾗｰ",S90=0,S90="")=TRUE,"",IF(F90="","甲",IF(F90=0,"甲","")))</f>
        <v/>
      </c>
      <c r="S90" s="101" t="str">
        <f>IF((F90+I95+L90+O95)=0,"",IF((F90+I95+L90+O95)&gt;SUM($AC$1:$AC$3),"入力ｴﾗｰ",SUM($AC$1:$AC$3)-(F90+I95+L90+O95)))</f>
        <v/>
      </c>
      <c r="T90" s="102" t="str">
        <f>IF(S90="","",IF(S90="入力ｴﾗｰ","","m"))</f>
        <v/>
      </c>
      <c r="U90" s="94" t="str">
        <f>IF(B90="","",COUNT(F90,I95,L90,O95)-IF(S90=0,1,0)-V90)</f>
        <v/>
      </c>
      <c r="V90" s="95"/>
      <c r="W90" s="104"/>
      <c r="X90" s="103"/>
      <c r="Y90" s="103"/>
      <c r="Z90" s="103"/>
      <c r="AA90" s="99"/>
    </row>
    <row r="91" spans="2:29" ht="3" customHeight="1" x14ac:dyDescent="0.25">
      <c r="B91" s="96"/>
      <c r="C91" s="3"/>
      <c r="G91" s="3"/>
      <c r="H91" s="2"/>
      <c r="K91" s="3"/>
      <c r="L91" s="2"/>
      <c r="M91" s="3"/>
      <c r="Q91" s="2"/>
      <c r="R91" s="106"/>
      <c r="S91" s="101"/>
      <c r="T91" s="102"/>
      <c r="U91" s="94"/>
      <c r="V91" s="95"/>
      <c r="W91" s="104"/>
      <c r="X91" s="103"/>
      <c r="Y91" s="103"/>
      <c r="Z91" s="103"/>
      <c r="AA91" s="99"/>
    </row>
    <row r="92" spans="2:29" ht="3" customHeight="1" x14ac:dyDescent="0.25">
      <c r="B92" s="96"/>
      <c r="C92" s="3"/>
      <c r="G92" s="3"/>
      <c r="H92" s="2"/>
      <c r="K92" s="3"/>
      <c r="L92" s="2"/>
      <c r="M92" s="5"/>
      <c r="N92" s="4"/>
      <c r="Q92" s="2"/>
      <c r="R92" s="106"/>
      <c r="S92" s="101"/>
      <c r="T92" s="102"/>
      <c r="U92" s="94"/>
      <c r="V92" s="95"/>
      <c r="W92" s="104"/>
      <c r="X92" s="103"/>
      <c r="Y92" s="103"/>
      <c r="Z92" s="103"/>
      <c r="AA92" s="99"/>
    </row>
    <row r="93" spans="2:29" ht="3" customHeight="1" x14ac:dyDescent="0.25">
      <c r="B93" s="96"/>
      <c r="C93" s="3"/>
      <c r="E93" s="6"/>
      <c r="F93" s="6"/>
      <c r="G93" s="7"/>
      <c r="H93" s="8"/>
      <c r="I93" s="7"/>
      <c r="J93" s="8"/>
      <c r="K93" s="7"/>
      <c r="L93" s="8"/>
      <c r="M93" s="7"/>
      <c r="N93" s="6"/>
      <c r="Q93" s="2"/>
      <c r="R93" s="105" t="str">
        <f>IF(R90="甲","",IF(OR(S90=0,S90="")=TRUE,"",IF(S90="入力ｴﾗｰ","","乙")))</f>
        <v/>
      </c>
      <c r="S93" s="101"/>
      <c r="U93" s="94"/>
      <c r="V93" s="95"/>
      <c r="W93" s="104"/>
      <c r="X93" s="103"/>
      <c r="Y93" s="103"/>
      <c r="Z93" s="103"/>
      <c r="AA93" s="99"/>
    </row>
    <row r="94" spans="2:29" ht="3" customHeight="1" x14ac:dyDescent="0.25">
      <c r="B94" s="96"/>
      <c r="C94" s="3"/>
      <c r="F94" s="2"/>
      <c r="G94" s="3"/>
      <c r="H94" s="2"/>
      <c r="K94" s="3"/>
      <c r="L94" s="2"/>
      <c r="M94" s="3"/>
      <c r="Q94" s="2"/>
      <c r="R94" s="105"/>
      <c r="S94" s="101"/>
      <c r="U94" s="94"/>
      <c r="V94" s="95"/>
      <c r="W94" s="104"/>
      <c r="X94" s="103"/>
      <c r="Y94" s="103"/>
      <c r="Z94" s="103"/>
      <c r="AA94" s="99"/>
    </row>
    <row r="95" spans="2:29" ht="15" customHeight="1" x14ac:dyDescent="0.25">
      <c r="B95" s="96"/>
      <c r="C95" s="3"/>
      <c r="G95" s="18"/>
      <c r="H95" s="13" t="str">
        <f>IF(I95="","",IF(I95=0,"","L="))</f>
        <v/>
      </c>
      <c r="I95" s="97"/>
      <c r="J95" s="97"/>
      <c r="K95" s="14"/>
      <c r="N95" s="13" t="str">
        <f>IF(O95="","",IF(O95=0,"","L="))</f>
        <v/>
      </c>
      <c r="O95" s="97"/>
      <c r="P95" s="97"/>
      <c r="Q95" s="24" t="str">
        <f>IF(O95="","",IF(O95=0,"","m"))</f>
        <v/>
      </c>
      <c r="R95" s="105"/>
      <c r="S95" s="101"/>
      <c r="U95" s="94"/>
      <c r="V95" s="95"/>
      <c r="W95" s="104"/>
      <c r="X95" s="103"/>
      <c r="Y95" s="103"/>
      <c r="Z95" s="103"/>
      <c r="AA95" s="99"/>
      <c r="AC95" s="1">
        <f>IF(U90="",0,IF(U90&gt;SUM(W90:AA95),U90-SUM(W90:AA95),0))</f>
        <v>0</v>
      </c>
    </row>
    <row r="96" spans="2:29" ht="6" customHeight="1" x14ac:dyDescent="0.2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7"/>
      <c r="R96" s="16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2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1"/>
      <c r="R97" s="10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25">
      <c r="B98" s="96" t="str">
        <f>IF(S98="","",IF(B90="","",1+B90))</f>
        <v/>
      </c>
      <c r="C98" s="3"/>
      <c r="E98" s="13" t="str">
        <f>IF(F98="","",IF(F98=0,"","L="))</f>
        <v/>
      </c>
      <c r="F98" s="97"/>
      <c r="G98" s="97"/>
      <c r="H98" s="14"/>
      <c r="K98" s="13" t="str">
        <f>IF(L98="","",IF(L98=0,"","L="))</f>
        <v/>
      </c>
      <c r="L98" s="97"/>
      <c r="M98" s="97"/>
      <c r="N98" s="14" t="str">
        <f>IF(L98="","",IF(L98=0,"","m"))</f>
        <v/>
      </c>
      <c r="Q98" s="2"/>
      <c r="R98" s="106" t="str">
        <f>IF(OR(S98="入力ｴﾗｰ",S98=0,S98="")=TRUE,"",IF(F98="","甲",IF(F98=0,"甲","")))</f>
        <v/>
      </c>
      <c r="S98" s="101" t="str">
        <f>IF((F98+I103+L98+O103)=0,"",IF((F98+I103+L98+O103)&gt;SUM($AC$1:$AC$3),"入力ｴﾗｰ",SUM($AC$1:$AC$3)-(F98+I103+L98+O103)))</f>
        <v/>
      </c>
      <c r="T98" s="102" t="str">
        <f>IF(S98="","",IF(S98="入力ｴﾗｰ","","m"))</f>
        <v/>
      </c>
      <c r="U98" s="94" t="str">
        <f>IF(B98="","",COUNT(F98,I103,L98,O103)-IF(S98=0,1,0)-V98)</f>
        <v/>
      </c>
      <c r="V98" s="95"/>
      <c r="W98" s="104"/>
      <c r="X98" s="103"/>
      <c r="Y98" s="103"/>
      <c r="Z98" s="103"/>
      <c r="AA98" s="99"/>
    </row>
    <row r="99" spans="2:29" ht="3" customHeight="1" x14ac:dyDescent="0.25">
      <c r="B99" s="96"/>
      <c r="C99" s="3"/>
      <c r="G99" s="3"/>
      <c r="H99" s="2"/>
      <c r="K99" s="3"/>
      <c r="L99" s="2"/>
      <c r="M99" s="3"/>
      <c r="Q99" s="2"/>
      <c r="R99" s="106"/>
      <c r="S99" s="101"/>
      <c r="T99" s="102"/>
      <c r="U99" s="94"/>
      <c r="V99" s="95"/>
      <c r="W99" s="104"/>
      <c r="X99" s="103"/>
      <c r="Y99" s="103"/>
      <c r="Z99" s="103"/>
      <c r="AA99" s="99"/>
    </row>
    <row r="100" spans="2:29" ht="3" customHeight="1" x14ac:dyDescent="0.25">
      <c r="B100" s="96"/>
      <c r="C100" s="3"/>
      <c r="G100" s="3"/>
      <c r="H100" s="2"/>
      <c r="K100" s="3"/>
      <c r="L100" s="2"/>
      <c r="M100" s="5"/>
      <c r="N100" s="4"/>
      <c r="Q100" s="2"/>
      <c r="R100" s="106"/>
      <c r="S100" s="101"/>
      <c r="T100" s="102"/>
      <c r="U100" s="94"/>
      <c r="V100" s="95"/>
      <c r="W100" s="104"/>
      <c r="X100" s="103"/>
      <c r="Y100" s="103"/>
      <c r="Z100" s="103"/>
      <c r="AA100" s="99"/>
    </row>
    <row r="101" spans="2:29" ht="3" customHeight="1" x14ac:dyDescent="0.25">
      <c r="B101" s="96"/>
      <c r="C101" s="3"/>
      <c r="E101" s="6"/>
      <c r="F101" s="6"/>
      <c r="G101" s="7"/>
      <c r="H101" s="8"/>
      <c r="I101" s="7"/>
      <c r="J101" s="8"/>
      <c r="K101" s="7"/>
      <c r="L101" s="8"/>
      <c r="M101" s="7"/>
      <c r="N101" s="6"/>
      <c r="Q101" s="2"/>
      <c r="R101" s="105" t="str">
        <f>IF(R98="甲","",IF(OR(S98=0,S98="")=TRUE,"",IF(S98="入力ｴﾗｰ","","乙")))</f>
        <v/>
      </c>
      <c r="S101" s="101"/>
      <c r="U101" s="94"/>
      <c r="V101" s="95"/>
      <c r="W101" s="104"/>
      <c r="X101" s="103"/>
      <c r="Y101" s="103"/>
      <c r="Z101" s="103"/>
      <c r="AA101" s="99"/>
    </row>
    <row r="102" spans="2:29" ht="3" customHeight="1" x14ac:dyDescent="0.25">
      <c r="B102" s="96"/>
      <c r="C102" s="3"/>
      <c r="F102" s="2"/>
      <c r="G102" s="3"/>
      <c r="H102" s="2"/>
      <c r="K102" s="3"/>
      <c r="L102" s="2"/>
      <c r="M102" s="3"/>
      <c r="Q102" s="2"/>
      <c r="R102" s="105"/>
      <c r="S102" s="101"/>
      <c r="U102" s="94"/>
      <c r="V102" s="95"/>
      <c r="W102" s="104"/>
      <c r="X102" s="103"/>
      <c r="Y102" s="103"/>
      <c r="Z102" s="103"/>
      <c r="AA102" s="99"/>
    </row>
    <row r="103" spans="2:29" ht="15" customHeight="1" x14ac:dyDescent="0.25">
      <c r="B103" s="96"/>
      <c r="C103" s="3"/>
      <c r="G103" s="18"/>
      <c r="H103" s="13" t="str">
        <f>IF(I103="","",IF(I103=0,"","L="))</f>
        <v/>
      </c>
      <c r="I103" s="97"/>
      <c r="J103" s="97"/>
      <c r="K103" s="14"/>
      <c r="N103" s="13" t="str">
        <f>IF(O103="","",IF(O103=0,"","L="))</f>
        <v/>
      </c>
      <c r="O103" s="97"/>
      <c r="P103" s="97"/>
      <c r="Q103" s="24" t="str">
        <f>IF(O103="","",IF(O103=0,"","m"))</f>
        <v/>
      </c>
      <c r="R103" s="105"/>
      <c r="S103" s="101"/>
      <c r="U103" s="94"/>
      <c r="V103" s="95"/>
      <c r="W103" s="104"/>
      <c r="X103" s="103"/>
      <c r="Y103" s="103"/>
      <c r="Z103" s="103"/>
      <c r="AA103" s="99"/>
      <c r="AC103" s="1">
        <f>IF(U98="",0,IF(U98&gt;SUM(W98:AA103),U98-SUM(W98:AA103),0))</f>
        <v>0</v>
      </c>
    </row>
    <row r="104" spans="2:29" ht="6" customHeight="1" x14ac:dyDescent="0.2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7"/>
      <c r="R104" s="16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2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1"/>
      <c r="R105" s="10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25">
      <c r="B106" s="96"/>
      <c r="C106" s="3"/>
      <c r="E106" s="13" t="str">
        <f>IF(F106="","",IF(F106=0,"","L="))</f>
        <v/>
      </c>
      <c r="F106" s="97"/>
      <c r="G106" s="97"/>
      <c r="H106" s="14"/>
      <c r="K106" s="13" t="str">
        <f>IF(L106="","",IF(L106=0,"","L="))</f>
        <v/>
      </c>
      <c r="L106" s="97"/>
      <c r="M106" s="97"/>
      <c r="N106" s="14" t="str">
        <f>IF(L106="","",IF(L106=0,"","m"))</f>
        <v/>
      </c>
      <c r="Q106" s="2"/>
      <c r="R106" s="106" t="str">
        <f>IF(OR(S106="入力ｴﾗｰ",S106=0,S106="")=TRUE,"",IF(F106="","甲",IF(F106=0,"甲","")))</f>
        <v/>
      </c>
      <c r="S106" s="101" t="str">
        <f>IF((F106+I111+L106+O111)=0,"",IF((F106+I111+L106+O111)&gt;SUM($AC$1:$AC$3),"入力ｴﾗｰ",SUM($AC$1:$AC$3)-(F106+I111+L106+O111)))</f>
        <v/>
      </c>
      <c r="T106" s="102" t="str">
        <f>IF(S106="","",IF(S106="入力ｴﾗｰ","","m"))</f>
        <v/>
      </c>
      <c r="U106" s="94" t="str">
        <f>IF(B106="","",COUNT(F106,I111,L106,O111)-IF(S106=0,1,0)-V106)</f>
        <v/>
      </c>
      <c r="V106" s="95"/>
      <c r="W106" s="104"/>
      <c r="X106" s="103"/>
      <c r="Y106" s="103"/>
      <c r="Z106" s="103"/>
      <c r="AA106" s="99"/>
    </row>
    <row r="107" spans="2:29" ht="3" customHeight="1" x14ac:dyDescent="0.25">
      <c r="B107" s="96"/>
      <c r="C107" s="3"/>
      <c r="G107" s="3"/>
      <c r="H107" s="2"/>
      <c r="K107" s="3"/>
      <c r="L107" s="2"/>
      <c r="M107" s="3"/>
      <c r="Q107" s="2"/>
      <c r="R107" s="106"/>
      <c r="S107" s="101"/>
      <c r="T107" s="102"/>
      <c r="U107" s="94"/>
      <c r="V107" s="95"/>
      <c r="W107" s="104"/>
      <c r="X107" s="103"/>
      <c r="Y107" s="103"/>
      <c r="Z107" s="103"/>
      <c r="AA107" s="99"/>
    </row>
    <row r="108" spans="2:29" ht="3" customHeight="1" x14ac:dyDescent="0.25">
      <c r="B108" s="96"/>
      <c r="C108" s="3"/>
      <c r="G108" s="3"/>
      <c r="H108" s="2"/>
      <c r="K108" s="3"/>
      <c r="L108" s="2"/>
      <c r="M108" s="5"/>
      <c r="N108" s="4"/>
      <c r="Q108" s="2"/>
      <c r="R108" s="106"/>
      <c r="S108" s="101"/>
      <c r="T108" s="102"/>
      <c r="U108" s="94"/>
      <c r="V108" s="95"/>
      <c r="W108" s="104"/>
      <c r="X108" s="103"/>
      <c r="Y108" s="103"/>
      <c r="Z108" s="103"/>
      <c r="AA108" s="99"/>
    </row>
    <row r="109" spans="2:29" ht="3" customHeight="1" x14ac:dyDescent="0.25">
      <c r="B109" s="96"/>
      <c r="C109" s="3"/>
      <c r="E109" s="6"/>
      <c r="F109" s="6"/>
      <c r="G109" s="7"/>
      <c r="H109" s="8"/>
      <c r="I109" s="7"/>
      <c r="J109" s="8"/>
      <c r="K109" s="7"/>
      <c r="L109" s="8"/>
      <c r="M109" s="7"/>
      <c r="N109" s="6"/>
      <c r="Q109" s="2"/>
      <c r="R109" s="105" t="str">
        <f>IF(R106="甲","",IF(OR(S106=0,S106="")=TRUE,"",IF(S106="入力ｴﾗｰ","","乙")))</f>
        <v/>
      </c>
      <c r="S109" s="101"/>
      <c r="U109" s="94"/>
      <c r="V109" s="95"/>
      <c r="W109" s="104"/>
      <c r="X109" s="103"/>
      <c r="Y109" s="103"/>
      <c r="Z109" s="103"/>
      <c r="AA109" s="99"/>
    </row>
    <row r="110" spans="2:29" ht="3" customHeight="1" x14ac:dyDescent="0.25">
      <c r="B110" s="96"/>
      <c r="C110" s="3"/>
      <c r="F110" s="2"/>
      <c r="G110" s="3"/>
      <c r="H110" s="2"/>
      <c r="K110" s="3"/>
      <c r="L110" s="2"/>
      <c r="M110" s="3"/>
      <c r="Q110" s="2"/>
      <c r="R110" s="105"/>
      <c r="S110" s="101"/>
      <c r="U110" s="94"/>
      <c r="V110" s="95"/>
      <c r="W110" s="104"/>
      <c r="X110" s="103"/>
      <c r="Y110" s="103"/>
      <c r="Z110" s="103"/>
      <c r="AA110" s="99"/>
    </row>
    <row r="111" spans="2:29" ht="15" customHeight="1" x14ac:dyDescent="0.25">
      <c r="B111" s="96"/>
      <c r="C111" s="3"/>
      <c r="G111" s="18"/>
      <c r="H111" s="13" t="str">
        <f>IF(I111="","",IF(I111=0,"","L="))</f>
        <v/>
      </c>
      <c r="I111" s="97"/>
      <c r="J111" s="97"/>
      <c r="K111" s="14"/>
      <c r="N111" s="13" t="str">
        <f>IF(O111="","",IF(O111=0,"","L="))</f>
        <v/>
      </c>
      <c r="O111" s="97"/>
      <c r="P111" s="97"/>
      <c r="Q111" s="24" t="str">
        <f>IF(O111="","",IF(O111=0,"","m"))</f>
        <v/>
      </c>
      <c r="R111" s="105"/>
      <c r="S111" s="101"/>
      <c r="U111" s="94"/>
      <c r="V111" s="95"/>
      <c r="W111" s="104"/>
      <c r="X111" s="103"/>
      <c r="Y111" s="103"/>
      <c r="Z111" s="103"/>
      <c r="AA111" s="99"/>
      <c r="AC111" s="1">
        <f>IF(U106="",0,IF(U106&gt;SUM(W106:AA111),U106-SUM(W106:AA111),0))</f>
        <v>0</v>
      </c>
    </row>
    <row r="112" spans="2:29" ht="6" customHeight="1" x14ac:dyDescent="0.2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25">
      <c r="B113" s="84" t="s">
        <v>17</v>
      </c>
      <c r="C113" s="85"/>
      <c r="D113" s="85"/>
      <c r="E113" s="85"/>
      <c r="F113" s="86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3">
      <c r="B114" s="87"/>
      <c r="C114" s="88"/>
      <c r="D114" s="88"/>
      <c r="E114" s="88"/>
      <c r="F114" s="89"/>
      <c r="G114" s="25" t="str">
        <f>U2</f>
        <v>T</v>
      </c>
      <c r="H114" s="88">
        <f>Y2</f>
        <v>150</v>
      </c>
      <c r="I114" s="88"/>
      <c r="J114" s="89"/>
      <c r="K114" s="90">
        <f>IF(B10="",0,LARGE(B10:B111,1))</f>
        <v>1</v>
      </c>
      <c r="L114" s="91"/>
      <c r="M114" s="21"/>
      <c r="N114" s="25"/>
      <c r="O114" s="20"/>
      <c r="P114" s="20"/>
      <c r="Q114" s="21"/>
      <c r="R114" s="92">
        <f>SUM(S10:S111)</f>
        <v>1.9</v>
      </c>
      <c r="S114" s="93"/>
      <c r="T114" s="20"/>
      <c r="U114" s="51">
        <f t="shared" ref="U114:AA114" si="0">SUM(U10:U111)</f>
        <v>0</v>
      </c>
      <c r="V114" s="79">
        <f t="shared" si="0"/>
        <v>4</v>
      </c>
      <c r="W114" s="73">
        <f t="shared" si="0"/>
        <v>0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B113:F114"/>
    <mergeCell ref="H114:J114"/>
    <mergeCell ref="K114:L114"/>
    <mergeCell ref="R114:S114"/>
    <mergeCell ref="U106:U111"/>
    <mergeCell ref="V106:V111"/>
    <mergeCell ref="W106:W111"/>
    <mergeCell ref="X106:X111"/>
    <mergeCell ref="Y106:Y111"/>
    <mergeCell ref="B106:B111"/>
    <mergeCell ref="F106:G106"/>
    <mergeCell ref="L106:M106"/>
    <mergeCell ref="R106:R108"/>
    <mergeCell ref="S106:S111"/>
    <mergeCell ref="T106:T108"/>
    <mergeCell ref="AA98:AA103"/>
    <mergeCell ref="R101:R103"/>
    <mergeCell ref="AA106:AA111"/>
    <mergeCell ref="R109:R111"/>
    <mergeCell ref="I111:J111"/>
    <mergeCell ref="O111:P111"/>
    <mergeCell ref="Z106:Z111"/>
    <mergeCell ref="B98:B103"/>
    <mergeCell ref="F98:G98"/>
    <mergeCell ref="L98:M98"/>
    <mergeCell ref="U98:U103"/>
    <mergeCell ref="I103:J103"/>
    <mergeCell ref="O103:P103"/>
    <mergeCell ref="X98:X103"/>
    <mergeCell ref="Y98:Y103"/>
    <mergeCell ref="Z98:Z103"/>
    <mergeCell ref="V98:V103"/>
    <mergeCell ref="W98:W103"/>
    <mergeCell ref="R98:R100"/>
    <mergeCell ref="S98:S103"/>
    <mergeCell ref="T98:T100"/>
    <mergeCell ref="I87:J87"/>
    <mergeCell ref="O87:P87"/>
    <mergeCell ref="X82:X87"/>
    <mergeCell ref="Y82:Y87"/>
    <mergeCell ref="Z82:Z87"/>
    <mergeCell ref="AA90:AA95"/>
    <mergeCell ref="X90:X95"/>
    <mergeCell ref="Y90:Y95"/>
    <mergeCell ref="Z90:Z95"/>
    <mergeCell ref="U82:U87"/>
    <mergeCell ref="V82:V87"/>
    <mergeCell ref="W82:W87"/>
    <mergeCell ref="U90:U95"/>
    <mergeCell ref="V90:V95"/>
    <mergeCell ref="W90:W95"/>
    <mergeCell ref="AA82:AA87"/>
    <mergeCell ref="R85:R87"/>
    <mergeCell ref="B90:B95"/>
    <mergeCell ref="F90:G90"/>
    <mergeCell ref="L90:M90"/>
    <mergeCell ref="R90:R92"/>
    <mergeCell ref="S90:S95"/>
    <mergeCell ref="T90:T92"/>
    <mergeCell ref="R93:R95"/>
    <mergeCell ref="I95:J95"/>
    <mergeCell ref="O95:P95"/>
    <mergeCell ref="B82:B87"/>
    <mergeCell ref="F82:G82"/>
    <mergeCell ref="L82:M82"/>
    <mergeCell ref="R82:R84"/>
    <mergeCell ref="S82:S87"/>
    <mergeCell ref="T82:T84"/>
    <mergeCell ref="AA66:AA71"/>
    <mergeCell ref="R69:R71"/>
    <mergeCell ref="I71:J71"/>
    <mergeCell ref="O71:P71"/>
    <mergeCell ref="B74:B79"/>
    <mergeCell ref="F74:G74"/>
    <mergeCell ref="L74:M74"/>
    <mergeCell ref="R74:R76"/>
    <mergeCell ref="S74:S79"/>
    <mergeCell ref="T74:T76"/>
    <mergeCell ref="U66:U71"/>
    <mergeCell ref="V66:V71"/>
    <mergeCell ref="W66:W71"/>
    <mergeCell ref="X66:X71"/>
    <mergeCell ref="Y66:Y71"/>
    <mergeCell ref="Z66:Z71"/>
    <mergeCell ref="AA74:AA79"/>
    <mergeCell ref="R77:R79"/>
    <mergeCell ref="I79:J79"/>
    <mergeCell ref="O79:P79"/>
    <mergeCell ref="X74:X79"/>
    <mergeCell ref="Y74:Y79"/>
    <mergeCell ref="Z74:Z79"/>
    <mergeCell ref="B66:B71"/>
    <mergeCell ref="F66:G66"/>
    <mergeCell ref="L66:M66"/>
    <mergeCell ref="R66:R68"/>
    <mergeCell ref="S66:S71"/>
    <mergeCell ref="T66:T68"/>
    <mergeCell ref="U74:U79"/>
    <mergeCell ref="V74:V79"/>
    <mergeCell ref="W74:W79"/>
    <mergeCell ref="Y50:Y55"/>
    <mergeCell ref="Z50:Z55"/>
    <mergeCell ref="AA58:AA63"/>
    <mergeCell ref="U50:U55"/>
    <mergeCell ref="V50:V55"/>
    <mergeCell ref="W50:W55"/>
    <mergeCell ref="AA50:AA55"/>
    <mergeCell ref="X50:X55"/>
    <mergeCell ref="R61:R63"/>
    <mergeCell ref="I63:J63"/>
    <mergeCell ref="O63:P63"/>
    <mergeCell ref="X58:X63"/>
    <mergeCell ref="Y58:Y63"/>
    <mergeCell ref="Z58:Z63"/>
    <mergeCell ref="B58:B63"/>
    <mergeCell ref="F58:G58"/>
    <mergeCell ref="L58:M58"/>
    <mergeCell ref="R58:R60"/>
    <mergeCell ref="S58:S63"/>
    <mergeCell ref="T58:T60"/>
    <mergeCell ref="U58:U63"/>
    <mergeCell ref="V58:V63"/>
    <mergeCell ref="W58:W63"/>
    <mergeCell ref="B50:B55"/>
    <mergeCell ref="F50:G50"/>
    <mergeCell ref="L50:M50"/>
    <mergeCell ref="R50:R52"/>
    <mergeCell ref="S50:S55"/>
    <mergeCell ref="T50:T52"/>
    <mergeCell ref="U42:U47"/>
    <mergeCell ref="V42:V47"/>
    <mergeCell ref="W42:W47"/>
    <mergeCell ref="R53:R55"/>
    <mergeCell ref="I55:J55"/>
    <mergeCell ref="O55:P55"/>
    <mergeCell ref="B42:B47"/>
    <mergeCell ref="F42:G42"/>
    <mergeCell ref="AA34:AA39"/>
    <mergeCell ref="R37:R39"/>
    <mergeCell ref="I39:J39"/>
    <mergeCell ref="O39:P39"/>
    <mergeCell ref="X34:X39"/>
    <mergeCell ref="Y34:Y39"/>
    <mergeCell ref="Z34:Z39"/>
    <mergeCell ref="AA42:AA47"/>
    <mergeCell ref="X42:X47"/>
    <mergeCell ref="Y42:Y47"/>
    <mergeCell ref="Z42:Z47"/>
    <mergeCell ref="L42:M42"/>
    <mergeCell ref="R42:R44"/>
    <mergeCell ref="S42:S47"/>
    <mergeCell ref="T42:T44"/>
    <mergeCell ref="U34:U39"/>
    <mergeCell ref="V34:V39"/>
    <mergeCell ref="W34:W39"/>
    <mergeCell ref="R45:R47"/>
    <mergeCell ref="I47:J47"/>
    <mergeCell ref="O47:P47"/>
    <mergeCell ref="B34:B39"/>
    <mergeCell ref="F34:G34"/>
    <mergeCell ref="L34:M34"/>
    <mergeCell ref="R34:R36"/>
    <mergeCell ref="S34:S39"/>
    <mergeCell ref="T34:T36"/>
    <mergeCell ref="AA18:AA23"/>
    <mergeCell ref="R21:R23"/>
    <mergeCell ref="I23:J23"/>
    <mergeCell ref="O23:P23"/>
    <mergeCell ref="B26:B31"/>
    <mergeCell ref="F26:G26"/>
    <mergeCell ref="L26:M26"/>
    <mergeCell ref="R26:R28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I31:J31"/>
    <mergeCell ref="O31:P31"/>
    <mergeCell ref="X26:X31"/>
    <mergeCell ref="Y26:Y31"/>
    <mergeCell ref="Z26:Z31"/>
    <mergeCell ref="B18:B23"/>
    <mergeCell ref="F18:G18"/>
    <mergeCell ref="L18:M18"/>
    <mergeCell ref="R18:R20"/>
    <mergeCell ref="S18:S23"/>
    <mergeCell ref="T18:T20"/>
    <mergeCell ref="U26:U31"/>
    <mergeCell ref="V26:V31"/>
    <mergeCell ref="W26:W31"/>
    <mergeCell ref="C1:Q1"/>
    <mergeCell ref="U2:V3"/>
    <mergeCell ref="Y2:Z3"/>
    <mergeCell ref="B7:B8"/>
    <mergeCell ref="C7:Q8"/>
    <mergeCell ref="R7:T8"/>
    <mergeCell ref="U7:V7"/>
    <mergeCell ref="W7:AA7"/>
    <mergeCell ref="AA10:AA15"/>
    <mergeCell ref="R13:R15"/>
    <mergeCell ref="I15:J15"/>
    <mergeCell ref="O15:P15"/>
    <mergeCell ref="X10:X15"/>
    <mergeCell ref="Y10:Y15"/>
    <mergeCell ref="Z10:Z15"/>
    <mergeCell ref="U10:U15"/>
    <mergeCell ref="V10:V15"/>
    <mergeCell ref="W10:W15"/>
    <mergeCell ref="B10:B15"/>
    <mergeCell ref="F10:G10"/>
    <mergeCell ref="L10:M10"/>
    <mergeCell ref="R10:R12"/>
    <mergeCell ref="S10:S15"/>
    <mergeCell ref="T10:T12"/>
  </mergeCells>
  <phoneticPr fontId="2"/>
  <conditionalFormatting sqref="S10:S15 S18:S23 S26:S31 S34:S39 S42:S47 S50:S55 S58:S63 S66:S71 S74:S79 S82:S87 S90:S95 S98:S103">
    <cfRule type="cellIs" dxfId="10" priority="2" stopIfTrue="1" operator="equal">
      <formula>"入力ｴﾗｰ"</formula>
    </cfRule>
  </conditionalFormatting>
  <conditionalFormatting sqref="S106:S111">
    <cfRule type="cellIs" dxfId="9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scale="9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0">
    <tabColor theme="1" tint="0.499984740745262"/>
  </sheetPr>
  <dimension ref="B1:AC114"/>
  <sheetViews>
    <sheetView showGridLines="0" view="pageBreakPreview" zoomScale="85" zoomScaleNormal="123" zoomScaleSheetLayoutView="85" workbookViewId="0">
      <selection activeCell="V114" sqref="V114"/>
    </sheetView>
  </sheetViews>
  <sheetFormatPr defaultColWidth="9.0703125" defaultRowHeight="12" x14ac:dyDescent="0.25"/>
  <cols>
    <col min="1" max="1" width="0.92578125" style="1" customWidth="1"/>
    <col min="2" max="2" width="8.92578125" style="1" customWidth="1"/>
    <col min="3" max="17" width="2.7109375" style="1" customWidth="1"/>
    <col min="18" max="18" width="2.92578125" style="1" customWidth="1"/>
    <col min="19" max="19" width="5.7109375" style="1" customWidth="1"/>
    <col min="20" max="20" width="2.7109375" style="1" customWidth="1"/>
    <col min="21" max="27" width="5.7109375" style="1" customWidth="1"/>
    <col min="28" max="16384" width="9.0703125" style="1"/>
  </cols>
  <sheetData>
    <row r="1" spans="2:29" x14ac:dyDescent="0.25">
      <c r="B1" s="56" t="s">
        <v>19</v>
      </c>
      <c r="C1" s="112" t="str">
        <f>'白紙(5m)'!C1:Q1</f>
        <v>長田（花山町2丁目他）配水管取替工事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25">
      <c r="S2" s="12"/>
      <c r="T2" s="3"/>
      <c r="U2" s="114" t="s">
        <v>30</v>
      </c>
      <c r="V2" s="114"/>
      <c r="W2" s="2"/>
      <c r="X2" s="12"/>
      <c r="Y2" s="114">
        <v>200</v>
      </c>
      <c r="Z2" s="114"/>
      <c r="AA2" s="2"/>
      <c r="AC2" s="1">
        <f>IF(AC1=4,0,IF(Y2&lt;=200,5,0))</f>
        <v>5</v>
      </c>
    </row>
    <row r="3" spans="2:29" ht="12" customHeight="1" x14ac:dyDescent="0.25">
      <c r="S3" s="44" t="s">
        <v>12</v>
      </c>
      <c r="T3" s="15"/>
      <c r="U3" s="115"/>
      <c r="V3" s="115"/>
      <c r="W3" s="17" t="s">
        <v>15</v>
      </c>
      <c r="X3" s="44" t="s">
        <v>14</v>
      </c>
      <c r="Y3" s="115"/>
      <c r="Z3" s="115"/>
      <c r="AA3" s="17" t="s">
        <v>20</v>
      </c>
      <c r="AC3" s="1">
        <f>IF(Y2&gt;200,6,0)</f>
        <v>0</v>
      </c>
    </row>
    <row r="4" spans="2:29" ht="6.75" customHeight="1" x14ac:dyDescent="0.25">
      <c r="S4" s="18"/>
      <c r="U4" s="45"/>
      <c r="V4" s="45"/>
      <c r="X4" s="18"/>
      <c r="Y4" s="45"/>
      <c r="Z4" s="45"/>
    </row>
    <row r="5" spans="2:29" ht="21.75" customHeight="1" x14ac:dyDescent="0.25">
      <c r="B5" s="46" t="s">
        <v>16</v>
      </c>
    </row>
    <row r="6" spans="2:29" ht="6.75" customHeight="1" thickBot="1" x14ac:dyDescent="0.3"/>
    <row r="7" spans="2:29" ht="14.25" customHeight="1" x14ac:dyDescent="0.25">
      <c r="B7" s="116" t="s">
        <v>0</v>
      </c>
      <c r="C7" s="108" t="s">
        <v>3</v>
      </c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09"/>
      <c r="R7" s="117" t="s">
        <v>1</v>
      </c>
      <c r="S7" s="117"/>
      <c r="T7" s="117"/>
      <c r="U7" s="108" t="s">
        <v>2</v>
      </c>
      <c r="V7" s="109"/>
      <c r="W7" s="110" t="s">
        <v>4</v>
      </c>
      <c r="X7" s="110"/>
      <c r="Y7" s="110"/>
      <c r="Z7" s="110"/>
      <c r="AA7" s="111"/>
    </row>
    <row r="8" spans="2:29" ht="10.5" customHeight="1" x14ac:dyDescent="0.25">
      <c r="B8" s="96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20"/>
      <c r="R8" s="119"/>
      <c r="S8" s="119"/>
      <c r="T8" s="119"/>
      <c r="U8" s="74" t="s">
        <v>39</v>
      </c>
      <c r="V8" s="75" t="s">
        <v>35</v>
      </c>
      <c r="W8" s="70" t="s">
        <v>39</v>
      </c>
      <c r="X8" s="32" t="s">
        <v>7</v>
      </c>
      <c r="Y8" s="32" t="s">
        <v>8</v>
      </c>
      <c r="Z8" s="33" t="s">
        <v>9</v>
      </c>
      <c r="AA8" s="34" t="s">
        <v>10</v>
      </c>
    </row>
    <row r="9" spans="2:29" ht="6" customHeight="1" x14ac:dyDescent="0.2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25">
      <c r="B10" s="96">
        <f>IF(S10="","",1)</f>
        <v>1</v>
      </c>
      <c r="C10" s="3"/>
      <c r="E10" s="13" t="str">
        <f>IF(F10="","",IF(F10=0,"","L="))</f>
        <v/>
      </c>
      <c r="F10" s="97"/>
      <c r="G10" s="97"/>
      <c r="H10" s="14" t="str">
        <f>IF(F10="","",IF(F10=0,"","m"))</f>
        <v/>
      </c>
      <c r="K10" s="13" t="str">
        <f>IF(L10="","",IF(L10=0,"","L="))</f>
        <v/>
      </c>
      <c r="L10" s="97"/>
      <c r="M10" s="97"/>
      <c r="N10" s="14" t="str">
        <f>IF(L10="","",IF(L10=0,"","m"))</f>
        <v/>
      </c>
      <c r="Q10" s="2"/>
      <c r="R10" s="106" t="str">
        <f>IF(OR(S10="入力ｴﾗｰ",S10=0,S10="")=TRUE,"",IF(F10="","甲",IF(F10=0,"甲","")))</f>
        <v>甲</v>
      </c>
      <c r="S10" s="101">
        <f>IF((F10+I15+L10+O15)=0,"",IF((F10+I15+L10+O15)&gt;SUM($AC$1:$AC$3),"入力ｴﾗｰ",SUM($AC$1:$AC$3)-(F10+I15+L10+O15)))</f>
        <v>4</v>
      </c>
      <c r="T10" s="102" t="str">
        <f>IF(S10="","",IF(S10="入力ｴﾗｰ","","m"))</f>
        <v>m</v>
      </c>
      <c r="U10" s="94">
        <f>IF(B10="","",COUNT(F10,I15,L10,O15)-IF(S10=0,1,0)-V10)</f>
        <v>0</v>
      </c>
      <c r="V10" s="95">
        <v>1</v>
      </c>
      <c r="W10" s="104"/>
      <c r="X10" s="103"/>
      <c r="Y10" s="103"/>
      <c r="Z10" s="107"/>
      <c r="AA10" s="99"/>
    </row>
    <row r="11" spans="2:29" ht="3" customHeight="1" x14ac:dyDescent="0.25">
      <c r="B11" s="96"/>
      <c r="C11" s="3"/>
      <c r="G11" s="3"/>
      <c r="H11" s="2"/>
      <c r="K11" s="3"/>
      <c r="L11" s="2"/>
      <c r="M11" s="3"/>
      <c r="Q11" s="2"/>
      <c r="R11" s="106"/>
      <c r="S11" s="101"/>
      <c r="T11" s="102"/>
      <c r="U11" s="94"/>
      <c r="V11" s="95"/>
      <c r="W11" s="104"/>
      <c r="X11" s="103"/>
      <c r="Y11" s="103"/>
      <c r="Z11" s="107"/>
      <c r="AA11" s="99"/>
    </row>
    <row r="12" spans="2:29" ht="3" customHeight="1" x14ac:dyDescent="0.25">
      <c r="B12" s="96"/>
      <c r="C12" s="3"/>
      <c r="E12" s="4"/>
      <c r="F12" s="55"/>
      <c r="G12" s="3"/>
      <c r="H12" s="2"/>
      <c r="K12" s="3"/>
      <c r="L12" s="2"/>
      <c r="M12" s="5"/>
      <c r="N12" s="4"/>
      <c r="Q12" s="2"/>
      <c r="R12" s="106"/>
      <c r="S12" s="101"/>
      <c r="T12" s="102"/>
      <c r="U12" s="94"/>
      <c r="V12" s="95"/>
      <c r="W12" s="104"/>
      <c r="X12" s="103"/>
      <c r="Y12" s="103"/>
      <c r="Z12" s="107"/>
      <c r="AA12" s="99"/>
    </row>
    <row r="13" spans="2:29" ht="3" customHeight="1" x14ac:dyDescent="0.25">
      <c r="B13" s="96"/>
      <c r="C13" s="3"/>
      <c r="E13" s="6"/>
      <c r="F13" s="8"/>
      <c r="G13" s="7"/>
      <c r="H13" s="8"/>
      <c r="I13" s="7"/>
      <c r="J13" s="8"/>
      <c r="K13" s="7"/>
      <c r="L13" s="8"/>
      <c r="M13" s="7"/>
      <c r="N13" s="6"/>
      <c r="Q13" s="2"/>
      <c r="R13" s="105" t="str">
        <f>IF(R10="甲","",IF(OR(S10=0,S10="")=TRUE,"",IF(S10="入力ｴﾗｰ","","乙")))</f>
        <v/>
      </c>
      <c r="S13" s="101"/>
      <c r="U13" s="94"/>
      <c r="V13" s="95"/>
      <c r="W13" s="104"/>
      <c r="X13" s="103"/>
      <c r="Y13" s="103"/>
      <c r="Z13" s="107"/>
      <c r="AA13" s="99"/>
    </row>
    <row r="14" spans="2:29" ht="3" customHeight="1" x14ac:dyDescent="0.25">
      <c r="B14" s="96"/>
      <c r="C14" s="3"/>
      <c r="F14" s="2"/>
      <c r="G14" s="3"/>
      <c r="H14" s="2"/>
      <c r="K14" s="3"/>
      <c r="L14" s="2"/>
      <c r="M14" s="3"/>
      <c r="Q14" s="2"/>
      <c r="R14" s="105"/>
      <c r="S14" s="101"/>
      <c r="U14" s="94"/>
      <c r="V14" s="95"/>
      <c r="W14" s="104"/>
      <c r="X14" s="103"/>
      <c r="Y14" s="103"/>
      <c r="Z14" s="107"/>
      <c r="AA14" s="99"/>
    </row>
    <row r="15" spans="2:29" ht="15" customHeight="1" x14ac:dyDescent="0.25">
      <c r="B15" s="96"/>
      <c r="C15" s="3"/>
      <c r="G15" s="18"/>
      <c r="H15" s="13" t="str">
        <f>IF(I15="","",IF(I15=0,"","L="))</f>
        <v/>
      </c>
      <c r="I15" s="97"/>
      <c r="J15" s="97"/>
      <c r="K15" s="14" t="str">
        <f>IF(I15="","",IF(I15=0,"","m"))</f>
        <v/>
      </c>
      <c r="N15" s="13" t="str">
        <f>IF(O15="","",IF(O15=0,"","L="))</f>
        <v>L=</v>
      </c>
      <c r="O15" s="97">
        <v>1</v>
      </c>
      <c r="P15" s="97"/>
      <c r="Q15" s="24" t="str">
        <f>IF(O15="","",IF(O15=0,"","m"))</f>
        <v>m</v>
      </c>
      <c r="R15" s="105"/>
      <c r="S15" s="101"/>
      <c r="U15" s="94"/>
      <c r="V15" s="95"/>
      <c r="W15" s="104"/>
      <c r="X15" s="103"/>
      <c r="Y15" s="103"/>
      <c r="Z15" s="107"/>
      <c r="AA15" s="99"/>
      <c r="AC15" s="1">
        <f>IF(U10="",0,IF(U10&gt;SUM(W10:AA15),U10-SUM(W10:AA15),0))</f>
        <v>0</v>
      </c>
    </row>
    <row r="16" spans="2:29" ht="6" customHeight="1" x14ac:dyDescent="0.2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2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25">
      <c r="B18" s="96" t="s">
        <v>40</v>
      </c>
      <c r="C18" s="3"/>
      <c r="E18" s="13" t="str">
        <f>IF(F18="","",IF(F18=0,"","L="))</f>
        <v/>
      </c>
      <c r="F18" s="97"/>
      <c r="G18" s="97"/>
      <c r="H18" s="14" t="str">
        <f>IF(F18="","",IF(F18=0,"","m"))</f>
        <v/>
      </c>
      <c r="K18" s="13" t="str">
        <f>IF(L18="","",IF(L18=0,"","L="))</f>
        <v/>
      </c>
      <c r="L18" s="97"/>
      <c r="M18" s="97"/>
      <c r="N18" s="14" t="str">
        <f>IF(L18="","",IF(L18=0,"","m"))</f>
        <v/>
      </c>
      <c r="Q18" s="2"/>
      <c r="R18" s="106" t="str">
        <f>IF(OR(S18="入力ｴﾗｰ",S18=0,S18="")=TRUE,"",IF(F18="","甲",IF(F18=0,"甲","")))</f>
        <v/>
      </c>
      <c r="S18" s="101" t="str">
        <f>IF((F18+I23+L18+O23)=0,"",IF((F18+I23+L18+O23)&gt;SUM($AC$1:$AC$3),"入力ｴﾗｰ",SUM($AC$1:$AC$3)-(F18+I23+L18+O23)))</f>
        <v/>
      </c>
      <c r="T18" s="102" t="str">
        <f>IF(S18="","",IF(S18="入力ｴﾗｰ","","m"))</f>
        <v/>
      </c>
      <c r="U18" s="94"/>
      <c r="V18" s="95">
        <v>1</v>
      </c>
      <c r="W18" s="104"/>
      <c r="X18" s="103"/>
      <c r="Y18" s="103"/>
      <c r="Z18" s="103"/>
      <c r="AA18" s="99"/>
    </row>
    <row r="19" spans="2:29" ht="3" customHeight="1" x14ac:dyDescent="0.25">
      <c r="B19" s="96"/>
      <c r="C19" s="3"/>
      <c r="G19" s="3"/>
      <c r="H19" s="2"/>
      <c r="K19" s="3"/>
      <c r="L19" s="2"/>
      <c r="M19" s="3"/>
      <c r="Q19" s="2"/>
      <c r="R19" s="106"/>
      <c r="S19" s="101"/>
      <c r="T19" s="102"/>
      <c r="U19" s="94"/>
      <c r="V19" s="95"/>
      <c r="W19" s="104"/>
      <c r="X19" s="103"/>
      <c r="Y19" s="103"/>
      <c r="Z19" s="103"/>
      <c r="AA19" s="99"/>
    </row>
    <row r="20" spans="2:29" ht="3" customHeight="1" x14ac:dyDescent="0.25">
      <c r="B20" s="96"/>
      <c r="C20" s="3"/>
      <c r="E20" s="4"/>
      <c r="F20" s="55"/>
      <c r="G20" s="3"/>
      <c r="H20" s="2"/>
      <c r="K20" s="3"/>
      <c r="L20" s="2"/>
      <c r="M20" s="5"/>
      <c r="N20" s="4"/>
      <c r="Q20" s="2"/>
      <c r="R20" s="106"/>
      <c r="S20" s="101"/>
      <c r="T20" s="102"/>
      <c r="U20" s="94"/>
      <c r="V20" s="95"/>
      <c r="W20" s="104"/>
      <c r="X20" s="103"/>
      <c r="Y20" s="103"/>
      <c r="Z20" s="103"/>
      <c r="AA20" s="99"/>
    </row>
    <row r="21" spans="2:29" ht="3" customHeight="1" x14ac:dyDescent="0.25">
      <c r="B21" s="96"/>
      <c r="C21" s="3"/>
      <c r="E21" s="6"/>
      <c r="F21" s="8"/>
      <c r="G21" s="7"/>
      <c r="H21" s="8"/>
      <c r="I21" s="7"/>
      <c r="J21" s="8"/>
      <c r="K21" s="7"/>
      <c r="L21" s="8"/>
      <c r="M21" s="7"/>
      <c r="N21" s="6"/>
      <c r="Q21" s="2"/>
      <c r="R21" s="105" t="str">
        <f>IF(R18="甲","",IF(OR(S18=0,S18="")=TRUE,"",IF(S18="入力ｴﾗｰ","","乙")))</f>
        <v/>
      </c>
      <c r="S21" s="101"/>
      <c r="U21" s="94"/>
      <c r="V21" s="95"/>
      <c r="W21" s="104"/>
      <c r="X21" s="103"/>
      <c r="Y21" s="103"/>
      <c r="Z21" s="103"/>
      <c r="AA21" s="99"/>
    </row>
    <row r="22" spans="2:29" ht="3" customHeight="1" x14ac:dyDescent="0.25">
      <c r="B22" s="96"/>
      <c r="C22" s="3"/>
      <c r="F22" s="2"/>
      <c r="G22" s="3"/>
      <c r="H22" s="2"/>
      <c r="K22" s="3"/>
      <c r="L22" s="2"/>
      <c r="M22" s="3"/>
      <c r="Q22" s="2"/>
      <c r="R22" s="105"/>
      <c r="S22" s="101"/>
      <c r="U22" s="94"/>
      <c r="V22" s="95"/>
      <c r="W22" s="104"/>
      <c r="X22" s="103"/>
      <c r="Y22" s="103"/>
      <c r="Z22" s="103"/>
      <c r="AA22" s="99"/>
    </row>
    <row r="23" spans="2:29" ht="15" customHeight="1" x14ac:dyDescent="0.25">
      <c r="B23" s="96"/>
      <c r="C23" s="3"/>
      <c r="G23" s="18"/>
      <c r="H23" s="13" t="str">
        <f>IF(I23="","",IF(I23=0,"","L="))</f>
        <v/>
      </c>
      <c r="I23" s="97"/>
      <c r="J23" s="97"/>
      <c r="K23" s="14" t="str">
        <f>IF(I23="","",IF(I23=0,"","m"))</f>
        <v/>
      </c>
      <c r="N23" s="13" t="str">
        <f>IF(O23="","",IF(O23=0,"","L="))</f>
        <v/>
      </c>
      <c r="O23" s="97"/>
      <c r="P23" s="97"/>
      <c r="Q23" s="24" t="str">
        <f>IF(O23="","",IF(O23=0,"","m"))</f>
        <v/>
      </c>
      <c r="R23" s="105"/>
      <c r="S23" s="101"/>
      <c r="U23" s="94"/>
      <c r="V23" s="95"/>
      <c r="W23" s="104"/>
      <c r="X23" s="103"/>
      <c r="Y23" s="103"/>
      <c r="Z23" s="103"/>
      <c r="AA23" s="99"/>
      <c r="AC23" s="1">
        <f>IF(U18="",0,IF(U18&gt;SUM(W18:AA23),U18-SUM(W18:AA23),0))</f>
        <v>0</v>
      </c>
    </row>
    <row r="24" spans="2:29" ht="6" customHeight="1" x14ac:dyDescent="0.2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2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25">
      <c r="B26" s="96" t="str">
        <f>IF(S26="","",IF(B18="","",1+B18))</f>
        <v/>
      </c>
      <c r="C26" s="3"/>
      <c r="E26" s="13" t="str">
        <f>IF(F26="","",IF(F26=0,"","L="))</f>
        <v/>
      </c>
      <c r="F26" s="97"/>
      <c r="G26" s="97"/>
      <c r="H26" s="14" t="str">
        <f>IF(F26="","",IF(F26=0,"","m"))</f>
        <v/>
      </c>
      <c r="K26" s="13" t="str">
        <f>IF(L26="","",IF(L26=0,"","L="))</f>
        <v/>
      </c>
      <c r="L26" s="97"/>
      <c r="M26" s="97"/>
      <c r="N26" s="14" t="str">
        <f>IF(L26="","",IF(L26=0,"","m"))</f>
        <v/>
      </c>
      <c r="Q26" s="2"/>
      <c r="R26" s="106" t="str">
        <f>IF(OR(S26="入力ｴﾗｰ",S26=0,S26="")=TRUE,"",IF(F26="","甲",IF(F26=0,"甲","")))</f>
        <v/>
      </c>
      <c r="S26" s="101" t="str">
        <f>IF((F26+I31+L26+O31)=0,"",IF((F26+I31+L26+O31)&gt;SUM($AC$1:$AC$3),"入力ｴﾗｰ",SUM($AC$1:$AC$3)-(F26+I31+L26+O31)))</f>
        <v/>
      </c>
      <c r="T26" s="102" t="str">
        <f>IF(S26="","",IF(S26="入力ｴﾗｰ","","m"))</f>
        <v/>
      </c>
      <c r="U26" s="94" t="str">
        <f>IF(B26="","",COUNT(F26,I31,L26,O31)-IF(S26=0,1,0)-V26)</f>
        <v/>
      </c>
      <c r="V26" s="95"/>
      <c r="W26" s="104"/>
      <c r="X26" s="103"/>
      <c r="Y26" s="103"/>
      <c r="Z26" s="103"/>
      <c r="AA26" s="99"/>
    </row>
    <row r="27" spans="2:29" ht="3" customHeight="1" x14ac:dyDescent="0.25">
      <c r="B27" s="96"/>
      <c r="C27" s="3"/>
      <c r="G27" s="3"/>
      <c r="H27" s="2"/>
      <c r="K27" s="3"/>
      <c r="L27" s="2"/>
      <c r="M27" s="3"/>
      <c r="Q27" s="2"/>
      <c r="R27" s="106"/>
      <c r="S27" s="101"/>
      <c r="T27" s="102"/>
      <c r="U27" s="94"/>
      <c r="V27" s="95"/>
      <c r="W27" s="104"/>
      <c r="X27" s="103"/>
      <c r="Y27" s="103"/>
      <c r="Z27" s="103"/>
      <c r="AA27" s="99"/>
    </row>
    <row r="28" spans="2:29" ht="3" customHeight="1" x14ac:dyDescent="0.25">
      <c r="B28" s="96"/>
      <c r="C28" s="3"/>
      <c r="E28" s="4"/>
      <c r="F28" s="55"/>
      <c r="G28" s="3"/>
      <c r="H28" s="2"/>
      <c r="K28" s="3"/>
      <c r="L28" s="2"/>
      <c r="M28" s="5"/>
      <c r="N28" s="4"/>
      <c r="Q28" s="2"/>
      <c r="R28" s="106"/>
      <c r="S28" s="101"/>
      <c r="T28" s="102"/>
      <c r="U28" s="94"/>
      <c r="V28" s="95"/>
      <c r="W28" s="104"/>
      <c r="X28" s="103"/>
      <c r="Y28" s="103"/>
      <c r="Z28" s="103"/>
      <c r="AA28" s="99"/>
    </row>
    <row r="29" spans="2:29" ht="3" customHeight="1" x14ac:dyDescent="0.25">
      <c r="B29" s="96"/>
      <c r="C29" s="3"/>
      <c r="E29" s="6"/>
      <c r="F29" s="6"/>
      <c r="G29" s="7"/>
      <c r="H29" s="8"/>
      <c r="I29" s="7"/>
      <c r="J29" s="8"/>
      <c r="K29" s="7"/>
      <c r="L29" s="8"/>
      <c r="M29" s="7"/>
      <c r="N29" s="6"/>
      <c r="Q29" s="2"/>
      <c r="R29" s="105" t="str">
        <f>IF(R26="甲","",IF(OR(S26=0,S26="")=TRUE,"",IF(S26="入力ｴﾗｰ","","乙")))</f>
        <v/>
      </c>
      <c r="S29" s="101"/>
      <c r="U29" s="94"/>
      <c r="V29" s="95"/>
      <c r="W29" s="104"/>
      <c r="X29" s="103"/>
      <c r="Y29" s="103"/>
      <c r="Z29" s="103"/>
      <c r="AA29" s="99"/>
    </row>
    <row r="30" spans="2:29" ht="3" customHeight="1" x14ac:dyDescent="0.25">
      <c r="B30" s="96"/>
      <c r="C30" s="3"/>
      <c r="F30" s="2"/>
      <c r="G30" s="3"/>
      <c r="H30" s="2"/>
      <c r="K30" s="3"/>
      <c r="L30" s="2"/>
      <c r="M30" s="3"/>
      <c r="Q30" s="2"/>
      <c r="R30" s="105"/>
      <c r="S30" s="101"/>
      <c r="U30" s="94"/>
      <c r="V30" s="95"/>
      <c r="W30" s="104"/>
      <c r="X30" s="103"/>
      <c r="Y30" s="103"/>
      <c r="Z30" s="103"/>
      <c r="AA30" s="99"/>
    </row>
    <row r="31" spans="2:29" ht="15" customHeight="1" x14ac:dyDescent="0.25">
      <c r="B31" s="96"/>
      <c r="C31" s="3"/>
      <c r="G31" s="18"/>
      <c r="H31" s="13" t="str">
        <f>IF(I31="","",IF(I31=0,"","L="))</f>
        <v/>
      </c>
      <c r="I31" s="97"/>
      <c r="J31" s="97"/>
      <c r="K31" s="14" t="str">
        <f>IF(I31="","",IF(I31=0,"","m"))</f>
        <v/>
      </c>
      <c r="N31" s="13" t="str">
        <f>IF(O31="","",IF(O31=0,"","L="))</f>
        <v/>
      </c>
      <c r="O31" s="97"/>
      <c r="P31" s="97"/>
      <c r="Q31" s="24" t="str">
        <f>IF(O31="","",IF(O31=0,"","m"))</f>
        <v/>
      </c>
      <c r="R31" s="105"/>
      <c r="S31" s="101"/>
      <c r="U31" s="94"/>
      <c r="V31" s="95"/>
      <c r="W31" s="104"/>
      <c r="X31" s="103"/>
      <c r="Y31" s="103"/>
      <c r="Z31" s="103"/>
      <c r="AA31" s="99"/>
      <c r="AC31" s="1">
        <f>IF(U26="",0,IF(U26&gt;SUM(W26:AA31),U26-SUM(W26:AA31),0))</f>
        <v>0</v>
      </c>
    </row>
    <row r="32" spans="2:29" ht="6" customHeight="1" x14ac:dyDescent="0.2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7"/>
      <c r="R32" s="16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2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0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25">
      <c r="B34" s="96" t="str">
        <f>IF(S34="","",IF(B26="","",1+B26))</f>
        <v/>
      </c>
      <c r="C34" s="3"/>
      <c r="E34" s="13" t="str">
        <f>IF(F34="","",IF(F34=0,"","L="))</f>
        <v/>
      </c>
      <c r="F34" s="97"/>
      <c r="G34" s="97"/>
      <c r="H34" s="14" t="str">
        <f>IF(F34="","",IF(F34=0,"","m"))</f>
        <v/>
      </c>
      <c r="K34" s="13" t="str">
        <f>IF(L34="","",IF(L34=0,"","L="))</f>
        <v/>
      </c>
      <c r="L34" s="97"/>
      <c r="M34" s="97"/>
      <c r="N34" s="14" t="str">
        <f>IF(L34="","",IF(L34=0,"","m"))</f>
        <v/>
      </c>
      <c r="Q34" s="2"/>
      <c r="R34" s="106" t="str">
        <f>IF(OR(S34="入力ｴﾗｰ",S34=0,S34="")=TRUE,"",IF(F34="","甲",IF(F34=0,"甲","")))</f>
        <v/>
      </c>
      <c r="S34" s="101" t="str">
        <f>IF((F34+I39+L34+O39)=0,"",IF((F34+I39+L34+O39)&gt;SUM($AC$1:$AC$3),"入力ｴﾗｰ",SUM($AC$1:$AC$3)-(F34+I39+L34+O39)))</f>
        <v/>
      </c>
      <c r="T34" s="102" t="str">
        <f>IF(S34="","",IF(S34="入力ｴﾗｰ","","m"))</f>
        <v/>
      </c>
      <c r="U34" s="94" t="str">
        <f>IF(B34="","",COUNT(F34,I39,L34,O39)-IF(S34=0,1,0)-V34)</f>
        <v/>
      </c>
      <c r="V34" s="95"/>
      <c r="W34" s="104"/>
      <c r="X34" s="103"/>
      <c r="Y34" s="103"/>
      <c r="Z34" s="103"/>
      <c r="AA34" s="99"/>
    </row>
    <row r="35" spans="2:29" ht="3" customHeight="1" x14ac:dyDescent="0.25">
      <c r="B35" s="96"/>
      <c r="C35" s="3"/>
      <c r="G35" s="3"/>
      <c r="H35" s="2"/>
      <c r="K35" s="3"/>
      <c r="L35" s="2"/>
      <c r="M35" s="3"/>
      <c r="Q35" s="2"/>
      <c r="R35" s="106"/>
      <c r="S35" s="101"/>
      <c r="T35" s="102"/>
      <c r="U35" s="94"/>
      <c r="V35" s="95"/>
      <c r="W35" s="104"/>
      <c r="X35" s="103"/>
      <c r="Y35" s="103"/>
      <c r="Z35" s="103"/>
      <c r="AA35" s="99"/>
    </row>
    <row r="36" spans="2:29" ht="3" customHeight="1" x14ac:dyDescent="0.25">
      <c r="B36" s="96"/>
      <c r="C36" s="3"/>
      <c r="G36" s="3"/>
      <c r="H36" s="2"/>
      <c r="K36" s="3"/>
      <c r="L36" s="2"/>
      <c r="M36" s="5"/>
      <c r="N36" s="4"/>
      <c r="Q36" s="2"/>
      <c r="R36" s="106"/>
      <c r="S36" s="101"/>
      <c r="T36" s="102"/>
      <c r="U36" s="94"/>
      <c r="V36" s="95"/>
      <c r="W36" s="104"/>
      <c r="X36" s="103"/>
      <c r="Y36" s="103"/>
      <c r="Z36" s="103"/>
      <c r="AA36" s="99"/>
    </row>
    <row r="37" spans="2:29" ht="3" customHeight="1" x14ac:dyDescent="0.25">
      <c r="B37" s="96"/>
      <c r="C37" s="3"/>
      <c r="E37" s="6"/>
      <c r="F37" s="6"/>
      <c r="G37" s="7"/>
      <c r="H37" s="8"/>
      <c r="I37" s="7"/>
      <c r="J37" s="8"/>
      <c r="K37" s="7"/>
      <c r="L37" s="8"/>
      <c r="M37" s="7"/>
      <c r="N37" s="6"/>
      <c r="Q37" s="2"/>
      <c r="R37" s="105" t="str">
        <f>IF(R34="甲","",IF(OR(S34=0,S34="")=TRUE,"",IF(S34="入力ｴﾗｰ","","乙")))</f>
        <v/>
      </c>
      <c r="S37" s="101"/>
      <c r="U37" s="94"/>
      <c r="V37" s="95"/>
      <c r="W37" s="104"/>
      <c r="X37" s="103"/>
      <c r="Y37" s="103"/>
      <c r="Z37" s="103"/>
      <c r="AA37" s="99"/>
    </row>
    <row r="38" spans="2:29" ht="3" customHeight="1" x14ac:dyDescent="0.25">
      <c r="B38" s="96"/>
      <c r="C38" s="3"/>
      <c r="F38" s="2"/>
      <c r="G38" s="3"/>
      <c r="H38" s="2"/>
      <c r="K38" s="3"/>
      <c r="L38" s="2"/>
      <c r="M38" s="3"/>
      <c r="Q38" s="2"/>
      <c r="R38" s="105"/>
      <c r="S38" s="101"/>
      <c r="U38" s="94"/>
      <c r="V38" s="95"/>
      <c r="W38" s="104"/>
      <c r="X38" s="103"/>
      <c r="Y38" s="103"/>
      <c r="Z38" s="103"/>
      <c r="AA38" s="99"/>
    </row>
    <row r="39" spans="2:29" ht="15" customHeight="1" x14ac:dyDescent="0.25">
      <c r="B39" s="96"/>
      <c r="C39" s="3"/>
      <c r="G39" s="18"/>
      <c r="H39" s="13" t="str">
        <f>IF(I39="","",IF(I39=0,"","L="))</f>
        <v/>
      </c>
      <c r="I39" s="97"/>
      <c r="J39" s="97"/>
      <c r="K39" s="14" t="str">
        <f>IF(I39="","",IF(I39=0,"","m"))</f>
        <v/>
      </c>
      <c r="N39" s="13" t="str">
        <f>IF(O39="","",IF(O39=0,"","L="))</f>
        <v/>
      </c>
      <c r="O39" s="97"/>
      <c r="P39" s="97"/>
      <c r="Q39" s="24" t="str">
        <f>IF(O39="","",IF(O39=0,"","m"))</f>
        <v/>
      </c>
      <c r="R39" s="105"/>
      <c r="S39" s="101"/>
      <c r="U39" s="94"/>
      <c r="V39" s="95"/>
      <c r="W39" s="104"/>
      <c r="X39" s="103"/>
      <c r="Y39" s="103"/>
      <c r="Z39" s="103"/>
      <c r="AA39" s="99"/>
      <c r="AC39" s="1">
        <f>IF(U34="",0,IF(U34&gt;SUM(W34:AA39),U34-SUM(W34:AA39),0))</f>
        <v>0</v>
      </c>
    </row>
    <row r="40" spans="2:29" ht="6" customHeight="1" x14ac:dyDescent="0.2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/>
      <c r="R40" s="16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2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0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25">
      <c r="B42" s="96" t="str">
        <f>IF(S42="","",IF(B34="","",1+B34))</f>
        <v/>
      </c>
      <c r="C42" s="3"/>
      <c r="E42" s="13" t="str">
        <f>IF(F42="","",IF(F42=0,"","L="))</f>
        <v/>
      </c>
      <c r="F42" s="97"/>
      <c r="G42" s="97"/>
      <c r="H42" s="14" t="str">
        <f>IF(F42="","",IF(F42=0,"","m"))</f>
        <v/>
      </c>
      <c r="K42" s="13" t="str">
        <f>IF(L42="","",IF(L42=0,"","L="))</f>
        <v/>
      </c>
      <c r="L42" s="97"/>
      <c r="M42" s="97"/>
      <c r="N42" s="14" t="str">
        <f>IF(L42="","",IF(L42=0,"","m"))</f>
        <v/>
      </c>
      <c r="Q42" s="2"/>
      <c r="R42" s="106" t="str">
        <f>IF(OR(S42="入力ｴﾗｰ",S42=0,S42="")=TRUE,"",IF(F42="","甲",IF(F42=0,"甲","")))</f>
        <v/>
      </c>
      <c r="S42" s="101" t="str">
        <f>IF((F42+I47+L42+O47)=0,"",IF((F42+I47+L42+O47)&gt;SUM($AC$1:$AC$3),"入力ｴﾗｰ",SUM($AC$1:$AC$3)-(F42+I47+L42+O47)))</f>
        <v/>
      </c>
      <c r="T42" s="102" t="str">
        <f>IF(S42="","",IF(S42="入力ｴﾗｰ","","m"))</f>
        <v/>
      </c>
      <c r="U42" s="94" t="str">
        <f>IF(B42="","",COUNT(F42,I47,L42,O47)-IF(S42=0,1,0)-V42)</f>
        <v/>
      </c>
      <c r="V42" s="95"/>
      <c r="W42" s="104"/>
      <c r="X42" s="103"/>
      <c r="Y42" s="103"/>
      <c r="Z42" s="103"/>
      <c r="AA42" s="99"/>
    </row>
    <row r="43" spans="2:29" ht="3" customHeight="1" x14ac:dyDescent="0.25">
      <c r="B43" s="96"/>
      <c r="C43" s="3"/>
      <c r="G43" s="3"/>
      <c r="H43" s="2"/>
      <c r="K43" s="3"/>
      <c r="L43" s="2"/>
      <c r="M43" s="3"/>
      <c r="Q43" s="2"/>
      <c r="R43" s="106"/>
      <c r="S43" s="101"/>
      <c r="T43" s="102"/>
      <c r="U43" s="94"/>
      <c r="V43" s="95"/>
      <c r="W43" s="104"/>
      <c r="X43" s="103"/>
      <c r="Y43" s="103"/>
      <c r="Z43" s="103"/>
      <c r="AA43" s="99"/>
    </row>
    <row r="44" spans="2:29" ht="3" customHeight="1" x14ac:dyDescent="0.25">
      <c r="B44" s="96"/>
      <c r="C44" s="3"/>
      <c r="G44" s="3"/>
      <c r="H44" s="2"/>
      <c r="K44" s="3"/>
      <c r="L44" s="2"/>
      <c r="M44" s="5"/>
      <c r="N44" s="4"/>
      <c r="Q44" s="2"/>
      <c r="R44" s="106"/>
      <c r="S44" s="101"/>
      <c r="T44" s="102"/>
      <c r="U44" s="94"/>
      <c r="V44" s="95"/>
      <c r="W44" s="104"/>
      <c r="X44" s="103"/>
      <c r="Y44" s="103"/>
      <c r="Z44" s="103"/>
      <c r="AA44" s="99"/>
    </row>
    <row r="45" spans="2:29" ht="3" customHeight="1" x14ac:dyDescent="0.25">
      <c r="B45" s="96"/>
      <c r="C45" s="3"/>
      <c r="E45" s="6"/>
      <c r="F45" s="6"/>
      <c r="G45" s="7"/>
      <c r="H45" s="8"/>
      <c r="I45" s="7"/>
      <c r="J45" s="8"/>
      <c r="K45" s="7"/>
      <c r="L45" s="8"/>
      <c r="M45" s="7"/>
      <c r="N45" s="6"/>
      <c r="Q45" s="2"/>
      <c r="R45" s="105" t="str">
        <f>IF(R42="甲","",IF(OR(S42=0,S42="")=TRUE,"",IF(S42="入力ｴﾗｰ","","乙")))</f>
        <v/>
      </c>
      <c r="S45" s="101"/>
      <c r="U45" s="94"/>
      <c r="V45" s="95"/>
      <c r="W45" s="104"/>
      <c r="X45" s="103"/>
      <c r="Y45" s="103"/>
      <c r="Z45" s="103"/>
      <c r="AA45" s="99"/>
    </row>
    <row r="46" spans="2:29" ht="3" customHeight="1" x14ac:dyDescent="0.25">
      <c r="B46" s="96"/>
      <c r="C46" s="3"/>
      <c r="F46" s="2"/>
      <c r="G46" s="3"/>
      <c r="H46" s="2"/>
      <c r="K46" s="3"/>
      <c r="L46" s="2"/>
      <c r="M46" s="3"/>
      <c r="Q46" s="2"/>
      <c r="R46" s="105"/>
      <c r="S46" s="101"/>
      <c r="U46" s="94"/>
      <c r="V46" s="95"/>
      <c r="W46" s="104"/>
      <c r="X46" s="103"/>
      <c r="Y46" s="103"/>
      <c r="Z46" s="103"/>
      <c r="AA46" s="99"/>
    </row>
    <row r="47" spans="2:29" ht="15" customHeight="1" x14ac:dyDescent="0.25">
      <c r="B47" s="96"/>
      <c r="C47" s="3"/>
      <c r="G47" s="18"/>
      <c r="H47" s="13" t="str">
        <f>IF(I47="","",IF(I47=0,"","L="))</f>
        <v/>
      </c>
      <c r="I47" s="97"/>
      <c r="J47" s="97"/>
      <c r="K47" s="14" t="str">
        <f>IF(I47="","",IF(I47=0,"","m"))</f>
        <v/>
      </c>
      <c r="N47" s="13" t="str">
        <f>IF(O47="","",IF(O47=0,"","L="))</f>
        <v/>
      </c>
      <c r="O47" s="97"/>
      <c r="P47" s="97"/>
      <c r="Q47" s="24" t="str">
        <f>IF(O47="","",IF(O47=0,"","m"))</f>
        <v/>
      </c>
      <c r="R47" s="105"/>
      <c r="S47" s="101"/>
      <c r="U47" s="94"/>
      <c r="V47" s="95"/>
      <c r="W47" s="104"/>
      <c r="X47" s="103"/>
      <c r="Y47" s="103"/>
      <c r="Z47" s="103"/>
      <c r="AA47" s="99"/>
      <c r="AC47" s="1">
        <f>IF(U42="",0,IF(U42&gt;SUM(W42:AA47),U42-SUM(W42:AA47),0))</f>
        <v>0</v>
      </c>
    </row>
    <row r="48" spans="2:29" ht="6" customHeight="1" x14ac:dyDescent="0.2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  <c r="R48" s="16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2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0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25">
      <c r="B50" s="96" t="str">
        <f>IF(S50="","",IF(B42="","",1+B42))</f>
        <v/>
      </c>
      <c r="C50" s="3"/>
      <c r="E50" s="13" t="str">
        <f>IF(F50="","",IF(F50=0,"","L="))</f>
        <v/>
      </c>
      <c r="F50" s="97"/>
      <c r="G50" s="97"/>
      <c r="H50" s="14" t="str">
        <f>IF(F50="","",IF(F50=0,"","m"))</f>
        <v/>
      </c>
      <c r="K50" s="13" t="str">
        <f>IF(L50="","",IF(L50=0,"","L="))</f>
        <v/>
      </c>
      <c r="L50" s="97"/>
      <c r="M50" s="97"/>
      <c r="N50" s="14" t="str">
        <f>IF(L50="","",IF(L50=0,"","m"))</f>
        <v/>
      </c>
      <c r="Q50" s="2"/>
      <c r="R50" s="106" t="str">
        <f>IF(OR(S50="入力ｴﾗｰ",S50=0,S50="")=TRUE,"",IF(F50="","甲",IF(F50=0,"甲","")))</f>
        <v/>
      </c>
      <c r="S50" s="101" t="str">
        <f>IF((F50+I55+L50+O55)=0,"",IF((F50+I55+L50+O55)&gt;SUM($AC$1:$AC$3),"入力ｴﾗｰ",SUM($AC$1:$AC$3)-(F50+I55+L50+O55)))</f>
        <v/>
      </c>
      <c r="T50" s="102" t="str">
        <f>IF(S50="","",IF(S50="入力ｴﾗｰ","","m"))</f>
        <v/>
      </c>
      <c r="U50" s="94" t="str">
        <f>IF(B50="","",COUNT(F50,I55,L50,O55)-IF(S50=0,1,0)-V50)</f>
        <v/>
      </c>
      <c r="V50" s="95"/>
      <c r="W50" s="104"/>
      <c r="X50" s="103"/>
      <c r="Y50" s="103"/>
      <c r="Z50" s="103"/>
      <c r="AA50" s="99"/>
    </row>
    <row r="51" spans="2:29" ht="3" customHeight="1" x14ac:dyDescent="0.25">
      <c r="B51" s="96"/>
      <c r="C51" s="3"/>
      <c r="G51" s="3"/>
      <c r="H51" s="2"/>
      <c r="K51" s="3"/>
      <c r="L51" s="2"/>
      <c r="M51" s="3"/>
      <c r="Q51" s="2"/>
      <c r="R51" s="106"/>
      <c r="S51" s="101"/>
      <c r="T51" s="102"/>
      <c r="U51" s="94"/>
      <c r="V51" s="95"/>
      <c r="W51" s="104"/>
      <c r="X51" s="103"/>
      <c r="Y51" s="103"/>
      <c r="Z51" s="103"/>
      <c r="AA51" s="99"/>
    </row>
    <row r="52" spans="2:29" ht="3" customHeight="1" x14ac:dyDescent="0.25">
      <c r="B52" s="96"/>
      <c r="C52" s="3"/>
      <c r="G52" s="3"/>
      <c r="H52" s="2"/>
      <c r="K52" s="3"/>
      <c r="L52" s="2"/>
      <c r="M52" s="5"/>
      <c r="N52" s="4"/>
      <c r="Q52" s="2"/>
      <c r="R52" s="106"/>
      <c r="S52" s="101"/>
      <c r="T52" s="102"/>
      <c r="U52" s="94"/>
      <c r="V52" s="95"/>
      <c r="W52" s="104"/>
      <c r="X52" s="103"/>
      <c r="Y52" s="103"/>
      <c r="Z52" s="103"/>
      <c r="AA52" s="99"/>
    </row>
    <row r="53" spans="2:29" ht="3" customHeight="1" x14ac:dyDescent="0.25">
      <c r="B53" s="96"/>
      <c r="C53" s="3"/>
      <c r="E53" s="6"/>
      <c r="F53" s="6"/>
      <c r="G53" s="7"/>
      <c r="H53" s="8"/>
      <c r="I53" s="7"/>
      <c r="J53" s="8"/>
      <c r="K53" s="7"/>
      <c r="L53" s="8"/>
      <c r="M53" s="7"/>
      <c r="N53" s="6"/>
      <c r="Q53" s="2"/>
      <c r="R53" s="105" t="str">
        <f>IF(R50="甲","",IF(OR(S50=0,S50="")=TRUE,"",IF(S50="入力ｴﾗｰ","","乙")))</f>
        <v/>
      </c>
      <c r="S53" s="101"/>
      <c r="U53" s="94"/>
      <c r="V53" s="95"/>
      <c r="W53" s="104"/>
      <c r="X53" s="103"/>
      <c r="Y53" s="103"/>
      <c r="Z53" s="103"/>
      <c r="AA53" s="99"/>
    </row>
    <row r="54" spans="2:29" ht="3" customHeight="1" x14ac:dyDescent="0.25">
      <c r="B54" s="96"/>
      <c r="C54" s="3"/>
      <c r="F54" s="2"/>
      <c r="G54" s="3"/>
      <c r="H54" s="2"/>
      <c r="K54" s="3"/>
      <c r="L54" s="2"/>
      <c r="M54" s="3"/>
      <c r="Q54" s="2"/>
      <c r="R54" s="105"/>
      <c r="S54" s="101"/>
      <c r="U54" s="94"/>
      <c r="V54" s="95"/>
      <c r="W54" s="104"/>
      <c r="X54" s="103"/>
      <c r="Y54" s="103"/>
      <c r="Z54" s="103"/>
      <c r="AA54" s="99"/>
    </row>
    <row r="55" spans="2:29" ht="15" customHeight="1" x14ac:dyDescent="0.25">
      <c r="B55" s="96"/>
      <c r="C55" s="3"/>
      <c r="G55" s="18"/>
      <c r="H55" s="13" t="str">
        <f>IF(I55="","",IF(I55=0,"","L="))</f>
        <v/>
      </c>
      <c r="I55" s="97"/>
      <c r="J55" s="97"/>
      <c r="K55" s="14" t="str">
        <f>IF(I55="","",IF(I55=0,"","m"))</f>
        <v/>
      </c>
      <c r="N55" s="13" t="str">
        <f>IF(O55="","",IF(O55=0,"","L="))</f>
        <v/>
      </c>
      <c r="O55" s="97"/>
      <c r="P55" s="97"/>
      <c r="Q55" s="24" t="str">
        <f>IF(O55="","",IF(O55=0,"","m"))</f>
        <v/>
      </c>
      <c r="R55" s="105"/>
      <c r="S55" s="101"/>
      <c r="U55" s="94"/>
      <c r="V55" s="95"/>
      <c r="W55" s="104"/>
      <c r="X55" s="103"/>
      <c r="Y55" s="103"/>
      <c r="Z55" s="103"/>
      <c r="AA55" s="99"/>
      <c r="AC55" s="1">
        <f>IF(U50="",0,IF(U50&gt;SUM(W50:AA55),U50-SUM(W50:AA55),0))</f>
        <v>0</v>
      </c>
    </row>
    <row r="56" spans="2:29" ht="6" customHeight="1" x14ac:dyDescent="0.2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7"/>
      <c r="R56" s="16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2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1"/>
      <c r="R57" s="10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25">
      <c r="B58" s="96" t="str">
        <f>IF(S58="","",IF(B50="","",1+B50))</f>
        <v/>
      </c>
      <c r="C58" s="3"/>
      <c r="E58" s="13" t="str">
        <f>IF(F58="","",IF(F58=0,"","L="))</f>
        <v/>
      </c>
      <c r="F58" s="97"/>
      <c r="G58" s="97"/>
      <c r="H58" s="14" t="str">
        <f>IF(F58="","",IF(F58=0,"","m"))</f>
        <v/>
      </c>
      <c r="K58" s="13" t="str">
        <f>IF(L58="","",IF(L58=0,"","L="))</f>
        <v/>
      </c>
      <c r="L58" s="97"/>
      <c r="M58" s="97"/>
      <c r="N58" s="14" t="str">
        <f>IF(L58="","",IF(L58=0,"","m"))</f>
        <v/>
      </c>
      <c r="Q58" s="2"/>
      <c r="R58" s="106" t="str">
        <f>IF(OR(S58="入力ｴﾗｰ",S58=0,S58="")=TRUE,"",IF(F58="","甲",IF(F58=0,"甲","")))</f>
        <v/>
      </c>
      <c r="S58" s="101" t="str">
        <f>IF((F58+I63+L58+O63)=0,"",IF((F58+I63+L58+O63)&gt;SUM($AC$1:$AC$3),"入力ｴﾗｰ",SUM($AC$1:$AC$3)-(F58+I63+L58+O63)))</f>
        <v/>
      </c>
      <c r="T58" s="102" t="str">
        <f>IF(S58="","",IF(S58="入力ｴﾗｰ","","m"))</f>
        <v/>
      </c>
      <c r="U58" s="94" t="str">
        <f>IF(B58="","",COUNT(F58,I63,L58,O63)-IF(S58=0,1,0)-V58)</f>
        <v/>
      </c>
      <c r="V58" s="95"/>
      <c r="W58" s="104"/>
      <c r="X58" s="103"/>
      <c r="Y58" s="103"/>
      <c r="Z58" s="103"/>
      <c r="AA58" s="99"/>
    </row>
    <row r="59" spans="2:29" ht="3" customHeight="1" x14ac:dyDescent="0.25">
      <c r="B59" s="96"/>
      <c r="C59" s="3"/>
      <c r="G59" s="3"/>
      <c r="H59" s="2"/>
      <c r="K59" s="3"/>
      <c r="L59" s="2"/>
      <c r="M59" s="3"/>
      <c r="Q59" s="2"/>
      <c r="R59" s="106"/>
      <c r="S59" s="101"/>
      <c r="T59" s="102"/>
      <c r="U59" s="94"/>
      <c r="V59" s="95"/>
      <c r="W59" s="104"/>
      <c r="X59" s="103"/>
      <c r="Y59" s="103"/>
      <c r="Z59" s="103"/>
      <c r="AA59" s="99"/>
    </row>
    <row r="60" spans="2:29" ht="3" customHeight="1" x14ac:dyDescent="0.25">
      <c r="B60" s="96"/>
      <c r="C60" s="3"/>
      <c r="G60" s="3"/>
      <c r="H60" s="2"/>
      <c r="K60" s="3"/>
      <c r="L60" s="2"/>
      <c r="M60" s="5"/>
      <c r="N60" s="4"/>
      <c r="Q60" s="2"/>
      <c r="R60" s="106"/>
      <c r="S60" s="101"/>
      <c r="T60" s="102"/>
      <c r="U60" s="94"/>
      <c r="V60" s="95"/>
      <c r="W60" s="104"/>
      <c r="X60" s="103"/>
      <c r="Y60" s="103"/>
      <c r="Z60" s="103"/>
      <c r="AA60" s="99"/>
    </row>
    <row r="61" spans="2:29" ht="3" customHeight="1" x14ac:dyDescent="0.25">
      <c r="B61" s="96"/>
      <c r="C61" s="3"/>
      <c r="E61" s="6"/>
      <c r="F61" s="6"/>
      <c r="G61" s="7"/>
      <c r="H61" s="8"/>
      <c r="I61" s="7"/>
      <c r="J61" s="8"/>
      <c r="K61" s="7"/>
      <c r="L61" s="8"/>
      <c r="M61" s="7"/>
      <c r="N61" s="6"/>
      <c r="Q61" s="2"/>
      <c r="R61" s="105" t="str">
        <f>IF(R58="甲","",IF(OR(S58=0,S58="")=TRUE,"",IF(S58="入力ｴﾗｰ","","乙")))</f>
        <v/>
      </c>
      <c r="S61" s="101"/>
      <c r="U61" s="94"/>
      <c r="V61" s="95"/>
      <c r="W61" s="104"/>
      <c r="X61" s="103"/>
      <c r="Y61" s="103"/>
      <c r="Z61" s="103"/>
      <c r="AA61" s="99"/>
    </row>
    <row r="62" spans="2:29" ht="3" customHeight="1" x14ac:dyDescent="0.25">
      <c r="B62" s="96"/>
      <c r="C62" s="3"/>
      <c r="F62" s="2"/>
      <c r="G62" s="3"/>
      <c r="H62" s="2"/>
      <c r="K62" s="3"/>
      <c r="L62" s="2"/>
      <c r="M62" s="3"/>
      <c r="Q62" s="2"/>
      <c r="R62" s="105"/>
      <c r="S62" s="101"/>
      <c r="U62" s="94"/>
      <c r="V62" s="95"/>
      <c r="W62" s="104"/>
      <c r="X62" s="103"/>
      <c r="Y62" s="103"/>
      <c r="Z62" s="103"/>
      <c r="AA62" s="99"/>
    </row>
    <row r="63" spans="2:29" ht="15" customHeight="1" x14ac:dyDescent="0.25">
      <c r="B63" s="96"/>
      <c r="C63" s="3"/>
      <c r="G63" s="18"/>
      <c r="H63" s="13" t="str">
        <f>IF(I63="","",IF(I63=0,"","L="))</f>
        <v/>
      </c>
      <c r="I63" s="97"/>
      <c r="J63" s="97"/>
      <c r="K63" s="14"/>
      <c r="N63" s="13" t="str">
        <f>IF(O63="","",IF(O63=0,"","L="))</f>
        <v/>
      </c>
      <c r="O63" s="97"/>
      <c r="P63" s="97"/>
      <c r="Q63" s="24" t="str">
        <f>IF(O63="","",IF(O63=0,"","m"))</f>
        <v/>
      </c>
      <c r="R63" s="105"/>
      <c r="S63" s="101"/>
      <c r="U63" s="94"/>
      <c r="V63" s="95"/>
      <c r="W63" s="104"/>
      <c r="X63" s="103"/>
      <c r="Y63" s="103"/>
      <c r="Z63" s="103"/>
      <c r="AA63" s="99"/>
      <c r="AC63" s="1">
        <f>IF(U58="",0,IF(U58&gt;SUM(W58:AA63),U58-SUM(W58:AA63),0))</f>
        <v>0</v>
      </c>
    </row>
    <row r="64" spans="2:29" ht="6" customHeight="1" x14ac:dyDescent="0.2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6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2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1"/>
      <c r="R65" s="10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25">
      <c r="B66" s="96" t="str">
        <f>IF(S66="","",IF(B58="","",1+B58))</f>
        <v/>
      </c>
      <c r="C66" s="3"/>
      <c r="E66" s="13" t="str">
        <f>IF(F66="","",IF(F66=0,"","L="))</f>
        <v/>
      </c>
      <c r="F66" s="97"/>
      <c r="G66" s="97"/>
      <c r="H66" s="14"/>
      <c r="K66" s="13" t="str">
        <f>IF(L66="","",IF(L66=0,"","L="))</f>
        <v/>
      </c>
      <c r="L66" s="97"/>
      <c r="M66" s="97"/>
      <c r="N66" s="14" t="str">
        <f>IF(L66="","",IF(L66=0,"","m"))</f>
        <v/>
      </c>
      <c r="Q66" s="2"/>
      <c r="R66" s="106" t="str">
        <f>IF(OR(S66="入力ｴﾗｰ",S66=0,S66="")=TRUE,"",IF(F66="","甲",IF(F66=0,"甲","")))</f>
        <v/>
      </c>
      <c r="S66" s="101" t="str">
        <f>IF((F66+I71+L66+O71)=0,"",IF((F66+I71+L66+O71)&gt;SUM($AC$1:$AC$3),"入力ｴﾗｰ",SUM($AC$1:$AC$3)-(F66+I71+L66+O71)))</f>
        <v/>
      </c>
      <c r="T66" s="102" t="str">
        <f>IF(S66="","",IF(S66="入力ｴﾗｰ","","m"))</f>
        <v/>
      </c>
      <c r="U66" s="94" t="str">
        <f>IF(B66="","",COUNT(F66,I71,L66,O71)-IF(S66=0,1,0)-V66)</f>
        <v/>
      </c>
      <c r="V66" s="95"/>
      <c r="W66" s="104"/>
      <c r="X66" s="103"/>
      <c r="Y66" s="103"/>
      <c r="Z66" s="103"/>
      <c r="AA66" s="99"/>
    </row>
    <row r="67" spans="2:29" ht="3" customHeight="1" x14ac:dyDescent="0.25">
      <c r="B67" s="96"/>
      <c r="C67" s="3"/>
      <c r="G67" s="3"/>
      <c r="H67" s="2"/>
      <c r="K67" s="3"/>
      <c r="L67" s="2"/>
      <c r="M67" s="3"/>
      <c r="Q67" s="2"/>
      <c r="R67" s="106"/>
      <c r="S67" s="101"/>
      <c r="T67" s="102"/>
      <c r="U67" s="94"/>
      <c r="V67" s="95"/>
      <c r="W67" s="104"/>
      <c r="X67" s="103"/>
      <c r="Y67" s="103"/>
      <c r="Z67" s="103"/>
      <c r="AA67" s="99"/>
    </row>
    <row r="68" spans="2:29" ht="3" customHeight="1" x14ac:dyDescent="0.25">
      <c r="B68" s="96"/>
      <c r="C68" s="3"/>
      <c r="G68" s="3"/>
      <c r="H68" s="2"/>
      <c r="K68" s="3"/>
      <c r="L68" s="2"/>
      <c r="M68" s="5"/>
      <c r="N68" s="4"/>
      <c r="Q68" s="2"/>
      <c r="R68" s="106"/>
      <c r="S68" s="101"/>
      <c r="T68" s="102"/>
      <c r="U68" s="94"/>
      <c r="V68" s="95"/>
      <c r="W68" s="104"/>
      <c r="X68" s="103"/>
      <c r="Y68" s="103"/>
      <c r="Z68" s="103"/>
      <c r="AA68" s="99"/>
    </row>
    <row r="69" spans="2:29" ht="3" customHeight="1" x14ac:dyDescent="0.25">
      <c r="B69" s="96"/>
      <c r="C69" s="3"/>
      <c r="E69" s="6"/>
      <c r="F69" s="6"/>
      <c r="G69" s="7"/>
      <c r="H69" s="8"/>
      <c r="I69" s="7"/>
      <c r="J69" s="8"/>
      <c r="K69" s="7"/>
      <c r="L69" s="8"/>
      <c r="M69" s="7"/>
      <c r="N69" s="6"/>
      <c r="Q69" s="2"/>
      <c r="R69" s="105" t="str">
        <f>IF(R66="甲","",IF(OR(S66=0,S66="")=TRUE,"",IF(S66="入力ｴﾗｰ","","乙")))</f>
        <v/>
      </c>
      <c r="S69" s="101"/>
      <c r="U69" s="94"/>
      <c r="V69" s="95"/>
      <c r="W69" s="104"/>
      <c r="X69" s="103"/>
      <c r="Y69" s="103"/>
      <c r="Z69" s="103"/>
      <c r="AA69" s="99"/>
    </row>
    <row r="70" spans="2:29" ht="3" customHeight="1" x14ac:dyDescent="0.25">
      <c r="B70" s="96"/>
      <c r="C70" s="3"/>
      <c r="F70" s="2"/>
      <c r="G70" s="3"/>
      <c r="H70" s="2"/>
      <c r="K70" s="3"/>
      <c r="L70" s="2"/>
      <c r="M70" s="3"/>
      <c r="Q70" s="2"/>
      <c r="R70" s="105"/>
      <c r="S70" s="101"/>
      <c r="U70" s="94"/>
      <c r="V70" s="95"/>
      <c r="W70" s="104"/>
      <c r="X70" s="103"/>
      <c r="Y70" s="103"/>
      <c r="Z70" s="103"/>
      <c r="AA70" s="99"/>
    </row>
    <row r="71" spans="2:29" ht="15" customHeight="1" x14ac:dyDescent="0.25">
      <c r="B71" s="96"/>
      <c r="C71" s="3"/>
      <c r="G71" s="18"/>
      <c r="H71" s="13" t="str">
        <f>IF(I71="","",IF(I71=0,"","L="))</f>
        <v/>
      </c>
      <c r="I71" s="97"/>
      <c r="J71" s="97"/>
      <c r="K71" s="14"/>
      <c r="N71" s="13" t="str">
        <f>IF(O71="","",IF(O71=0,"","L="))</f>
        <v/>
      </c>
      <c r="O71" s="97"/>
      <c r="P71" s="97"/>
      <c r="Q71" s="24" t="str">
        <f>IF(O71="","",IF(O71=0,"","m"))</f>
        <v/>
      </c>
      <c r="R71" s="105"/>
      <c r="S71" s="101"/>
      <c r="U71" s="94"/>
      <c r="V71" s="95"/>
      <c r="W71" s="104"/>
      <c r="X71" s="103"/>
      <c r="Y71" s="103"/>
      <c r="Z71" s="103"/>
      <c r="AA71" s="99"/>
      <c r="AC71" s="1">
        <f>IF(U66="",0,IF(U66&gt;SUM(W66:AA71),U66-SUM(W66:AA71),0))</f>
        <v>0</v>
      </c>
    </row>
    <row r="72" spans="2:29" ht="6" customHeight="1" x14ac:dyDescent="0.2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/>
      <c r="R72" s="16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2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1"/>
      <c r="R73" s="10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25">
      <c r="B74" s="96" t="str">
        <f>IF(S74="","",IF(B66="","",1+B66))</f>
        <v/>
      </c>
      <c r="C74" s="3"/>
      <c r="E74" s="13" t="str">
        <f>IF(F74="","",IF(F74=0,"","L="))</f>
        <v/>
      </c>
      <c r="F74" s="97"/>
      <c r="G74" s="97"/>
      <c r="H74" s="14"/>
      <c r="K74" s="13" t="str">
        <f>IF(L74="","",IF(L74=0,"","L="))</f>
        <v/>
      </c>
      <c r="L74" s="97"/>
      <c r="M74" s="97"/>
      <c r="N74" s="14" t="str">
        <f>IF(L74="","",IF(L74=0,"","m"))</f>
        <v/>
      </c>
      <c r="Q74" s="2"/>
      <c r="R74" s="106" t="str">
        <f>IF(OR(S74="入力ｴﾗｰ",S74=0,S74="")=TRUE,"",IF(F74="","甲",IF(F74=0,"甲","")))</f>
        <v/>
      </c>
      <c r="S74" s="101" t="str">
        <f>IF((F74+I79+L74+O79)=0,"",IF((F74+I79+L74+O79)&gt;SUM($AC$1:$AC$3),"入力ｴﾗｰ",SUM($AC$1:$AC$3)-(F74+I79+L74+O79)))</f>
        <v/>
      </c>
      <c r="T74" s="102" t="str">
        <f>IF(S74="","",IF(S74="入力ｴﾗｰ","","m"))</f>
        <v/>
      </c>
      <c r="U74" s="94" t="str">
        <f>IF(B74="","",COUNT(F74,I79,L74,O79)-IF(S74=0,1,0)-V74)</f>
        <v/>
      </c>
      <c r="V74" s="95"/>
      <c r="W74" s="104"/>
      <c r="X74" s="103"/>
      <c r="Y74" s="103"/>
      <c r="Z74" s="103"/>
      <c r="AA74" s="99"/>
    </row>
    <row r="75" spans="2:29" ht="3" customHeight="1" x14ac:dyDescent="0.25">
      <c r="B75" s="96"/>
      <c r="C75" s="3"/>
      <c r="G75" s="3"/>
      <c r="H75" s="2"/>
      <c r="K75" s="3"/>
      <c r="L75" s="2"/>
      <c r="M75" s="3"/>
      <c r="Q75" s="2"/>
      <c r="R75" s="106"/>
      <c r="S75" s="101"/>
      <c r="T75" s="102"/>
      <c r="U75" s="94"/>
      <c r="V75" s="95"/>
      <c r="W75" s="104"/>
      <c r="X75" s="103"/>
      <c r="Y75" s="103"/>
      <c r="Z75" s="103"/>
      <c r="AA75" s="99"/>
    </row>
    <row r="76" spans="2:29" ht="3" customHeight="1" x14ac:dyDescent="0.25">
      <c r="B76" s="96"/>
      <c r="C76" s="3"/>
      <c r="G76" s="3"/>
      <c r="H76" s="2"/>
      <c r="K76" s="3"/>
      <c r="L76" s="2"/>
      <c r="M76" s="5"/>
      <c r="N76" s="4"/>
      <c r="Q76" s="2"/>
      <c r="R76" s="106"/>
      <c r="S76" s="101"/>
      <c r="T76" s="102"/>
      <c r="U76" s="94"/>
      <c r="V76" s="95"/>
      <c r="W76" s="104"/>
      <c r="X76" s="103"/>
      <c r="Y76" s="103"/>
      <c r="Z76" s="103"/>
      <c r="AA76" s="99"/>
    </row>
    <row r="77" spans="2:29" ht="3" customHeight="1" x14ac:dyDescent="0.25">
      <c r="B77" s="96"/>
      <c r="C77" s="3"/>
      <c r="E77" s="6"/>
      <c r="F77" s="6"/>
      <c r="G77" s="7"/>
      <c r="H77" s="8"/>
      <c r="I77" s="7"/>
      <c r="J77" s="8"/>
      <c r="K77" s="7"/>
      <c r="L77" s="8"/>
      <c r="M77" s="7"/>
      <c r="N77" s="6"/>
      <c r="Q77" s="2"/>
      <c r="R77" s="105" t="str">
        <f>IF(R74="甲","",IF(OR(S74=0,S74="")=TRUE,"",IF(S74="入力ｴﾗｰ","","乙")))</f>
        <v/>
      </c>
      <c r="S77" s="101"/>
      <c r="U77" s="94"/>
      <c r="V77" s="95"/>
      <c r="W77" s="104"/>
      <c r="X77" s="103"/>
      <c r="Y77" s="103"/>
      <c r="Z77" s="103"/>
      <c r="AA77" s="99"/>
    </row>
    <row r="78" spans="2:29" ht="3" customHeight="1" x14ac:dyDescent="0.25">
      <c r="B78" s="96"/>
      <c r="C78" s="3"/>
      <c r="F78" s="2"/>
      <c r="G78" s="3"/>
      <c r="H78" s="2"/>
      <c r="J78" s="2"/>
      <c r="K78" s="3"/>
      <c r="L78" s="2"/>
      <c r="M78" s="3"/>
      <c r="Q78" s="2"/>
      <c r="R78" s="105"/>
      <c r="S78" s="101"/>
      <c r="U78" s="94"/>
      <c r="V78" s="95"/>
      <c r="W78" s="104"/>
      <c r="X78" s="103"/>
      <c r="Y78" s="103"/>
      <c r="Z78" s="103"/>
      <c r="AA78" s="99"/>
    </row>
    <row r="79" spans="2:29" ht="15" customHeight="1" x14ac:dyDescent="0.25">
      <c r="B79" s="96"/>
      <c r="C79" s="3"/>
      <c r="G79" s="18"/>
      <c r="H79" s="13" t="str">
        <f>IF(I79="","",IF(I79=0,"","L="))</f>
        <v/>
      </c>
      <c r="I79" s="97"/>
      <c r="J79" s="97"/>
      <c r="K79" s="14"/>
      <c r="N79" s="13" t="str">
        <f>IF(O79="","",IF(O79=0,"","L="))</f>
        <v/>
      </c>
      <c r="O79" s="97"/>
      <c r="P79" s="97"/>
      <c r="Q79" s="24" t="str">
        <f>IF(O79="","",IF(O79=0,"","m"))</f>
        <v/>
      </c>
      <c r="R79" s="105"/>
      <c r="S79" s="101"/>
      <c r="U79" s="94"/>
      <c r="V79" s="95"/>
      <c r="W79" s="104"/>
      <c r="X79" s="103"/>
      <c r="Y79" s="103"/>
      <c r="Z79" s="103"/>
      <c r="AA79" s="99"/>
      <c r="AC79" s="1">
        <f>IF(U74="",0,IF(U74&gt;SUM(W74:AA79),U74-SUM(W74:AA79),0))</f>
        <v>0</v>
      </c>
    </row>
    <row r="80" spans="2:29" ht="6" customHeight="1" x14ac:dyDescent="0.2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7"/>
      <c r="R80" s="16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2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1"/>
      <c r="R81" s="10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25">
      <c r="B82" s="96" t="str">
        <f>IF(S82="","",IF(B74="","",1+B74))</f>
        <v/>
      </c>
      <c r="C82" s="3"/>
      <c r="E82" s="13" t="str">
        <f>IF(F82="","",IF(F82=0,"","L="))</f>
        <v/>
      </c>
      <c r="F82" s="97"/>
      <c r="G82" s="97"/>
      <c r="H82" s="14"/>
      <c r="K82" s="13" t="str">
        <f>IF(L82="","",IF(L82=0,"","L="))</f>
        <v/>
      </c>
      <c r="L82" s="97"/>
      <c r="M82" s="97"/>
      <c r="N82" s="14" t="str">
        <f>IF(L82="","",IF(L82=0,"","m"))</f>
        <v/>
      </c>
      <c r="Q82" s="2"/>
      <c r="R82" s="106" t="str">
        <f>IF(OR(S82="入力ｴﾗｰ",S82=0,S82="")=TRUE,"",IF(F82="","甲",IF(F82=0,"甲","")))</f>
        <v/>
      </c>
      <c r="S82" s="101" t="str">
        <f>IF((F82+I87+L82+O87)=0,"",IF((F82+I87+L82+O87)&gt;SUM($AC$1:$AC$3),"入力ｴﾗｰ",SUM($AC$1:$AC$3)-(F82+I87+L82+O87)))</f>
        <v/>
      </c>
      <c r="T82" s="102" t="str">
        <f>IF(S82="","",IF(S82="入力ｴﾗｰ","","m"))</f>
        <v/>
      </c>
      <c r="U82" s="94" t="str">
        <f>IF(B82="","",COUNT(F82,I87,L82,O87)-IF(S82=0,1,0)-V82)</f>
        <v/>
      </c>
      <c r="V82" s="95"/>
      <c r="W82" s="104"/>
      <c r="X82" s="103"/>
      <c r="Y82" s="103"/>
      <c r="Z82" s="103"/>
      <c r="AA82" s="99"/>
    </row>
    <row r="83" spans="2:29" ht="3" customHeight="1" x14ac:dyDescent="0.25">
      <c r="B83" s="96"/>
      <c r="C83" s="3"/>
      <c r="G83" s="3"/>
      <c r="H83" s="2"/>
      <c r="K83" s="3"/>
      <c r="L83" s="2"/>
      <c r="M83" s="3"/>
      <c r="Q83" s="2"/>
      <c r="R83" s="106"/>
      <c r="S83" s="101"/>
      <c r="T83" s="102"/>
      <c r="U83" s="94"/>
      <c r="V83" s="95"/>
      <c r="W83" s="104"/>
      <c r="X83" s="103"/>
      <c r="Y83" s="103"/>
      <c r="Z83" s="103"/>
      <c r="AA83" s="99"/>
    </row>
    <row r="84" spans="2:29" ht="3" customHeight="1" x14ac:dyDescent="0.25">
      <c r="B84" s="96"/>
      <c r="C84" s="3"/>
      <c r="G84" s="3"/>
      <c r="H84" s="2"/>
      <c r="K84" s="3"/>
      <c r="L84" s="2"/>
      <c r="M84" s="5"/>
      <c r="N84" s="4"/>
      <c r="Q84" s="2"/>
      <c r="R84" s="106"/>
      <c r="S84" s="101"/>
      <c r="T84" s="102"/>
      <c r="U84" s="94"/>
      <c r="V84" s="95"/>
      <c r="W84" s="104"/>
      <c r="X84" s="103"/>
      <c r="Y84" s="103"/>
      <c r="Z84" s="103"/>
      <c r="AA84" s="99"/>
    </row>
    <row r="85" spans="2:29" ht="3" customHeight="1" x14ac:dyDescent="0.25">
      <c r="B85" s="96"/>
      <c r="C85" s="3"/>
      <c r="E85" s="6"/>
      <c r="F85" s="6"/>
      <c r="G85" s="7"/>
      <c r="H85" s="8"/>
      <c r="I85" s="7"/>
      <c r="J85" s="8"/>
      <c r="K85" s="7"/>
      <c r="L85" s="8"/>
      <c r="M85" s="7"/>
      <c r="N85" s="6"/>
      <c r="Q85" s="2"/>
      <c r="R85" s="105" t="str">
        <f>IF(R82="甲","",IF(OR(S82=0,S82="")=TRUE,"",IF(S82="入力ｴﾗｰ","","乙")))</f>
        <v/>
      </c>
      <c r="S85" s="101"/>
      <c r="U85" s="94"/>
      <c r="V85" s="95"/>
      <c r="W85" s="104"/>
      <c r="X85" s="103"/>
      <c r="Y85" s="103"/>
      <c r="Z85" s="103"/>
      <c r="AA85" s="99"/>
    </row>
    <row r="86" spans="2:29" ht="3" customHeight="1" x14ac:dyDescent="0.25">
      <c r="B86" s="96"/>
      <c r="C86" s="3"/>
      <c r="F86" s="2"/>
      <c r="G86" s="3"/>
      <c r="H86" s="2"/>
      <c r="K86" s="3"/>
      <c r="L86" s="2"/>
      <c r="M86" s="3"/>
      <c r="Q86" s="2"/>
      <c r="R86" s="105"/>
      <c r="S86" s="101"/>
      <c r="U86" s="94"/>
      <c r="V86" s="95"/>
      <c r="W86" s="104"/>
      <c r="X86" s="103"/>
      <c r="Y86" s="103"/>
      <c r="Z86" s="103"/>
      <c r="AA86" s="99"/>
    </row>
    <row r="87" spans="2:29" ht="15" customHeight="1" x14ac:dyDescent="0.25">
      <c r="B87" s="96"/>
      <c r="C87" s="3"/>
      <c r="G87" s="18"/>
      <c r="H87" s="13" t="str">
        <f>IF(I87="","",IF(I87=0,"","L="))</f>
        <v/>
      </c>
      <c r="I87" s="97"/>
      <c r="J87" s="97"/>
      <c r="K87" s="14"/>
      <c r="N87" s="13" t="str">
        <f>IF(O87="","",IF(O87=0,"","L="))</f>
        <v/>
      </c>
      <c r="O87" s="97"/>
      <c r="P87" s="97"/>
      <c r="Q87" s="24" t="str">
        <f>IF(O87="","",IF(O87=0,"","m"))</f>
        <v/>
      </c>
      <c r="R87" s="105"/>
      <c r="S87" s="101"/>
      <c r="U87" s="94"/>
      <c r="V87" s="95"/>
      <c r="W87" s="104"/>
      <c r="X87" s="103"/>
      <c r="Y87" s="103"/>
      <c r="Z87" s="103"/>
      <c r="AA87" s="99"/>
      <c r="AC87" s="1">
        <f>IF(U82="",0,IF(U82&gt;SUM(W82:AA87),U82-SUM(W82:AA87),0))</f>
        <v>0</v>
      </c>
    </row>
    <row r="88" spans="2:29" ht="6" customHeight="1" x14ac:dyDescent="0.2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/>
      <c r="R88" s="16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2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1"/>
      <c r="R89" s="10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25">
      <c r="B90" s="96" t="str">
        <f>IF(S90="","",IF(B82="","",1+B82))</f>
        <v/>
      </c>
      <c r="C90" s="3"/>
      <c r="E90" s="13" t="str">
        <f>IF(F90="","",IF(F90=0,"","L="))</f>
        <v/>
      </c>
      <c r="F90" s="97"/>
      <c r="G90" s="97"/>
      <c r="H90" s="14"/>
      <c r="K90" s="13" t="str">
        <f>IF(L90="","",IF(L90=0,"","L="))</f>
        <v/>
      </c>
      <c r="L90" s="97"/>
      <c r="M90" s="97"/>
      <c r="N90" s="14" t="str">
        <f>IF(L90="","",IF(L90=0,"","m"))</f>
        <v/>
      </c>
      <c r="Q90" s="2"/>
      <c r="R90" s="106" t="str">
        <f>IF(OR(S90="入力ｴﾗｰ",S90=0,S90="")=TRUE,"",IF(F90="","甲",IF(F90=0,"甲","")))</f>
        <v/>
      </c>
      <c r="S90" s="101" t="str">
        <f>IF((F90+I95+L90+O95)=0,"",IF((F90+I95+L90+O95)&gt;SUM($AC$1:$AC$3),"入力ｴﾗｰ",SUM($AC$1:$AC$3)-(F90+I95+L90+O95)))</f>
        <v/>
      </c>
      <c r="T90" s="102" t="str">
        <f>IF(S90="","",IF(S90="入力ｴﾗｰ","","m"))</f>
        <v/>
      </c>
      <c r="U90" s="94" t="str">
        <f>IF(B90="","",COUNT(F90,I95,L90,O95)-IF(S90=0,1,0)-V90)</f>
        <v/>
      </c>
      <c r="V90" s="95"/>
      <c r="W90" s="104"/>
      <c r="X90" s="103"/>
      <c r="Y90" s="103"/>
      <c r="Z90" s="103"/>
      <c r="AA90" s="99"/>
    </row>
    <row r="91" spans="2:29" ht="3" customHeight="1" x14ac:dyDescent="0.25">
      <c r="B91" s="96"/>
      <c r="C91" s="3"/>
      <c r="G91" s="3"/>
      <c r="H91" s="2"/>
      <c r="K91" s="3"/>
      <c r="L91" s="2"/>
      <c r="M91" s="3"/>
      <c r="Q91" s="2"/>
      <c r="R91" s="106"/>
      <c r="S91" s="101"/>
      <c r="T91" s="102"/>
      <c r="U91" s="94"/>
      <c r="V91" s="95"/>
      <c r="W91" s="104"/>
      <c r="X91" s="103"/>
      <c r="Y91" s="103"/>
      <c r="Z91" s="103"/>
      <c r="AA91" s="99"/>
    </row>
    <row r="92" spans="2:29" ht="3" customHeight="1" x14ac:dyDescent="0.25">
      <c r="B92" s="96"/>
      <c r="C92" s="3"/>
      <c r="G92" s="3"/>
      <c r="H92" s="2"/>
      <c r="K92" s="3"/>
      <c r="L92" s="2"/>
      <c r="M92" s="5"/>
      <c r="N92" s="4"/>
      <c r="Q92" s="2"/>
      <c r="R92" s="106"/>
      <c r="S92" s="101"/>
      <c r="T92" s="102"/>
      <c r="U92" s="94"/>
      <c r="V92" s="95"/>
      <c r="W92" s="104"/>
      <c r="X92" s="103"/>
      <c r="Y92" s="103"/>
      <c r="Z92" s="103"/>
      <c r="AA92" s="99"/>
    </row>
    <row r="93" spans="2:29" ht="3" customHeight="1" x14ac:dyDescent="0.25">
      <c r="B93" s="96"/>
      <c r="C93" s="3"/>
      <c r="E93" s="6"/>
      <c r="F93" s="6"/>
      <c r="G93" s="7"/>
      <c r="H93" s="8"/>
      <c r="I93" s="7"/>
      <c r="J93" s="8"/>
      <c r="K93" s="7"/>
      <c r="L93" s="8"/>
      <c r="M93" s="7"/>
      <c r="N93" s="6"/>
      <c r="Q93" s="2"/>
      <c r="R93" s="105" t="str">
        <f>IF(R90="甲","",IF(OR(S90=0,S90="")=TRUE,"",IF(S90="入力ｴﾗｰ","","乙")))</f>
        <v/>
      </c>
      <c r="S93" s="101"/>
      <c r="U93" s="94"/>
      <c r="V93" s="95"/>
      <c r="W93" s="104"/>
      <c r="X93" s="103"/>
      <c r="Y93" s="103"/>
      <c r="Z93" s="103"/>
      <c r="AA93" s="99"/>
    </row>
    <row r="94" spans="2:29" ht="3" customHeight="1" x14ac:dyDescent="0.25">
      <c r="B94" s="96"/>
      <c r="C94" s="3"/>
      <c r="F94" s="2"/>
      <c r="G94" s="3"/>
      <c r="H94" s="2"/>
      <c r="K94" s="3"/>
      <c r="L94" s="2"/>
      <c r="M94" s="3"/>
      <c r="Q94" s="2"/>
      <c r="R94" s="105"/>
      <c r="S94" s="101"/>
      <c r="U94" s="94"/>
      <c r="V94" s="95"/>
      <c r="W94" s="104"/>
      <c r="X94" s="103"/>
      <c r="Y94" s="103"/>
      <c r="Z94" s="103"/>
      <c r="AA94" s="99"/>
    </row>
    <row r="95" spans="2:29" ht="15" customHeight="1" x14ac:dyDescent="0.25">
      <c r="B95" s="96"/>
      <c r="C95" s="3"/>
      <c r="G95" s="18"/>
      <c r="H95" s="13" t="str">
        <f>IF(I95="","",IF(I95=0,"","L="))</f>
        <v/>
      </c>
      <c r="I95" s="97"/>
      <c r="J95" s="97"/>
      <c r="K95" s="14"/>
      <c r="N95" s="13" t="str">
        <f>IF(O95="","",IF(O95=0,"","L="))</f>
        <v/>
      </c>
      <c r="O95" s="97"/>
      <c r="P95" s="97"/>
      <c r="Q95" s="24" t="str">
        <f>IF(O95="","",IF(O95=0,"","m"))</f>
        <v/>
      </c>
      <c r="R95" s="105"/>
      <c r="S95" s="101"/>
      <c r="U95" s="94"/>
      <c r="V95" s="95"/>
      <c r="W95" s="104"/>
      <c r="X95" s="103"/>
      <c r="Y95" s="103"/>
      <c r="Z95" s="103"/>
      <c r="AA95" s="99"/>
      <c r="AC95" s="1">
        <f>IF(U90="",0,IF(U90&gt;SUM(W90:AA95),U90-SUM(W90:AA95),0))</f>
        <v>0</v>
      </c>
    </row>
    <row r="96" spans="2:29" ht="6" customHeight="1" x14ac:dyDescent="0.2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7"/>
      <c r="R96" s="16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2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1"/>
      <c r="R97" s="10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25">
      <c r="B98" s="96" t="str">
        <f>IF(S98="","",IF(B90="","",1+B90))</f>
        <v/>
      </c>
      <c r="C98" s="3"/>
      <c r="E98" s="13" t="str">
        <f>IF(F98="","",IF(F98=0,"","L="))</f>
        <v/>
      </c>
      <c r="F98" s="97"/>
      <c r="G98" s="97"/>
      <c r="H98" s="14"/>
      <c r="K98" s="13" t="str">
        <f>IF(L98="","",IF(L98=0,"","L="))</f>
        <v/>
      </c>
      <c r="L98" s="97"/>
      <c r="M98" s="97"/>
      <c r="N98" s="14" t="str">
        <f>IF(L98="","",IF(L98=0,"","m"))</f>
        <v/>
      </c>
      <c r="Q98" s="2"/>
      <c r="R98" s="106" t="str">
        <f>IF(OR(S98="入力ｴﾗｰ",S98=0,S98="")=TRUE,"",IF(F98="","甲",IF(F98=0,"甲","")))</f>
        <v/>
      </c>
      <c r="S98" s="101" t="str">
        <f>IF((F98+I103+L98+O103)=0,"",IF((F98+I103+L98+O103)&gt;SUM($AC$1:$AC$3),"入力ｴﾗｰ",SUM($AC$1:$AC$3)-(F98+I103+L98+O103)))</f>
        <v/>
      </c>
      <c r="T98" s="102" t="str">
        <f>IF(S98="","",IF(S98="入力ｴﾗｰ","","m"))</f>
        <v/>
      </c>
      <c r="U98" s="94" t="str">
        <f>IF(B98="","",COUNT(F98,I103,L98,O103)-IF(S98=0,1,0)-V98)</f>
        <v/>
      </c>
      <c r="V98" s="95"/>
      <c r="W98" s="104"/>
      <c r="X98" s="103"/>
      <c r="Y98" s="103"/>
      <c r="Z98" s="103"/>
      <c r="AA98" s="99"/>
    </row>
    <row r="99" spans="2:29" ht="3" customHeight="1" x14ac:dyDescent="0.25">
      <c r="B99" s="96"/>
      <c r="C99" s="3"/>
      <c r="G99" s="3"/>
      <c r="H99" s="2"/>
      <c r="K99" s="3"/>
      <c r="L99" s="2"/>
      <c r="M99" s="3"/>
      <c r="Q99" s="2"/>
      <c r="R99" s="106"/>
      <c r="S99" s="101"/>
      <c r="T99" s="102"/>
      <c r="U99" s="94"/>
      <c r="V99" s="95"/>
      <c r="W99" s="104"/>
      <c r="X99" s="103"/>
      <c r="Y99" s="103"/>
      <c r="Z99" s="103"/>
      <c r="AA99" s="99"/>
    </row>
    <row r="100" spans="2:29" ht="3" customHeight="1" x14ac:dyDescent="0.25">
      <c r="B100" s="96"/>
      <c r="C100" s="3"/>
      <c r="G100" s="3"/>
      <c r="H100" s="2"/>
      <c r="K100" s="3"/>
      <c r="L100" s="2"/>
      <c r="M100" s="5"/>
      <c r="N100" s="4"/>
      <c r="Q100" s="2"/>
      <c r="R100" s="106"/>
      <c r="S100" s="101"/>
      <c r="T100" s="102"/>
      <c r="U100" s="94"/>
      <c r="V100" s="95"/>
      <c r="W100" s="104"/>
      <c r="X100" s="103"/>
      <c r="Y100" s="103"/>
      <c r="Z100" s="103"/>
      <c r="AA100" s="99"/>
    </row>
    <row r="101" spans="2:29" ht="3" customHeight="1" x14ac:dyDescent="0.25">
      <c r="B101" s="96"/>
      <c r="C101" s="3"/>
      <c r="E101" s="6"/>
      <c r="F101" s="6"/>
      <c r="G101" s="7"/>
      <c r="H101" s="8"/>
      <c r="I101" s="7"/>
      <c r="J101" s="8"/>
      <c r="K101" s="7"/>
      <c r="L101" s="8"/>
      <c r="M101" s="7"/>
      <c r="N101" s="6"/>
      <c r="Q101" s="2"/>
      <c r="R101" s="105" t="str">
        <f>IF(R98="甲","",IF(OR(S98=0,S98="")=TRUE,"",IF(S98="入力ｴﾗｰ","","乙")))</f>
        <v/>
      </c>
      <c r="S101" s="101"/>
      <c r="U101" s="94"/>
      <c r="V101" s="95"/>
      <c r="W101" s="104"/>
      <c r="X101" s="103"/>
      <c r="Y101" s="103"/>
      <c r="Z101" s="103"/>
      <c r="AA101" s="99"/>
    </row>
    <row r="102" spans="2:29" ht="3" customHeight="1" x14ac:dyDescent="0.25">
      <c r="B102" s="96"/>
      <c r="C102" s="3"/>
      <c r="F102" s="2"/>
      <c r="G102" s="3"/>
      <c r="H102" s="2"/>
      <c r="K102" s="3"/>
      <c r="L102" s="2"/>
      <c r="M102" s="3"/>
      <c r="Q102" s="2"/>
      <c r="R102" s="105"/>
      <c r="S102" s="101"/>
      <c r="U102" s="94"/>
      <c r="V102" s="95"/>
      <c r="W102" s="104"/>
      <c r="X102" s="103"/>
      <c r="Y102" s="103"/>
      <c r="Z102" s="103"/>
      <c r="AA102" s="99"/>
    </row>
    <row r="103" spans="2:29" ht="15" customHeight="1" x14ac:dyDescent="0.25">
      <c r="B103" s="96"/>
      <c r="C103" s="3"/>
      <c r="G103" s="18"/>
      <c r="H103" s="13" t="str">
        <f>IF(I103="","",IF(I103=0,"","L="))</f>
        <v/>
      </c>
      <c r="I103" s="97"/>
      <c r="J103" s="97"/>
      <c r="K103" s="14"/>
      <c r="N103" s="13" t="str">
        <f>IF(O103="","",IF(O103=0,"","L="))</f>
        <v/>
      </c>
      <c r="O103" s="97"/>
      <c r="P103" s="97"/>
      <c r="Q103" s="24" t="str">
        <f>IF(O103="","",IF(O103=0,"","m"))</f>
        <v/>
      </c>
      <c r="R103" s="105"/>
      <c r="S103" s="101"/>
      <c r="U103" s="94"/>
      <c r="V103" s="95"/>
      <c r="W103" s="104"/>
      <c r="X103" s="103"/>
      <c r="Y103" s="103"/>
      <c r="Z103" s="103"/>
      <c r="AA103" s="99"/>
      <c r="AC103" s="1">
        <f>IF(U98="",0,IF(U98&gt;SUM(W98:AA103),U98-SUM(W98:AA103),0))</f>
        <v>0</v>
      </c>
    </row>
    <row r="104" spans="2:29" ht="6" customHeight="1" x14ac:dyDescent="0.2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7"/>
      <c r="R104" s="16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2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1"/>
      <c r="R105" s="10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25">
      <c r="B106" s="96"/>
      <c r="C106" s="3"/>
      <c r="E106" s="13" t="str">
        <f>IF(F106="","",IF(F106=0,"","L="))</f>
        <v/>
      </c>
      <c r="F106" s="97"/>
      <c r="G106" s="97"/>
      <c r="H106" s="14"/>
      <c r="K106" s="13" t="str">
        <f>IF(L106="","",IF(L106=0,"","L="))</f>
        <v/>
      </c>
      <c r="L106" s="97"/>
      <c r="M106" s="97"/>
      <c r="N106" s="14" t="str">
        <f>IF(L106="","",IF(L106=0,"","m"))</f>
        <v/>
      </c>
      <c r="Q106" s="2"/>
      <c r="R106" s="106" t="str">
        <f>IF(OR(S106="入力ｴﾗｰ",S106=0,S106="")=TRUE,"",IF(F106="","甲",IF(F106=0,"甲","")))</f>
        <v/>
      </c>
      <c r="S106" s="101" t="str">
        <f>IF((F106+I111+L106+O111)=0,"",IF((F106+I111+L106+O111)&gt;SUM($AC$1:$AC$3),"入力ｴﾗｰ",SUM($AC$1:$AC$3)-(F106+I111+L106+O111)))</f>
        <v/>
      </c>
      <c r="T106" s="102" t="str">
        <f>IF(S106="","",IF(S106="入力ｴﾗｰ","","m"))</f>
        <v/>
      </c>
      <c r="U106" s="94" t="str">
        <f>IF(B106="","",COUNT(F106,I111,L106,O111)-IF(S106=0,1,0)-V106)</f>
        <v/>
      </c>
      <c r="V106" s="95"/>
      <c r="W106" s="104"/>
      <c r="X106" s="103"/>
      <c r="Y106" s="103"/>
      <c r="Z106" s="103"/>
      <c r="AA106" s="99"/>
    </row>
    <row r="107" spans="2:29" ht="3" customHeight="1" x14ac:dyDescent="0.25">
      <c r="B107" s="96"/>
      <c r="C107" s="3"/>
      <c r="G107" s="3"/>
      <c r="H107" s="2"/>
      <c r="K107" s="3"/>
      <c r="L107" s="2"/>
      <c r="M107" s="3"/>
      <c r="Q107" s="2"/>
      <c r="R107" s="106"/>
      <c r="S107" s="101"/>
      <c r="T107" s="102"/>
      <c r="U107" s="94"/>
      <c r="V107" s="95"/>
      <c r="W107" s="104"/>
      <c r="X107" s="103"/>
      <c r="Y107" s="103"/>
      <c r="Z107" s="103"/>
      <c r="AA107" s="99"/>
    </row>
    <row r="108" spans="2:29" ht="3" customHeight="1" x14ac:dyDescent="0.25">
      <c r="B108" s="96"/>
      <c r="C108" s="3"/>
      <c r="G108" s="3"/>
      <c r="H108" s="2"/>
      <c r="K108" s="3"/>
      <c r="L108" s="2"/>
      <c r="M108" s="5"/>
      <c r="N108" s="4"/>
      <c r="Q108" s="2"/>
      <c r="R108" s="106"/>
      <c r="S108" s="101"/>
      <c r="T108" s="102"/>
      <c r="U108" s="94"/>
      <c r="V108" s="95"/>
      <c r="W108" s="104"/>
      <c r="X108" s="103"/>
      <c r="Y108" s="103"/>
      <c r="Z108" s="103"/>
      <c r="AA108" s="99"/>
    </row>
    <row r="109" spans="2:29" ht="3" customHeight="1" x14ac:dyDescent="0.25">
      <c r="B109" s="96"/>
      <c r="C109" s="3"/>
      <c r="E109" s="6"/>
      <c r="F109" s="6"/>
      <c r="G109" s="7"/>
      <c r="H109" s="8"/>
      <c r="I109" s="7"/>
      <c r="J109" s="8"/>
      <c r="K109" s="7"/>
      <c r="L109" s="8"/>
      <c r="M109" s="7"/>
      <c r="N109" s="6"/>
      <c r="Q109" s="2"/>
      <c r="R109" s="105" t="str">
        <f>IF(R106="甲","",IF(OR(S106=0,S106="")=TRUE,"",IF(S106="入力ｴﾗｰ","","乙")))</f>
        <v/>
      </c>
      <c r="S109" s="101"/>
      <c r="U109" s="94"/>
      <c r="V109" s="95"/>
      <c r="W109" s="104"/>
      <c r="X109" s="103"/>
      <c r="Y109" s="103"/>
      <c r="Z109" s="103"/>
      <c r="AA109" s="99"/>
    </row>
    <row r="110" spans="2:29" ht="3" customHeight="1" x14ac:dyDescent="0.25">
      <c r="B110" s="96"/>
      <c r="C110" s="3"/>
      <c r="F110" s="2"/>
      <c r="G110" s="3"/>
      <c r="H110" s="2"/>
      <c r="K110" s="3"/>
      <c r="L110" s="2"/>
      <c r="M110" s="3"/>
      <c r="Q110" s="2"/>
      <c r="R110" s="105"/>
      <c r="S110" s="101"/>
      <c r="U110" s="94"/>
      <c r="V110" s="95"/>
      <c r="W110" s="104"/>
      <c r="X110" s="103"/>
      <c r="Y110" s="103"/>
      <c r="Z110" s="103"/>
      <c r="AA110" s="99"/>
    </row>
    <row r="111" spans="2:29" ht="15" customHeight="1" x14ac:dyDescent="0.25">
      <c r="B111" s="96"/>
      <c r="C111" s="3"/>
      <c r="G111" s="18"/>
      <c r="H111" s="13" t="str">
        <f>IF(I111="","",IF(I111=0,"","L="))</f>
        <v/>
      </c>
      <c r="I111" s="97"/>
      <c r="J111" s="97"/>
      <c r="K111" s="14"/>
      <c r="N111" s="13" t="str">
        <f>IF(O111="","",IF(O111=0,"","L="))</f>
        <v/>
      </c>
      <c r="O111" s="97"/>
      <c r="P111" s="97"/>
      <c r="Q111" s="24" t="str">
        <f>IF(O111="","",IF(O111=0,"","m"))</f>
        <v/>
      </c>
      <c r="R111" s="105"/>
      <c r="S111" s="101"/>
      <c r="U111" s="94"/>
      <c r="V111" s="95"/>
      <c r="W111" s="104"/>
      <c r="X111" s="103"/>
      <c r="Y111" s="103"/>
      <c r="Z111" s="103"/>
      <c r="AA111" s="99"/>
      <c r="AC111" s="1">
        <f>IF(U106="",0,IF(U106&gt;SUM(W106:AA111),U106-SUM(W106:AA111),0))</f>
        <v>0</v>
      </c>
    </row>
    <row r="112" spans="2:29" ht="6" customHeight="1" x14ac:dyDescent="0.2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25">
      <c r="B113" s="84" t="s">
        <v>17</v>
      </c>
      <c r="C113" s="85"/>
      <c r="D113" s="85"/>
      <c r="E113" s="85"/>
      <c r="F113" s="86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3">
      <c r="B114" s="87"/>
      <c r="C114" s="88"/>
      <c r="D114" s="88"/>
      <c r="E114" s="88"/>
      <c r="F114" s="89"/>
      <c r="G114" s="25" t="str">
        <f>U2</f>
        <v>T</v>
      </c>
      <c r="H114" s="88">
        <f>Y2</f>
        <v>200</v>
      </c>
      <c r="I114" s="88"/>
      <c r="J114" s="89"/>
      <c r="K114" s="90">
        <f>IF(B10="",0,LARGE(B10:B111,1))</f>
        <v>1</v>
      </c>
      <c r="L114" s="91"/>
      <c r="M114" s="21"/>
      <c r="N114" s="25"/>
      <c r="O114" s="20"/>
      <c r="P114" s="20"/>
      <c r="Q114" s="21"/>
      <c r="R114" s="92">
        <f>SUM(S10:S111)</f>
        <v>4</v>
      </c>
      <c r="S114" s="93"/>
      <c r="T114" s="20"/>
      <c r="U114" s="51">
        <f t="shared" ref="U114:AA114" si="0">SUM(U10:U111)</f>
        <v>0</v>
      </c>
      <c r="V114" s="79">
        <f t="shared" si="0"/>
        <v>2</v>
      </c>
      <c r="W114" s="73">
        <f t="shared" si="0"/>
        <v>0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S10:S15"/>
    <mergeCell ref="T10:T12"/>
    <mergeCell ref="C1:Q1"/>
    <mergeCell ref="U2:V3"/>
    <mergeCell ref="I15:J15"/>
    <mergeCell ref="O15:P15"/>
    <mergeCell ref="Y2:Z3"/>
    <mergeCell ref="B7:B8"/>
    <mergeCell ref="C7:Q8"/>
    <mergeCell ref="R7:T8"/>
    <mergeCell ref="AA10:AA15"/>
    <mergeCell ref="R13:R15"/>
    <mergeCell ref="Y10:Y15"/>
    <mergeCell ref="Z10:Z15"/>
    <mergeCell ref="U7:V7"/>
    <mergeCell ref="W7:AA7"/>
    <mergeCell ref="B26:B31"/>
    <mergeCell ref="F26:G26"/>
    <mergeCell ref="L26:M26"/>
    <mergeCell ref="R26:R28"/>
    <mergeCell ref="W26:W31"/>
    <mergeCell ref="X26:X31"/>
    <mergeCell ref="I31:J31"/>
    <mergeCell ref="O31:P31"/>
    <mergeCell ref="B10:B15"/>
    <mergeCell ref="F10:G10"/>
    <mergeCell ref="S18:S23"/>
    <mergeCell ref="T18:T20"/>
    <mergeCell ref="U10:U15"/>
    <mergeCell ref="V10:V15"/>
    <mergeCell ref="W10:W15"/>
    <mergeCell ref="X10:X15"/>
    <mergeCell ref="B18:B23"/>
    <mergeCell ref="F18:G18"/>
    <mergeCell ref="L18:M18"/>
    <mergeCell ref="R18:R20"/>
    <mergeCell ref="I23:J23"/>
    <mergeCell ref="O23:P23"/>
    <mergeCell ref="L10:M10"/>
    <mergeCell ref="R10:R12"/>
    <mergeCell ref="B34:B39"/>
    <mergeCell ref="F34:G34"/>
    <mergeCell ref="O39:P39"/>
    <mergeCell ref="L34:M34"/>
    <mergeCell ref="I39:J39"/>
    <mergeCell ref="U34:U39"/>
    <mergeCell ref="V34:V39"/>
    <mergeCell ref="AA18:AA23"/>
    <mergeCell ref="R21:R23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S34:S39"/>
    <mergeCell ref="T34:T36"/>
    <mergeCell ref="U26:U31"/>
    <mergeCell ref="V26:V31"/>
    <mergeCell ref="Y26:Y31"/>
    <mergeCell ref="Z26:Z31"/>
    <mergeCell ref="AA34:AA39"/>
    <mergeCell ref="W34:W39"/>
    <mergeCell ref="X34:X39"/>
    <mergeCell ref="Y34:Y39"/>
    <mergeCell ref="B42:B47"/>
    <mergeCell ref="F42:G42"/>
    <mergeCell ref="L42:M42"/>
    <mergeCell ref="R42:R44"/>
    <mergeCell ref="W42:W47"/>
    <mergeCell ref="X42:X47"/>
    <mergeCell ref="I47:J47"/>
    <mergeCell ref="O47:P47"/>
    <mergeCell ref="S42:S47"/>
    <mergeCell ref="T42:T44"/>
    <mergeCell ref="AA42:AA47"/>
    <mergeCell ref="R45:R47"/>
    <mergeCell ref="S50:S55"/>
    <mergeCell ref="T50:T52"/>
    <mergeCell ref="U42:U47"/>
    <mergeCell ref="V42:V47"/>
    <mergeCell ref="Y42:Y47"/>
    <mergeCell ref="Z42:Z47"/>
    <mergeCell ref="AA50:AA55"/>
    <mergeCell ref="R53:R55"/>
    <mergeCell ref="U50:U55"/>
    <mergeCell ref="V50:V55"/>
    <mergeCell ref="Y50:Y55"/>
    <mergeCell ref="Z50:Z55"/>
    <mergeCell ref="R50:R52"/>
    <mergeCell ref="W50:W55"/>
    <mergeCell ref="X50:X55"/>
    <mergeCell ref="Z34:Z39"/>
    <mergeCell ref="R37:R39"/>
    <mergeCell ref="R34:R36"/>
    <mergeCell ref="B66:B71"/>
    <mergeCell ref="F66:G66"/>
    <mergeCell ref="L66:M66"/>
    <mergeCell ref="R66:R68"/>
    <mergeCell ref="W66:W71"/>
    <mergeCell ref="X66:X71"/>
    <mergeCell ref="B58:B63"/>
    <mergeCell ref="F58:G58"/>
    <mergeCell ref="L58:M58"/>
    <mergeCell ref="R58:R60"/>
    <mergeCell ref="W58:W63"/>
    <mergeCell ref="X58:X63"/>
    <mergeCell ref="I63:J63"/>
    <mergeCell ref="O63:P63"/>
    <mergeCell ref="S58:S63"/>
    <mergeCell ref="T58:T60"/>
    <mergeCell ref="B50:B55"/>
    <mergeCell ref="F50:G50"/>
    <mergeCell ref="L50:M50"/>
    <mergeCell ref="I55:J55"/>
    <mergeCell ref="O55:P55"/>
    <mergeCell ref="B74:B79"/>
    <mergeCell ref="F74:G74"/>
    <mergeCell ref="O79:P79"/>
    <mergeCell ref="U74:U79"/>
    <mergeCell ref="V74:V79"/>
    <mergeCell ref="I71:J71"/>
    <mergeCell ref="O71:P71"/>
    <mergeCell ref="AA58:AA63"/>
    <mergeCell ref="R61:R63"/>
    <mergeCell ref="S66:S71"/>
    <mergeCell ref="T66:T68"/>
    <mergeCell ref="U58:U63"/>
    <mergeCell ref="V58:V63"/>
    <mergeCell ref="Y58:Y63"/>
    <mergeCell ref="Z58:Z63"/>
    <mergeCell ref="AA66:AA71"/>
    <mergeCell ref="R69:R71"/>
    <mergeCell ref="S74:S79"/>
    <mergeCell ref="T74:T76"/>
    <mergeCell ref="U66:U71"/>
    <mergeCell ref="V66:V71"/>
    <mergeCell ref="Y66:Y71"/>
    <mergeCell ref="Z66:Z71"/>
    <mergeCell ref="AA74:AA79"/>
    <mergeCell ref="B90:B95"/>
    <mergeCell ref="F90:G90"/>
    <mergeCell ref="L90:M90"/>
    <mergeCell ref="R90:R92"/>
    <mergeCell ref="W90:W95"/>
    <mergeCell ref="X90:X95"/>
    <mergeCell ref="I95:J95"/>
    <mergeCell ref="O95:P95"/>
    <mergeCell ref="B82:B87"/>
    <mergeCell ref="F82:G82"/>
    <mergeCell ref="L82:M82"/>
    <mergeCell ref="R82:R84"/>
    <mergeCell ref="W82:W87"/>
    <mergeCell ref="X82:X87"/>
    <mergeCell ref="I87:J87"/>
    <mergeCell ref="O87:P87"/>
    <mergeCell ref="S82:S87"/>
    <mergeCell ref="T82:T84"/>
    <mergeCell ref="L74:M74"/>
    <mergeCell ref="I79:J79"/>
    <mergeCell ref="AA82:AA87"/>
    <mergeCell ref="R85:R87"/>
    <mergeCell ref="S90:S95"/>
    <mergeCell ref="T90:T92"/>
    <mergeCell ref="U82:U87"/>
    <mergeCell ref="V82:V87"/>
    <mergeCell ref="Y82:Y87"/>
    <mergeCell ref="Z82:Z87"/>
    <mergeCell ref="AA90:AA95"/>
    <mergeCell ref="R93:R95"/>
    <mergeCell ref="U90:U95"/>
    <mergeCell ref="V90:V95"/>
    <mergeCell ref="Y90:Y95"/>
    <mergeCell ref="Z90:Z95"/>
    <mergeCell ref="W74:W79"/>
    <mergeCell ref="X74:X79"/>
    <mergeCell ref="Y74:Y79"/>
    <mergeCell ref="Z74:Z79"/>
    <mergeCell ref="R77:R79"/>
    <mergeCell ref="R74:R76"/>
    <mergeCell ref="B98:B103"/>
    <mergeCell ref="F98:G98"/>
    <mergeCell ref="L98:M98"/>
    <mergeCell ref="R98:R100"/>
    <mergeCell ref="W98:W103"/>
    <mergeCell ref="X98:X103"/>
    <mergeCell ref="I103:J103"/>
    <mergeCell ref="O103:P103"/>
    <mergeCell ref="S98:S103"/>
    <mergeCell ref="T98:T100"/>
    <mergeCell ref="AA98:AA103"/>
    <mergeCell ref="R101:R103"/>
    <mergeCell ref="U98:U103"/>
    <mergeCell ref="V98:V103"/>
    <mergeCell ref="AA106:AA111"/>
    <mergeCell ref="I111:J111"/>
    <mergeCell ref="O111:P111"/>
    <mergeCell ref="Y98:Y103"/>
    <mergeCell ref="Z98:Z103"/>
    <mergeCell ref="Y106:Y111"/>
    <mergeCell ref="Z106:Z111"/>
    <mergeCell ref="W106:W111"/>
    <mergeCell ref="X106:X111"/>
    <mergeCell ref="B113:F114"/>
    <mergeCell ref="H114:J114"/>
    <mergeCell ref="K114:L114"/>
    <mergeCell ref="R114:S114"/>
    <mergeCell ref="U106:U111"/>
    <mergeCell ref="V106:V111"/>
    <mergeCell ref="B106:B111"/>
    <mergeCell ref="F106:G106"/>
    <mergeCell ref="L106:M106"/>
    <mergeCell ref="R106:R108"/>
    <mergeCell ref="S106:S111"/>
    <mergeCell ref="T106:T108"/>
    <mergeCell ref="R109:R111"/>
  </mergeCells>
  <phoneticPr fontId="2"/>
  <conditionalFormatting sqref="S10:S15 S18:S23 S26:S31 S34:S39 S42:S47 S50:S55 S58:S63 S66:S71 S74:S79 S82:S87 S90:S95 S98:S103">
    <cfRule type="cellIs" dxfId="8" priority="2" stopIfTrue="1" operator="equal">
      <formula>"入力ｴﾗｰ"</formula>
    </cfRule>
  </conditionalFormatting>
  <conditionalFormatting sqref="S106:S111">
    <cfRule type="cellIs" dxfId="7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scale="9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 tint="0.499984740745262"/>
  </sheetPr>
  <dimension ref="A1"/>
  <sheetViews>
    <sheetView workbookViewId="0"/>
  </sheetViews>
  <sheetFormatPr defaultRowHeight="12" x14ac:dyDescent="0.25"/>
  <sheetData/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B1:AC114"/>
  <sheetViews>
    <sheetView showGridLines="0" view="pageBreakPreview" zoomScale="85" zoomScaleNormal="123" zoomScaleSheetLayoutView="85" workbookViewId="0">
      <selection activeCell="R7" sqref="R7:T8"/>
    </sheetView>
  </sheetViews>
  <sheetFormatPr defaultColWidth="9.0703125" defaultRowHeight="12" x14ac:dyDescent="0.25"/>
  <cols>
    <col min="1" max="1" width="0.92578125" style="1" customWidth="1"/>
    <col min="2" max="2" width="8.92578125" style="1" customWidth="1"/>
    <col min="3" max="17" width="2.7109375" style="1" customWidth="1"/>
    <col min="18" max="18" width="2.92578125" style="1" customWidth="1"/>
    <col min="19" max="19" width="5.7109375" style="1" customWidth="1"/>
    <col min="20" max="20" width="2.7109375" style="1" customWidth="1"/>
    <col min="21" max="27" width="5.7109375" style="1" customWidth="1"/>
    <col min="28" max="16384" width="9.0703125" style="1"/>
  </cols>
  <sheetData>
    <row r="1" spans="2:29" x14ac:dyDescent="0.25">
      <c r="B1" s="56" t="s">
        <v>19</v>
      </c>
      <c r="C1" s="112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v>0</v>
      </c>
    </row>
    <row r="2" spans="2:29" ht="12" customHeight="1" x14ac:dyDescent="0.25">
      <c r="S2" s="12"/>
      <c r="T2" s="3"/>
      <c r="U2" s="114" t="s">
        <v>32</v>
      </c>
      <c r="V2" s="114"/>
      <c r="W2" s="2"/>
      <c r="X2" s="12"/>
      <c r="Y2" s="114">
        <v>50</v>
      </c>
      <c r="Z2" s="114"/>
      <c r="AA2" s="2"/>
      <c r="AC2" s="1">
        <f>IF(AC1=4,0,IF(Y2&lt;=250,5,0))</f>
        <v>5</v>
      </c>
    </row>
    <row r="3" spans="2:29" ht="12" customHeight="1" x14ac:dyDescent="0.25">
      <c r="S3" s="44" t="s">
        <v>12</v>
      </c>
      <c r="T3" s="15"/>
      <c r="U3" s="115"/>
      <c r="V3" s="115"/>
      <c r="W3" s="17" t="s">
        <v>15</v>
      </c>
      <c r="X3" s="44" t="s">
        <v>14</v>
      </c>
      <c r="Y3" s="115"/>
      <c r="Z3" s="115"/>
      <c r="AA3" s="17" t="s">
        <v>20</v>
      </c>
      <c r="AC3" s="1">
        <f>IF(Y2&gt;250,6,0)</f>
        <v>0</v>
      </c>
    </row>
    <row r="4" spans="2:29" ht="6.75" customHeight="1" x14ac:dyDescent="0.25">
      <c r="S4" s="18"/>
      <c r="U4" s="45"/>
      <c r="V4" s="45"/>
      <c r="X4" s="18"/>
      <c r="Y4" s="45"/>
      <c r="Z4" s="45"/>
    </row>
    <row r="5" spans="2:29" ht="21.75" customHeight="1" x14ac:dyDescent="0.25">
      <c r="B5" s="46" t="s">
        <v>16</v>
      </c>
      <c r="V5" s="1" t="s">
        <v>33</v>
      </c>
    </row>
    <row r="6" spans="2:29" ht="6.75" customHeight="1" thickBot="1" x14ac:dyDescent="0.3"/>
    <row r="7" spans="2:29" ht="14.25" customHeight="1" x14ac:dyDescent="0.25">
      <c r="B7" s="116" t="s">
        <v>0</v>
      </c>
      <c r="C7" s="108" t="s">
        <v>3</v>
      </c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09"/>
      <c r="R7" s="117" t="s">
        <v>1</v>
      </c>
      <c r="S7" s="117"/>
      <c r="T7" s="117"/>
      <c r="U7" s="108" t="s">
        <v>2</v>
      </c>
      <c r="V7" s="109"/>
      <c r="W7" s="110" t="s">
        <v>4</v>
      </c>
      <c r="X7" s="110"/>
      <c r="Y7" s="110"/>
      <c r="Z7" s="110"/>
      <c r="AA7" s="111"/>
    </row>
    <row r="8" spans="2:29" ht="10.5" customHeight="1" x14ac:dyDescent="0.25">
      <c r="B8" s="96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20"/>
      <c r="R8" s="119"/>
      <c r="S8" s="119"/>
      <c r="T8" s="119"/>
      <c r="U8" s="74" t="s">
        <v>6</v>
      </c>
      <c r="V8" s="75" t="s">
        <v>35</v>
      </c>
      <c r="W8" s="70" t="s">
        <v>6</v>
      </c>
      <c r="X8" s="32" t="s">
        <v>7</v>
      </c>
      <c r="Y8" s="32" t="s">
        <v>8</v>
      </c>
      <c r="Z8" s="33" t="s">
        <v>9</v>
      </c>
      <c r="AA8" s="34" t="s">
        <v>10</v>
      </c>
    </row>
    <row r="9" spans="2:29" ht="6" customHeight="1" x14ac:dyDescent="0.2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25">
      <c r="B10" s="96" t="str">
        <f>IF(S10="","",1)</f>
        <v/>
      </c>
      <c r="C10" s="3"/>
      <c r="E10" s="13" t="str">
        <f>IF(F10="","",IF(F10=0,"","L="))</f>
        <v/>
      </c>
      <c r="F10" s="97"/>
      <c r="G10" s="97"/>
      <c r="H10" s="14" t="str">
        <f>IF(F10="","",IF(F10=0,"","m"))</f>
        <v/>
      </c>
      <c r="K10" s="13" t="str">
        <f>IF(L10="","",IF(L10=0,"","L="))</f>
        <v/>
      </c>
      <c r="L10" s="97"/>
      <c r="M10" s="97"/>
      <c r="N10" s="14" t="str">
        <f>IF(L10="","",IF(L10=0,"","m"))</f>
        <v/>
      </c>
      <c r="Q10" s="2"/>
      <c r="R10" s="106" t="str">
        <f>IF(OR(S10="入力ｴﾗｰ",S10=0,S10="")=TRUE,"",IF(F10="","甲",IF(F10=0,"甲","")))</f>
        <v/>
      </c>
      <c r="S10" s="101" t="str">
        <f>IF((F10+I15+L10+O15)=0,"",IF((F10+I15+L10+O15)&gt;SUM($AC$1:$AC$3),"入力ｴﾗｰ",SUM($AC$1:$AC$3)-(F10+I15+L10+O15)))</f>
        <v/>
      </c>
      <c r="T10" s="102" t="str">
        <f>IF(S10="","",IF(S10="入力ｴﾗｰ","","m"))</f>
        <v/>
      </c>
      <c r="U10" s="94" t="str">
        <f>IF(B10="","",COUNT(F10,I15,L10,O15)-IF(S10=0,1,0)-V10)</f>
        <v/>
      </c>
      <c r="V10" s="95"/>
      <c r="W10" s="104"/>
      <c r="X10" s="103"/>
      <c r="Y10" s="103"/>
      <c r="Z10" s="107"/>
      <c r="AA10" s="99"/>
    </row>
    <row r="11" spans="2:29" ht="3" customHeight="1" x14ac:dyDescent="0.25">
      <c r="B11" s="96"/>
      <c r="C11" s="3"/>
      <c r="Q11" s="2"/>
      <c r="R11" s="106"/>
      <c r="S11" s="101"/>
      <c r="T11" s="102"/>
      <c r="U11" s="94"/>
      <c r="V11" s="95"/>
      <c r="W11" s="104"/>
      <c r="X11" s="103"/>
      <c r="Y11" s="103"/>
      <c r="Z11" s="107"/>
      <c r="AA11" s="99"/>
    </row>
    <row r="12" spans="2:29" ht="3" customHeight="1" x14ac:dyDescent="0.25">
      <c r="B12" s="96"/>
      <c r="C12" s="3"/>
      <c r="E12" s="4"/>
      <c r="F12" s="55"/>
      <c r="G12" s="4"/>
      <c r="H12" s="55"/>
      <c r="I12" s="5"/>
      <c r="J12" s="55"/>
      <c r="K12" s="4"/>
      <c r="L12" s="55"/>
      <c r="M12" s="3"/>
      <c r="Q12" s="2"/>
      <c r="R12" s="106"/>
      <c r="S12" s="101"/>
      <c r="T12" s="102"/>
      <c r="U12" s="94"/>
      <c r="V12" s="95"/>
      <c r="W12" s="104"/>
      <c r="X12" s="103"/>
      <c r="Y12" s="103"/>
      <c r="Z12" s="107"/>
      <c r="AA12" s="99"/>
    </row>
    <row r="13" spans="2:29" ht="3" customHeight="1" x14ac:dyDescent="0.25">
      <c r="B13" s="96"/>
      <c r="C13" s="3"/>
      <c r="E13" s="6"/>
      <c r="F13" s="8"/>
      <c r="G13" s="7"/>
      <c r="H13" s="8"/>
      <c r="I13" s="7"/>
      <c r="J13" s="6"/>
      <c r="K13" s="7"/>
      <c r="L13" s="8"/>
      <c r="M13" s="64"/>
      <c r="N13" s="66"/>
      <c r="Q13" s="2"/>
      <c r="R13" s="105" t="str">
        <f>IF(R10="甲","",IF(OR(S10=0,S10="")=TRUE,"",IF(S10="入力ｴﾗｰ","","乙")))</f>
        <v/>
      </c>
      <c r="S13" s="101"/>
      <c r="U13" s="94"/>
      <c r="V13" s="95"/>
      <c r="W13" s="104"/>
      <c r="X13" s="103"/>
      <c r="Y13" s="103"/>
      <c r="Z13" s="107"/>
      <c r="AA13" s="99"/>
    </row>
    <row r="14" spans="2:29" ht="3" customHeight="1" x14ac:dyDescent="0.25">
      <c r="B14" s="96"/>
      <c r="C14" s="3"/>
      <c r="F14" s="2"/>
      <c r="G14" s="3"/>
      <c r="H14" s="2"/>
      <c r="K14" s="3"/>
      <c r="Q14" s="2"/>
      <c r="R14" s="105"/>
      <c r="S14" s="101"/>
      <c r="U14" s="94"/>
      <c r="V14" s="95"/>
      <c r="W14" s="104"/>
      <c r="X14" s="103"/>
      <c r="Y14" s="103"/>
      <c r="Z14" s="107"/>
      <c r="AA14" s="99"/>
    </row>
    <row r="15" spans="2:29" ht="15" customHeight="1" x14ac:dyDescent="0.25">
      <c r="B15" s="96"/>
      <c r="C15" s="3"/>
      <c r="G15" s="18"/>
      <c r="H15" s="13" t="str">
        <f>IF(I15="","",IF(I15=0,"","L="))</f>
        <v/>
      </c>
      <c r="I15" s="97"/>
      <c r="J15" s="97"/>
      <c r="K15" s="14" t="str">
        <f>IF(I15="","",IF(I15=0,"","m"))</f>
        <v/>
      </c>
      <c r="N15" s="13" t="str">
        <f>IF(O15="","",IF(O15=0,"","L="))</f>
        <v/>
      </c>
      <c r="O15" s="97"/>
      <c r="P15" s="97"/>
      <c r="Q15" s="24" t="str">
        <f>IF(O15="","",IF(O15=0,"","m"))</f>
        <v/>
      </c>
      <c r="R15" s="105"/>
      <c r="S15" s="101"/>
      <c r="U15" s="94"/>
      <c r="V15" s="95"/>
      <c r="W15" s="104"/>
      <c r="X15" s="103"/>
      <c r="Y15" s="103"/>
      <c r="Z15" s="107"/>
      <c r="AA15" s="99"/>
      <c r="AC15" s="1">
        <f>IF(U10="",0,IF(U10&gt;SUM(W10:AA15),U10-SUM(W10:AA15),0))</f>
        <v>0</v>
      </c>
    </row>
    <row r="16" spans="2:29" ht="6" customHeight="1" x14ac:dyDescent="0.2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2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25">
      <c r="B18" s="96" t="str">
        <f>IF(S18="","",IF(B10="","",1+B10))</f>
        <v/>
      </c>
      <c r="C18" s="3"/>
      <c r="E18" s="13" t="str">
        <f>IF(F18="","",IF(F18=0,"","L="))</f>
        <v/>
      </c>
      <c r="F18" s="97"/>
      <c r="G18" s="97"/>
      <c r="H18" s="14" t="str">
        <f>IF(F18="","",IF(F18=0,"","m"))</f>
        <v/>
      </c>
      <c r="K18" s="13" t="str">
        <f>IF(L18="","",IF(L18=0,"","L="))</f>
        <v/>
      </c>
      <c r="L18" s="97"/>
      <c r="M18" s="97"/>
      <c r="N18" s="14" t="str">
        <f>IF(L18="","",IF(L18=0,"","m"))</f>
        <v/>
      </c>
      <c r="Q18" s="2"/>
      <c r="R18" s="106" t="str">
        <f>IF(OR(S18="入力ｴﾗｰ",S18=0,S18="")=TRUE,"",IF(F18="","甲",IF(F18=0,"甲","")))</f>
        <v/>
      </c>
      <c r="S18" s="101" t="str">
        <f>IF((F18+I23+L18+O23)=0,"",IF((F18+I23+L18+O23)&gt;SUM($AC$1:$AC$3),"入力ｴﾗｰ",SUM($AC$1:$AC$3)-(F18+I23+L18+O23)))</f>
        <v/>
      </c>
      <c r="T18" s="102" t="str">
        <f>IF(S18="","",IF(S18="入力ｴﾗｰ","","m"))</f>
        <v/>
      </c>
      <c r="U18" s="94" t="str">
        <f>IF(B18="","",COUNT(F18,I23,L18,O23)-IF(S18=0,1,0)-V18)</f>
        <v/>
      </c>
      <c r="V18" s="95"/>
      <c r="W18" s="104"/>
      <c r="X18" s="103"/>
      <c r="Y18" s="103"/>
      <c r="Z18" s="103"/>
      <c r="AA18" s="99"/>
    </row>
    <row r="19" spans="2:29" ht="3" customHeight="1" x14ac:dyDescent="0.25">
      <c r="B19" s="96"/>
      <c r="C19" s="3"/>
      <c r="Q19" s="2"/>
      <c r="R19" s="106"/>
      <c r="S19" s="101"/>
      <c r="T19" s="102"/>
      <c r="U19" s="94"/>
      <c r="V19" s="95"/>
      <c r="W19" s="104"/>
      <c r="X19" s="103"/>
      <c r="Y19" s="103"/>
      <c r="Z19" s="103"/>
      <c r="AA19" s="99"/>
    </row>
    <row r="20" spans="2:29" ht="3" customHeight="1" x14ac:dyDescent="0.25">
      <c r="B20" s="96"/>
      <c r="C20" s="3"/>
      <c r="E20" s="4"/>
      <c r="F20" s="55"/>
      <c r="G20" s="4"/>
      <c r="H20" s="55"/>
      <c r="I20" s="4"/>
      <c r="J20" s="55"/>
      <c r="K20" s="4"/>
      <c r="L20" s="55"/>
      <c r="M20" s="3"/>
      <c r="Q20" s="2"/>
      <c r="R20" s="106"/>
      <c r="S20" s="101"/>
      <c r="T20" s="102"/>
      <c r="U20" s="94"/>
      <c r="V20" s="95"/>
      <c r="W20" s="104"/>
      <c r="X20" s="103"/>
      <c r="Y20" s="103"/>
      <c r="Z20" s="103"/>
      <c r="AA20" s="99"/>
    </row>
    <row r="21" spans="2:29" ht="3" customHeight="1" x14ac:dyDescent="0.25">
      <c r="B21" s="96"/>
      <c r="C21" s="3"/>
      <c r="E21" s="6"/>
      <c r="F21" s="8"/>
      <c r="G21" s="7"/>
      <c r="H21" s="8"/>
      <c r="I21" s="7"/>
      <c r="J21" s="6"/>
      <c r="K21" s="7"/>
      <c r="L21" s="8"/>
      <c r="M21" s="64"/>
      <c r="N21" s="66"/>
      <c r="Q21" s="2"/>
      <c r="R21" s="105" t="str">
        <f>IF(R18="甲","",IF(OR(S18=0,S18="")=TRUE,"",IF(S18="入力ｴﾗｰ","","乙")))</f>
        <v/>
      </c>
      <c r="S21" s="101"/>
      <c r="U21" s="94"/>
      <c r="V21" s="95"/>
      <c r="W21" s="104"/>
      <c r="X21" s="103"/>
      <c r="Y21" s="103"/>
      <c r="Z21" s="103"/>
      <c r="AA21" s="99"/>
    </row>
    <row r="22" spans="2:29" ht="3" customHeight="1" x14ac:dyDescent="0.25">
      <c r="B22" s="96"/>
      <c r="C22" s="3"/>
      <c r="F22" s="2"/>
      <c r="G22" s="3"/>
      <c r="H22" s="2"/>
      <c r="K22" s="3"/>
      <c r="Q22" s="2"/>
      <c r="R22" s="105"/>
      <c r="S22" s="101"/>
      <c r="U22" s="94"/>
      <c r="V22" s="95"/>
      <c r="W22" s="104"/>
      <c r="X22" s="103"/>
      <c r="Y22" s="103"/>
      <c r="Z22" s="103"/>
      <c r="AA22" s="99"/>
    </row>
    <row r="23" spans="2:29" ht="15" customHeight="1" x14ac:dyDescent="0.25">
      <c r="B23" s="96"/>
      <c r="C23" s="3"/>
      <c r="G23" s="18"/>
      <c r="H23" s="13" t="str">
        <f>IF(I23="","",IF(I23=0,"","L="))</f>
        <v/>
      </c>
      <c r="I23" s="97"/>
      <c r="J23" s="97"/>
      <c r="K23" s="14" t="str">
        <f>IF(I23="","",IF(I23=0,"","m"))</f>
        <v/>
      </c>
      <c r="N23" s="13" t="str">
        <f>IF(O23="","",IF(O23=0,"","L="))</f>
        <v/>
      </c>
      <c r="O23" s="97"/>
      <c r="P23" s="97"/>
      <c r="Q23" s="24" t="str">
        <f>IF(O23="","",IF(O23=0,"","m"))</f>
        <v/>
      </c>
      <c r="R23" s="105"/>
      <c r="S23" s="101"/>
      <c r="U23" s="94"/>
      <c r="V23" s="95"/>
      <c r="W23" s="104"/>
      <c r="X23" s="103"/>
      <c r="Y23" s="103"/>
      <c r="Z23" s="103"/>
      <c r="AA23" s="99"/>
      <c r="AC23" s="1">
        <f>IF(U18="",0,IF(U18&gt;SUM(W18:AA23),U18-SUM(W18:AA23),0))</f>
        <v>0</v>
      </c>
    </row>
    <row r="24" spans="2:29" ht="6" customHeight="1" x14ac:dyDescent="0.2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2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25">
      <c r="B26" s="96" t="str">
        <f>IF(S26="","",IF(B18="","",1+B18))</f>
        <v/>
      </c>
      <c r="C26" s="3"/>
      <c r="E26" s="13" t="str">
        <f>IF(F26="","",IF(F26=0,"","L="))</f>
        <v/>
      </c>
      <c r="F26" s="97"/>
      <c r="G26" s="97"/>
      <c r="H26" s="14"/>
      <c r="K26" s="13" t="str">
        <f>IF(L26="","",IF(L26=0,"","L="))</f>
        <v/>
      </c>
      <c r="L26" s="97"/>
      <c r="M26" s="97"/>
      <c r="N26" s="14" t="str">
        <f>IF(L26="","",IF(L26=0,"","m"))</f>
        <v/>
      </c>
      <c r="Q26" s="2"/>
      <c r="R26" s="106" t="str">
        <f>IF(OR(S26="入力ｴﾗｰ",S26=0,S26="")=TRUE,"",IF(F26="","甲",IF(F26=0,"甲","")))</f>
        <v/>
      </c>
      <c r="S26" s="101" t="str">
        <f>IF((F26+I31+L26+O31)=0,"",IF((F26+I31+L26+O31)&gt;SUM($AC$1:$AC$3),"入力ｴﾗｰ",SUM($AC$1:$AC$3)-(F26+I31+L26+O31)))</f>
        <v/>
      </c>
      <c r="T26" s="102" t="str">
        <f>IF(S26="","",IF(S26="入力ｴﾗｰ","","m"))</f>
        <v/>
      </c>
      <c r="U26" s="94" t="str">
        <f>IF(B26="","",COUNT(F26,I31,L26,O31)-IF(S26=0,1,0)-V26)</f>
        <v/>
      </c>
      <c r="V26" s="95"/>
      <c r="W26" s="104"/>
      <c r="X26" s="103"/>
      <c r="Y26" s="103"/>
      <c r="Z26" s="103"/>
      <c r="AA26" s="99"/>
    </row>
    <row r="27" spans="2:29" ht="3" customHeight="1" x14ac:dyDescent="0.25">
      <c r="B27" s="96"/>
      <c r="C27" s="3"/>
      <c r="K27" s="3"/>
      <c r="L27" s="2"/>
      <c r="M27" s="3"/>
      <c r="Q27" s="2"/>
      <c r="R27" s="106"/>
      <c r="S27" s="101"/>
      <c r="T27" s="102"/>
      <c r="U27" s="94"/>
      <c r="V27" s="95"/>
      <c r="W27" s="104"/>
      <c r="X27" s="103"/>
      <c r="Y27" s="103"/>
      <c r="Z27" s="103"/>
      <c r="AA27" s="99"/>
    </row>
    <row r="28" spans="2:29" ht="3" customHeight="1" x14ac:dyDescent="0.25">
      <c r="B28" s="96"/>
      <c r="C28" s="3"/>
      <c r="E28" s="4"/>
      <c r="F28" s="55"/>
      <c r="G28" s="4"/>
      <c r="H28" s="55"/>
      <c r="K28" s="3"/>
      <c r="L28" s="2"/>
      <c r="M28" s="3"/>
      <c r="Q28" s="2"/>
      <c r="R28" s="106"/>
      <c r="S28" s="101"/>
      <c r="T28" s="102"/>
      <c r="U28" s="94"/>
      <c r="V28" s="95"/>
      <c r="W28" s="104"/>
      <c r="X28" s="103"/>
      <c r="Y28" s="103"/>
      <c r="Z28" s="103"/>
      <c r="AA28" s="99"/>
    </row>
    <row r="29" spans="2:29" ht="3" customHeight="1" x14ac:dyDescent="0.25">
      <c r="B29" s="96"/>
      <c r="C29" s="3"/>
      <c r="E29" s="6"/>
      <c r="F29" s="6"/>
      <c r="G29" s="7"/>
      <c r="H29" s="8"/>
      <c r="I29" s="7"/>
      <c r="J29" s="8"/>
      <c r="K29" s="7"/>
      <c r="L29" s="8"/>
      <c r="M29" s="7"/>
      <c r="N29" s="6"/>
      <c r="Q29" s="2"/>
      <c r="R29" s="105" t="str">
        <f>IF(R26="甲","",IF(OR(S26=0,S26="")=TRUE,"",IF(S26="入力ｴﾗｰ","","乙")))</f>
        <v/>
      </c>
      <c r="S29" s="101"/>
      <c r="U29" s="94"/>
      <c r="V29" s="95"/>
      <c r="W29" s="104"/>
      <c r="X29" s="103"/>
      <c r="Y29" s="103"/>
      <c r="Z29" s="103"/>
      <c r="AA29" s="99"/>
    </row>
    <row r="30" spans="2:29" ht="3" customHeight="1" x14ac:dyDescent="0.25">
      <c r="B30" s="96"/>
      <c r="C30" s="3"/>
      <c r="F30" s="2"/>
      <c r="G30" s="3"/>
      <c r="H30" s="2"/>
      <c r="J30" s="2"/>
      <c r="K30" s="3"/>
      <c r="L30" s="2"/>
      <c r="M30" s="3"/>
      <c r="Q30" s="2"/>
      <c r="R30" s="105"/>
      <c r="S30" s="101"/>
      <c r="U30" s="94"/>
      <c r="V30" s="95"/>
      <c r="W30" s="104"/>
      <c r="X30" s="103"/>
      <c r="Y30" s="103"/>
      <c r="Z30" s="103"/>
      <c r="AA30" s="99"/>
    </row>
    <row r="31" spans="2:29" ht="15" customHeight="1" x14ac:dyDescent="0.25">
      <c r="B31" s="96"/>
      <c r="C31" s="3"/>
      <c r="G31" s="18"/>
      <c r="H31" s="13" t="str">
        <f>IF(I31="","",IF(I31=0,"","L="))</f>
        <v/>
      </c>
      <c r="I31" s="97"/>
      <c r="J31" s="97"/>
      <c r="K31" s="14"/>
      <c r="N31" s="13" t="str">
        <f>IF(O31="","",IF(O31=0,"","L="))</f>
        <v/>
      </c>
      <c r="O31" s="97"/>
      <c r="P31" s="97"/>
      <c r="Q31" s="24" t="str">
        <f>IF(O31="","",IF(O31=0,"","m"))</f>
        <v/>
      </c>
      <c r="R31" s="105"/>
      <c r="S31" s="101"/>
      <c r="U31" s="94"/>
      <c r="V31" s="95"/>
      <c r="W31" s="104"/>
      <c r="X31" s="103"/>
      <c r="Y31" s="103"/>
      <c r="Z31" s="103"/>
      <c r="AA31" s="99"/>
      <c r="AC31" s="1">
        <f>IF(U26="",0,IF(U26&gt;SUM(W26:AA31),U26-SUM(W26:AA31),0))</f>
        <v>0</v>
      </c>
    </row>
    <row r="32" spans="2:29" ht="6" customHeight="1" x14ac:dyDescent="0.2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7"/>
      <c r="R32" s="16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2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0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25">
      <c r="B34" s="96" t="str">
        <f>IF(S34="","",IF(B26="","",1+B26))</f>
        <v/>
      </c>
      <c r="C34" s="3"/>
      <c r="E34" s="13" t="str">
        <f>IF(F34="","",IF(F34=0,"","L="))</f>
        <v/>
      </c>
      <c r="F34" s="97"/>
      <c r="G34" s="97"/>
      <c r="H34" s="14"/>
      <c r="K34" s="13" t="str">
        <f>IF(L34="","",IF(L34=0,"","L="))</f>
        <v/>
      </c>
      <c r="L34" s="97"/>
      <c r="M34" s="97"/>
      <c r="N34" s="14" t="str">
        <f>IF(L34="","",IF(L34=0,"","m"))</f>
        <v/>
      </c>
      <c r="Q34" s="2"/>
      <c r="R34" s="106" t="str">
        <f>IF(OR(S34="入力ｴﾗｰ",S34=0,S34="")=TRUE,"",IF(F34="","甲",IF(F34=0,"甲","")))</f>
        <v/>
      </c>
      <c r="S34" s="101" t="str">
        <f>IF((F34+I39+L34+O39)=0,"",IF((F34+I39+L34+O39)&gt;SUM($AC$1:$AC$3),"入力ｴﾗｰ",SUM($AC$1:$AC$3)-(F34+I39+L34+O39)))</f>
        <v/>
      </c>
      <c r="T34" s="102" t="str">
        <f>IF(S34="","",IF(S34="入力ｴﾗｰ","","m"))</f>
        <v/>
      </c>
      <c r="U34" s="94" t="str">
        <f>IF(B34="","",COUNT(F34,I39,L34,O39)-IF(S34=0,1,0)-V34)</f>
        <v/>
      </c>
      <c r="V34" s="95"/>
      <c r="W34" s="104"/>
      <c r="X34" s="103"/>
      <c r="Y34" s="103"/>
      <c r="Z34" s="103"/>
      <c r="AA34" s="99"/>
    </row>
    <row r="35" spans="2:29" ht="3" customHeight="1" x14ac:dyDescent="0.25">
      <c r="B35" s="96"/>
      <c r="C35" s="3"/>
      <c r="G35" s="3"/>
      <c r="H35" s="2"/>
      <c r="K35" s="3"/>
      <c r="L35" s="2"/>
      <c r="M35" s="3"/>
      <c r="Q35" s="2"/>
      <c r="R35" s="106"/>
      <c r="S35" s="101"/>
      <c r="T35" s="102"/>
      <c r="U35" s="94"/>
      <c r="V35" s="95"/>
      <c r="W35" s="104"/>
      <c r="X35" s="103"/>
      <c r="Y35" s="103"/>
      <c r="Z35" s="103"/>
      <c r="AA35" s="99"/>
    </row>
    <row r="36" spans="2:29" ht="3" customHeight="1" x14ac:dyDescent="0.25">
      <c r="B36" s="96"/>
      <c r="C36" s="3"/>
      <c r="G36" s="3"/>
      <c r="H36" s="2"/>
      <c r="K36" s="3"/>
      <c r="L36" s="2"/>
      <c r="M36" s="3"/>
      <c r="Q36" s="2"/>
      <c r="R36" s="106"/>
      <c r="S36" s="101"/>
      <c r="T36" s="102"/>
      <c r="U36" s="94"/>
      <c r="V36" s="95"/>
      <c r="W36" s="104"/>
      <c r="X36" s="103"/>
      <c r="Y36" s="103"/>
      <c r="Z36" s="103"/>
      <c r="AA36" s="99"/>
    </row>
    <row r="37" spans="2:29" ht="3" customHeight="1" x14ac:dyDescent="0.25">
      <c r="B37" s="96"/>
      <c r="C37" s="3"/>
      <c r="E37" s="6"/>
      <c r="F37" s="6"/>
      <c r="G37" s="7"/>
      <c r="H37" s="8"/>
      <c r="I37" s="7"/>
      <c r="J37" s="8"/>
      <c r="K37" s="7"/>
      <c r="L37" s="8"/>
      <c r="M37" s="7"/>
      <c r="N37" s="6"/>
      <c r="Q37" s="2"/>
      <c r="R37" s="105" t="str">
        <f>IF(R34="甲","",IF(OR(S34=0,S34="")=TRUE,"",IF(S34="入力ｴﾗｰ","","乙")))</f>
        <v/>
      </c>
      <c r="S37" s="101"/>
      <c r="U37" s="94"/>
      <c r="V37" s="95"/>
      <c r="W37" s="104"/>
      <c r="X37" s="103"/>
      <c r="Y37" s="103"/>
      <c r="Z37" s="103"/>
      <c r="AA37" s="99"/>
    </row>
    <row r="38" spans="2:29" ht="3" customHeight="1" x14ac:dyDescent="0.25">
      <c r="B38" s="96"/>
      <c r="C38" s="3"/>
      <c r="F38" s="2"/>
      <c r="G38" s="3"/>
      <c r="H38" s="2"/>
      <c r="J38" s="2"/>
      <c r="K38" s="3"/>
      <c r="L38" s="2"/>
      <c r="M38" s="3"/>
      <c r="Q38" s="2"/>
      <c r="R38" s="105"/>
      <c r="S38" s="101"/>
      <c r="U38" s="94"/>
      <c r="V38" s="95"/>
      <c r="W38" s="104"/>
      <c r="X38" s="103"/>
      <c r="Y38" s="103"/>
      <c r="Z38" s="103"/>
      <c r="AA38" s="99"/>
    </row>
    <row r="39" spans="2:29" ht="15" customHeight="1" x14ac:dyDescent="0.25">
      <c r="B39" s="96"/>
      <c r="C39" s="3"/>
      <c r="G39" s="18"/>
      <c r="H39" s="13" t="str">
        <f>IF(I39="","",IF(I39=0,"","L="))</f>
        <v/>
      </c>
      <c r="I39" s="97"/>
      <c r="J39" s="97"/>
      <c r="K39" s="14"/>
      <c r="N39" s="13" t="str">
        <f>IF(O39="","",IF(O39=0,"","L="))</f>
        <v/>
      </c>
      <c r="O39" s="97"/>
      <c r="P39" s="97"/>
      <c r="Q39" s="24" t="str">
        <f>IF(O39="","",IF(O39=0,"","m"))</f>
        <v/>
      </c>
      <c r="R39" s="105"/>
      <c r="S39" s="101"/>
      <c r="U39" s="94"/>
      <c r="V39" s="95"/>
      <c r="W39" s="104"/>
      <c r="X39" s="103"/>
      <c r="Y39" s="103"/>
      <c r="Z39" s="103"/>
      <c r="AA39" s="99"/>
      <c r="AC39" s="1">
        <f>IF(U34="",0,IF(U34&gt;SUM(W34:AA39),U34-SUM(W34:AA39),0))</f>
        <v>0</v>
      </c>
    </row>
    <row r="40" spans="2:29" ht="6" customHeight="1" x14ac:dyDescent="0.2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/>
      <c r="R40" s="16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2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0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25">
      <c r="B42" s="96" t="str">
        <f>IF(S42="","",IF(B34="","",1+B34))</f>
        <v/>
      </c>
      <c r="C42" s="3"/>
      <c r="E42" s="13" t="str">
        <f>IF(F42="","",IF(F42=0,"","L="))</f>
        <v/>
      </c>
      <c r="F42" s="97"/>
      <c r="G42" s="97"/>
      <c r="H42" s="14"/>
      <c r="K42" s="13" t="str">
        <f>IF(L42="","",IF(L42=0,"","L="))</f>
        <v/>
      </c>
      <c r="L42" s="97"/>
      <c r="M42" s="97"/>
      <c r="N42" s="14" t="str">
        <f>IF(L42="","",IF(L42=0,"","m"))</f>
        <v/>
      </c>
      <c r="Q42" s="2"/>
      <c r="R42" s="106" t="str">
        <f>IF(OR(S42="入力ｴﾗｰ",S42=0,S42="")=TRUE,"",IF(F42="","甲",IF(F42=0,"甲","")))</f>
        <v/>
      </c>
      <c r="S42" s="101" t="str">
        <f>IF((F42+I47+L42+O47)=0,"",IF((F42+I47+L42+O47)&gt;SUM($AC$1:$AC$3),"入力ｴﾗｰ",SUM($AC$1:$AC$3)-(F42+I47+L42+O47)))</f>
        <v/>
      </c>
      <c r="T42" s="102" t="str">
        <f>IF(S42="","",IF(S42="入力ｴﾗｰ","","m"))</f>
        <v/>
      </c>
      <c r="U42" s="94" t="str">
        <f>IF(B42="","",COUNT(F42,I47,L42,O47)-IF(S42=0,1,0)-V42)</f>
        <v/>
      </c>
      <c r="V42" s="95"/>
      <c r="W42" s="104"/>
      <c r="X42" s="103"/>
      <c r="Y42" s="103"/>
      <c r="Z42" s="103"/>
      <c r="AA42" s="99"/>
    </row>
    <row r="43" spans="2:29" ht="3" customHeight="1" x14ac:dyDescent="0.25">
      <c r="B43" s="96"/>
      <c r="C43" s="3"/>
      <c r="G43" s="3"/>
      <c r="H43" s="2"/>
      <c r="K43" s="3"/>
      <c r="L43" s="2"/>
      <c r="M43" s="3"/>
      <c r="Q43" s="2"/>
      <c r="R43" s="106"/>
      <c r="S43" s="101"/>
      <c r="T43" s="102"/>
      <c r="U43" s="94"/>
      <c r="V43" s="95"/>
      <c r="W43" s="104"/>
      <c r="X43" s="103"/>
      <c r="Y43" s="103"/>
      <c r="Z43" s="103"/>
      <c r="AA43" s="99"/>
    </row>
    <row r="44" spans="2:29" ht="3" customHeight="1" x14ac:dyDescent="0.25">
      <c r="B44" s="96"/>
      <c r="C44" s="3"/>
      <c r="G44" s="3"/>
      <c r="H44" s="2"/>
      <c r="K44" s="3"/>
      <c r="L44" s="2"/>
      <c r="M44" s="3"/>
      <c r="Q44" s="2"/>
      <c r="R44" s="106"/>
      <c r="S44" s="101"/>
      <c r="T44" s="102"/>
      <c r="U44" s="94"/>
      <c r="V44" s="95"/>
      <c r="W44" s="104"/>
      <c r="X44" s="103"/>
      <c r="Y44" s="103"/>
      <c r="Z44" s="103"/>
      <c r="AA44" s="99"/>
    </row>
    <row r="45" spans="2:29" ht="3" customHeight="1" x14ac:dyDescent="0.25">
      <c r="B45" s="96"/>
      <c r="C45" s="3"/>
      <c r="E45" s="6"/>
      <c r="F45" s="6"/>
      <c r="G45" s="7"/>
      <c r="H45" s="8"/>
      <c r="I45" s="7"/>
      <c r="J45" s="8"/>
      <c r="K45" s="7"/>
      <c r="L45" s="8"/>
      <c r="M45" s="7"/>
      <c r="N45" s="6"/>
      <c r="Q45" s="2"/>
      <c r="R45" s="105" t="str">
        <f>IF(R42="甲","",IF(OR(S42=0,S42="")=TRUE,"",IF(S42="入力ｴﾗｰ","","乙")))</f>
        <v/>
      </c>
      <c r="S45" s="101"/>
      <c r="U45" s="94"/>
      <c r="V45" s="95"/>
      <c r="W45" s="104"/>
      <c r="X45" s="103"/>
      <c r="Y45" s="103"/>
      <c r="Z45" s="103"/>
      <c r="AA45" s="99"/>
    </row>
    <row r="46" spans="2:29" ht="3" customHeight="1" x14ac:dyDescent="0.25">
      <c r="B46" s="96"/>
      <c r="C46" s="3"/>
      <c r="F46" s="2"/>
      <c r="G46" s="3"/>
      <c r="H46" s="2"/>
      <c r="J46" s="2"/>
      <c r="K46" s="3"/>
      <c r="L46" s="2"/>
      <c r="M46" s="3"/>
      <c r="Q46" s="2"/>
      <c r="R46" s="105"/>
      <c r="S46" s="101"/>
      <c r="U46" s="94"/>
      <c r="V46" s="95"/>
      <c r="W46" s="104"/>
      <c r="X46" s="103"/>
      <c r="Y46" s="103"/>
      <c r="Z46" s="103"/>
      <c r="AA46" s="99"/>
    </row>
    <row r="47" spans="2:29" ht="15" customHeight="1" x14ac:dyDescent="0.25">
      <c r="B47" s="96"/>
      <c r="C47" s="3"/>
      <c r="G47" s="18"/>
      <c r="H47" s="13" t="str">
        <f>IF(I47="","",IF(I47=0,"","L="))</f>
        <v/>
      </c>
      <c r="I47" s="97"/>
      <c r="J47" s="97"/>
      <c r="K47" s="14"/>
      <c r="N47" s="13" t="str">
        <f>IF(O47="","",IF(O47=0,"","L="))</f>
        <v/>
      </c>
      <c r="O47" s="97"/>
      <c r="P47" s="97"/>
      <c r="Q47" s="24" t="str">
        <f>IF(O47="","",IF(O47=0,"","m"))</f>
        <v/>
      </c>
      <c r="R47" s="105"/>
      <c r="S47" s="101"/>
      <c r="U47" s="94"/>
      <c r="V47" s="95"/>
      <c r="W47" s="104"/>
      <c r="X47" s="103"/>
      <c r="Y47" s="103"/>
      <c r="Z47" s="103"/>
      <c r="AA47" s="99"/>
      <c r="AC47" s="1">
        <f>IF(U42="",0,IF(U42&gt;SUM(W42:AA47),U42-SUM(W42:AA47),0))</f>
        <v>0</v>
      </c>
    </row>
    <row r="48" spans="2:29" ht="6" customHeight="1" x14ac:dyDescent="0.2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  <c r="R48" s="16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2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0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25">
      <c r="B50" s="96" t="str">
        <f>IF(S50="","",IF(B42="","",1+B42))</f>
        <v/>
      </c>
      <c r="C50" s="3"/>
      <c r="E50" s="13" t="str">
        <f>IF(F50="","",IF(F50=0,"","L="))</f>
        <v/>
      </c>
      <c r="F50" s="97"/>
      <c r="G50" s="97"/>
      <c r="H50" s="14"/>
      <c r="K50" s="13" t="str">
        <f>IF(L50="","",IF(L50=0,"","L="))</f>
        <v/>
      </c>
      <c r="L50" s="97"/>
      <c r="M50" s="97"/>
      <c r="N50" s="14" t="str">
        <f>IF(L50="","",IF(L50=0,"","m"))</f>
        <v/>
      </c>
      <c r="Q50" s="2"/>
      <c r="R50" s="106" t="str">
        <f>IF(OR(S50="入力ｴﾗｰ",S50=0,S50="")=TRUE,"",IF(F50="","甲",IF(F50=0,"甲","")))</f>
        <v/>
      </c>
      <c r="S50" s="101" t="str">
        <f>IF((F50+I55+L50+O55)=0,"",IF((F50+I55+L50+O55)&gt;SUM($AC$1:$AC$3),"入力ｴﾗｰ",SUM($AC$1:$AC$3)-(F50+I55+L50+O55)))</f>
        <v/>
      </c>
      <c r="T50" s="102" t="str">
        <f>IF(S50="","",IF(S50="入力ｴﾗｰ","","m"))</f>
        <v/>
      </c>
      <c r="U50" s="94" t="str">
        <f>IF(B50="","",COUNT(F50,I55,L50,O55)-IF(S50=0,1,0)-V50)</f>
        <v/>
      </c>
      <c r="V50" s="95"/>
      <c r="W50" s="104"/>
      <c r="X50" s="103"/>
      <c r="Y50" s="103"/>
      <c r="Z50" s="103"/>
      <c r="AA50" s="99"/>
    </row>
    <row r="51" spans="2:29" ht="3" customHeight="1" x14ac:dyDescent="0.25">
      <c r="B51" s="96"/>
      <c r="C51" s="3"/>
      <c r="G51" s="3"/>
      <c r="H51" s="2"/>
      <c r="K51" s="3"/>
      <c r="L51" s="2"/>
      <c r="M51" s="3"/>
      <c r="Q51" s="2"/>
      <c r="R51" s="106"/>
      <c r="S51" s="101"/>
      <c r="T51" s="102"/>
      <c r="U51" s="94"/>
      <c r="V51" s="95"/>
      <c r="W51" s="104"/>
      <c r="X51" s="103"/>
      <c r="Y51" s="103"/>
      <c r="Z51" s="103"/>
      <c r="AA51" s="99"/>
    </row>
    <row r="52" spans="2:29" ht="3" customHeight="1" x14ac:dyDescent="0.25">
      <c r="B52" s="96"/>
      <c r="C52" s="3"/>
      <c r="G52" s="3"/>
      <c r="H52" s="2"/>
      <c r="J52" s="4"/>
      <c r="K52" s="5"/>
      <c r="L52" s="55"/>
      <c r="M52" s="5"/>
      <c r="N52" s="4"/>
      <c r="Q52" s="2"/>
      <c r="R52" s="106"/>
      <c r="S52" s="101"/>
      <c r="T52" s="102"/>
      <c r="U52" s="94"/>
      <c r="V52" s="95"/>
      <c r="W52" s="104"/>
      <c r="X52" s="103"/>
      <c r="Y52" s="103"/>
      <c r="Z52" s="103"/>
      <c r="AA52" s="99"/>
    </row>
    <row r="53" spans="2:29" ht="3" customHeight="1" x14ac:dyDescent="0.25">
      <c r="B53" s="96"/>
      <c r="C53" s="3"/>
      <c r="E53" s="6"/>
      <c r="F53" s="6"/>
      <c r="G53" s="7"/>
      <c r="H53" s="8"/>
      <c r="I53" s="7"/>
      <c r="J53" s="8"/>
      <c r="K53" s="7"/>
      <c r="L53" s="8"/>
      <c r="M53" s="7"/>
      <c r="N53" s="6"/>
      <c r="Q53" s="2"/>
      <c r="R53" s="105" t="str">
        <f>IF(R50="甲","",IF(OR(S50=0,S50="")=TRUE,"",IF(S50="入力ｴﾗｰ","","乙")))</f>
        <v/>
      </c>
      <c r="S53" s="101"/>
      <c r="U53" s="94"/>
      <c r="V53" s="95"/>
      <c r="W53" s="104"/>
      <c r="X53" s="103"/>
      <c r="Y53" s="103"/>
      <c r="Z53" s="103"/>
      <c r="AA53" s="99"/>
    </row>
    <row r="54" spans="2:29" ht="3" customHeight="1" x14ac:dyDescent="0.25">
      <c r="B54" s="96"/>
      <c r="C54" s="3"/>
      <c r="F54" s="2"/>
      <c r="G54" s="3"/>
      <c r="H54" s="2"/>
      <c r="K54" s="3"/>
      <c r="L54" s="2"/>
      <c r="M54" s="3"/>
      <c r="Q54" s="2"/>
      <c r="R54" s="105"/>
      <c r="S54" s="101"/>
      <c r="U54" s="94"/>
      <c r="V54" s="95"/>
      <c r="W54" s="104"/>
      <c r="X54" s="103"/>
      <c r="Y54" s="103"/>
      <c r="Z54" s="103"/>
      <c r="AA54" s="99"/>
    </row>
    <row r="55" spans="2:29" ht="15" customHeight="1" x14ac:dyDescent="0.25">
      <c r="B55" s="96"/>
      <c r="C55" s="3"/>
      <c r="G55" s="18"/>
      <c r="H55" s="13" t="str">
        <f>IF(I55="","",IF(I55=0,"","L="))</f>
        <v/>
      </c>
      <c r="I55" s="97"/>
      <c r="J55" s="97"/>
      <c r="K55" s="14"/>
      <c r="N55" s="13" t="str">
        <f>IF(O55="","",IF(O55=0,"","L="))</f>
        <v/>
      </c>
      <c r="O55" s="97"/>
      <c r="P55" s="97"/>
      <c r="Q55" s="24" t="str">
        <f>IF(O55="","",IF(O55=0,"","m"))</f>
        <v/>
      </c>
      <c r="R55" s="105"/>
      <c r="S55" s="101"/>
      <c r="U55" s="94"/>
      <c r="V55" s="95"/>
      <c r="W55" s="104"/>
      <c r="X55" s="103"/>
      <c r="Y55" s="103"/>
      <c r="Z55" s="103"/>
      <c r="AA55" s="99"/>
      <c r="AC55" s="1">
        <f>IF(U50="",0,IF(U50&gt;SUM(W50:AA55),U50-SUM(W50:AA55),0))</f>
        <v>0</v>
      </c>
    </row>
    <row r="56" spans="2:29" ht="6" customHeight="1" x14ac:dyDescent="0.2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7"/>
      <c r="R56" s="16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2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1"/>
      <c r="R57" s="10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25">
      <c r="B58" s="96" t="str">
        <f>IF(S58="","",IF(B50="","",1+B50))</f>
        <v/>
      </c>
      <c r="C58" s="3"/>
      <c r="E58" s="13" t="str">
        <f>IF(F58="","",IF(F58=0,"","L="))</f>
        <v/>
      </c>
      <c r="F58" s="97"/>
      <c r="G58" s="97"/>
      <c r="H58" s="14"/>
      <c r="K58" s="13" t="str">
        <f>IF(L58="","",IF(L58=0,"","L="))</f>
        <v/>
      </c>
      <c r="L58" s="97"/>
      <c r="M58" s="97"/>
      <c r="N58" s="14" t="str">
        <f>IF(L58="","",IF(L58=0,"","m"))</f>
        <v/>
      </c>
      <c r="Q58" s="2"/>
      <c r="R58" s="106" t="str">
        <f>IF(OR(S58="入力ｴﾗｰ",S58=0,S58="")=TRUE,"",IF(F58="","甲",IF(F58=0,"甲","")))</f>
        <v/>
      </c>
      <c r="S58" s="101" t="str">
        <f>IF((F58+I63+L58+O63)=0,"",IF((F58+I63+L58+O63)&gt;SUM($AC$1:$AC$3),"入力ｴﾗｰ",SUM($AC$1:$AC$3)-(F58+I63+L58+O63)))</f>
        <v/>
      </c>
      <c r="T58" s="102" t="str">
        <f>IF(S58="","",IF(S58="入力ｴﾗｰ","","m"))</f>
        <v/>
      </c>
      <c r="U58" s="94" t="str">
        <f>IF(B58="","",COUNT(F58,I63,L58,O63)-IF(S58=0,1,0)-V58)</f>
        <v/>
      </c>
      <c r="V58" s="95"/>
      <c r="W58" s="104"/>
      <c r="X58" s="103"/>
      <c r="Y58" s="103"/>
      <c r="Z58" s="103"/>
      <c r="AA58" s="99"/>
    </row>
    <row r="59" spans="2:29" ht="3" customHeight="1" x14ac:dyDescent="0.25">
      <c r="B59" s="96"/>
      <c r="C59" s="3"/>
      <c r="G59" s="3"/>
      <c r="H59" s="2"/>
      <c r="K59" s="3"/>
      <c r="L59" s="2"/>
      <c r="M59" s="3"/>
      <c r="Q59" s="2"/>
      <c r="R59" s="106"/>
      <c r="S59" s="101"/>
      <c r="T59" s="102"/>
      <c r="U59" s="94"/>
      <c r="V59" s="95"/>
      <c r="W59" s="104"/>
      <c r="X59" s="103"/>
      <c r="Y59" s="103"/>
      <c r="Z59" s="103"/>
      <c r="AA59" s="99"/>
    </row>
    <row r="60" spans="2:29" ht="3" customHeight="1" x14ac:dyDescent="0.25">
      <c r="B60" s="96"/>
      <c r="C60" s="3"/>
      <c r="G60" s="3"/>
      <c r="H60" s="2"/>
      <c r="K60" s="3"/>
      <c r="L60" s="55"/>
      <c r="M60" s="5"/>
      <c r="N60" s="4"/>
      <c r="Q60" s="2"/>
      <c r="R60" s="106"/>
      <c r="S60" s="101"/>
      <c r="T60" s="102"/>
      <c r="U60" s="94"/>
      <c r="V60" s="95"/>
      <c r="W60" s="104"/>
      <c r="X60" s="103"/>
      <c r="Y60" s="103"/>
      <c r="Z60" s="103"/>
      <c r="AA60" s="99"/>
    </row>
    <row r="61" spans="2:29" ht="3" customHeight="1" x14ac:dyDescent="0.25">
      <c r="B61" s="96"/>
      <c r="C61" s="3"/>
      <c r="E61" s="6"/>
      <c r="F61" s="6"/>
      <c r="G61" s="7"/>
      <c r="H61" s="8"/>
      <c r="I61" s="7"/>
      <c r="J61" s="8"/>
      <c r="K61" s="7"/>
      <c r="L61" s="8"/>
      <c r="M61" s="7"/>
      <c r="N61" s="6"/>
      <c r="Q61" s="2"/>
      <c r="R61" s="105" t="str">
        <f>IF(R58="甲","",IF(OR(S58=0,S58="")=TRUE,"",IF(S58="入力ｴﾗｰ","","乙")))</f>
        <v/>
      </c>
      <c r="S61" s="101"/>
      <c r="U61" s="94"/>
      <c r="V61" s="95"/>
      <c r="W61" s="104"/>
      <c r="X61" s="103"/>
      <c r="Y61" s="103"/>
      <c r="Z61" s="103"/>
      <c r="AA61" s="99"/>
    </row>
    <row r="62" spans="2:29" ht="3" customHeight="1" x14ac:dyDescent="0.25">
      <c r="B62" s="96"/>
      <c r="C62" s="3"/>
      <c r="F62" s="2"/>
      <c r="G62" s="3"/>
      <c r="H62" s="2"/>
      <c r="J62" s="2"/>
      <c r="K62" s="3"/>
      <c r="L62" s="2"/>
      <c r="M62" s="3"/>
      <c r="Q62" s="2"/>
      <c r="R62" s="105"/>
      <c r="S62" s="101"/>
      <c r="U62" s="94"/>
      <c r="V62" s="95"/>
      <c r="W62" s="104"/>
      <c r="X62" s="103"/>
      <c r="Y62" s="103"/>
      <c r="Z62" s="103"/>
      <c r="AA62" s="99"/>
    </row>
    <row r="63" spans="2:29" ht="15" customHeight="1" x14ac:dyDescent="0.25">
      <c r="B63" s="96"/>
      <c r="C63" s="3"/>
      <c r="G63" s="18"/>
      <c r="H63" s="13" t="str">
        <f>IF(I63="","",IF(I63=0,"","L="))</f>
        <v/>
      </c>
      <c r="I63" s="97"/>
      <c r="J63" s="97"/>
      <c r="K63" s="14"/>
      <c r="N63" s="13" t="str">
        <f>IF(O63="","",IF(O63=0,"","L="))</f>
        <v/>
      </c>
      <c r="O63" s="97"/>
      <c r="P63" s="97"/>
      <c r="Q63" s="24" t="str">
        <f>IF(O63="","",IF(O63=0,"","m"))</f>
        <v/>
      </c>
      <c r="R63" s="105"/>
      <c r="S63" s="101"/>
      <c r="U63" s="94"/>
      <c r="V63" s="95"/>
      <c r="W63" s="104"/>
      <c r="X63" s="103"/>
      <c r="Y63" s="103"/>
      <c r="Z63" s="103"/>
      <c r="AA63" s="99"/>
      <c r="AC63" s="1">
        <f>IF(U58="",0,IF(U58&gt;SUM(W58:AA63),U58-SUM(W58:AA63),0))</f>
        <v>0</v>
      </c>
    </row>
    <row r="64" spans="2:29" ht="6" customHeight="1" x14ac:dyDescent="0.2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6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2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1"/>
      <c r="R65" s="10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25">
      <c r="B66" s="96" t="str">
        <f>IF(S66="","",IF(B58="","",1+B58))</f>
        <v/>
      </c>
      <c r="C66" s="3"/>
      <c r="E66" s="13" t="str">
        <f>IF(F66="","",IF(F66=0,"","L="))</f>
        <v/>
      </c>
      <c r="F66" s="97"/>
      <c r="G66" s="97"/>
      <c r="H66" s="14"/>
      <c r="K66" s="13" t="str">
        <f>IF(L66="","",IF(L66=0,"","L="))</f>
        <v/>
      </c>
      <c r="L66" s="97"/>
      <c r="M66" s="97"/>
      <c r="N66" s="14" t="str">
        <f>IF(L66="","",IF(L66=0,"","m"))</f>
        <v/>
      </c>
      <c r="Q66" s="2"/>
      <c r="R66" s="106" t="str">
        <f>IF(OR(S66="入力ｴﾗｰ",S66=0,S66="")=TRUE,"",IF(F66="","甲",IF(F66=0,"甲","")))</f>
        <v/>
      </c>
      <c r="S66" s="101" t="str">
        <f>IF((F66+I71+L66+O71)=0,"",IF((F66+I71+L66+O71)&gt;SUM($AC$1:$AC$3),"入力ｴﾗｰ",SUM($AC$1:$AC$3)-(F66+I71+L66+O71)))</f>
        <v/>
      </c>
      <c r="T66" s="102" t="str">
        <f>IF(S66="","",IF(S66="入力ｴﾗｰ","","m"))</f>
        <v/>
      </c>
      <c r="U66" s="94" t="str">
        <f>IF(B66="","",COUNT(F66,I71,L66,O71)-IF(S66=0,1,0)-V66)</f>
        <v/>
      </c>
      <c r="V66" s="95"/>
      <c r="W66" s="104"/>
      <c r="X66" s="103"/>
      <c r="Y66" s="103"/>
      <c r="Z66" s="103"/>
      <c r="AA66" s="99"/>
    </row>
    <row r="67" spans="2:29" ht="3" customHeight="1" x14ac:dyDescent="0.25">
      <c r="B67" s="96"/>
      <c r="C67" s="3"/>
      <c r="G67" s="3"/>
      <c r="H67" s="2"/>
      <c r="K67" s="3"/>
      <c r="L67" s="2"/>
      <c r="M67" s="3"/>
      <c r="Q67" s="2"/>
      <c r="R67" s="106"/>
      <c r="S67" s="101"/>
      <c r="T67" s="102"/>
      <c r="U67" s="94"/>
      <c r="V67" s="95"/>
      <c r="W67" s="104"/>
      <c r="X67" s="103"/>
      <c r="Y67" s="103"/>
      <c r="Z67" s="103"/>
      <c r="AA67" s="99"/>
    </row>
    <row r="68" spans="2:29" ht="3" customHeight="1" x14ac:dyDescent="0.25">
      <c r="B68" s="96"/>
      <c r="C68" s="3"/>
      <c r="G68" s="3"/>
      <c r="H68" s="2"/>
      <c r="K68" s="3"/>
      <c r="L68" s="2"/>
      <c r="M68" s="5"/>
      <c r="N68" s="4"/>
      <c r="Q68" s="2"/>
      <c r="R68" s="106"/>
      <c r="S68" s="101"/>
      <c r="T68" s="102"/>
      <c r="U68" s="94"/>
      <c r="V68" s="95"/>
      <c r="W68" s="104"/>
      <c r="X68" s="103"/>
      <c r="Y68" s="103"/>
      <c r="Z68" s="103"/>
      <c r="AA68" s="99"/>
    </row>
    <row r="69" spans="2:29" ht="3" customHeight="1" x14ac:dyDescent="0.25">
      <c r="B69" s="96"/>
      <c r="C69" s="3"/>
      <c r="E69" s="6"/>
      <c r="F69" s="6"/>
      <c r="G69" s="7"/>
      <c r="H69" s="8"/>
      <c r="I69" s="7"/>
      <c r="J69" s="8"/>
      <c r="K69" s="7"/>
      <c r="L69" s="8"/>
      <c r="M69" s="7"/>
      <c r="N69" s="6"/>
      <c r="Q69" s="2"/>
      <c r="R69" s="105" t="str">
        <f>IF(R66="甲","",IF(OR(S66=0,S66="")=TRUE,"",IF(S66="入力ｴﾗｰ","","乙")))</f>
        <v/>
      </c>
      <c r="S69" s="101"/>
      <c r="U69" s="94"/>
      <c r="V69" s="95"/>
      <c r="W69" s="104"/>
      <c r="X69" s="103"/>
      <c r="Y69" s="103"/>
      <c r="Z69" s="103"/>
      <c r="AA69" s="99"/>
    </row>
    <row r="70" spans="2:29" ht="3" customHeight="1" x14ac:dyDescent="0.25">
      <c r="B70" s="96"/>
      <c r="C70" s="3"/>
      <c r="F70" s="2"/>
      <c r="G70" s="3"/>
      <c r="H70" s="2"/>
      <c r="K70" s="3"/>
      <c r="L70" s="2"/>
      <c r="M70" s="3"/>
      <c r="Q70" s="2"/>
      <c r="R70" s="105"/>
      <c r="S70" s="101"/>
      <c r="U70" s="94"/>
      <c r="V70" s="95"/>
      <c r="W70" s="104"/>
      <c r="X70" s="103"/>
      <c r="Y70" s="103"/>
      <c r="Z70" s="103"/>
      <c r="AA70" s="99"/>
    </row>
    <row r="71" spans="2:29" ht="15" customHeight="1" x14ac:dyDescent="0.25">
      <c r="B71" s="96"/>
      <c r="C71" s="3"/>
      <c r="G71" s="18"/>
      <c r="H71" s="13" t="str">
        <f>IF(I71="","",IF(I71=0,"","L="))</f>
        <v/>
      </c>
      <c r="I71" s="97"/>
      <c r="J71" s="97"/>
      <c r="K71" s="14"/>
      <c r="N71" s="13" t="str">
        <f>IF(O71="","",IF(O71=0,"","L="))</f>
        <v/>
      </c>
      <c r="O71" s="97"/>
      <c r="P71" s="97"/>
      <c r="Q71" s="24" t="str">
        <f>IF(O71="","",IF(O71=0,"","m"))</f>
        <v/>
      </c>
      <c r="R71" s="105"/>
      <c r="S71" s="101"/>
      <c r="U71" s="94"/>
      <c r="V71" s="95"/>
      <c r="W71" s="104"/>
      <c r="X71" s="103"/>
      <c r="Y71" s="103"/>
      <c r="Z71" s="103"/>
      <c r="AA71" s="99"/>
      <c r="AC71" s="1">
        <f>IF(U66="",0,IF(U66&gt;SUM(W66:AA71),U66-SUM(W66:AA71),0))</f>
        <v>0</v>
      </c>
    </row>
    <row r="72" spans="2:29" ht="6" customHeight="1" x14ac:dyDescent="0.2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/>
      <c r="R72" s="16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2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1"/>
      <c r="R73" s="10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25">
      <c r="B74" s="96" t="str">
        <f>IF(S74="","",IF(B66="","",1+B66))</f>
        <v/>
      </c>
      <c r="C74" s="3"/>
      <c r="E74" s="13" t="str">
        <f>IF(F74="","",IF(F74=0,"","L="))</f>
        <v/>
      </c>
      <c r="F74" s="97"/>
      <c r="G74" s="97"/>
      <c r="H74" s="14"/>
      <c r="K74" s="13" t="str">
        <f>IF(L74="","",IF(L74=0,"","L="))</f>
        <v/>
      </c>
      <c r="L74" s="97"/>
      <c r="M74" s="97"/>
      <c r="N74" s="14" t="str">
        <f>IF(L74="","",IF(L74=0,"","m"))</f>
        <v/>
      </c>
      <c r="Q74" s="2"/>
      <c r="R74" s="106" t="str">
        <f>IF(OR(S74="入力ｴﾗｰ",S74=0,S74="")=TRUE,"",IF(F74="","甲",IF(F74=0,"甲","")))</f>
        <v/>
      </c>
      <c r="S74" s="101" t="str">
        <f>IF((F74+I79+L74+O79)=0,"",IF((F74+I79+L74+O79)&gt;SUM($AC$1:$AC$3),"入力ｴﾗｰ",SUM($AC$1:$AC$3)-(F74+I79+L74+O79)))</f>
        <v/>
      </c>
      <c r="T74" s="102" t="str">
        <f>IF(S74="","",IF(S74="入力ｴﾗｰ","","m"))</f>
        <v/>
      </c>
      <c r="U74" s="94" t="str">
        <f>IF(B74="","",COUNT(F74,I79,L74,O79)-IF(S74=0,1,0)-V74)</f>
        <v/>
      </c>
      <c r="V74" s="95"/>
      <c r="W74" s="104"/>
      <c r="X74" s="103"/>
      <c r="Y74" s="103"/>
      <c r="Z74" s="103"/>
      <c r="AA74" s="99"/>
    </row>
    <row r="75" spans="2:29" ht="3" customHeight="1" x14ac:dyDescent="0.25">
      <c r="B75" s="96"/>
      <c r="C75" s="3"/>
      <c r="G75" s="3"/>
      <c r="H75" s="2"/>
      <c r="K75" s="3"/>
      <c r="L75" s="2"/>
      <c r="M75" s="3"/>
      <c r="Q75" s="2"/>
      <c r="R75" s="106"/>
      <c r="S75" s="101"/>
      <c r="T75" s="102"/>
      <c r="U75" s="94"/>
      <c r="V75" s="95"/>
      <c r="W75" s="104"/>
      <c r="X75" s="103"/>
      <c r="Y75" s="103"/>
      <c r="Z75" s="103"/>
      <c r="AA75" s="99"/>
    </row>
    <row r="76" spans="2:29" ht="3" customHeight="1" x14ac:dyDescent="0.25">
      <c r="B76" s="96"/>
      <c r="C76" s="3"/>
      <c r="G76" s="3"/>
      <c r="H76" s="2"/>
      <c r="K76" s="3"/>
      <c r="L76" s="2"/>
      <c r="M76" s="5"/>
      <c r="N76" s="4"/>
      <c r="Q76" s="2"/>
      <c r="R76" s="106"/>
      <c r="S76" s="101"/>
      <c r="T76" s="102"/>
      <c r="U76" s="94"/>
      <c r="V76" s="95"/>
      <c r="W76" s="104"/>
      <c r="X76" s="103"/>
      <c r="Y76" s="103"/>
      <c r="Z76" s="103"/>
      <c r="AA76" s="99"/>
    </row>
    <row r="77" spans="2:29" ht="3" customHeight="1" x14ac:dyDescent="0.25">
      <c r="B77" s="96"/>
      <c r="C77" s="3"/>
      <c r="E77" s="6"/>
      <c r="F77" s="6"/>
      <c r="G77" s="7"/>
      <c r="H77" s="8"/>
      <c r="I77" s="7"/>
      <c r="J77" s="8"/>
      <c r="K77" s="7"/>
      <c r="L77" s="8"/>
      <c r="M77" s="7"/>
      <c r="N77" s="6"/>
      <c r="Q77" s="2"/>
      <c r="R77" s="105" t="str">
        <f>IF(R74="甲","",IF(OR(S74=0,S74="")=TRUE,"",IF(S74="入力ｴﾗｰ","","乙")))</f>
        <v/>
      </c>
      <c r="S77" s="101"/>
      <c r="U77" s="94"/>
      <c r="V77" s="95"/>
      <c r="W77" s="104"/>
      <c r="X77" s="103"/>
      <c r="Y77" s="103"/>
      <c r="Z77" s="103"/>
      <c r="AA77" s="99"/>
    </row>
    <row r="78" spans="2:29" ht="3" customHeight="1" x14ac:dyDescent="0.25">
      <c r="B78" s="96"/>
      <c r="C78" s="3"/>
      <c r="F78" s="2"/>
      <c r="G78" s="3"/>
      <c r="H78" s="2"/>
      <c r="J78" s="2"/>
      <c r="K78" s="3"/>
      <c r="L78" s="2"/>
      <c r="M78" s="3"/>
      <c r="Q78" s="2"/>
      <c r="R78" s="105"/>
      <c r="S78" s="101"/>
      <c r="U78" s="94"/>
      <c r="V78" s="95"/>
      <c r="W78" s="104"/>
      <c r="X78" s="103"/>
      <c r="Y78" s="103"/>
      <c r="Z78" s="103"/>
      <c r="AA78" s="99"/>
    </row>
    <row r="79" spans="2:29" ht="15" customHeight="1" x14ac:dyDescent="0.25">
      <c r="B79" s="96"/>
      <c r="C79" s="3"/>
      <c r="G79" s="18"/>
      <c r="H79" s="13" t="str">
        <f>IF(I79="","",IF(I79=0,"","L="))</f>
        <v/>
      </c>
      <c r="I79" s="97"/>
      <c r="J79" s="97"/>
      <c r="K79" s="14"/>
      <c r="N79" s="13" t="str">
        <f>IF(O79="","",IF(O79=0,"","L="))</f>
        <v/>
      </c>
      <c r="O79" s="97"/>
      <c r="P79" s="97"/>
      <c r="Q79" s="24" t="str">
        <f>IF(O79="","",IF(O79=0,"","m"))</f>
        <v/>
      </c>
      <c r="R79" s="105"/>
      <c r="S79" s="101"/>
      <c r="U79" s="94"/>
      <c r="V79" s="95"/>
      <c r="W79" s="104"/>
      <c r="X79" s="103"/>
      <c r="Y79" s="103"/>
      <c r="Z79" s="103"/>
      <c r="AA79" s="99"/>
      <c r="AC79" s="1">
        <f>IF(U74="",0,IF(U74&gt;SUM(W74:AA79),U74-SUM(W74:AA79),0))</f>
        <v>0</v>
      </c>
    </row>
    <row r="80" spans="2:29" ht="6" customHeight="1" x14ac:dyDescent="0.2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7"/>
      <c r="R80" s="16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2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1"/>
      <c r="R81" s="10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25">
      <c r="B82" s="96" t="str">
        <f>IF(S82="","",IF(B74="","",1+B74))</f>
        <v/>
      </c>
      <c r="C82" s="3"/>
      <c r="E82" s="13" t="str">
        <f>IF(F82="","",IF(F82=0,"","L="))</f>
        <v/>
      </c>
      <c r="F82" s="97"/>
      <c r="G82" s="97"/>
      <c r="H82" s="14"/>
      <c r="K82" s="13" t="str">
        <f>IF(L82="","",IF(L82=0,"","L="))</f>
        <v/>
      </c>
      <c r="L82" s="97"/>
      <c r="M82" s="97"/>
      <c r="N82" s="14" t="str">
        <f>IF(L82="","",IF(L82=0,"","m"))</f>
        <v/>
      </c>
      <c r="Q82" s="2"/>
      <c r="R82" s="106" t="str">
        <f>IF(OR(S82="入力ｴﾗｰ",S82=0,S82="")=TRUE,"",IF(F82="","甲",IF(F82=0,"甲","")))</f>
        <v/>
      </c>
      <c r="S82" s="101" t="str">
        <f>IF((F82+I87+L82+O87)=0,"",IF((F82+I87+L82+O87)&gt;SUM($AC$1:$AC$3),"入力ｴﾗｰ",SUM($AC$1:$AC$3)-(F82+I87+L82+O87)))</f>
        <v/>
      </c>
      <c r="T82" s="102" t="str">
        <f>IF(S82="","",IF(S82="入力ｴﾗｰ","","m"))</f>
        <v/>
      </c>
      <c r="U82" s="94" t="str">
        <f>IF(B82="","",COUNT(F82,I87,L82,O87)-IF(S82=0,1,0)-V82)</f>
        <v/>
      </c>
      <c r="V82" s="95"/>
      <c r="W82" s="104"/>
      <c r="X82" s="103"/>
      <c r="Y82" s="103"/>
      <c r="Z82" s="103"/>
      <c r="AA82" s="99"/>
    </row>
    <row r="83" spans="2:29" ht="3" customHeight="1" x14ac:dyDescent="0.25">
      <c r="B83" s="96"/>
      <c r="C83" s="3"/>
      <c r="G83" s="3"/>
      <c r="H83" s="2"/>
      <c r="K83" s="3"/>
      <c r="L83" s="2"/>
      <c r="M83" s="3"/>
      <c r="Q83" s="2"/>
      <c r="R83" s="106"/>
      <c r="S83" s="101"/>
      <c r="T83" s="102"/>
      <c r="U83" s="94"/>
      <c r="V83" s="95"/>
      <c r="W83" s="104"/>
      <c r="X83" s="103"/>
      <c r="Y83" s="103"/>
      <c r="Z83" s="103"/>
      <c r="AA83" s="99"/>
    </row>
    <row r="84" spans="2:29" ht="3" customHeight="1" x14ac:dyDescent="0.25">
      <c r="B84" s="96"/>
      <c r="C84" s="3"/>
      <c r="G84" s="3"/>
      <c r="H84" s="2"/>
      <c r="K84" s="3"/>
      <c r="L84" s="2"/>
      <c r="M84" s="5"/>
      <c r="N84" s="4"/>
      <c r="Q84" s="2"/>
      <c r="R84" s="106"/>
      <c r="S84" s="101"/>
      <c r="T84" s="102"/>
      <c r="U84" s="94"/>
      <c r="V84" s="95"/>
      <c r="W84" s="104"/>
      <c r="X84" s="103"/>
      <c r="Y84" s="103"/>
      <c r="Z84" s="103"/>
      <c r="AA84" s="99"/>
    </row>
    <row r="85" spans="2:29" ht="3" customHeight="1" x14ac:dyDescent="0.25">
      <c r="B85" s="96"/>
      <c r="C85" s="3"/>
      <c r="E85" s="6"/>
      <c r="F85" s="6"/>
      <c r="G85" s="7"/>
      <c r="H85" s="8"/>
      <c r="I85" s="7"/>
      <c r="J85" s="8"/>
      <c r="K85" s="7"/>
      <c r="L85" s="8"/>
      <c r="M85" s="7"/>
      <c r="N85" s="6"/>
      <c r="Q85" s="2"/>
      <c r="R85" s="105" t="str">
        <f>IF(R82="甲","",IF(OR(S82=0,S82="")=TRUE,"",IF(S82="入力ｴﾗｰ","","乙")))</f>
        <v/>
      </c>
      <c r="S85" s="101"/>
      <c r="U85" s="94"/>
      <c r="V85" s="95"/>
      <c r="W85" s="104"/>
      <c r="X85" s="103"/>
      <c r="Y85" s="103"/>
      <c r="Z85" s="103"/>
      <c r="AA85" s="99"/>
    </row>
    <row r="86" spans="2:29" ht="3" customHeight="1" x14ac:dyDescent="0.25">
      <c r="B86" s="96"/>
      <c r="C86" s="3"/>
      <c r="F86" s="2"/>
      <c r="G86" s="3"/>
      <c r="H86" s="2"/>
      <c r="K86" s="3"/>
      <c r="L86" s="2"/>
      <c r="M86" s="3"/>
      <c r="Q86" s="2"/>
      <c r="R86" s="105"/>
      <c r="S86" s="101"/>
      <c r="U86" s="94"/>
      <c r="V86" s="95"/>
      <c r="W86" s="104"/>
      <c r="X86" s="103"/>
      <c r="Y86" s="103"/>
      <c r="Z86" s="103"/>
      <c r="AA86" s="99"/>
    </row>
    <row r="87" spans="2:29" ht="15" customHeight="1" x14ac:dyDescent="0.25">
      <c r="B87" s="96"/>
      <c r="C87" s="3"/>
      <c r="G87" s="18"/>
      <c r="H87" s="13" t="str">
        <f>IF(I87="","",IF(I87=0,"","L="))</f>
        <v/>
      </c>
      <c r="I87" s="97"/>
      <c r="J87" s="97"/>
      <c r="K87" s="14"/>
      <c r="N87" s="13" t="str">
        <f>IF(O87="","",IF(O87=0,"","L="))</f>
        <v/>
      </c>
      <c r="O87" s="97"/>
      <c r="P87" s="97"/>
      <c r="Q87" s="24" t="str">
        <f>IF(O87="","",IF(O87=0,"","m"))</f>
        <v/>
      </c>
      <c r="R87" s="105"/>
      <c r="S87" s="101"/>
      <c r="U87" s="94"/>
      <c r="V87" s="95"/>
      <c r="W87" s="104"/>
      <c r="X87" s="103"/>
      <c r="Y87" s="103"/>
      <c r="Z87" s="103"/>
      <c r="AA87" s="99"/>
      <c r="AC87" s="1">
        <f>IF(U82="",0,IF(U82&gt;SUM(W82:AA87),U82-SUM(W82:AA87),0))</f>
        <v>0</v>
      </c>
    </row>
    <row r="88" spans="2:29" ht="6" customHeight="1" x14ac:dyDescent="0.2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/>
      <c r="R88" s="16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2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1"/>
      <c r="R89" s="10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25">
      <c r="B90" s="96" t="str">
        <f>IF(S90="","",IF(B82="","",1+B82))</f>
        <v/>
      </c>
      <c r="C90" s="3"/>
      <c r="E90" s="13" t="str">
        <f>IF(F90="","",IF(F90=0,"","L="))</f>
        <v/>
      </c>
      <c r="F90" s="97"/>
      <c r="G90" s="97"/>
      <c r="H90" s="14"/>
      <c r="K90" s="13" t="str">
        <f>IF(L90="","",IF(L90=0,"","L="))</f>
        <v/>
      </c>
      <c r="L90" s="97"/>
      <c r="M90" s="97"/>
      <c r="N90" s="14" t="str">
        <f>IF(L90="","",IF(L90=0,"","m"))</f>
        <v/>
      </c>
      <c r="Q90" s="2"/>
      <c r="R90" s="106" t="str">
        <f>IF(OR(S90="入力ｴﾗｰ",S90=0,S90="")=TRUE,"",IF(F90="","甲",IF(F90=0,"甲","")))</f>
        <v/>
      </c>
      <c r="S90" s="101" t="str">
        <f>IF((F90+I95+L90+O95)=0,"",IF((F90+I95+L90+O95)&gt;SUM($AC$1:$AC$3),"入力ｴﾗｰ",SUM($AC$1:$AC$3)-(F90+I95+L90+O95)))</f>
        <v/>
      </c>
      <c r="T90" s="102" t="str">
        <f>IF(S90="","",IF(S90="入力ｴﾗｰ","","m"))</f>
        <v/>
      </c>
      <c r="U90" s="94" t="str">
        <f>IF(B90="","",COUNT(F90,I95,L90,O95)-IF(S90=0,1,0)-V90)</f>
        <v/>
      </c>
      <c r="V90" s="95"/>
      <c r="W90" s="104"/>
      <c r="X90" s="103"/>
      <c r="Y90" s="103"/>
      <c r="Z90" s="103"/>
      <c r="AA90" s="99"/>
    </row>
    <row r="91" spans="2:29" ht="3" customHeight="1" x14ac:dyDescent="0.25">
      <c r="B91" s="96"/>
      <c r="C91" s="3"/>
      <c r="G91" s="3"/>
      <c r="H91" s="2"/>
      <c r="K91" s="3"/>
      <c r="L91" s="2"/>
      <c r="M91" s="3"/>
      <c r="Q91" s="2"/>
      <c r="R91" s="106"/>
      <c r="S91" s="101"/>
      <c r="T91" s="102"/>
      <c r="U91" s="94"/>
      <c r="V91" s="95"/>
      <c r="W91" s="104"/>
      <c r="X91" s="103"/>
      <c r="Y91" s="103"/>
      <c r="Z91" s="103"/>
      <c r="AA91" s="99"/>
    </row>
    <row r="92" spans="2:29" ht="3" customHeight="1" x14ac:dyDescent="0.25">
      <c r="B92" s="96"/>
      <c r="C92" s="3"/>
      <c r="G92" s="3"/>
      <c r="H92" s="2"/>
      <c r="K92" s="3"/>
      <c r="L92" s="2"/>
      <c r="M92" s="5"/>
      <c r="N92" s="4"/>
      <c r="Q92" s="2"/>
      <c r="R92" s="106"/>
      <c r="S92" s="101"/>
      <c r="T92" s="102"/>
      <c r="U92" s="94"/>
      <c r="V92" s="95"/>
      <c r="W92" s="104"/>
      <c r="X92" s="103"/>
      <c r="Y92" s="103"/>
      <c r="Z92" s="103"/>
      <c r="AA92" s="99"/>
    </row>
    <row r="93" spans="2:29" ht="3" customHeight="1" x14ac:dyDescent="0.25">
      <c r="B93" s="96"/>
      <c r="C93" s="3"/>
      <c r="E93" s="6"/>
      <c r="F93" s="6"/>
      <c r="G93" s="7"/>
      <c r="H93" s="8"/>
      <c r="I93" s="7"/>
      <c r="J93" s="8"/>
      <c r="K93" s="7"/>
      <c r="L93" s="8"/>
      <c r="M93" s="7"/>
      <c r="N93" s="6"/>
      <c r="Q93" s="2"/>
      <c r="R93" s="105" t="str">
        <f>IF(R90="甲","",IF(OR(S90=0,S90="")=TRUE,"",IF(S90="入力ｴﾗｰ","","乙")))</f>
        <v/>
      </c>
      <c r="S93" s="101"/>
      <c r="U93" s="94"/>
      <c r="V93" s="95"/>
      <c r="W93" s="104"/>
      <c r="X93" s="103"/>
      <c r="Y93" s="103"/>
      <c r="Z93" s="103"/>
      <c r="AA93" s="99"/>
    </row>
    <row r="94" spans="2:29" ht="3" customHeight="1" x14ac:dyDescent="0.25">
      <c r="B94" s="96"/>
      <c r="C94" s="3"/>
      <c r="F94" s="2"/>
      <c r="G94" s="3"/>
      <c r="H94" s="2"/>
      <c r="K94" s="3"/>
      <c r="L94" s="2"/>
      <c r="M94" s="3"/>
      <c r="Q94" s="2"/>
      <c r="R94" s="105"/>
      <c r="S94" s="101"/>
      <c r="U94" s="94"/>
      <c r="V94" s="95"/>
      <c r="W94" s="104"/>
      <c r="X94" s="103"/>
      <c r="Y94" s="103"/>
      <c r="Z94" s="103"/>
      <c r="AA94" s="99"/>
    </row>
    <row r="95" spans="2:29" ht="15" customHeight="1" x14ac:dyDescent="0.25">
      <c r="B95" s="96"/>
      <c r="C95" s="3"/>
      <c r="G95" s="18"/>
      <c r="H95" s="13" t="str">
        <f>IF(I95="","",IF(I95=0,"","L="))</f>
        <v/>
      </c>
      <c r="I95" s="97"/>
      <c r="J95" s="97"/>
      <c r="K95" s="14"/>
      <c r="N95" s="13" t="str">
        <f>IF(O95="","",IF(O95=0,"","L="))</f>
        <v/>
      </c>
      <c r="O95" s="97"/>
      <c r="P95" s="97"/>
      <c r="Q95" s="24" t="str">
        <f>IF(O95="","",IF(O95=0,"","m"))</f>
        <v/>
      </c>
      <c r="R95" s="105"/>
      <c r="S95" s="101"/>
      <c r="U95" s="94"/>
      <c r="V95" s="95"/>
      <c r="W95" s="104"/>
      <c r="X95" s="103"/>
      <c r="Y95" s="103"/>
      <c r="Z95" s="103"/>
      <c r="AA95" s="99"/>
      <c r="AC95" s="1">
        <f>IF(U90="",0,IF(U90&gt;SUM(W90:AA95),U90-SUM(W90:AA95),0))</f>
        <v>0</v>
      </c>
    </row>
    <row r="96" spans="2:29" ht="6" customHeight="1" x14ac:dyDescent="0.2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7"/>
      <c r="R96" s="16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2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1"/>
      <c r="R97" s="10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25">
      <c r="B98" s="96" t="str">
        <f>IF(S98="","",IF(B90="","",1+B90))</f>
        <v/>
      </c>
      <c r="C98" s="3"/>
      <c r="E98" s="13" t="str">
        <f>IF(F98="","",IF(F98=0,"","L="))</f>
        <v/>
      </c>
      <c r="F98" s="97"/>
      <c r="G98" s="97"/>
      <c r="H98" s="14"/>
      <c r="K98" s="13" t="str">
        <f>IF(L98="","",IF(L98=0,"","L="))</f>
        <v/>
      </c>
      <c r="L98" s="97"/>
      <c r="M98" s="97"/>
      <c r="N98" s="14" t="str">
        <f>IF(L98="","",IF(L98=0,"","m"))</f>
        <v/>
      </c>
      <c r="Q98" s="2"/>
      <c r="R98" s="106" t="str">
        <f>IF(OR(S98="入力ｴﾗｰ",S98=0,S98="")=TRUE,"",IF(F98="","甲",IF(F98=0,"甲","")))</f>
        <v/>
      </c>
      <c r="S98" s="101" t="str">
        <f>IF((F98+I103+L98+O103)=0,"",IF((F98+I103+L98+O103)&gt;SUM($AC$1:$AC$3),"入力ｴﾗｰ",SUM($AC$1:$AC$3)-(F98+I103+L98+O103)))</f>
        <v/>
      </c>
      <c r="T98" s="102" t="str">
        <f>IF(S98="","",IF(S98="入力ｴﾗｰ","","m"))</f>
        <v/>
      </c>
      <c r="U98" s="94" t="str">
        <f>IF(B98="","",COUNT(F98,I103,L98,O103)-IF(S98=0,1,0)-V98)</f>
        <v/>
      </c>
      <c r="V98" s="95"/>
      <c r="W98" s="104"/>
      <c r="X98" s="103"/>
      <c r="Y98" s="103"/>
      <c r="Z98" s="103"/>
      <c r="AA98" s="99"/>
    </row>
    <row r="99" spans="2:29" ht="3" customHeight="1" x14ac:dyDescent="0.25">
      <c r="B99" s="96"/>
      <c r="C99" s="3"/>
      <c r="G99" s="3"/>
      <c r="H99" s="2"/>
      <c r="K99" s="3"/>
      <c r="L99" s="2"/>
      <c r="M99" s="3"/>
      <c r="Q99" s="2"/>
      <c r="R99" s="106"/>
      <c r="S99" s="101"/>
      <c r="T99" s="102"/>
      <c r="U99" s="94"/>
      <c r="V99" s="95"/>
      <c r="W99" s="104"/>
      <c r="X99" s="103"/>
      <c r="Y99" s="103"/>
      <c r="Z99" s="103"/>
      <c r="AA99" s="99"/>
    </row>
    <row r="100" spans="2:29" ht="3" customHeight="1" x14ac:dyDescent="0.25">
      <c r="B100" s="96"/>
      <c r="C100" s="3"/>
      <c r="G100" s="3"/>
      <c r="H100" s="2"/>
      <c r="K100" s="3"/>
      <c r="L100" s="2"/>
      <c r="M100" s="5"/>
      <c r="N100" s="4"/>
      <c r="Q100" s="2"/>
      <c r="R100" s="106"/>
      <c r="S100" s="101"/>
      <c r="T100" s="102"/>
      <c r="U100" s="94"/>
      <c r="V100" s="95"/>
      <c r="W100" s="104"/>
      <c r="X100" s="103"/>
      <c r="Y100" s="103"/>
      <c r="Z100" s="103"/>
      <c r="AA100" s="99"/>
    </row>
    <row r="101" spans="2:29" ht="3" customHeight="1" x14ac:dyDescent="0.25">
      <c r="B101" s="96"/>
      <c r="C101" s="3"/>
      <c r="E101" s="6"/>
      <c r="F101" s="6"/>
      <c r="G101" s="7"/>
      <c r="H101" s="8"/>
      <c r="I101" s="7"/>
      <c r="J101" s="8"/>
      <c r="K101" s="7"/>
      <c r="L101" s="8"/>
      <c r="M101" s="7"/>
      <c r="N101" s="6"/>
      <c r="Q101" s="2"/>
      <c r="R101" s="105" t="str">
        <f>IF(R98="甲","",IF(OR(S98=0,S98="")=TRUE,"",IF(S98="入力ｴﾗｰ","","乙")))</f>
        <v/>
      </c>
      <c r="S101" s="101"/>
      <c r="U101" s="94"/>
      <c r="V101" s="95"/>
      <c r="W101" s="104"/>
      <c r="X101" s="103"/>
      <c r="Y101" s="103"/>
      <c r="Z101" s="103"/>
      <c r="AA101" s="99"/>
    </row>
    <row r="102" spans="2:29" ht="3" customHeight="1" x14ac:dyDescent="0.25">
      <c r="B102" s="96"/>
      <c r="C102" s="3"/>
      <c r="F102" s="2"/>
      <c r="G102" s="3"/>
      <c r="H102" s="2"/>
      <c r="K102" s="3"/>
      <c r="L102" s="2"/>
      <c r="M102" s="3"/>
      <c r="Q102" s="2"/>
      <c r="R102" s="105"/>
      <c r="S102" s="101"/>
      <c r="U102" s="94"/>
      <c r="V102" s="95"/>
      <c r="W102" s="104"/>
      <c r="X102" s="103"/>
      <c r="Y102" s="103"/>
      <c r="Z102" s="103"/>
      <c r="AA102" s="99"/>
    </row>
    <row r="103" spans="2:29" ht="15" customHeight="1" x14ac:dyDescent="0.25">
      <c r="B103" s="96"/>
      <c r="C103" s="3"/>
      <c r="G103" s="18"/>
      <c r="H103" s="13" t="str">
        <f>IF(I103="","",IF(I103=0,"","L="))</f>
        <v/>
      </c>
      <c r="I103" s="97"/>
      <c r="J103" s="97"/>
      <c r="K103" s="14"/>
      <c r="N103" s="13" t="str">
        <f>IF(O103="","",IF(O103=0,"","L="))</f>
        <v/>
      </c>
      <c r="O103" s="97"/>
      <c r="P103" s="97"/>
      <c r="Q103" s="24" t="str">
        <f>IF(O103="","",IF(O103=0,"","m"))</f>
        <v/>
      </c>
      <c r="R103" s="105"/>
      <c r="S103" s="101"/>
      <c r="U103" s="94"/>
      <c r="V103" s="95"/>
      <c r="W103" s="104"/>
      <c r="X103" s="103"/>
      <c r="Y103" s="103"/>
      <c r="Z103" s="103"/>
      <c r="AA103" s="99"/>
      <c r="AC103" s="1">
        <f>IF(U98="",0,IF(U98&gt;SUM(W98:AA103),U98-SUM(W98:AA103),0))</f>
        <v>0</v>
      </c>
    </row>
    <row r="104" spans="2:29" ht="6" customHeight="1" x14ac:dyDescent="0.2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7"/>
      <c r="R104" s="16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2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1"/>
      <c r="R105" s="10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25">
      <c r="B106" s="96"/>
      <c r="C106" s="3"/>
      <c r="E106" s="13" t="str">
        <f>IF(F106="","",IF(F106=0,"","L="))</f>
        <v/>
      </c>
      <c r="F106" s="97"/>
      <c r="G106" s="97"/>
      <c r="H106" s="14"/>
      <c r="K106" s="13" t="str">
        <f>IF(L106="","",IF(L106=0,"","L="))</f>
        <v/>
      </c>
      <c r="L106" s="97"/>
      <c r="M106" s="97"/>
      <c r="N106" s="14" t="str">
        <f>IF(L106="","",IF(L106=0,"","m"))</f>
        <v/>
      </c>
      <c r="Q106" s="2"/>
      <c r="R106" s="106" t="str">
        <f>IF(OR(S106="入力ｴﾗｰ",S106=0,S106="")=TRUE,"",IF(F106="","甲",IF(F106=0,"甲","")))</f>
        <v/>
      </c>
      <c r="S106" s="101" t="str">
        <f>IF((F106+I111+L106+O111)=0,"",IF((F106+I111+L106+O111)&gt;SUM($AC$1:$AC$3),"入力ｴﾗｰ",SUM($AC$1:$AC$3)-(F106+I111+L106+O111)))</f>
        <v/>
      </c>
      <c r="T106" s="102" t="str">
        <f>IF(S106="","",IF(S106="入力ｴﾗｰ","","m"))</f>
        <v/>
      </c>
      <c r="U106" s="94" t="str">
        <f>IF(B106="","",COUNT(F106,I111,L106,O111)-IF(S106=0,1,0)-V106)</f>
        <v/>
      </c>
      <c r="V106" s="95"/>
      <c r="W106" s="104"/>
      <c r="X106" s="103"/>
      <c r="Y106" s="103"/>
      <c r="Z106" s="103"/>
      <c r="AA106" s="99"/>
    </row>
    <row r="107" spans="2:29" ht="3" customHeight="1" x14ac:dyDescent="0.25">
      <c r="B107" s="96"/>
      <c r="C107" s="3"/>
      <c r="G107" s="3"/>
      <c r="H107" s="2"/>
      <c r="K107" s="3"/>
      <c r="L107" s="2"/>
      <c r="M107" s="3"/>
      <c r="Q107" s="2"/>
      <c r="R107" s="106"/>
      <c r="S107" s="101"/>
      <c r="T107" s="102"/>
      <c r="U107" s="94"/>
      <c r="V107" s="95"/>
      <c r="W107" s="104"/>
      <c r="X107" s="103"/>
      <c r="Y107" s="103"/>
      <c r="Z107" s="103"/>
      <c r="AA107" s="99"/>
    </row>
    <row r="108" spans="2:29" ht="3" customHeight="1" x14ac:dyDescent="0.25">
      <c r="B108" s="96"/>
      <c r="C108" s="3"/>
      <c r="G108" s="3"/>
      <c r="H108" s="2"/>
      <c r="K108" s="3"/>
      <c r="L108" s="2"/>
      <c r="M108" s="5"/>
      <c r="N108" s="4"/>
      <c r="Q108" s="2"/>
      <c r="R108" s="106"/>
      <c r="S108" s="101"/>
      <c r="T108" s="102"/>
      <c r="U108" s="94"/>
      <c r="V108" s="95"/>
      <c r="W108" s="104"/>
      <c r="X108" s="103"/>
      <c r="Y108" s="103"/>
      <c r="Z108" s="103"/>
      <c r="AA108" s="99"/>
    </row>
    <row r="109" spans="2:29" ht="3" customHeight="1" x14ac:dyDescent="0.25">
      <c r="B109" s="96"/>
      <c r="C109" s="3"/>
      <c r="E109" s="6"/>
      <c r="F109" s="6"/>
      <c r="G109" s="7"/>
      <c r="H109" s="8"/>
      <c r="I109" s="7"/>
      <c r="J109" s="8"/>
      <c r="K109" s="7"/>
      <c r="L109" s="8"/>
      <c r="M109" s="7"/>
      <c r="N109" s="6"/>
      <c r="Q109" s="2"/>
      <c r="R109" s="105" t="str">
        <f>IF(R106="甲","",IF(OR(S106=0,S106="")=TRUE,"",IF(S106="入力ｴﾗｰ","","乙")))</f>
        <v/>
      </c>
      <c r="S109" s="101"/>
      <c r="U109" s="94"/>
      <c r="V109" s="95"/>
      <c r="W109" s="104"/>
      <c r="X109" s="103"/>
      <c r="Y109" s="103"/>
      <c r="Z109" s="103"/>
      <c r="AA109" s="99"/>
    </row>
    <row r="110" spans="2:29" ht="3" customHeight="1" x14ac:dyDescent="0.25">
      <c r="B110" s="96"/>
      <c r="C110" s="3"/>
      <c r="F110" s="2"/>
      <c r="G110" s="3"/>
      <c r="H110" s="2"/>
      <c r="K110" s="3"/>
      <c r="L110" s="2"/>
      <c r="M110" s="3"/>
      <c r="Q110" s="2"/>
      <c r="R110" s="105"/>
      <c r="S110" s="101"/>
      <c r="U110" s="94"/>
      <c r="V110" s="95"/>
      <c r="W110" s="104"/>
      <c r="X110" s="103"/>
      <c r="Y110" s="103"/>
      <c r="Z110" s="103"/>
      <c r="AA110" s="99"/>
    </row>
    <row r="111" spans="2:29" ht="15" customHeight="1" x14ac:dyDescent="0.25">
      <c r="B111" s="96"/>
      <c r="C111" s="3"/>
      <c r="G111" s="18"/>
      <c r="H111" s="13" t="str">
        <f>IF(I111="","",IF(I111=0,"","L="))</f>
        <v/>
      </c>
      <c r="I111" s="97"/>
      <c r="J111" s="97"/>
      <c r="K111" s="14"/>
      <c r="N111" s="13" t="str">
        <f>IF(O111="","",IF(O111=0,"","L="))</f>
        <v/>
      </c>
      <c r="O111" s="97"/>
      <c r="P111" s="97"/>
      <c r="Q111" s="24" t="str">
        <f>IF(O111="","",IF(O111=0,"","m"))</f>
        <v/>
      </c>
      <c r="R111" s="105"/>
      <c r="S111" s="101"/>
      <c r="U111" s="94"/>
      <c r="V111" s="95"/>
      <c r="W111" s="104"/>
      <c r="X111" s="103"/>
      <c r="Y111" s="103"/>
      <c r="Z111" s="103"/>
      <c r="AA111" s="99"/>
      <c r="AC111" s="1">
        <f>IF(U106="",0,IF(U106&gt;SUM(W106:AA111),U106-SUM(W106:AA111),0))</f>
        <v>0</v>
      </c>
    </row>
    <row r="112" spans="2:29" ht="6" customHeight="1" x14ac:dyDescent="0.2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25">
      <c r="B113" s="84" t="s">
        <v>17</v>
      </c>
      <c r="C113" s="85"/>
      <c r="D113" s="85"/>
      <c r="E113" s="85"/>
      <c r="F113" s="86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3">
      <c r="B114" s="87"/>
      <c r="C114" s="88"/>
      <c r="D114" s="88"/>
      <c r="E114" s="88"/>
      <c r="F114" s="89"/>
      <c r="G114" s="25" t="str">
        <f>U2</f>
        <v>PE</v>
      </c>
      <c r="H114" s="88">
        <f>Y2</f>
        <v>50</v>
      </c>
      <c r="I114" s="88"/>
      <c r="J114" s="89"/>
      <c r="K114" s="90">
        <f>IF(B10="",0,LARGE(B10:B111,1))</f>
        <v>0</v>
      </c>
      <c r="L114" s="91"/>
      <c r="M114" s="21"/>
      <c r="N114" s="25"/>
      <c r="O114" s="20"/>
      <c r="P114" s="20"/>
      <c r="Q114" s="21"/>
      <c r="R114" s="92">
        <f>SUM(S10:S111)</f>
        <v>0</v>
      </c>
      <c r="S114" s="93"/>
      <c r="T114" s="20"/>
      <c r="U114" s="51">
        <f t="shared" ref="U114:AA114" si="0">SUM(U10:U111)</f>
        <v>0</v>
      </c>
      <c r="V114" s="79">
        <f t="shared" si="0"/>
        <v>0</v>
      </c>
      <c r="W114" s="73">
        <f t="shared" si="0"/>
        <v>0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AA98:AA103"/>
    <mergeCell ref="R101:R103"/>
    <mergeCell ref="AA106:AA111"/>
    <mergeCell ref="R109:R111"/>
    <mergeCell ref="I111:J111"/>
    <mergeCell ref="O111:P111"/>
    <mergeCell ref="Z106:Z111"/>
    <mergeCell ref="B113:F114"/>
    <mergeCell ref="H114:J114"/>
    <mergeCell ref="K114:L114"/>
    <mergeCell ref="R114:S114"/>
    <mergeCell ref="U106:U111"/>
    <mergeCell ref="V106:V111"/>
    <mergeCell ref="W106:W111"/>
    <mergeCell ref="X106:X111"/>
    <mergeCell ref="Y106:Y111"/>
    <mergeCell ref="B106:B111"/>
    <mergeCell ref="F106:G106"/>
    <mergeCell ref="L106:M106"/>
    <mergeCell ref="R106:R108"/>
    <mergeCell ref="S106:S111"/>
    <mergeCell ref="T106:T108"/>
    <mergeCell ref="B98:B103"/>
    <mergeCell ref="F98:G98"/>
    <mergeCell ref="L98:M98"/>
    <mergeCell ref="U98:U103"/>
    <mergeCell ref="I103:J103"/>
    <mergeCell ref="O103:P103"/>
    <mergeCell ref="X98:X103"/>
    <mergeCell ref="Y98:Y103"/>
    <mergeCell ref="Z98:Z103"/>
    <mergeCell ref="V98:V103"/>
    <mergeCell ref="W98:W103"/>
    <mergeCell ref="R98:R100"/>
    <mergeCell ref="S98:S103"/>
    <mergeCell ref="T98:T100"/>
    <mergeCell ref="I87:J87"/>
    <mergeCell ref="O87:P87"/>
    <mergeCell ref="X82:X87"/>
    <mergeCell ref="Y82:Y87"/>
    <mergeCell ref="Z82:Z87"/>
    <mergeCell ref="AA90:AA95"/>
    <mergeCell ref="X90:X95"/>
    <mergeCell ref="Y90:Y95"/>
    <mergeCell ref="Z90:Z95"/>
    <mergeCell ref="U82:U87"/>
    <mergeCell ref="V82:V87"/>
    <mergeCell ref="W82:W87"/>
    <mergeCell ref="U90:U95"/>
    <mergeCell ref="V90:V95"/>
    <mergeCell ref="W90:W95"/>
    <mergeCell ref="AA82:AA87"/>
    <mergeCell ref="R85:R87"/>
    <mergeCell ref="B90:B95"/>
    <mergeCell ref="F90:G90"/>
    <mergeCell ref="L90:M90"/>
    <mergeCell ref="R90:R92"/>
    <mergeCell ref="S90:S95"/>
    <mergeCell ref="T90:T92"/>
    <mergeCell ref="R93:R95"/>
    <mergeCell ref="I95:J95"/>
    <mergeCell ref="O95:P95"/>
    <mergeCell ref="B82:B87"/>
    <mergeCell ref="F82:G82"/>
    <mergeCell ref="L82:M82"/>
    <mergeCell ref="R82:R84"/>
    <mergeCell ref="S82:S87"/>
    <mergeCell ref="T82:T84"/>
    <mergeCell ref="AA66:AA71"/>
    <mergeCell ref="R69:R71"/>
    <mergeCell ref="I71:J71"/>
    <mergeCell ref="O71:P71"/>
    <mergeCell ref="B74:B79"/>
    <mergeCell ref="F74:G74"/>
    <mergeCell ref="L74:M74"/>
    <mergeCell ref="R74:R76"/>
    <mergeCell ref="S74:S79"/>
    <mergeCell ref="T74:T76"/>
    <mergeCell ref="U66:U71"/>
    <mergeCell ref="V66:V71"/>
    <mergeCell ref="W66:W71"/>
    <mergeCell ref="X66:X71"/>
    <mergeCell ref="Y66:Y71"/>
    <mergeCell ref="Z66:Z71"/>
    <mergeCell ref="AA74:AA79"/>
    <mergeCell ref="R77:R79"/>
    <mergeCell ref="I79:J79"/>
    <mergeCell ref="O79:P79"/>
    <mergeCell ref="X74:X79"/>
    <mergeCell ref="Y74:Y79"/>
    <mergeCell ref="Z74:Z79"/>
    <mergeCell ref="B66:B71"/>
    <mergeCell ref="F66:G66"/>
    <mergeCell ref="L66:M66"/>
    <mergeCell ref="R66:R68"/>
    <mergeCell ref="S66:S71"/>
    <mergeCell ref="T66:T68"/>
    <mergeCell ref="U74:U79"/>
    <mergeCell ref="V74:V79"/>
    <mergeCell ref="W74:W79"/>
    <mergeCell ref="Y50:Y55"/>
    <mergeCell ref="Z50:Z55"/>
    <mergeCell ref="AA58:AA63"/>
    <mergeCell ref="U50:U55"/>
    <mergeCell ref="V50:V55"/>
    <mergeCell ref="W50:W55"/>
    <mergeCell ref="AA50:AA55"/>
    <mergeCell ref="X50:X55"/>
    <mergeCell ref="R61:R63"/>
    <mergeCell ref="I63:J63"/>
    <mergeCell ref="O63:P63"/>
    <mergeCell ref="X58:X63"/>
    <mergeCell ref="Y58:Y63"/>
    <mergeCell ref="Z58:Z63"/>
    <mergeCell ref="B58:B63"/>
    <mergeCell ref="F58:G58"/>
    <mergeCell ref="L58:M58"/>
    <mergeCell ref="R58:R60"/>
    <mergeCell ref="S58:S63"/>
    <mergeCell ref="T58:T60"/>
    <mergeCell ref="U58:U63"/>
    <mergeCell ref="V58:V63"/>
    <mergeCell ref="W58:W63"/>
    <mergeCell ref="B50:B55"/>
    <mergeCell ref="F50:G50"/>
    <mergeCell ref="L50:M50"/>
    <mergeCell ref="R50:R52"/>
    <mergeCell ref="S50:S55"/>
    <mergeCell ref="T50:T52"/>
    <mergeCell ref="U42:U47"/>
    <mergeCell ref="V42:V47"/>
    <mergeCell ref="W42:W47"/>
    <mergeCell ref="R53:R55"/>
    <mergeCell ref="I55:J55"/>
    <mergeCell ref="O55:P55"/>
    <mergeCell ref="B42:B47"/>
    <mergeCell ref="F42:G42"/>
    <mergeCell ref="AA34:AA39"/>
    <mergeCell ref="R37:R39"/>
    <mergeCell ref="I39:J39"/>
    <mergeCell ref="O39:P39"/>
    <mergeCell ref="X34:X39"/>
    <mergeCell ref="Y34:Y39"/>
    <mergeCell ref="Z34:Z39"/>
    <mergeCell ref="AA42:AA47"/>
    <mergeCell ref="X42:X47"/>
    <mergeCell ref="Y42:Y47"/>
    <mergeCell ref="Z42:Z47"/>
    <mergeCell ref="L42:M42"/>
    <mergeCell ref="R42:R44"/>
    <mergeCell ref="S42:S47"/>
    <mergeCell ref="T42:T44"/>
    <mergeCell ref="U34:U39"/>
    <mergeCell ref="V34:V39"/>
    <mergeCell ref="W34:W39"/>
    <mergeCell ref="R45:R47"/>
    <mergeCell ref="I47:J47"/>
    <mergeCell ref="O47:P47"/>
    <mergeCell ref="B34:B39"/>
    <mergeCell ref="F34:G34"/>
    <mergeCell ref="L34:M34"/>
    <mergeCell ref="R34:R36"/>
    <mergeCell ref="S34:S39"/>
    <mergeCell ref="T34:T36"/>
    <mergeCell ref="AA18:AA23"/>
    <mergeCell ref="R21:R23"/>
    <mergeCell ref="I23:J23"/>
    <mergeCell ref="O23:P23"/>
    <mergeCell ref="B26:B31"/>
    <mergeCell ref="F26:G26"/>
    <mergeCell ref="L26:M26"/>
    <mergeCell ref="R26:R28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I31:J31"/>
    <mergeCell ref="O31:P31"/>
    <mergeCell ref="X26:X31"/>
    <mergeCell ref="Y26:Y31"/>
    <mergeCell ref="Z26:Z31"/>
    <mergeCell ref="B18:B23"/>
    <mergeCell ref="F18:G18"/>
    <mergeCell ref="L18:M18"/>
    <mergeCell ref="R18:R20"/>
    <mergeCell ref="S18:S23"/>
    <mergeCell ref="T18:T20"/>
    <mergeCell ref="U26:U31"/>
    <mergeCell ref="V26:V31"/>
    <mergeCell ref="W26:W31"/>
    <mergeCell ref="C1:Q1"/>
    <mergeCell ref="U2:V3"/>
    <mergeCell ref="Y2:Z3"/>
    <mergeCell ref="B7:B8"/>
    <mergeCell ref="C7:Q8"/>
    <mergeCell ref="R7:T8"/>
    <mergeCell ref="AA10:AA15"/>
    <mergeCell ref="R13:R15"/>
    <mergeCell ref="I15:J15"/>
    <mergeCell ref="O15:P15"/>
    <mergeCell ref="X10:X15"/>
    <mergeCell ref="Y10:Y15"/>
    <mergeCell ref="Z10:Z15"/>
    <mergeCell ref="U10:U15"/>
    <mergeCell ref="V10:V15"/>
    <mergeCell ref="W10:W15"/>
    <mergeCell ref="B10:B15"/>
    <mergeCell ref="F10:G10"/>
    <mergeCell ref="L10:M10"/>
    <mergeCell ref="R10:R12"/>
    <mergeCell ref="S10:S15"/>
    <mergeCell ref="T10:T12"/>
    <mergeCell ref="W7:AA7"/>
    <mergeCell ref="U7:V7"/>
  </mergeCells>
  <phoneticPr fontId="2"/>
  <conditionalFormatting sqref="S10:S15 S18:S23 S26:S31 S34:S39 S42:S47 S50:S55 S58:S63 S66:S71 S74:S79 S82:S87 S90:S95 S98:S103 S106:S111">
    <cfRule type="cellIs" dxfId="6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 tint="0.499984740745262"/>
  </sheetPr>
  <dimension ref="B1:AC114"/>
  <sheetViews>
    <sheetView showGridLines="0" view="pageBreakPreview" zoomScale="85" zoomScaleNormal="123" zoomScaleSheetLayoutView="85" workbookViewId="0">
      <selection activeCell="U5" sqref="U5"/>
    </sheetView>
  </sheetViews>
  <sheetFormatPr defaultColWidth="9.0703125" defaultRowHeight="12" x14ac:dyDescent="0.25"/>
  <cols>
    <col min="1" max="1" width="0.92578125" style="1" customWidth="1"/>
    <col min="2" max="2" width="8.92578125" style="1" customWidth="1"/>
    <col min="3" max="17" width="2.7109375" style="1" customWidth="1"/>
    <col min="18" max="18" width="2.92578125" style="1" customWidth="1"/>
    <col min="19" max="19" width="5.7109375" style="1" customWidth="1"/>
    <col min="20" max="20" width="2.7109375" style="1" customWidth="1"/>
    <col min="21" max="27" width="5.7109375" style="1" customWidth="1"/>
    <col min="28" max="16384" width="9.0703125" style="1"/>
  </cols>
  <sheetData>
    <row r="1" spans="2:29" x14ac:dyDescent="0.25">
      <c r="B1" s="56" t="s">
        <v>19</v>
      </c>
      <c r="C1" s="112" t="str">
        <f>'白紙(5m)'!C1</f>
        <v>長田（花山町2丁目他）配水管取替工事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25">
      <c r="S2" s="12"/>
      <c r="T2" s="3"/>
      <c r="U2" s="114" t="s">
        <v>36</v>
      </c>
      <c r="V2" s="114"/>
      <c r="W2" s="2"/>
      <c r="X2" s="12"/>
      <c r="Y2" s="114">
        <v>200</v>
      </c>
      <c r="Z2" s="114"/>
      <c r="AA2" s="2"/>
      <c r="AC2" s="1">
        <f>IF(AC1=4,0,IF(Y2&lt;=250,5,0))</f>
        <v>5</v>
      </c>
    </row>
    <row r="3" spans="2:29" ht="12" customHeight="1" x14ac:dyDescent="0.25">
      <c r="S3" s="44" t="s">
        <v>12</v>
      </c>
      <c r="T3" s="15"/>
      <c r="U3" s="115"/>
      <c r="V3" s="115"/>
      <c r="W3" s="17" t="s">
        <v>15</v>
      </c>
      <c r="X3" s="44" t="s">
        <v>14</v>
      </c>
      <c r="Y3" s="115"/>
      <c r="Z3" s="115"/>
      <c r="AA3" s="17" t="s">
        <v>20</v>
      </c>
      <c r="AC3" s="1">
        <f>IF(Y2&gt;250,6,0)</f>
        <v>0</v>
      </c>
    </row>
    <row r="4" spans="2:29" ht="6.75" customHeight="1" x14ac:dyDescent="0.25">
      <c r="S4" s="18"/>
      <c r="U4" s="45"/>
      <c r="V4" s="45"/>
      <c r="X4" s="18"/>
      <c r="Y4" s="45"/>
      <c r="Z4" s="45"/>
    </row>
    <row r="5" spans="2:29" ht="21.75" customHeight="1" x14ac:dyDescent="0.25">
      <c r="B5" s="46" t="s">
        <v>16</v>
      </c>
      <c r="U5" s="1" t="s">
        <v>37</v>
      </c>
    </row>
    <row r="6" spans="2:29" ht="6.75" customHeight="1" thickBot="1" x14ac:dyDescent="0.3"/>
    <row r="7" spans="2:29" ht="14.25" customHeight="1" x14ac:dyDescent="0.25">
      <c r="B7" s="116" t="s">
        <v>0</v>
      </c>
      <c r="C7" s="108" t="s">
        <v>3</v>
      </c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09"/>
      <c r="R7" s="117" t="s">
        <v>1</v>
      </c>
      <c r="S7" s="117"/>
      <c r="T7" s="117"/>
      <c r="U7" s="108" t="s">
        <v>2</v>
      </c>
      <c r="V7" s="109"/>
      <c r="W7" s="110" t="s">
        <v>4</v>
      </c>
      <c r="X7" s="110"/>
      <c r="Y7" s="110"/>
      <c r="Z7" s="110"/>
      <c r="AA7" s="111"/>
    </row>
    <row r="8" spans="2:29" ht="10.5" customHeight="1" x14ac:dyDescent="0.25">
      <c r="B8" s="96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20"/>
      <c r="R8" s="119"/>
      <c r="S8" s="119"/>
      <c r="T8" s="119"/>
      <c r="U8" s="74" t="s">
        <v>6</v>
      </c>
      <c r="V8" s="75" t="s">
        <v>35</v>
      </c>
      <c r="W8" s="70" t="s">
        <v>6</v>
      </c>
      <c r="X8" s="32" t="s">
        <v>7</v>
      </c>
      <c r="Y8" s="32" t="s">
        <v>8</v>
      </c>
      <c r="Z8" s="33" t="s">
        <v>9</v>
      </c>
      <c r="AA8" s="34" t="s">
        <v>10</v>
      </c>
    </row>
    <row r="9" spans="2:29" ht="6" customHeight="1" x14ac:dyDescent="0.2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25">
      <c r="B10" s="96" t="str">
        <f>IF(S10="","",1)</f>
        <v/>
      </c>
      <c r="C10" s="3"/>
      <c r="E10" s="13" t="str">
        <f>IF(F10="","",IF(F10=0,"","L="))</f>
        <v/>
      </c>
      <c r="F10" s="97"/>
      <c r="G10" s="97"/>
      <c r="H10" s="14" t="str">
        <f>IF(F10="","",IF(F10=0,"","m"))</f>
        <v/>
      </c>
      <c r="K10" s="13" t="str">
        <f>IF(L10="","",IF(L10=0,"","L="))</f>
        <v/>
      </c>
      <c r="L10" s="97"/>
      <c r="M10" s="97"/>
      <c r="N10" s="14" t="str">
        <f>IF(L10="","",IF(L10=0,"","m"))</f>
        <v/>
      </c>
      <c r="Q10" s="2"/>
      <c r="R10" s="106" t="str">
        <f>IF(OR(S10="入力ｴﾗｰ",S10=0,S10="")=TRUE,"",IF(F10="","甲",IF(F10=0,"甲","")))</f>
        <v/>
      </c>
      <c r="S10" s="101" t="str">
        <f>IF((F10+I15+L10+O15)=0,"",IF((F10+I15+L10+O15)&gt;SUM($AC$1:$AC$3),"入力ｴﾗｰ",SUM($AC$1:$AC$3)-(F10+I15+L10+O15)))</f>
        <v/>
      </c>
      <c r="T10" s="102" t="str">
        <f>IF(S10="","",IF(S10="入力ｴﾗｰ","","m"))</f>
        <v/>
      </c>
      <c r="U10" s="94" t="str">
        <f>IF(B10="","",COUNT(F10,I15,L10,O15)-IF(S10=0,1,0)-V10)</f>
        <v/>
      </c>
      <c r="V10" s="95"/>
      <c r="W10" s="104"/>
      <c r="X10" s="103"/>
      <c r="Y10" s="103"/>
      <c r="Z10" s="107"/>
      <c r="AA10" s="99"/>
    </row>
    <row r="11" spans="2:29" ht="3" customHeight="1" x14ac:dyDescent="0.25">
      <c r="B11" s="96"/>
      <c r="C11" s="3"/>
      <c r="G11" s="3"/>
      <c r="H11" s="2"/>
      <c r="K11" s="3"/>
      <c r="M11" s="3"/>
      <c r="Q11" s="2"/>
      <c r="R11" s="106"/>
      <c r="S11" s="101"/>
      <c r="T11" s="102"/>
      <c r="U11" s="94"/>
      <c r="V11" s="95"/>
      <c r="W11" s="104"/>
      <c r="X11" s="103"/>
      <c r="Y11" s="103"/>
      <c r="Z11" s="107"/>
      <c r="AA11" s="99"/>
    </row>
    <row r="12" spans="2:29" ht="3" customHeight="1" x14ac:dyDescent="0.25">
      <c r="B12" s="96"/>
      <c r="C12" s="3"/>
      <c r="E12" s="4"/>
      <c r="F12" s="55"/>
      <c r="G12" s="5"/>
      <c r="H12" s="55"/>
      <c r="I12" s="5"/>
      <c r="J12" s="4"/>
      <c r="K12" s="5"/>
      <c r="M12" s="3"/>
      <c r="Q12" s="2"/>
      <c r="R12" s="106"/>
      <c r="S12" s="101"/>
      <c r="T12" s="102"/>
      <c r="U12" s="94"/>
      <c r="V12" s="95"/>
      <c r="W12" s="104"/>
      <c r="X12" s="103"/>
      <c r="Y12" s="103"/>
      <c r="Z12" s="107"/>
      <c r="AA12" s="99"/>
    </row>
    <row r="13" spans="2:29" ht="3" customHeight="1" x14ac:dyDescent="0.25">
      <c r="B13" s="96"/>
      <c r="C13" s="3"/>
      <c r="E13" s="6"/>
      <c r="F13" s="8"/>
      <c r="G13" s="7"/>
      <c r="H13" s="8"/>
      <c r="I13" s="7"/>
      <c r="J13" s="2"/>
      <c r="K13" s="3"/>
      <c r="L13" s="6"/>
      <c r="M13" s="7"/>
      <c r="N13" s="6"/>
      <c r="Q13" s="2"/>
      <c r="R13" s="105" t="str">
        <f>IF(R10="甲","",IF(OR(S10=0,S10="")=TRUE,"",IF(S10="入力ｴﾗｰ","","乙")))</f>
        <v/>
      </c>
      <c r="S13" s="101"/>
      <c r="U13" s="94"/>
      <c r="V13" s="95"/>
      <c r="W13" s="104"/>
      <c r="X13" s="103"/>
      <c r="Y13" s="103"/>
      <c r="Z13" s="107"/>
      <c r="AA13" s="99"/>
    </row>
    <row r="14" spans="2:29" ht="3" customHeight="1" x14ac:dyDescent="0.25">
      <c r="B14" s="96"/>
      <c r="C14" s="3"/>
      <c r="F14" s="2"/>
      <c r="G14" s="3"/>
      <c r="H14" s="2"/>
      <c r="J14" s="2"/>
      <c r="K14" s="3"/>
      <c r="M14" s="3"/>
      <c r="Q14" s="2"/>
      <c r="R14" s="105"/>
      <c r="S14" s="101"/>
      <c r="U14" s="94"/>
      <c r="V14" s="95"/>
      <c r="W14" s="104"/>
      <c r="X14" s="103"/>
      <c r="Y14" s="103"/>
      <c r="Z14" s="107"/>
      <c r="AA14" s="99"/>
    </row>
    <row r="15" spans="2:29" ht="15" customHeight="1" x14ac:dyDescent="0.25">
      <c r="B15" s="96"/>
      <c r="C15" s="3"/>
      <c r="G15" s="18"/>
      <c r="H15" s="13" t="str">
        <f>IF(I15="","",IF(I15=0,"","L="))</f>
        <v/>
      </c>
      <c r="I15" s="97"/>
      <c r="J15" s="97"/>
      <c r="K15" s="14" t="str">
        <f>IF(I15="","",IF(I15=0,"","m"))</f>
        <v/>
      </c>
      <c r="N15" s="13" t="str">
        <f>IF(O15="","",IF(O15=0,"","L="))</f>
        <v/>
      </c>
      <c r="O15" s="97"/>
      <c r="P15" s="97"/>
      <c r="Q15" s="24" t="str">
        <f>IF(O15="","",IF(O15=0,"","m"))</f>
        <v/>
      </c>
      <c r="R15" s="105"/>
      <c r="S15" s="101"/>
      <c r="U15" s="94"/>
      <c r="V15" s="95"/>
      <c r="W15" s="104"/>
      <c r="X15" s="103"/>
      <c r="Y15" s="103"/>
      <c r="Z15" s="107"/>
      <c r="AA15" s="99"/>
      <c r="AC15" s="1">
        <f>IF(U10="",0,IF(U10&gt;SUM(W10:AA15),U10-SUM(W10:AA15),0))</f>
        <v>0</v>
      </c>
    </row>
    <row r="16" spans="2:29" ht="6" customHeight="1" x14ac:dyDescent="0.2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2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25">
      <c r="B18" s="96" t="str">
        <f>IF(S18="","",IF(B10="","",1+B10))</f>
        <v/>
      </c>
      <c r="C18" s="3"/>
      <c r="E18" s="13" t="str">
        <f>IF(F18="","",IF(F18=0,"","L="))</f>
        <v/>
      </c>
      <c r="F18" s="97"/>
      <c r="G18" s="97"/>
      <c r="H18" s="14" t="str">
        <f>IF(F18="","",IF(F18=0,"","m"))</f>
        <v/>
      </c>
      <c r="K18" s="13" t="str">
        <f>IF(L18="","",IF(L18=0,"","L="))</f>
        <v/>
      </c>
      <c r="L18" s="97"/>
      <c r="M18" s="97"/>
      <c r="N18" s="14" t="str">
        <f>IF(L18="","",IF(L18=0,"","m"))</f>
        <v/>
      </c>
      <c r="Q18" s="2"/>
      <c r="R18" s="106" t="str">
        <f>IF(OR(S18="入力ｴﾗｰ",S18=0,S18="")=TRUE,"",IF(F18="","甲",IF(F18=0,"甲","")))</f>
        <v/>
      </c>
      <c r="S18" s="101" t="str">
        <f>IF((F18+I23+L18+O23)=0,"",IF((F18+I23+L18+O23)&gt;SUM($AC$1:$AC$3),"入力ｴﾗｰ",SUM($AC$1:$AC$3)-(F18+I23+L18+O23)))</f>
        <v/>
      </c>
      <c r="T18" s="102" t="str">
        <f>IF(S18="","",IF(S18="入力ｴﾗｰ","","m"))</f>
        <v/>
      </c>
      <c r="U18" s="94" t="str">
        <f>IF(B18="","",COUNT(F18,I23,L18,O23)-IF(S18=0,1,0)-V18)</f>
        <v/>
      </c>
      <c r="V18" s="95"/>
      <c r="W18" s="104"/>
      <c r="X18" s="103"/>
      <c r="Y18" s="103"/>
      <c r="Z18" s="103"/>
      <c r="AA18" s="99"/>
    </row>
    <row r="19" spans="2:29" ht="3" customHeight="1" x14ac:dyDescent="0.25">
      <c r="B19" s="96"/>
      <c r="C19" s="3"/>
      <c r="G19" s="3"/>
      <c r="H19" s="2"/>
      <c r="K19" s="3"/>
      <c r="M19" s="3"/>
      <c r="Q19" s="2"/>
      <c r="R19" s="106"/>
      <c r="S19" s="101"/>
      <c r="T19" s="102"/>
      <c r="U19" s="94"/>
      <c r="V19" s="95"/>
      <c r="W19" s="104"/>
      <c r="X19" s="103"/>
      <c r="Y19" s="103"/>
      <c r="Z19" s="103"/>
      <c r="AA19" s="99"/>
    </row>
    <row r="20" spans="2:29" ht="3" customHeight="1" x14ac:dyDescent="0.25">
      <c r="B20" s="96"/>
      <c r="C20" s="3"/>
      <c r="E20" s="4"/>
      <c r="F20" s="4"/>
      <c r="G20" s="5"/>
      <c r="H20" s="55"/>
      <c r="I20" s="4"/>
      <c r="J20" s="4"/>
      <c r="K20" s="5"/>
      <c r="L20" s="55"/>
      <c r="M20" s="5"/>
      <c r="N20" s="4"/>
      <c r="Q20" s="2"/>
      <c r="R20" s="106"/>
      <c r="S20" s="101"/>
      <c r="T20" s="102"/>
      <c r="U20" s="94"/>
      <c r="V20" s="95"/>
      <c r="W20" s="104"/>
      <c r="X20" s="103"/>
      <c r="Y20" s="103"/>
      <c r="Z20" s="103"/>
      <c r="AA20" s="99"/>
    </row>
    <row r="21" spans="2:29" ht="3" customHeight="1" x14ac:dyDescent="0.25">
      <c r="B21" s="96"/>
      <c r="C21" s="3"/>
      <c r="G21" s="3"/>
      <c r="H21" s="2"/>
      <c r="I21" s="3"/>
      <c r="J21" s="2"/>
      <c r="K21" s="3"/>
      <c r="M21" s="3"/>
      <c r="Q21" s="2"/>
      <c r="R21" s="105" t="str">
        <f>IF(R18="甲","",IF(OR(S18=0,S18="")=TRUE,"",IF(S18="入力ｴﾗｰ","","乙")))</f>
        <v/>
      </c>
      <c r="S21" s="101"/>
      <c r="U21" s="94"/>
      <c r="V21" s="95"/>
      <c r="W21" s="104"/>
      <c r="X21" s="103"/>
      <c r="Y21" s="103"/>
      <c r="Z21" s="103"/>
      <c r="AA21" s="99"/>
    </row>
    <row r="22" spans="2:29" ht="3" customHeight="1" x14ac:dyDescent="0.25">
      <c r="B22" s="96"/>
      <c r="C22" s="3"/>
      <c r="F22" s="2"/>
      <c r="G22" s="3"/>
      <c r="H22" s="2"/>
      <c r="J22" s="2"/>
      <c r="K22" s="3"/>
      <c r="M22" s="3"/>
      <c r="Q22" s="2"/>
      <c r="R22" s="105"/>
      <c r="S22" s="101"/>
      <c r="U22" s="94"/>
      <c r="V22" s="95"/>
      <c r="W22" s="104"/>
      <c r="X22" s="103"/>
      <c r="Y22" s="103"/>
      <c r="Z22" s="103"/>
      <c r="AA22" s="99"/>
    </row>
    <row r="23" spans="2:29" ht="15" customHeight="1" x14ac:dyDescent="0.25">
      <c r="B23" s="96"/>
      <c r="C23" s="3"/>
      <c r="G23" s="18"/>
      <c r="H23" s="13" t="str">
        <f>IF(I23="","",IF(I23=0,"","L="))</f>
        <v/>
      </c>
      <c r="I23" s="97"/>
      <c r="J23" s="97"/>
      <c r="K23" s="14" t="str">
        <f>IF(I23="","",IF(I23=0,"","m"))</f>
        <v/>
      </c>
      <c r="N23" s="13" t="str">
        <f>IF(O23="","",IF(O23=0,"","L="))</f>
        <v/>
      </c>
      <c r="O23" s="97"/>
      <c r="P23" s="97"/>
      <c r="Q23" s="24" t="str">
        <f>IF(O23="","",IF(O23=0,"","m"))</f>
        <v/>
      </c>
      <c r="R23" s="105"/>
      <c r="S23" s="101"/>
      <c r="U23" s="94"/>
      <c r="V23" s="95"/>
      <c r="W23" s="104"/>
      <c r="X23" s="103"/>
      <c r="Y23" s="103"/>
      <c r="Z23" s="103"/>
      <c r="AA23" s="99"/>
      <c r="AC23" s="1">
        <f>IF(U18="",0,IF(U18&gt;SUM(W18:AA23),U18-SUM(W18:AA23),0))</f>
        <v>0</v>
      </c>
    </row>
    <row r="24" spans="2:29" ht="6" customHeight="1" x14ac:dyDescent="0.2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2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25">
      <c r="B26" s="96" t="str">
        <f>IF(S26="","",IF(B18="","",1+B18))</f>
        <v/>
      </c>
      <c r="C26" s="3"/>
      <c r="E26" s="13" t="str">
        <f>IF(F26="","",IF(F26=0,"","L="))</f>
        <v/>
      </c>
      <c r="F26" s="97"/>
      <c r="G26" s="97"/>
      <c r="H26" s="14" t="str">
        <f>IF(F26="","",IF(F26=0,"","m"))</f>
        <v/>
      </c>
      <c r="K26" s="13" t="str">
        <f>IF(L26="","",IF(L26=0,"","L="))</f>
        <v/>
      </c>
      <c r="L26" s="97"/>
      <c r="M26" s="97"/>
      <c r="N26" s="14" t="str">
        <f>IF(L26="","",IF(L26=0,"","m"))</f>
        <v/>
      </c>
      <c r="R26" s="98" t="str">
        <f>IF(OR(S26="入力ｴﾗｰ",S26=0,S26="")=TRUE,"",IF(F26="","甲",IF(F26=0,"甲","")))</f>
        <v/>
      </c>
      <c r="S26" s="101" t="str">
        <f>IF((F26+I31+L26+O31)=0,"",IF((F26+I31+L26+O31)&gt;SUM($AC$1:$AC$3),"入力ｴﾗｰ",SUM($AC$1:$AC$3)-(F26+I31+L26+O31)))</f>
        <v/>
      </c>
      <c r="T26" s="102" t="str">
        <f>IF(S26="","",IF(S26="入力ｴﾗｰ","","m"))</f>
        <v/>
      </c>
      <c r="U26" s="94" t="str">
        <f>IF(B26="","",COUNT(F26,I31,L26,O31)-IF(S26=0,1,0)-V26)</f>
        <v/>
      </c>
      <c r="V26" s="95"/>
      <c r="W26" s="104"/>
      <c r="X26" s="103"/>
      <c r="Y26" s="103"/>
      <c r="Z26" s="103"/>
      <c r="AA26" s="99"/>
    </row>
    <row r="27" spans="2:29" ht="3" customHeight="1" x14ac:dyDescent="0.25">
      <c r="B27" s="96"/>
      <c r="C27" s="3"/>
      <c r="G27" s="3"/>
      <c r="H27" s="2"/>
      <c r="K27" s="3"/>
      <c r="M27" s="3"/>
      <c r="R27" s="98"/>
      <c r="S27" s="101"/>
      <c r="T27" s="102"/>
      <c r="U27" s="94"/>
      <c r="V27" s="95"/>
      <c r="W27" s="104"/>
      <c r="X27" s="103"/>
      <c r="Y27" s="103"/>
      <c r="Z27" s="103"/>
      <c r="AA27" s="99"/>
    </row>
    <row r="28" spans="2:29" ht="3" customHeight="1" x14ac:dyDescent="0.25">
      <c r="B28" s="96"/>
      <c r="C28" s="3"/>
      <c r="E28" s="4"/>
      <c r="F28" s="4"/>
      <c r="G28" s="5"/>
      <c r="H28" s="55"/>
      <c r="I28" s="4"/>
      <c r="J28" s="4"/>
      <c r="K28" s="5"/>
      <c r="L28" s="4"/>
      <c r="M28" s="5"/>
      <c r="R28" s="98"/>
      <c r="S28" s="101"/>
      <c r="T28" s="102"/>
      <c r="U28" s="94"/>
      <c r="V28" s="95"/>
      <c r="W28" s="104"/>
      <c r="X28" s="103"/>
      <c r="Y28" s="103"/>
      <c r="Z28" s="103"/>
      <c r="AA28" s="99"/>
    </row>
    <row r="29" spans="2:29" ht="3" customHeight="1" x14ac:dyDescent="0.25">
      <c r="B29" s="96"/>
      <c r="C29" s="3"/>
      <c r="G29" s="3"/>
      <c r="H29" s="2"/>
      <c r="I29" s="3"/>
      <c r="J29" s="2"/>
      <c r="K29" s="3"/>
      <c r="L29" s="6"/>
      <c r="M29" s="7"/>
      <c r="N29" s="6"/>
      <c r="R29" s="100" t="str">
        <f>IF(R26="甲","",IF(OR(S26=0,S26="")=TRUE,"",IF(S26="入力ｴﾗｰ","","乙")))</f>
        <v/>
      </c>
      <c r="S29" s="101"/>
      <c r="U29" s="94"/>
      <c r="V29" s="95"/>
      <c r="W29" s="104"/>
      <c r="X29" s="103"/>
      <c r="Y29" s="103"/>
      <c r="Z29" s="103"/>
      <c r="AA29" s="99"/>
    </row>
    <row r="30" spans="2:29" ht="3" customHeight="1" x14ac:dyDescent="0.25">
      <c r="B30" s="96"/>
      <c r="C30" s="3"/>
      <c r="F30" s="2"/>
      <c r="G30" s="3"/>
      <c r="H30" s="2"/>
      <c r="J30" s="2"/>
      <c r="K30" s="3"/>
      <c r="M30" s="3"/>
      <c r="R30" s="100"/>
      <c r="S30" s="101"/>
      <c r="U30" s="94"/>
      <c r="V30" s="95"/>
      <c r="W30" s="104"/>
      <c r="X30" s="103"/>
      <c r="Y30" s="103"/>
      <c r="Z30" s="103"/>
      <c r="AA30" s="99"/>
    </row>
    <row r="31" spans="2:29" ht="15" customHeight="1" x14ac:dyDescent="0.25">
      <c r="B31" s="96"/>
      <c r="C31" s="3"/>
      <c r="G31" s="18"/>
      <c r="H31" s="13" t="str">
        <f>IF(I31="","",IF(I31=0,"","L="))</f>
        <v/>
      </c>
      <c r="I31" s="97"/>
      <c r="J31" s="97"/>
      <c r="K31" s="14" t="str">
        <f>IF(I31="","",IF(I31=0,"","m"))</f>
        <v/>
      </c>
      <c r="N31" s="13" t="str">
        <f>IF(O31="","",IF(O31=0,"","L="))</f>
        <v/>
      </c>
      <c r="O31" s="97"/>
      <c r="P31" s="97"/>
      <c r="Q31" s="14" t="str">
        <f>IF(O31="","",IF(O31=0,"","m"))</f>
        <v/>
      </c>
      <c r="R31" s="100"/>
      <c r="S31" s="101"/>
      <c r="U31" s="94"/>
      <c r="V31" s="95"/>
      <c r="W31" s="104"/>
      <c r="X31" s="103"/>
      <c r="Y31" s="103"/>
      <c r="Z31" s="103"/>
      <c r="AA31" s="99"/>
      <c r="AC31" s="1">
        <f>IF(U26="",0,IF(U26&gt;SUM(W26:AA31),U26-SUM(W26:AA31),0))</f>
        <v>0</v>
      </c>
    </row>
    <row r="32" spans="2:29" ht="6" customHeight="1" x14ac:dyDescent="0.2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2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25">
      <c r="B34" s="96" t="str">
        <f>IF(S34="","",IF(B26="","",1+B26))</f>
        <v/>
      </c>
      <c r="C34" s="3"/>
      <c r="E34" s="13" t="str">
        <f>IF(F34="","",IF(F34=0,"","L="))</f>
        <v/>
      </c>
      <c r="F34" s="97"/>
      <c r="G34" s="97"/>
      <c r="H34" s="14" t="str">
        <f>IF(F34="","",IF(F34=0,"","m"))</f>
        <v/>
      </c>
      <c r="K34" s="13" t="str">
        <f>IF(L34="","",IF(L34=0,"","L="))</f>
        <v/>
      </c>
      <c r="L34" s="97"/>
      <c r="M34" s="97"/>
      <c r="N34" s="14" t="str">
        <f>IF(L34="","",IF(L34=0,"","m"))</f>
        <v/>
      </c>
      <c r="R34" s="98" t="str">
        <f>IF(OR(S34="入力ｴﾗｰ",S34=0,S34="")=TRUE,"",IF(F34="","甲",IF(F34=0,"甲","")))</f>
        <v/>
      </c>
      <c r="S34" s="101" t="str">
        <f>IF((F34+I39+L34+O39)=0,"",IF((F34+I39+L34+O39)&gt;SUM($AC$1:$AC$3),"入力ｴﾗｰ",SUM($AC$1:$AC$3)-(F34+I39+L34+O39)))</f>
        <v/>
      </c>
      <c r="T34" s="102" t="str">
        <f>IF(S34="","",IF(S34="入力ｴﾗｰ","","m"))</f>
        <v/>
      </c>
      <c r="U34" s="94" t="str">
        <f>IF(B34="","",COUNT(F34,I39,L34,O39)-IF(S34=0,1,0)-V34)</f>
        <v/>
      </c>
      <c r="V34" s="95"/>
      <c r="W34" s="104"/>
      <c r="X34" s="103"/>
      <c r="Y34" s="103"/>
      <c r="Z34" s="103"/>
      <c r="AA34" s="99"/>
    </row>
    <row r="35" spans="2:29" ht="3" customHeight="1" x14ac:dyDescent="0.25">
      <c r="B35" s="96"/>
      <c r="C35" s="3"/>
      <c r="G35" s="3"/>
      <c r="H35" s="2"/>
      <c r="K35" s="3"/>
      <c r="M35" s="3"/>
      <c r="R35" s="98"/>
      <c r="S35" s="101"/>
      <c r="T35" s="102"/>
      <c r="U35" s="94"/>
      <c r="V35" s="95"/>
      <c r="W35" s="104"/>
      <c r="X35" s="103"/>
      <c r="Y35" s="103"/>
      <c r="Z35" s="103"/>
      <c r="AA35" s="99"/>
    </row>
    <row r="36" spans="2:29" ht="3" customHeight="1" x14ac:dyDescent="0.25">
      <c r="B36" s="96"/>
      <c r="C36" s="3"/>
      <c r="E36" s="4"/>
      <c r="F36" s="4"/>
      <c r="G36" s="5"/>
      <c r="H36" s="55"/>
      <c r="I36" s="4"/>
      <c r="J36" s="4"/>
      <c r="K36" s="5"/>
      <c r="L36" s="55"/>
      <c r="M36" s="5"/>
      <c r="N36" s="4"/>
      <c r="R36" s="98"/>
      <c r="S36" s="101"/>
      <c r="T36" s="102"/>
      <c r="U36" s="94"/>
      <c r="V36" s="95"/>
      <c r="W36" s="104"/>
      <c r="X36" s="103"/>
      <c r="Y36" s="103"/>
      <c r="Z36" s="103"/>
      <c r="AA36" s="99"/>
    </row>
    <row r="37" spans="2:29" ht="3" customHeight="1" x14ac:dyDescent="0.25">
      <c r="B37" s="96"/>
      <c r="C37" s="3"/>
      <c r="G37" s="3"/>
      <c r="H37" s="2"/>
      <c r="I37" s="3"/>
      <c r="J37" s="2"/>
      <c r="K37" s="3"/>
      <c r="M37" s="3"/>
      <c r="R37" s="100" t="str">
        <f>IF(R34="甲","",IF(OR(S34=0,S34="")=TRUE,"",IF(S34="入力ｴﾗｰ","","乙")))</f>
        <v/>
      </c>
      <c r="S37" s="101"/>
      <c r="U37" s="94"/>
      <c r="V37" s="95"/>
      <c r="W37" s="104"/>
      <c r="X37" s="103"/>
      <c r="Y37" s="103"/>
      <c r="Z37" s="103"/>
      <c r="AA37" s="99"/>
    </row>
    <row r="38" spans="2:29" ht="3" customHeight="1" x14ac:dyDescent="0.25">
      <c r="B38" s="96"/>
      <c r="C38" s="3"/>
      <c r="F38" s="2"/>
      <c r="G38" s="3"/>
      <c r="H38" s="2"/>
      <c r="J38" s="2"/>
      <c r="K38" s="3"/>
      <c r="M38" s="3"/>
      <c r="R38" s="100"/>
      <c r="S38" s="101"/>
      <c r="U38" s="94"/>
      <c r="V38" s="95"/>
      <c r="W38" s="104"/>
      <c r="X38" s="103"/>
      <c r="Y38" s="103"/>
      <c r="Z38" s="103"/>
      <c r="AA38" s="99"/>
    </row>
    <row r="39" spans="2:29" ht="15" customHeight="1" x14ac:dyDescent="0.25">
      <c r="B39" s="96"/>
      <c r="C39" s="3"/>
      <c r="G39" s="18"/>
      <c r="H39" s="13" t="str">
        <f>IF(I39="","",IF(I39=0,"","L="))</f>
        <v/>
      </c>
      <c r="I39" s="97"/>
      <c r="J39" s="97"/>
      <c r="K39" s="14" t="str">
        <f>IF(I39="","",IF(I39=0,"","m"))</f>
        <v/>
      </c>
      <c r="N39" s="13" t="str">
        <f>IF(O39="","",IF(O39=0,"","L="))</f>
        <v/>
      </c>
      <c r="O39" s="97"/>
      <c r="P39" s="97"/>
      <c r="Q39" s="14" t="str">
        <f>IF(O39="","",IF(O39=0,"","m"))</f>
        <v/>
      </c>
      <c r="R39" s="100"/>
      <c r="S39" s="101"/>
      <c r="U39" s="94"/>
      <c r="V39" s="95"/>
      <c r="W39" s="104"/>
      <c r="X39" s="103"/>
      <c r="Y39" s="103"/>
      <c r="Z39" s="103"/>
      <c r="AA39" s="99"/>
      <c r="AC39" s="1">
        <f>IF(U34="",0,IF(U34&gt;SUM(W34:AA39),U34-SUM(W34:AA39),0))</f>
        <v>0</v>
      </c>
    </row>
    <row r="40" spans="2:29" ht="6" customHeight="1" x14ac:dyDescent="0.2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2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25">
      <c r="B42" s="96" t="str">
        <f>IF(S42="","",IF(B34="","",1+B34))</f>
        <v/>
      </c>
      <c r="C42" s="3"/>
      <c r="E42" s="13" t="str">
        <f>IF(F42="","",IF(F42=0,"","L="))</f>
        <v/>
      </c>
      <c r="F42" s="97"/>
      <c r="G42" s="97"/>
      <c r="H42" s="14" t="str">
        <f>IF(F42="","",IF(F42=0,"","m"))</f>
        <v/>
      </c>
      <c r="K42" s="13" t="str">
        <f>IF(L42="","",IF(L42=0,"","L="))</f>
        <v/>
      </c>
      <c r="L42" s="97"/>
      <c r="M42" s="97"/>
      <c r="N42" s="14" t="str">
        <f>IF(L42="","",IF(L42=0,"","m"))</f>
        <v/>
      </c>
      <c r="R42" s="98" t="str">
        <f>IF(OR(S42="入力ｴﾗｰ",S42=0,S42="")=TRUE,"",IF(F42="","甲",IF(F42=0,"甲","")))</f>
        <v/>
      </c>
      <c r="S42" s="101" t="str">
        <f>IF((F42+I47+L42+O47)=0,"",IF((F42+I47+L42+O47)&gt;SUM($AC$1:$AC$3),"入力ｴﾗｰ",SUM($AC$1:$AC$3)-(F42+I47+L42+O47)))</f>
        <v/>
      </c>
      <c r="T42" s="102" t="str">
        <f>IF(S42="","",IF(S42="入力ｴﾗｰ","","m"))</f>
        <v/>
      </c>
      <c r="U42" s="94" t="str">
        <f>IF(B42="","",COUNT(F42,I47,L42,O47)-IF(S42=0,1,0)-V42)</f>
        <v/>
      </c>
      <c r="V42" s="95"/>
      <c r="W42" s="104"/>
      <c r="X42" s="103"/>
      <c r="Y42" s="103"/>
      <c r="Z42" s="103"/>
      <c r="AA42" s="99"/>
    </row>
    <row r="43" spans="2:29" ht="3" customHeight="1" x14ac:dyDescent="0.25">
      <c r="B43" s="96"/>
      <c r="C43" s="3"/>
      <c r="G43" s="3"/>
      <c r="H43" s="2"/>
      <c r="K43" s="3"/>
      <c r="M43" s="3"/>
      <c r="R43" s="98"/>
      <c r="S43" s="101"/>
      <c r="T43" s="102"/>
      <c r="U43" s="94"/>
      <c r="V43" s="95"/>
      <c r="W43" s="104"/>
      <c r="X43" s="103"/>
      <c r="Y43" s="103"/>
      <c r="Z43" s="103"/>
      <c r="AA43" s="99"/>
    </row>
    <row r="44" spans="2:29" ht="3" customHeight="1" x14ac:dyDescent="0.25">
      <c r="B44" s="96"/>
      <c r="C44" s="3"/>
      <c r="G44" s="3"/>
      <c r="H44" s="2"/>
      <c r="K44" s="3"/>
      <c r="M44" s="3"/>
      <c r="R44" s="98"/>
      <c r="S44" s="101"/>
      <c r="T44" s="102"/>
      <c r="U44" s="94"/>
      <c r="V44" s="95"/>
      <c r="W44" s="104"/>
      <c r="X44" s="103"/>
      <c r="Y44" s="103"/>
      <c r="Z44" s="103"/>
      <c r="AA44" s="99"/>
    </row>
    <row r="45" spans="2:29" ht="3" customHeight="1" x14ac:dyDescent="0.25">
      <c r="B45" s="96"/>
      <c r="C45" s="3"/>
      <c r="E45" s="6"/>
      <c r="F45" s="6"/>
      <c r="G45" s="7"/>
      <c r="H45" s="8"/>
      <c r="I45" s="7"/>
      <c r="J45" s="8"/>
      <c r="K45" s="7"/>
      <c r="L45" s="6"/>
      <c r="M45" s="7"/>
      <c r="N45" s="6"/>
      <c r="R45" s="100" t="str">
        <f>IF(R42="甲","",IF(OR(S42=0,S42="")=TRUE,"",IF(S42="入力ｴﾗｰ","","乙")))</f>
        <v/>
      </c>
      <c r="S45" s="101"/>
      <c r="U45" s="94"/>
      <c r="V45" s="95"/>
      <c r="W45" s="104"/>
      <c r="X45" s="103"/>
      <c r="Y45" s="103"/>
      <c r="Z45" s="103"/>
      <c r="AA45" s="99"/>
    </row>
    <row r="46" spans="2:29" ht="3" customHeight="1" x14ac:dyDescent="0.25">
      <c r="B46" s="96"/>
      <c r="C46" s="3"/>
      <c r="F46" s="2"/>
      <c r="G46" s="3"/>
      <c r="H46" s="2"/>
      <c r="J46" s="2"/>
      <c r="K46" s="3"/>
      <c r="M46" s="3"/>
      <c r="R46" s="100"/>
      <c r="S46" s="101"/>
      <c r="U46" s="94"/>
      <c r="V46" s="95"/>
      <c r="W46" s="104"/>
      <c r="X46" s="103"/>
      <c r="Y46" s="103"/>
      <c r="Z46" s="103"/>
      <c r="AA46" s="99"/>
    </row>
    <row r="47" spans="2:29" ht="15" customHeight="1" x14ac:dyDescent="0.25">
      <c r="B47" s="96"/>
      <c r="C47" s="3"/>
      <c r="G47" s="18"/>
      <c r="H47" s="13" t="str">
        <f>IF(I47="","",IF(I47=0,"","L="))</f>
        <v/>
      </c>
      <c r="I47" s="97"/>
      <c r="J47" s="97"/>
      <c r="K47" s="14" t="str">
        <f>IF(I47="","",IF(I47=0,"","m"))</f>
        <v/>
      </c>
      <c r="N47" s="13" t="str">
        <f>IF(O47="","",IF(O47=0,"","L="))</f>
        <v/>
      </c>
      <c r="O47" s="97"/>
      <c r="P47" s="97"/>
      <c r="Q47" s="14" t="str">
        <f>IF(O47="","",IF(O47=0,"","m"))</f>
        <v/>
      </c>
      <c r="R47" s="100"/>
      <c r="S47" s="101"/>
      <c r="U47" s="94"/>
      <c r="V47" s="95"/>
      <c r="W47" s="104"/>
      <c r="X47" s="103"/>
      <c r="Y47" s="103"/>
      <c r="Z47" s="103"/>
      <c r="AA47" s="99"/>
      <c r="AC47" s="1">
        <f>IF(U42="",0,IF(U42&gt;SUM(W42:AA47),U42-SUM(W42:AA47),0))</f>
        <v>0</v>
      </c>
    </row>
    <row r="48" spans="2:29" ht="6" customHeight="1" x14ac:dyDescent="0.2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2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25">
      <c r="B50" s="96" t="str">
        <f>IF(S50="","",IF(B42="","",1+B42))</f>
        <v/>
      </c>
      <c r="C50" s="3"/>
      <c r="E50" s="13" t="str">
        <f>IF(F50="","",IF(F50=0,"","L="))</f>
        <v/>
      </c>
      <c r="F50" s="97"/>
      <c r="G50" s="97"/>
      <c r="H50" s="14" t="str">
        <f>IF(F50="","",IF(F50=0,"","m"))</f>
        <v/>
      </c>
      <c r="K50" s="13" t="str">
        <f>IF(L50="","",IF(L50=0,"","L="))</f>
        <v/>
      </c>
      <c r="L50" s="97"/>
      <c r="M50" s="97"/>
      <c r="N50" s="14" t="str">
        <f>IF(L50="","",IF(L50=0,"","m"))</f>
        <v/>
      </c>
      <c r="R50" s="98" t="str">
        <f>IF(OR(S50="入力ｴﾗｰ",S50=0,S50="")=TRUE,"",IF(F50="","甲",IF(F50=0,"甲","")))</f>
        <v/>
      </c>
      <c r="S50" s="101" t="str">
        <f>IF((F50+I55+L50+O55)=0,"",IF((F50+I55+L50+O55)&gt;SUM($AC$1:$AC$3),"入力ｴﾗｰ",SUM($AC$1:$AC$3)-(F50+I55+L50+O55)))</f>
        <v/>
      </c>
      <c r="T50" s="102" t="str">
        <f>IF(S50="","",IF(S50="入力ｴﾗｰ","","m"))</f>
        <v/>
      </c>
      <c r="U50" s="94" t="str">
        <f>IF(B50="","",COUNT(F50,I55,L50,O55)-IF(S50=0,1,0)-V50)</f>
        <v/>
      </c>
      <c r="V50" s="95"/>
      <c r="W50" s="104"/>
      <c r="X50" s="103"/>
      <c r="Y50" s="103"/>
      <c r="Z50" s="103"/>
      <c r="AA50" s="99"/>
    </row>
    <row r="51" spans="2:29" ht="3" customHeight="1" x14ac:dyDescent="0.25">
      <c r="B51" s="96"/>
      <c r="C51" s="3"/>
      <c r="G51" s="3"/>
      <c r="I51" s="3"/>
      <c r="K51" s="3"/>
      <c r="M51" s="3"/>
      <c r="R51" s="98"/>
      <c r="S51" s="101"/>
      <c r="T51" s="102"/>
      <c r="U51" s="94"/>
      <c r="V51" s="95"/>
      <c r="W51" s="104"/>
      <c r="X51" s="103"/>
      <c r="Y51" s="103"/>
      <c r="Z51" s="103"/>
      <c r="AA51" s="99"/>
    </row>
    <row r="52" spans="2:29" ht="3" customHeight="1" x14ac:dyDescent="0.25">
      <c r="B52" s="96"/>
      <c r="C52" s="3"/>
      <c r="E52" s="4"/>
      <c r="F52" s="4"/>
      <c r="G52" s="5"/>
      <c r="H52" s="4"/>
      <c r="I52" s="5"/>
      <c r="J52" s="4"/>
      <c r="K52" s="5"/>
      <c r="L52" s="4"/>
      <c r="M52" s="5"/>
      <c r="N52" s="4"/>
      <c r="R52" s="98"/>
      <c r="S52" s="101"/>
      <c r="T52" s="102"/>
      <c r="U52" s="94"/>
      <c r="V52" s="95"/>
      <c r="W52" s="104"/>
      <c r="X52" s="103"/>
      <c r="Y52" s="103"/>
      <c r="Z52" s="103"/>
      <c r="AA52" s="99"/>
    </row>
    <row r="53" spans="2:29" ht="3" customHeight="1" x14ac:dyDescent="0.25">
      <c r="B53" s="96"/>
      <c r="C53" s="3"/>
      <c r="G53" s="3"/>
      <c r="I53" s="3"/>
      <c r="K53" s="3"/>
      <c r="M53" s="3"/>
      <c r="R53" s="100" t="str">
        <f>IF(R50="甲","",IF(OR(S50=0,S50="")=TRUE,"",IF(S50="入力ｴﾗｰ","","乙")))</f>
        <v/>
      </c>
      <c r="S53" s="101"/>
      <c r="U53" s="94"/>
      <c r="V53" s="95"/>
      <c r="W53" s="104"/>
      <c r="X53" s="103"/>
      <c r="Y53" s="103"/>
      <c r="Z53" s="103"/>
      <c r="AA53" s="99"/>
    </row>
    <row r="54" spans="2:29" ht="3" customHeight="1" x14ac:dyDescent="0.25">
      <c r="B54" s="96"/>
      <c r="C54" s="3"/>
      <c r="F54" s="2"/>
      <c r="G54" s="3"/>
      <c r="I54" s="3"/>
      <c r="K54" s="3"/>
      <c r="M54" s="3"/>
      <c r="R54" s="100"/>
      <c r="S54" s="101"/>
      <c r="U54" s="94"/>
      <c r="V54" s="95"/>
      <c r="W54" s="104"/>
      <c r="X54" s="103"/>
      <c r="Y54" s="103"/>
      <c r="Z54" s="103"/>
      <c r="AA54" s="99"/>
    </row>
    <row r="55" spans="2:29" ht="15" customHeight="1" x14ac:dyDescent="0.25">
      <c r="B55" s="96"/>
      <c r="C55" s="3"/>
      <c r="G55" s="18"/>
      <c r="H55" s="13" t="str">
        <f>IF(I55="","",IF(I55=0,"","L="))</f>
        <v/>
      </c>
      <c r="I55" s="97"/>
      <c r="J55" s="97"/>
      <c r="K55" s="14" t="str">
        <f>IF(I55="","",IF(I55=0,"","m"))</f>
        <v/>
      </c>
      <c r="N55" s="13" t="str">
        <f>IF(O55="","",IF(O55=0,"","L="))</f>
        <v/>
      </c>
      <c r="O55" s="97"/>
      <c r="P55" s="97"/>
      <c r="Q55" s="14" t="str">
        <f>IF(O55="","",IF(O55=0,"","m"))</f>
        <v/>
      </c>
      <c r="R55" s="100"/>
      <c r="S55" s="101"/>
      <c r="U55" s="94"/>
      <c r="V55" s="95"/>
      <c r="W55" s="104"/>
      <c r="X55" s="103"/>
      <c r="Y55" s="103"/>
      <c r="Z55" s="103"/>
      <c r="AA55" s="99"/>
      <c r="AC55" s="1">
        <f>IF(U50="",0,IF(U50&gt;SUM(W50:AA55),U50-SUM(W50:AA55),0))</f>
        <v>0</v>
      </c>
    </row>
    <row r="56" spans="2:29" ht="6" customHeight="1" x14ac:dyDescent="0.2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2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25">
      <c r="B58" s="96" t="str">
        <f>IF(S58="","",IF(B50="","",1+B50))</f>
        <v/>
      </c>
      <c r="C58" s="3"/>
      <c r="E58" s="13" t="str">
        <f>IF(F58="","",IF(F58=0,"","L="))</f>
        <v/>
      </c>
      <c r="F58" s="97"/>
      <c r="G58" s="97"/>
      <c r="H58" s="14" t="str">
        <f>IF(F58="","",IF(F58=0,"","m"))</f>
        <v/>
      </c>
      <c r="K58" s="13" t="str">
        <f>IF(L58="","",IF(L58=0,"","L="))</f>
        <v/>
      </c>
      <c r="L58" s="97"/>
      <c r="M58" s="97"/>
      <c r="N58" s="14" t="str">
        <f>IF(L58="","",IF(L58=0,"","m"))</f>
        <v/>
      </c>
      <c r="R58" s="98" t="str">
        <f>IF(OR(S58="入力ｴﾗｰ",S58=0,S58="")=TRUE,"",IF(F58="","甲",IF(F58=0,"甲","")))</f>
        <v/>
      </c>
      <c r="S58" s="101" t="str">
        <f>IF((F58+I63+L58+O63)=0,"",IF((F58+I63+L58+O63)&gt;SUM($AC$1:$AC$3),"入力ｴﾗｰ",SUM($AC$1:$AC$3)-(F58+I63+L58+O63)))</f>
        <v/>
      </c>
      <c r="T58" s="102" t="str">
        <f>IF(S58="","",IF(S58="入力ｴﾗｰ","","m"))</f>
        <v/>
      </c>
      <c r="U58" s="94" t="str">
        <f>IF(B58="","",COUNT(F58,I63,L58,O63)-IF(S58=0,1,0)-V58)</f>
        <v/>
      </c>
      <c r="V58" s="95"/>
      <c r="W58" s="104"/>
      <c r="X58" s="103"/>
      <c r="Y58" s="103"/>
      <c r="Z58" s="103"/>
      <c r="AA58" s="99"/>
    </row>
    <row r="59" spans="2:29" ht="3" customHeight="1" x14ac:dyDescent="0.25">
      <c r="B59" s="96"/>
      <c r="C59" s="3"/>
      <c r="G59" s="3"/>
      <c r="I59" s="3"/>
      <c r="J59" s="2"/>
      <c r="K59" s="3"/>
      <c r="M59" s="3"/>
      <c r="R59" s="98"/>
      <c r="S59" s="101"/>
      <c r="T59" s="102"/>
      <c r="U59" s="94"/>
      <c r="V59" s="95"/>
      <c r="W59" s="104"/>
      <c r="X59" s="103"/>
      <c r="Y59" s="103"/>
      <c r="Z59" s="103"/>
      <c r="AA59" s="99"/>
    </row>
    <row r="60" spans="2:29" ht="3" customHeight="1" x14ac:dyDescent="0.25">
      <c r="B60" s="96"/>
      <c r="C60" s="3"/>
      <c r="G60" s="3"/>
      <c r="I60" s="3"/>
      <c r="J60" s="2"/>
      <c r="K60" s="3"/>
      <c r="M60" s="3"/>
      <c r="R60" s="98"/>
      <c r="S60" s="101"/>
      <c r="T60" s="102"/>
      <c r="U60" s="94"/>
      <c r="V60" s="95"/>
      <c r="W60" s="104"/>
      <c r="X60" s="103"/>
      <c r="Y60" s="103"/>
      <c r="Z60" s="103"/>
      <c r="AA60" s="99"/>
    </row>
    <row r="61" spans="2:29" ht="3" customHeight="1" x14ac:dyDescent="0.25">
      <c r="B61" s="96"/>
      <c r="C61" s="3"/>
      <c r="E61" s="6"/>
      <c r="F61" s="6"/>
      <c r="G61" s="7"/>
      <c r="H61" s="6"/>
      <c r="I61" s="7"/>
      <c r="J61" s="8"/>
      <c r="K61" s="7"/>
      <c r="L61" s="6"/>
      <c r="M61" s="7"/>
      <c r="N61" s="6"/>
      <c r="R61" s="100" t="str">
        <f>IF(R58="甲","",IF(OR(S58=0,S58="")=TRUE,"",IF(S58="入力ｴﾗｰ","","乙")))</f>
        <v/>
      </c>
      <c r="S61" s="101"/>
      <c r="U61" s="94"/>
      <c r="V61" s="95"/>
      <c r="W61" s="104"/>
      <c r="X61" s="103"/>
      <c r="Y61" s="103"/>
      <c r="Z61" s="103"/>
      <c r="AA61" s="99"/>
    </row>
    <row r="62" spans="2:29" ht="3" customHeight="1" x14ac:dyDescent="0.25">
      <c r="B62" s="96"/>
      <c r="C62" s="3"/>
      <c r="F62" s="2"/>
      <c r="G62" s="3"/>
      <c r="I62" s="3"/>
      <c r="J62" s="2"/>
      <c r="K62" s="3"/>
      <c r="M62" s="3"/>
      <c r="R62" s="100"/>
      <c r="S62" s="101"/>
      <c r="U62" s="94"/>
      <c r="V62" s="95"/>
      <c r="W62" s="104"/>
      <c r="X62" s="103"/>
      <c r="Y62" s="103"/>
      <c r="Z62" s="103"/>
      <c r="AA62" s="99"/>
    </row>
    <row r="63" spans="2:29" ht="15" customHeight="1" x14ac:dyDescent="0.25">
      <c r="B63" s="96"/>
      <c r="C63" s="3"/>
      <c r="G63" s="18"/>
      <c r="H63" s="13" t="str">
        <f>IF(I63="","",IF(I63=0,"","L="))</f>
        <v/>
      </c>
      <c r="I63" s="97"/>
      <c r="J63" s="97"/>
      <c r="K63" s="14" t="str">
        <f>IF(I63="","",IF(I63=0,"","m"))</f>
        <v/>
      </c>
      <c r="N63" s="13" t="str">
        <f>IF(O63="","",IF(O63=0,"","L="))</f>
        <v/>
      </c>
      <c r="O63" s="97"/>
      <c r="P63" s="97"/>
      <c r="Q63" s="14" t="str">
        <f>IF(O63="","",IF(O63=0,"","m"))</f>
        <v/>
      </c>
      <c r="R63" s="100"/>
      <c r="S63" s="101"/>
      <c r="U63" s="94"/>
      <c r="V63" s="95"/>
      <c r="W63" s="104"/>
      <c r="X63" s="103"/>
      <c r="Y63" s="103"/>
      <c r="Z63" s="103"/>
      <c r="AA63" s="99"/>
      <c r="AC63" s="1">
        <f>IF(U58="",0,IF(U58&gt;SUM(W58:AA63),U58-SUM(W58:AA63),0))</f>
        <v>0</v>
      </c>
    </row>
    <row r="64" spans="2:29" ht="6" customHeight="1" x14ac:dyDescent="0.2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2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25">
      <c r="B66" s="96" t="str">
        <f>IF(S66="","",IF(B58="","",1+B58))</f>
        <v/>
      </c>
      <c r="C66" s="3"/>
      <c r="E66" s="13" t="str">
        <f>IF(F66="","",IF(F66=0,"","L="))</f>
        <v/>
      </c>
      <c r="F66" s="97"/>
      <c r="G66" s="97"/>
      <c r="H66" s="14" t="str">
        <f>IF(F66="","",IF(F66=0,"","m"))</f>
        <v/>
      </c>
      <c r="K66" s="13" t="str">
        <f>IF(L66="","",IF(L66=0,"","L="))</f>
        <v/>
      </c>
      <c r="L66" s="97"/>
      <c r="M66" s="97"/>
      <c r="N66" s="14" t="str">
        <f>IF(L66="","",IF(L66=0,"","m"))</f>
        <v/>
      </c>
      <c r="R66" s="98" t="str">
        <f>IF(OR(S66="入力ｴﾗｰ",S66=0,S66="")=TRUE,"",IF(F66="","甲",IF(F66=0,"甲","")))</f>
        <v/>
      </c>
      <c r="S66" s="101" t="str">
        <f>IF((F66+I71+L66+O71)=0,"",IF((F66+I71+L66+O71)&gt;SUM($AC$1:$AC$3),"入力ｴﾗｰ",SUM($AC$1:$AC$3)-(F66+I71+L66+O71)))</f>
        <v/>
      </c>
      <c r="T66" s="102" t="str">
        <f>IF(S66="","",IF(S66="入力ｴﾗｰ","","m"))</f>
        <v/>
      </c>
      <c r="U66" s="94" t="str">
        <f>IF(B66="","",COUNT(F66,I71,L66,O71)-IF(S66=0,1,0)-V66)</f>
        <v/>
      </c>
      <c r="V66" s="95"/>
      <c r="W66" s="104"/>
      <c r="X66" s="103"/>
      <c r="Y66" s="103"/>
      <c r="Z66" s="103"/>
      <c r="AA66" s="99"/>
    </row>
    <row r="67" spans="2:29" ht="3" customHeight="1" x14ac:dyDescent="0.25">
      <c r="B67" s="96"/>
      <c r="C67" s="3"/>
      <c r="G67" s="3"/>
      <c r="H67" s="2"/>
      <c r="K67" s="3"/>
      <c r="M67" s="3"/>
      <c r="R67" s="98"/>
      <c r="S67" s="101"/>
      <c r="T67" s="102"/>
      <c r="U67" s="94"/>
      <c r="V67" s="95"/>
      <c r="W67" s="104"/>
      <c r="X67" s="103"/>
      <c r="Y67" s="103"/>
      <c r="Z67" s="103"/>
      <c r="AA67" s="99"/>
    </row>
    <row r="68" spans="2:29" ht="3" customHeight="1" x14ac:dyDescent="0.25">
      <c r="B68" s="96"/>
      <c r="C68" s="3"/>
      <c r="E68" s="4"/>
      <c r="F68" s="4"/>
      <c r="G68" s="5"/>
      <c r="H68" s="55"/>
      <c r="I68" s="4"/>
      <c r="J68" s="4"/>
      <c r="K68" s="5"/>
      <c r="L68" s="4"/>
      <c r="M68" s="5"/>
      <c r="N68" s="4"/>
      <c r="R68" s="98"/>
      <c r="S68" s="101"/>
      <c r="T68" s="102"/>
      <c r="U68" s="94"/>
      <c r="V68" s="95"/>
      <c r="W68" s="104"/>
      <c r="X68" s="103"/>
      <c r="Y68" s="103"/>
      <c r="Z68" s="103"/>
      <c r="AA68" s="99"/>
    </row>
    <row r="69" spans="2:29" ht="3" customHeight="1" x14ac:dyDescent="0.25">
      <c r="B69" s="96"/>
      <c r="C69" s="3"/>
      <c r="F69" s="2"/>
      <c r="G69" s="3"/>
      <c r="H69" s="2"/>
      <c r="I69" s="3"/>
      <c r="J69" s="2"/>
      <c r="K69" s="3"/>
      <c r="M69" s="3"/>
      <c r="R69" s="100" t="str">
        <f>IF(R66="甲","",IF(OR(S66=0,S66="")=TRUE,"",IF(S66="入力ｴﾗｰ","","乙")))</f>
        <v/>
      </c>
      <c r="S69" s="101"/>
      <c r="U69" s="94"/>
      <c r="V69" s="95"/>
      <c r="W69" s="104"/>
      <c r="X69" s="103"/>
      <c r="Y69" s="103"/>
      <c r="Z69" s="103"/>
      <c r="AA69" s="99"/>
    </row>
    <row r="70" spans="2:29" ht="3" customHeight="1" x14ac:dyDescent="0.25">
      <c r="B70" s="96"/>
      <c r="C70" s="3"/>
      <c r="F70" s="2"/>
      <c r="G70" s="3"/>
      <c r="H70" s="2"/>
      <c r="K70" s="3"/>
      <c r="M70" s="3"/>
      <c r="R70" s="100"/>
      <c r="S70" s="101"/>
      <c r="U70" s="94"/>
      <c r="V70" s="95"/>
      <c r="W70" s="104"/>
      <c r="X70" s="103"/>
      <c r="Y70" s="103"/>
      <c r="Z70" s="103"/>
      <c r="AA70" s="99"/>
    </row>
    <row r="71" spans="2:29" ht="15" customHeight="1" x14ac:dyDescent="0.25">
      <c r="B71" s="96"/>
      <c r="C71" s="3"/>
      <c r="G71" s="18"/>
      <c r="H71" s="13" t="str">
        <f>IF(I71="","",IF(I71=0,"","L="))</f>
        <v/>
      </c>
      <c r="I71" s="97"/>
      <c r="J71" s="97"/>
      <c r="K71" s="14" t="str">
        <f>IF(I71="","",IF(I71=0,"","m"))</f>
        <v/>
      </c>
      <c r="N71" s="13" t="str">
        <f>IF(O71="","",IF(O71=0,"","L="))</f>
        <v/>
      </c>
      <c r="O71" s="97"/>
      <c r="P71" s="97"/>
      <c r="Q71" s="14" t="str">
        <f>IF(O71="","",IF(O71=0,"","m"))</f>
        <v/>
      </c>
      <c r="R71" s="100"/>
      <c r="S71" s="101"/>
      <c r="U71" s="94"/>
      <c r="V71" s="95"/>
      <c r="W71" s="104"/>
      <c r="X71" s="103"/>
      <c r="Y71" s="103"/>
      <c r="Z71" s="103"/>
      <c r="AA71" s="99"/>
      <c r="AC71" s="1">
        <f>IF(U66="",0,IF(U66&gt;SUM(W66:AA71),U66-SUM(W66:AA71),0))</f>
        <v>0</v>
      </c>
    </row>
    <row r="72" spans="2:29" ht="6" customHeight="1" x14ac:dyDescent="0.2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2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25">
      <c r="B74" s="96" t="str">
        <f>IF(S74="","",IF(B66="","",1+B66))</f>
        <v/>
      </c>
      <c r="C74" s="3"/>
      <c r="E74" s="13" t="str">
        <f>IF(F74="","",IF(F74=0,"","L="))</f>
        <v/>
      </c>
      <c r="F74" s="97"/>
      <c r="G74" s="97"/>
      <c r="H74" s="14" t="str">
        <f>IF(F74="","",IF(F74=0,"","m"))</f>
        <v/>
      </c>
      <c r="K74" s="13" t="str">
        <f>IF(L74="","",IF(L74=0,"","L="))</f>
        <v/>
      </c>
      <c r="L74" s="97"/>
      <c r="M74" s="97"/>
      <c r="N74" s="14" t="str">
        <f>IF(L74="","",IF(L74=0,"","m"))</f>
        <v/>
      </c>
      <c r="R74" s="98" t="str">
        <f>IF(OR(S74="入力ｴﾗｰ",S74=0,S74="")=TRUE,"",IF(F74="","甲",IF(F74=0,"甲","")))</f>
        <v/>
      </c>
      <c r="S74" s="101" t="str">
        <f>IF((F74+I79+L74+O79)=0,"",IF((F74+I79+L74+O79)&gt;SUM($AC$1:$AC$3),"入力ｴﾗｰ",SUM($AC$1:$AC$3)-(F74+I79+L74+O79)))</f>
        <v/>
      </c>
      <c r="T74" s="102" t="str">
        <f>IF(S74="","",IF(S74="入力ｴﾗｰ","","m"))</f>
        <v/>
      </c>
      <c r="U74" s="94" t="str">
        <f>IF(B74="","",COUNT(F74,I79,L74,O79)-IF(S74=0,1,0)-V74)</f>
        <v/>
      </c>
      <c r="V74" s="95"/>
      <c r="W74" s="104"/>
      <c r="X74" s="103"/>
      <c r="Y74" s="103"/>
      <c r="Z74" s="103"/>
      <c r="AA74" s="99"/>
    </row>
    <row r="75" spans="2:29" ht="3" customHeight="1" x14ac:dyDescent="0.25">
      <c r="B75" s="96"/>
      <c r="C75" s="3"/>
      <c r="G75" s="3"/>
      <c r="H75" s="2"/>
      <c r="K75" s="3"/>
      <c r="M75" s="3"/>
      <c r="R75" s="98"/>
      <c r="S75" s="101"/>
      <c r="T75" s="102"/>
      <c r="U75" s="94"/>
      <c r="V75" s="95"/>
      <c r="W75" s="104"/>
      <c r="X75" s="103"/>
      <c r="Y75" s="103"/>
      <c r="Z75" s="103"/>
      <c r="AA75" s="99"/>
    </row>
    <row r="76" spans="2:29" ht="3" customHeight="1" x14ac:dyDescent="0.25">
      <c r="B76" s="96"/>
      <c r="C76" s="3"/>
      <c r="G76" s="3"/>
      <c r="H76" s="2"/>
      <c r="K76" s="3"/>
      <c r="M76" s="3"/>
      <c r="R76" s="98"/>
      <c r="S76" s="101"/>
      <c r="T76" s="102"/>
      <c r="U76" s="94"/>
      <c r="V76" s="95"/>
      <c r="W76" s="104"/>
      <c r="X76" s="103"/>
      <c r="Y76" s="103"/>
      <c r="Z76" s="103"/>
      <c r="AA76" s="99"/>
    </row>
    <row r="77" spans="2:29" ht="3" customHeight="1" x14ac:dyDescent="0.25">
      <c r="B77" s="96"/>
      <c r="C77" s="3"/>
      <c r="E77" s="6"/>
      <c r="F77" s="8"/>
      <c r="G77" s="7"/>
      <c r="H77" s="8"/>
      <c r="I77" s="7"/>
      <c r="J77" s="8"/>
      <c r="K77" s="7"/>
      <c r="L77" s="6"/>
      <c r="M77" s="7"/>
      <c r="N77" s="6"/>
      <c r="R77" s="100" t="str">
        <f>IF(R74="甲","",IF(OR(S74=0,S74="")=TRUE,"",IF(S74="入力ｴﾗｰ","","乙")))</f>
        <v/>
      </c>
      <c r="S77" s="101"/>
      <c r="U77" s="94"/>
      <c r="V77" s="95"/>
      <c r="W77" s="104"/>
      <c r="X77" s="103"/>
      <c r="Y77" s="103"/>
      <c r="Z77" s="103"/>
      <c r="AA77" s="99"/>
    </row>
    <row r="78" spans="2:29" ht="3" customHeight="1" x14ac:dyDescent="0.25">
      <c r="B78" s="96"/>
      <c r="C78" s="3"/>
      <c r="F78" s="2"/>
      <c r="G78" s="3"/>
      <c r="H78" s="2"/>
      <c r="J78" s="2"/>
      <c r="K78" s="3"/>
      <c r="M78" s="3"/>
      <c r="R78" s="100"/>
      <c r="S78" s="101"/>
      <c r="U78" s="94"/>
      <c r="V78" s="95"/>
      <c r="W78" s="104"/>
      <c r="X78" s="103"/>
      <c r="Y78" s="103"/>
      <c r="Z78" s="103"/>
      <c r="AA78" s="99"/>
    </row>
    <row r="79" spans="2:29" ht="15" customHeight="1" x14ac:dyDescent="0.25">
      <c r="B79" s="96"/>
      <c r="C79" s="3"/>
      <c r="G79" s="18"/>
      <c r="H79" s="13" t="str">
        <f>IF(I79="","",IF(I79=0,"","L="))</f>
        <v/>
      </c>
      <c r="I79" s="97"/>
      <c r="J79" s="97"/>
      <c r="K79" s="14" t="str">
        <f>IF(I79="","",IF(I79=0,"","m"))</f>
        <v/>
      </c>
      <c r="N79" s="13" t="str">
        <f>IF(O79="","",IF(O79=0,"","L="))</f>
        <v/>
      </c>
      <c r="O79" s="97"/>
      <c r="P79" s="97"/>
      <c r="Q79" s="14" t="str">
        <f>IF(O79="","",IF(O79=0,"","m"))</f>
        <v/>
      </c>
      <c r="R79" s="100"/>
      <c r="S79" s="101"/>
      <c r="U79" s="94"/>
      <c r="V79" s="95"/>
      <c r="W79" s="104"/>
      <c r="X79" s="103"/>
      <c r="Y79" s="103"/>
      <c r="Z79" s="103"/>
      <c r="AA79" s="99"/>
      <c r="AC79" s="1">
        <f>IF(U74="",0,IF(U74&gt;SUM(W74:AA79),U74-SUM(W74:AA79),0))</f>
        <v>0</v>
      </c>
    </row>
    <row r="80" spans="2:29" ht="6" customHeight="1" x14ac:dyDescent="0.2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2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25">
      <c r="B82" s="96" t="str">
        <f>IF(S82="","",IF(B74="","",1+B74))</f>
        <v/>
      </c>
      <c r="C82" s="3"/>
      <c r="E82" s="13" t="str">
        <f>IF(F82="","",IF(F82=0,"","L="))</f>
        <v/>
      </c>
      <c r="F82" s="97"/>
      <c r="G82" s="97"/>
      <c r="H82" s="14" t="str">
        <f>IF(F82="","",IF(F82=0,"","m"))</f>
        <v/>
      </c>
      <c r="K82" s="13" t="str">
        <f>IF(L82="","",IF(L82=0,"","L="))</f>
        <v/>
      </c>
      <c r="L82" s="97"/>
      <c r="M82" s="97"/>
      <c r="N82" s="14" t="str">
        <f>IF(L82="","",IF(L82=0,"","m"))</f>
        <v/>
      </c>
      <c r="R82" s="98" t="str">
        <f>IF(OR(S82="入力ｴﾗｰ",S82=0,S82="")=TRUE,"",IF(F82="","甲",IF(F82=0,"甲","")))</f>
        <v/>
      </c>
      <c r="S82" s="101" t="str">
        <f>IF((F82+I87+L82+O87)=0,"",IF((F82+I87+L82+O87)&gt;SUM($AC$1:$AC$3),"入力ｴﾗｰ",SUM($AC$1:$AC$3)-(F82+I87+L82+O87)))</f>
        <v/>
      </c>
      <c r="T82" s="102" t="str">
        <f>IF(S82="","",IF(S82="入力ｴﾗｰ","","m"))</f>
        <v/>
      </c>
      <c r="U82" s="94" t="str">
        <f>IF(B82="","",COUNT(F82,I87,L82,O87)-IF(S82=0,1,0)-V82)</f>
        <v/>
      </c>
      <c r="V82" s="95"/>
      <c r="W82" s="104"/>
      <c r="X82" s="103"/>
      <c r="Y82" s="103"/>
      <c r="Z82" s="103"/>
      <c r="AA82" s="99"/>
    </row>
    <row r="83" spans="2:29" ht="3" customHeight="1" x14ac:dyDescent="0.25">
      <c r="B83" s="96"/>
      <c r="C83" s="3"/>
      <c r="G83" s="3"/>
      <c r="H83" s="2"/>
      <c r="K83" s="3"/>
      <c r="M83" s="3"/>
      <c r="R83" s="98"/>
      <c r="S83" s="101"/>
      <c r="T83" s="102"/>
      <c r="U83" s="94"/>
      <c r="V83" s="95"/>
      <c r="W83" s="104"/>
      <c r="X83" s="103"/>
      <c r="Y83" s="103"/>
      <c r="Z83" s="103"/>
      <c r="AA83" s="99"/>
    </row>
    <row r="84" spans="2:29" ht="3" customHeight="1" x14ac:dyDescent="0.25">
      <c r="B84" s="96"/>
      <c r="C84" s="3"/>
      <c r="E84" s="4"/>
      <c r="F84" s="4"/>
      <c r="G84" s="5"/>
      <c r="H84" s="55"/>
      <c r="I84" s="4"/>
      <c r="J84" s="4"/>
      <c r="K84" s="5"/>
      <c r="L84" s="4"/>
      <c r="M84" s="5"/>
      <c r="N84" s="4"/>
      <c r="R84" s="98"/>
      <c r="S84" s="101"/>
      <c r="T84" s="102"/>
      <c r="U84" s="94"/>
      <c r="V84" s="95"/>
      <c r="W84" s="104"/>
      <c r="X84" s="103"/>
      <c r="Y84" s="103"/>
      <c r="Z84" s="103"/>
      <c r="AA84" s="99"/>
    </row>
    <row r="85" spans="2:29" ht="3" customHeight="1" x14ac:dyDescent="0.25">
      <c r="B85" s="96"/>
      <c r="C85" s="3"/>
      <c r="G85" s="3"/>
      <c r="H85" s="2"/>
      <c r="I85" s="3"/>
      <c r="J85" s="2"/>
      <c r="K85" s="3"/>
      <c r="M85" s="3"/>
      <c r="R85" s="100" t="str">
        <f>IF(R82="甲","",IF(OR(S82=0,S82="")=TRUE,"",IF(S82="入力ｴﾗｰ","","乙")))</f>
        <v/>
      </c>
      <c r="S85" s="101"/>
      <c r="U85" s="94"/>
      <c r="V85" s="95"/>
      <c r="W85" s="104"/>
      <c r="X85" s="103"/>
      <c r="Y85" s="103"/>
      <c r="Z85" s="103"/>
      <c r="AA85" s="99"/>
    </row>
    <row r="86" spans="2:29" ht="3" customHeight="1" x14ac:dyDescent="0.25">
      <c r="B86" s="96"/>
      <c r="C86" s="3"/>
      <c r="F86" s="2"/>
      <c r="G86" s="3"/>
      <c r="H86" s="2"/>
      <c r="K86" s="3"/>
      <c r="M86" s="3"/>
      <c r="R86" s="100"/>
      <c r="S86" s="101"/>
      <c r="U86" s="94"/>
      <c r="V86" s="95"/>
      <c r="W86" s="104"/>
      <c r="X86" s="103"/>
      <c r="Y86" s="103"/>
      <c r="Z86" s="103"/>
      <c r="AA86" s="99"/>
    </row>
    <row r="87" spans="2:29" ht="15" customHeight="1" x14ac:dyDescent="0.25">
      <c r="B87" s="96"/>
      <c r="C87" s="3"/>
      <c r="G87" s="18"/>
      <c r="H87" s="13" t="str">
        <f>IF(I87="","",IF(I87=0,"","L="))</f>
        <v/>
      </c>
      <c r="I87" s="97"/>
      <c r="J87" s="97"/>
      <c r="K87" s="14" t="str">
        <f>IF(I87="","",IF(I87=0,"","m"))</f>
        <v/>
      </c>
      <c r="N87" s="13" t="str">
        <f>IF(O87="","",IF(O87=0,"","L="))</f>
        <v/>
      </c>
      <c r="O87" s="97"/>
      <c r="P87" s="97"/>
      <c r="Q87" s="14" t="str">
        <f>IF(O87="","",IF(O87=0,"","m"))</f>
        <v/>
      </c>
      <c r="R87" s="100"/>
      <c r="S87" s="101"/>
      <c r="U87" s="94"/>
      <c r="V87" s="95"/>
      <c r="W87" s="104"/>
      <c r="X87" s="103"/>
      <c r="Y87" s="103"/>
      <c r="Z87" s="103"/>
      <c r="AA87" s="99"/>
      <c r="AC87" s="1">
        <f>IF(U82="",0,IF(U82&gt;SUM(W82:AA87),U82-SUM(W82:AA87),0))</f>
        <v>0</v>
      </c>
    </row>
    <row r="88" spans="2:29" ht="6" customHeight="1" x14ac:dyDescent="0.2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2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25">
      <c r="B90" s="96" t="str">
        <f>IF(S90="","",IF(B82="","",1+B82))</f>
        <v/>
      </c>
      <c r="C90" s="3"/>
      <c r="E90" s="13" t="str">
        <f>IF(F90="","",IF(F90=0,"","L="))</f>
        <v/>
      </c>
      <c r="F90" s="97"/>
      <c r="G90" s="97"/>
      <c r="H90" s="14" t="str">
        <f>IF(F90="","",IF(F90=0,"","m"))</f>
        <v/>
      </c>
      <c r="K90" s="13" t="str">
        <f>IF(L90="","",IF(L90=0,"","L="))</f>
        <v/>
      </c>
      <c r="L90" s="97"/>
      <c r="M90" s="97"/>
      <c r="N90" s="14" t="str">
        <f>IF(L90="","",IF(L90=0,"","m"))</f>
        <v/>
      </c>
      <c r="R90" s="98" t="str">
        <f>IF(OR(S90="入力ｴﾗｰ",S90=0,S90="")=TRUE,"",IF(F90="","甲",IF(F90=0,"甲","")))</f>
        <v/>
      </c>
      <c r="S90" s="101" t="str">
        <f>IF((F90+I95+L90+O95)=0,"",IF((F90+I95+L90+O95)&gt;SUM($AC$1:$AC$3),"入力ｴﾗｰ",SUM($AC$1:$AC$3)-(F90+I95+L90+O95)))</f>
        <v/>
      </c>
      <c r="T90" s="102" t="str">
        <f>IF(S90="","",IF(S90="入力ｴﾗｰ","","m"))</f>
        <v/>
      </c>
      <c r="U90" s="94" t="str">
        <f>IF(B90="","",COUNT(F90,I95,L90,O95)-IF(S90=0,1,0)-V90)</f>
        <v/>
      </c>
      <c r="V90" s="95"/>
      <c r="W90" s="104"/>
      <c r="X90" s="103"/>
      <c r="Y90" s="103"/>
      <c r="Z90" s="103"/>
      <c r="AA90" s="99"/>
    </row>
    <row r="91" spans="2:29" ht="3" customHeight="1" x14ac:dyDescent="0.25">
      <c r="B91" s="96"/>
      <c r="C91" s="3"/>
      <c r="G91" s="3"/>
      <c r="H91" s="2"/>
      <c r="K91" s="3"/>
      <c r="M91" s="3"/>
      <c r="R91" s="98"/>
      <c r="S91" s="101"/>
      <c r="T91" s="102"/>
      <c r="U91" s="94"/>
      <c r="V91" s="95"/>
      <c r="W91" s="104"/>
      <c r="X91" s="103"/>
      <c r="Y91" s="103"/>
      <c r="Z91" s="103"/>
      <c r="AA91" s="99"/>
    </row>
    <row r="92" spans="2:29" ht="3" customHeight="1" x14ac:dyDescent="0.25">
      <c r="B92" s="96"/>
      <c r="C92" s="3"/>
      <c r="G92" s="3"/>
      <c r="H92" s="2"/>
      <c r="K92" s="3"/>
      <c r="M92" s="3"/>
      <c r="R92" s="98"/>
      <c r="S92" s="101"/>
      <c r="T92" s="102"/>
      <c r="U92" s="94"/>
      <c r="V92" s="95"/>
      <c r="W92" s="104"/>
      <c r="X92" s="103"/>
      <c r="Y92" s="103"/>
      <c r="Z92" s="103"/>
      <c r="AA92" s="99"/>
    </row>
    <row r="93" spans="2:29" ht="3" customHeight="1" x14ac:dyDescent="0.25">
      <c r="B93" s="96"/>
      <c r="C93" s="3"/>
      <c r="E93" s="6"/>
      <c r="F93" s="6"/>
      <c r="G93" s="7"/>
      <c r="H93" s="8"/>
      <c r="I93" s="7"/>
      <c r="J93" s="8"/>
      <c r="K93" s="7"/>
      <c r="L93" s="6"/>
      <c r="M93" s="7"/>
      <c r="N93" s="6"/>
      <c r="R93" s="100" t="str">
        <f>IF(R90="甲","",IF(OR(S90=0,S90="")=TRUE,"",IF(S90="入力ｴﾗｰ","","乙")))</f>
        <v/>
      </c>
      <c r="S93" s="101"/>
      <c r="U93" s="94"/>
      <c r="V93" s="95"/>
      <c r="W93" s="104"/>
      <c r="X93" s="103"/>
      <c r="Y93" s="103"/>
      <c r="Z93" s="103"/>
      <c r="AA93" s="99"/>
    </row>
    <row r="94" spans="2:29" ht="3" customHeight="1" x14ac:dyDescent="0.25">
      <c r="B94" s="96"/>
      <c r="C94" s="3"/>
      <c r="F94" s="2"/>
      <c r="G94" s="3"/>
      <c r="H94" s="2"/>
      <c r="K94" s="3"/>
      <c r="M94" s="3"/>
      <c r="R94" s="100"/>
      <c r="S94" s="101"/>
      <c r="U94" s="94"/>
      <c r="V94" s="95"/>
      <c r="W94" s="104"/>
      <c r="X94" s="103"/>
      <c r="Y94" s="103"/>
      <c r="Z94" s="103"/>
      <c r="AA94" s="99"/>
    </row>
    <row r="95" spans="2:29" ht="15" customHeight="1" x14ac:dyDescent="0.25">
      <c r="B95" s="96"/>
      <c r="C95" s="3"/>
      <c r="G95" s="18"/>
      <c r="H95" s="13" t="str">
        <f>IF(I95="","",IF(I95=0,"","L="))</f>
        <v/>
      </c>
      <c r="I95" s="97"/>
      <c r="J95" s="97"/>
      <c r="K95" s="14" t="str">
        <f>IF(I95="","",IF(I95=0,"","m"))</f>
        <v/>
      </c>
      <c r="N95" s="13" t="str">
        <f>IF(O95="","",IF(O95=0,"","L="))</f>
        <v/>
      </c>
      <c r="O95" s="97"/>
      <c r="P95" s="97"/>
      <c r="Q95" s="14" t="str">
        <f>IF(O95="","",IF(O95=0,"","m"))</f>
        <v/>
      </c>
      <c r="R95" s="100"/>
      <c r="S95" s="101"/>
      <c r="U95" s="94"/>
      <c r="V95" s="95"/>
      <c r="W95" s="104"/>
      <c r="X95" s="103"/>
      <c r="Y95" s="103"/>
      <c r="Z95" s="103"/>
      <c r="AA95" s="99"/>
      <c r="AC95" s="1">
        <f>IF(U90="",0,IF(U90&gt;SUM(W90:AA95),U90-SUM(W90:AA95),0))</f>
        <v>0</v>
      </c>
    </row>
    <row r="96" spans="2:29" ht="6" customHeight="1" x14ac:dyDescent="0.2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2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25">
      <c r="B98" s="96" t="str">
        <f>IF(S98="","",IF(B90="","",1+B90))</f>
        <v/>
      </c>
      <c r="C98" s="3"/>
      <c r="E98" s="13" t="str">
        <f>IF(F98="","",IF(F98=0,"","L="))</f>
        <v/>
      </c>
      <c r="F98" s="97"/>
      <c r="G98" s="97"/>
      <c r="H98" s="14" t="str">
        <f>IF(F98="","",IF(F98=0,"","m"))</f>
        <v/>
      </c>
      <c r="K98" s="13" t="str">
        <f>IF(L98="","",IF(L98=0,"","L="))</f>
        <v/>
      </c>
      <c r="L98" s="97"/>
      <c r="M98" s="97"/>
      <c r="N98" s="14" t="str">
        <f>IF(L98="","",IF(L98=0,"","m"))</f>
        <v/>
      </c>
      <c r="R98" s="98" t="str">
        <f>IF(OR(S98="入力ｴﾗｰ",S98=0,S98="")=TRUE,"",IF(F98="","甲",IF(F98=0,"甲","")))</f>
        <v/>
      </c>
      <c r="S98" s="101" t="str">
        <f>IF((F98+I103+L98+O103)=0,"",IF((F98+I103+L98+O103)&gt;SUM($AC$1:$AC$3),"入力ｴﾗｰ",SUM($AC$1:$AC$3)-(F98+I103+L98+O103)))</f>
        <v/>
      </c>
      <c r="T98" s="102" t="str">
        <f>IF(S98="","",IF(S98="入力ｴﾗｰ","","m"))</f>
        <v/>
      </c>
      <c r="U98" s="94" t="str">
        <f>IF(B98="","",COUNT(F98,I103,L98,O103)-IF(S98=0,1,0)-V98)</f>
        <v/>
      </c>
      <c r="V98" s="95"/>
      <c r="W98" s="104"/>
      <c r="X98" s="103"/>
      <c r="Y98" s="103"/>
      <c r="Z98" s="103"/>
      <c r="AA98" s="99"/>
    </row>
    <row r="99" spans="2:29" ht="3" customHeight="1" x14ac:dyDescent="0.25">
      <c r="B99" s="96"/>
      <c r="C99" s="3"/>
      <c r="G99" s="3"/>
      <c r="H99" s="2"/>
      <c r="K99" s="3"/>
      <c r="M99" s="3"/>
      <c r="R99" s="98"/>
      <c r="S99" s="101"/>
      <c r="T99" s="102"/>
      <c r="U99" s="94"/>
      <c r="V99" s="95"/>
      <c r="W99" s="104"/>
      <c r="X99" s="103"/>
      <c r="Y99" s="103"/>
      <c r="Z99" s="103"/>
      <c r="AA99" s="99"/>
    </row>
    <row r="100" spans="2:29" ht="3" customHeight="1" x14ac:dyDescent="0.25">
      <c r="B100" s="96"/>
      <c r="C100" s="3"/>
      <c r="E100" s="4"/>
      <c r="F100" s="4"/>
      <c r="G100" s="5"/>
      <c r="H100" s="55"/>
      <c r="I100" s="4"/>
      <c r="J100" s="4"/>
      <c r="K100" s="5"/>
      <c r="L100" s="4"/>
      <c r="M100" s="5"/>
      <c r="N100" s="4"/>
      <c r="R100" s="98"/>
      <c r="S100" s="101"/>
      <c r="T100" s="102"/>
      <c r="U100" s="94"/>
      <c r="V100" s="95"/>
      <c r="W100" s="104"/>
      <c r="X100" s="103"/>
      <c r="Y100" s="103"/>
      <c r="Z100" s="103"/>
      <c r="AA100" s="99"/>
    </row>
    <row r="101" spans="2:29" ht="3" customHeight="1" x14ac:dyDescent="0.25">
      <c r="B101" s="96"/>
      <c r="C101" s="3"/>
      <c r="G101" s="3"/>
      <c r="H101" s="2"/>
      <c r="I101" s="3"/>
      <c r="J101" s="2"/>
      <c r="K101" s="3"/>
      <c r="M101" s="3"/>
      <c r="R101" s="100" t="str">
        <f>IF(R98="甲","",IF(OR(S98=0,S98="")=TRUE,"",IF(S98="入力ｴﾗｰ","","乙")))</f>
        <v/>
      </c>
      <c r="S101" s="101"/>
      <c r="U101" s="94"/>
      <c r="V101" s="95"/>
      <c r="W101" s="104"/>
      <c r="X101" s="103"/>
      <c r="Y101" s="103"/>
      <c r="Z101" s="103"/>
      <c r="AA101" s="99"/>
    </row>
    <row r="102" spans="2:29" ht="3" customHeight="1" x14ac:dyDescent="0.25">
      <c r="B102" s="96"/>
      <c r="C102" s="3"/>
      <c r="F102" s="2"/>
      <c r="G102" s="3"/>
      <c r="H102" s="2"/>
      <c r="K102" s="3"/>
      <c r="M102" s="3"/>
      <c r="R102" s="100"/>
      <c r="S102" s="101"/>
      <c r="U102" s="94"/>
      <c r="V102" s="95"/>
      <c r="W102" s="104"/>
      <c r="X102" s="103"/>
      <c r="Y102" s="103"/>
      <c r="Z102" s="103"/>
      <c r="AA102" s="99"/>
    </row>
    <row r="103" spans="2:29" ht="15" customHeight="1" x14ac:dyDescent="0.25">
      <c r="B103" s="96"/>
      <c r="C103" s="3"/>
      <c r="G103" s="18"/>
      <c r="H103" s="13" t="str">
        <f>IF(I103="","",IF(I103=0,"","L="))</f>
        <v/>
      </c>
      <c r="I103" s="97"/>
      <c r="J103" s="97"/>
      <c r="K103" s="14" t="str">
        <f>IF(I103="","",IF(I103=0,"","m"))</f>
        <v/>
      </c>
      <c r="N103" s="13" t="str">
        <f>IF(O103="","",IF(O103=0,"","L="))</f>
        <v/>
      </c>
      <c r="O103" s="97"/>
      <c r="P103" s="97"/>
      <c r="Q103" s="14" t="str">
        <f>IF(O103="","",IF(O103=0,"","m"))</f>
        <v/>
      </c>
      <c r="R103" s="100"/>
      <c r="S103" s="101"/>
      <c r="U103" s="94"/>
      <c r="V103" s="95"/>
      <c r="W103" s="104"/>
      <c r="X103" s="103"/>
      <c r="Y103" s="103"/>
      <c r="Z103" s="103"/>
      <c r="AA103" s="99"/>
      <c r="AC103" s="1">
        <f>IF(U98="",0,IF(U98&gt;SUM(W98:AA103),U98-SUM(W98:AA103),0))</f>
        <v>0</v>
      </c>
    </row>
    <row r="104" spans="2:29" ht="6" customHeight="1" x14ac:dyDescent="0.2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2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25">
      <c r="B106" s="96" t="str">
        <f>IF(S106="","",IF(B98="","",1+B98))</f>
        <v/>
      </c>
      <c r="C106" s="3"/>
      <c r="E106" s="13" t="str">
        <f>IF(F106="","",IF(F106=0,"","L="))</f>
        <v/>
      </c>
      <c r="F106" s="97"/>
      <c r="G106" s="97"/>
      <c r="H106" s="14" t="str">
        <f>IF(F106="","",IF(F106=0,"","m"))</f>
        <v/>
      </c>
      <c r="K106" s="13" t="str">
        <f>IF(L106="","",IF(L106=0,"","L="))</f>
        <v/>
      </c>
      <c r="L106" s="97"/>
      <c r="M106" s="97"/>
      <c r="N106" s="14" t="str">
        <f>IF(L106="","",IF(L106=0,"","m"))</f>
        <v/>
      </c>
      <c r="R106" s="98" t="str">
        <f>IF(OR(S106="入力ｴﾗｰ",S106=0,S106="")=TRUE,"",IF(F106="","甲",IF(F106=0,"甲","")))</f>
        <v/>
      </c>
      <c r="S106" s="101" t="str">
        <f>IF((F106+I111+L106+O111)=0,"",IF((F106+I111+L106+O111)&gt;SUM($AC$1:$AC$3),"入力ｴﾗｰ",SUM($AC$1:$AC$3)-(F106+I111+L106+O111)))</f>
        <v/>
      </c>
      <c r="T106" s="102" t="str">
        <f>IF(S106="","",IF(S106="入力ｴﾗｰ","","m"))</f>
        <v/>
      </c>
      <c r="U106" s="94" t="str">
        <f>IF(B106="","",COUNT(F106,I111,L106,O111)-IF(S106=0,1,0)-V106)</f>
        <v/>
      </c>
      <c r="V106" s="95"/>
      <c r="W106" s="104"/>
      <c r="X106" s="103"/>
      <c r="Y106" s="103"/>
      <c r="Z106" s="103"/>
      <c r="AA106" s="99"/>
    </row>
    <row r="107" spans="2:29" ht="3" customHeight="1" x14ac:dyDescent="0.25">
      <c r="B107" s="96"/>
      <c r="C107" s="3"/>
      <c r="G107" s="3"/>
      <c r="H107" s="2"/>
      <c r="K107" s="3"/>
      <c r="M107" s="3"/>
      <c r="R107" s="98"/>
      <c r="S107" s="101"/>
      <c r="T107" s="102"/>
      <c r="U107" s="94"/>
      <c r="V107" s="95"/>
      <c r="W107" s="104"/>
      <c r="X107" s="103"/>
      <c r="Y107" s="103"/>
      <c r="Z107" s="103"/>
      <c r="AA107" s="99"/>
    </row>
    <row r="108" spans="2:29" ht="3" customHeight="1" x14ac:dyDescent="0.25">
      <c r="B108" s="96"/>
      <c r="C108" s="3"/>
      <c r="E108" s="4"/>
      <c r="F108" s="4"/>
      <c r="G108" s="5"/>
      <c r="H108" s="55"/>
      <c r="I108" s="4"/>
      <c r="J108" s="4"/>
      <c r="K108" s="5"/>
      <c r="L108" s="4"/>
      <c r="M108" s="5"/>
      <c r="N108" s="4"/>
      <c r="R108" s="98"/>
      <c r="S108" s="101"/>
      <c r="T108" s="102"/>
      <c r="U108" s="94"/>
      <c r="V108" s="95"/>
      <c r="W108" s="104"/>
      <c r="X108" s="103"/>
      <c r="Y108" s="103"/>
      <c r="Z108" s="103"/>
      <c r="AA108" s="99"/>
    </row>
    <row r="109" spans="2:29" ht="3" customHeight="1" x14ac:dyDescent="0.25">
      <c r="B109" s="96"/>
      <c r="C109" s="3"/>
      <c r="G109" s="3"/>
      <c r="H109" s="2"/>
      <c r="I109" s="3"/>
      <c r="J109" s="2"/>
      <c r="K109" s="3"/>
      <c r="M109" s="3"/>
      <c r="R109" s="100" t="str">
        <f>IF(R106="甲","",IF(OR(S106=0,S106="")=TRUE,"",IF(S106="入力ｴﾗｰ","","乙")))</f>
        <v/>
      </c>
      <c r="S109" s="101"/>
      <c r="U109" s="94"/>
      <c r="V109" s="95"/>
      <c r="W109" s="104"/>
      <c r="X109" s="103"/>
      <c r="Y109" s="103"/>
      <c r="Z109" s="103"/>
      <c r="AA109" s="99"/>
    </row>
    <row r="110" spans="2:29" ht="3" customHeight="1" x14ac:dyDescent="0.25">
      <c r="B110" s="96"/>
      <c r="C110" s="3"/>
      <c r="F110" s="2"/>
      <c r="G110" s="3"/>
      <c r="H110" s="2"/>
      <c r="K110" s="3"/>
      <c r="M110" s="3"/>
      <c r="R110" s="100"/>
      <c r="S110" s="101"/>
      <c r="U110" s="94"/>
      <c r="V110" s="95"/>
      <c r="W110" s="104"/>
      <c r="X110" s="103"/>
      <c r="Y110" s="103"/>
      <c r="Z110" s="103"/>
      <c r="AA110" s="99"/>
    </row>
    <row r="111" spans="2:29" ht="15" customHeight="1" x14ac:dyDescent="0.25">
      <c r="B111" s="96"/>
      <c r="C111" s="3"/>
      <c r="G111" s="18"/>
      <c r="H111" s="13" t="str">
        <f>IF(I111="","",IF(I111=0,"","L="))</f>
        <v/>
      </c>
      <c r="I111" s="97"/>
      <c r="J111" s="97"/>
      <c r="K111" s="14" t="str">
        <f>IF(I111="","",IF(I111=0,"","m"))</f>
        <v/>
      </c>
      <c r="N111" s="13" t="str">
        <f>IF(O111="","",IF(O111=0,"","L="))</f>
        <v/>
      </c>
      <c r="O111" s="97"/>
      <c r="P111" s="97"/>
      <c r="Q111" s="14" t="str">
        <f>IF(O111="","",IF(O111=0,"","m"))</f>
        <v/>
      </c>
      <c r="R111" s="100"/>
      <c r="S111" s="101"/>
      <c r="U111" s="94"/>
      <c r="V111" s="95"/>
      <c r="W111" s="104"/>
      <c r="X111" s="103"/>
      <c r="Y111" s="103"/>
      <c r="Z111" s="103"/>
      <c r="AA111" s="99"/>
      <c r="AC111" s="1">
        <f>IF(U106="",0,IF(U106&gt;SUM(W106:AA111),U106-SUM(W106:AA111),0))</f>
        <v>0</v>
      </c>
    </row>
    <row r="112" spans="2:29" ht="6" customHeight="1" x14ac:dyDescent="0.2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25">
      <c r="B113" s="84" t="s">
        <v>17</v>
      </c>
      <c r="C113" s="85"/>
      <c r="D113" s="85"/>
      <c r="E113" s="85"/>
      <c r="F113" s="86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3">
      <c r="B114" s="87"/>
      <c r="C114" s="88"/>
      <c r="D114" s="88"/>
      <c r="E114" s="88"/>
      <c r="F114" s="89"/>
      <c r="G114" s="25" t="str">
        <f>U2</f>
        <v>GX</v>
      </c>
      <c r="H114" s="88">
        <f>Y2</f>
        <v>200</v>
      </c>
      <c r="I114" s="88"/>
      <c r="J114" s="89"/>
      <c r="K114" s="90">
        <f>IF(B10="",0,LARGE(B10:B111,1))</f>
        <v>0</v>
      </c>
      <c r="L114" s="91"/>
      <c r="M114" s="21"/>
      <c r="N114" s="25"/>
      <c r="O114" s="20"/>
      <c r="P114" s="20"/>
      <c r="Q114" s="21"/>
      <c r="R114" s="92">
        <f>SUM(S10:S111)</f>
        <v>0</v>
      </c>
      <c r="S114" s="93"/>
      <c r="T114" s="20"/>
      <c r="U114" s="51">
        <f t="shared" ref="U114:AA114" si="0">SUM(U10:U111)</f>
        <v>0</v>
      </c>
      <c r="V114" s="79">
        <f t="shared" si="0"/>
        <v>0</v>
      </c>
      <c r="W114" s="73">
        <f t="shared" si="0"/>
        <v>0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AA98:AA103"/>
    <mergeCell ref="R101:R103"/>
    <mergeCell ref="AA106:AA111"/>
    <mergeCell ref="R109:R111"/>
    <mergeCell ref="I111:J111"/>
    <mergeCell ref="O111:P111"/>
    <mergeCell ref="Z106:Z111"/>
    <mergeCell ref="B113:F114"/>
    <mergeCell ref="H114:J114"/>
    <mergeCell ref="K114:L114"/>
    <mergeCell ref="R114:S114"/>
    <mergeCell ref="U106:U111"/>
    <mergeCell ref="V106:V111"/>
    <mergeCell ref="W106:W111"/>
    <mergeCell ref="X106:X111"/>
    <mergeCell ref="Y106:Y111"/>
    <mergeCell ref="B106:B111"/>
    <mergeCell ref="F106:G106"/>
    <mergeCell ref="L106:M106"/>
    <mergeCell ref="R106:R108"/>
    <mergeCell ref="S106:S111"/>
    <mergeCell ref="T106:T108"/>
    <mergeCell ref="B98:B103"/>
    <mergeCell ref="F98:G98"/>
    <mergeCell ref="L98:M98"/>
    <mergeCell ref="U98:U103"/>
    <mergeCell ref="I103:J103"/>
    <mergeCell ref="O103:P103"/>
    <mergeCell ref="X98:X103"/>
    <mergeCell ref="Y98:Y103"/>
    <mergeCell ref="Z98:Z103"/>
    <mergeCell ref="V98:V103"/>
    <mergeCell ref="W98:W103"/>
    <mergeCell ref="R98:R100"/>
    <mergeCell ref="S98:S103"/>
    <mergeCell ref="T98:T100"/>
    <mergeCell ref="I87:J87"/>
    <mergeCell ref="O87:P87"/>
    <mergeCell ref="X82:X87"/>
    <mergeCell ref="Y82:Y87"/>
    <mergeCell ref="Z82:Z87"/>
    <mergeCell ref="AA90:AA95"/>
    <mergeCell ref="X90:X95"/>
    <mergeCell ref="Y90:Y95"/>
    <mergeCell ref="Z90:Z95"/>
    <mergeCell ref="U82:U87"/>
    <mergeCell ref="V82:V87"/>
    <mergeCell ref="W82:W87"/>
    <mergeCell ref="U90:U95"/>
    <mergeCell ref="V90:V95"/>
    <mergeCell ref="W90:W95"/>
    <mergeCell ref="AA82:AA87"/>
    <mergeCell ref="R85:R87"/>
    <mergeCell ref="B90:B95"/>
    <mergeCell ref="F90:G90"/>
    <mergeCell ref="L90:M90"/>
    <mergeCell ref="R90:R92"/>
    <mergeCell ref="S90:S95"/>
    <mergeCell ref="T90:T92"/>
    <mergeCell ref="R93:R95"/>
    <mergeCell ref="I95:J95"/>
    <mergeCell ref="O95:P95"/>
    <mergeCell ref="B82:B87"/>
    <mergeCell ref="F82:G82"/>
    <mergeCell ref="L82:M82"/>
    <mergeCell ref="R82:R84"/>
    <mergeCell ref="S82:S87"/>
    <mergeCell ref="T82:T84"/>
    <mergeCell ref="AA66:AA71"/>
    <mergeCell ref="R69:R71"/>
    <mergeCell ref="I71:J71"/>
    <mergeCell ref="O71:P71"/>
    <mergeCell ref="B74:B79"/>
    <mergeCell ref="F74:G74"/>
    <mergeCell ref="L74:M74"/>
    <mergeCell ref="R74:R76"/>
    <mergeCell ref="S74:S79"/>
    <mergeCell ref="T74:T76"/>
    <mergeCell ref="U66:U71"/>
    <mergeCell ref="V66:V71"/>
    <mergeCell ref="W66:W71"/>
    <mergeCell ref="X66:X71"/>
    <mergeCell ref="Y66:Y71"/>
    <mergeCell ref="Z66:Z71"/>
    <mergeCell ref="AA74:AA79"/>
    <mergeCell ref="R77:R79"/>
    <mergeCell ref="I79:J79"/>
    <mergeCell ref="O79:P79"/>
    <mergeCell ref="X74:X79"/>
    <mergeCell ref="Y74:Y79"/>
    <mergeCell ref="Z74:Z79"/>
    <mergeCell ref="B66:B71"/>
    <mergeCell ref="F66:G66"/>
    <mergeCell ref="L66:M66"/>
    <mergeCell ref="R66:R68"/>
    <mergeCell ref="S66:S71"/>
    <mergeCell ref="T66:T68"/>
    <mergeCell ref="U74:U79"/>
    <mergeCell ref="V74:V79"/>
    <mergeCell ref="W74:W79"/>
    <mergeCell ref="Y50:Y55"/>
    <mergeCell ref="Z50:Z55"/>
    <mergeCell ref="AA58:AA63"/>
    <mergeCell ref="U50:U55"/>
    <mergeCell ref="V50:V55"/>
    <mergeCell ref="W50:W55"/>
    <mergeCell ref="AA50:AA55"/>
    <mergeCell ref="X50:X55"/>
    <mergeCell ref="R61:R63"/>
    <mergeCell ref="I63:J63"/>
    <mergeCell ref="O63:P63"/>
    <mergeCell ref="X58:X63"/>
    <mergeCell ref="Y58:Y63"/>
    <mergeCell ref="Z58:Z63"/>
    <mergeCell ref="B58:B63"/>
    <mergeCell ref="F58:G58"/>
    <mergeCell ref="L58:M58"/>
    <mergeCell ref="R58:R60"/>
    <mergeCell ref="S58:S63"/>
    <mergeCell ref="T58:T60"/>
    <mergeCell ref="U58:U63"/>
    <mergeCell ref="V58:V63"/>
    <mergeCell ref="W58:W63"/>
    <mergeCell ref="B50:B55"/>
    <mergeCell ref="F50:G50"/>
    <mergeCell ref="L50:M50"/>
    <mergeCell ref="R50:R52"/>
    <mergeCell ref="S50:S55"/>
    <mergeCell ref="T50:T52"/>
    <mergeCell ref="U42:U47"/>
    <mergeCell ref="V42:V47"/>
    <mergeCell ref="W42:W47"/>
    <mergeCell ref="R53:R55"/>
    <mergeCell ref="I55:J55"/>
    <mergeCell ref="O55:P55"/>
    <mergeCell ref="B42:B47"/>
    <mergeCell ref="F42:G42"/>
    <mergeCell ref="AA34:AA39"/>
    <mergeCell ref="R37:R39"/>
    <mergeCell ref="I39:J39"/>
    <mergeCell ref="O39:P39"/>
    <mergeCell ref="X34:X39"/>
    <mergeCell ref="Y34:Y39"/>
    <mergeCell ref="Z34:Z39"/>
    <mergeCell ref="AA42:AA47"/>
    <mergeCell ref="X42:X47"/>
    <mergeCell ref="Y42:Y47"/>
    <mergeCell ref="Z42:Z47"/>
    <mergeCell ref="L42:M42"/>
    <mergeCell ref="R42:R44"/>
    <mergeCell ref="S42:S47"/>
    <mergeCell ref="T42:T44"/>
    <mergeCell ref="U34:U39"/>
    <mergeCell ref="V34:V39"/>
    <mergeCell ref="W34:W39"/>
    <mergeCell ref="R45:R47"/>
    <mergeCell ref="I47:J47"/>
    <mergeCell ref="O47:P47"/>
    <mergeCell ref="B34:B39"/>
    <mergeCell ref="F34:G34"/>
    <mergeCell ref="L34:M34"/>
    <mergeCell ref="R34:R36"/>
    <mergeCell ref="S34:S39"/>
    <mergeCell ref="T34:T36"/>
    <mergeCell ref="AA18:AA23"/>
    <mergeCell ref="R21:R23"/>
    <mergeCell ref="I23:J23"/>
    <mergeCell ref="O23:P23"/>
    <mergeCell ref="B26:B31"/>
    <mergeCell ref="F26:G26"/>
    <mergeCell ref="L26:M26"/>
    <mergeCell ref="R26:R28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I31:J31"/>
    <mergeCell ref="O31:P31"/>
    <mergeCell ref="X26:X31"/>
    <mergeCell ref="Y26:Y31"/>
    <mergeCell ref="Z26:Z31"/>
    <mergeCell ref="B18:B23"/>
    <mergeCell ref="F18:G18"/>
    <mergeCell ref="L18:M18"/>
    <mergeCell ref="R18:R20"/>
    <mergeCell ref="S18:S23"/>
    <mergeCell ref="T18:T20"/>
    <mergeCell ref="U26:U31"/>
    <mergeCell ref="V26:V31"/>
    <mergeCell ref="W26:W31"/>
    <mergeCell ref="C1:Q1"/>
    <mergeCell ref="U2:V3"/>
    <mergeCell ref="Y2:Z3"/>
    <mergeCell ref="B7:B8"/>
    <mergeCell ref="C7:Q8"/>
    <mergeCell ref="R7:T8"/>
    <mergeCell ref="AA10:AA15"/>
    <mergeCell ref="R13:R15"/>
    <mergeCell ref="I15:J15"/>
    <mergeCell ref="O15:P15"/>
    <mergeCell ref="X10:X15"/>
    <mergeCell ref="Y10:Y15"/>
    <mergeCell ref="Z10:Z15"/>
    <mergeCell ref="U10:U15"/>
    <mergeCell ref="V10:V15"/>
    <mergeCell ref="W10:W15"/>
    <mergeCell ref="B10:B15"/>
    <mergeCell ref="F10:G10"/>
    <mergeCell ref="L10:M10"/>
    <mergeCell ref="R10:R12"/>
    <mergeCell ref="S10:S15"/>
    <mergeCell ref="T10:T12"/>
    <mergeCell ref="U7:V7"/>
    <mergeCell ref="W7:AA7"/>
  </mergeCells>
  <phoneticPr fontId="2"/>
  <conditionalFormatting sqref="S10:S15 S18:S23 S26:S31 S34:S39 S42:S47 S50:S55 S58:S63 S66:S71 S74:S79 S82:S87 S90:S95 S98:S103 S106:S111">
    <cfRule type="cellIs" dxfId="5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scale="95" orientation="portrait" horizontalDpi="300" verticalDpi="3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1" tint="0.499984740745262"/>
  </sheetPr>
  <dimension ref="B1:AC114"/>
  <sheetViews>
    <sheetView showGridLines="0" view="pageBreakPreview" zoomScale="55" zoomScaleNormal="123" zoomScaleSheetLayoutView="55" workbookViewId="0">
      <selection activeCell="U106" activeCellId="12" sqref="U10:U15 U18:U23 U26:U31 U34:U39 U42:U47 U50:U55 U58:U63 U66:U71 U74:U79 U82:U87 U90:U95 U98:U103 U106:U111"/>
    </sheetView>
  </sheetViews>
  <sheetFormatPr defaultColWidth="9.0703125" defaultRowHeight="12" x14ac:dyDescent="0.25"/>
  <cols>
    <col min="1" max="1" width="0.92578125" style="1" customWidth="1"/>
    <col min="2" max="2" width="8.92578125" style="1" customWidth="1"/>
    <col min="3" max="17" width="2.7109375" style="1" customWidth="1"/>
    <col min="18" max="18" width="2.92578125" style="1" customWidth="1"/>
    <col min="19" max="19" width="5.7109375" style="1" customWidth="1"/>
    <col min="20" max="20" width="2.7109375" style="1" customWidth="1"/>
    <col min="21" max="27" width="5.7109375" style="1" customWidth="1"/>
    <col min="28" max="16384" width="9.0703125" style="1"/>
  </cols>
  <sheetData>
    <row r="1" spans="2:29" x14ac:dyDescent="0.25">
      <c r="B1" s="56" t="s">
        <v>19</v>
      </c>
      <c r="C1" s="112" t="str">
        <f>'白紙(5m)'!C1</f>
        <v>長田（花山町2丁目他）配水管取替工事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25">
      <c r="S2" s="12"/>
      <c r="T2" s="3"/>
      <c r="U2" s="114" t="s">
        <v>31</v>
      </c>
      <c r="V2" s="114"/>
      <c r="W2" s="2"/>
      <c r="X2" s="12"/>
      <c r="Y2" s="114">
        <v>300</v>
      </c>
      <c r="Z2" s="114"/>
      <c r="AA2" s="2"/>
      <c r="AC2" s="1">
        <f>IF(AC1=4,0,IF(Y2&lt;=250,5,0))</f>
        <v>0</v>
      </c>
    </row>
    <row r="3" spans="2:29" ht="12" customHeight="1" x14ac:dyDescent="0.25">
      <c r="S3" s="44" t="s">
        <v>12</v>
      </c>
      <c r="T3" s="15"/>
      <c r="U3" s="115"/>
      <c r="V3" s="115"/>
      <c r="W3" s="17" t="s">
        <v>15</v>
      </c>
      <c r="X3" s="44" t="s">
        <v>14</v>
      </c>
      <c r="Y3" s="115"/>
      <c r="Z3" s="115"/>
      <c r="AA3" s="17" t="s">
        <v>20</v>
      </c>
      <c r="AC3" s="1">
        <f>IF(Y2&gt;250,6,0)</f>
        <v>6</v>
      </c>
    </row>
    <row r="4" spans="2:29" ht="6.75" customHeight="1" x14ac:dyDescent="0.25">
      <c r="S4" s="18"/>
      <c r="U4" s="45"/>
      <c r="V4" s="45"/>
      <c r="X4" s="18"/>
      <c r="Y4" s="45"/>
      <c r="Z4" s="45"/>
    </row>
    <row r="5" spans="2:29" ht="21.75" customHeight="1" x14ac:dyDescent="0.25">
      <c r="B5" s="46" t="s">
        <v>16</v>
      </c>
    </row>
    <row r="6" spans="2:29" ht="6.75" customHeight="1" thickBot="1" x14ac:dyDescent="0.3"/>
    <row r="7" spans="2:29" ht="14.25" customHeight="1" x14ac:dyDescent="0.25">
      <c r="B7" s="116" t="s">
        <v>0</v>
      </c>
      <c r="C7" s="108" t="s">
        <v>3</v>
      </c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09"/>
      <c r="R7" s="117" t="s">
        <v>1</v>
      </c>
      <c r="S7" s="117"/>
      <c r="T7" s="117"/>
      <c r="U7" s="108" t="s">
        <v>2</v>
      </c>
      <c r="V7" s="109"/>
      <c r="W7" s="110" t="s">
        <v>4</v>
      </c>
      <c r="X7" s="110"/>
      <c r="Y7" s="110"/>
      <c r="Z7" s="110"/>
      <c r="AA7" s="111"/>
    </row>
    <row r="8" spans="2:29" ht="10.5" customHeight="1" x14ac:dyDescent="0.25">
      <c r="B8" s="96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20"/>
      <c r="R8" s="119"/>
      <c r="S8" s="119"/>
      <c r="T8" s="119"/>
      <c r="U8" s="74" t="s">
        <v>6</v>
      </c>
      <c r="V8" s="75" t="s">
        <v>35</v>
      </c>
      <c r="W8" s="70" t="s">
        <v>6</v>
      </c>
      <c r="X8" s="32" t="s">
        <v>7</v>
      </c>
      <c r="Y8" s="32" t="s">
        <v>8</v>
      </c>
      <c r="Z8" s="33" t="s">
        <v>9</v>
      </c>
      <c r="AA8" s="34" t="s">
        <v>10</v>
      </c>
    </row>
    <row r="9" spans="2:29" ht="6" customHeight="1" x14ac:dyDescent="0.2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9"/>
      <c r="V9" s="76"/>
      <c r="W9" s="71"/>
      <c r="X9" s="28"/>
      <c r="Y9" s="28"/>
      <c r="Z9" s="28"/>
      <c r="AA9" s="29"/>
    </row>
    <row r="10" spans="2:29" ht="15" customHeight="1" x14ac:dyDescent="0.25">
      <c r="B10" s="96" t="str">
        <f>IF(S10="","",1)</f>
        <v/>
      </c>
      <c r="C10" s="3"/>
      <c r="E10" s="13" t="str">
        <f>IF(F10="","",IF(F10=0,"","L="))</f>
        <v/>
      </c>
      <c r="F10" s="97"/>
      <c r="G10" s="97"/>
      <c r="H10" s="14" t="str">
        <f>IF(F10="","",IF(F10=0,"","m"))</f>
        <v/>
      </c>
      <c r="K10" s="13" t="str">
        <f>IF(L10="","",IF(L10=0,"","L="))</f>
        <v/>
      </c>
      <c r="L10" s="97"/>
      <c r="M10" s="97"/>
      <c r="N10" s="14" t="str">
        <f>IF(L10="","",IF(L10=0,"","m"))</f>
        <v/>
      </c>
      <c r="Q10" s="2"/>
      <c r="R10" s="106" t="str">
        <f>IF(OR(S10="入力ｴﾗｰ",S10=0,S10="")=TRUE,"",IF(F10="","甲",IF(F10=0,"甲","")))</f>
        <v/>
      </c>
      <c r="S10" s="101" t="str">
        <f>IF((F10+I15+L10+O15)=0,"",IF((F10+I15+L10+O15)&gt;SUM($AC$1:$AC$3),"入力ｴﾗｰ",SUM($AC$1:$AC$3)-(F10+I15+L10+O15)))</f>
        <v/>
      </c>
      <c r="T10" s="102" t="str">
        <f>IF(S10="","",IF(S10="入力ｴﾗｰ","","m"))</f>
        <v/>
      </c>
      <c r="U10" s="94" t="str">
        <f>IF(B10="","",COUNT(F10,I15,L10,O15)-IF(S10=0,1,0)-V10)</f>
        <v/>
      </c>
      <c r="V10" s="95"/>
      <c r="W10" s="104"/>
      <c r="X10" s="103"/>
      <c r="Y10" s="103"/>
      <c r="Z10" s="107"/>
      <c r="AA10" s="99"/>
    </row>
    <row r="11" spans="2:29" ht="3" customHeight="1" x14ac:dyDescent="0.25">
      <c r="B11" s="96"/>
      <c r="C11" s="3"/>
      <c r="G11" s="3"/>
      <c r="I11" s="3"/>
      <c r="J11" s="2"/>
      <c r="K11" s="3"/>
      <c r="L11" s="2"/>
      <c r="M11" s="3"/>
      <c r="O11" s="3"/>
      <c r="Q11" s="2"/>
      <c r="R11" s="106"/>
      <c r="S11" s="101"/>
      <c r="T11" s="102"/>
      <c r="U11" s="94"/>
      <c r="V11" s="95"/>
      <c r="W11" s="104"/>
      <c r="X11" s="103"/>
      <c r="Y11" s="103"/>
      <c r="Z11" s="107"/>
      <c r="AA11" s="99"/>
    </row>
    <row r="12" spans="2:29" ht="3" customHeight="1" x14ac:dyDescent="0.25">
      <c r="B12" s="96"/>
      <c r="C12" s="3"/>
      <c r="E12" s="67"/>
      <c r="F12" s="68"/>
      <c r="G12" s="3"/>
      <c r="I12" s="3"/>
      <c r="J12" s="2"/>
      <c r="K12" s="3"/>
      <c r="L12" s="2"/>
      <c r="M12" s="69"/>
      <c r="N12" s="67"/>
      <c r="O12" s="69"/>
      <c r="P12" s="67"/>
      <c r="Q12" s="2"/>
      <c r="R12" s="106"/>
      <c r="S12" s="101"/>
      <c r="T12" s="102"/>
      <c r="U12" s="94"/>
      <c r="V12" s="95"/>
      <c r="W12" s="104"/>
      <c r="X12" s="103"/>
      <c r="Y12" s="103"/>
      <c r="Z12" s="107"/>
      <c r="AA12" s="99"/>
    </row>
    <row r="13" spans="2:29" ht="3" customHeight="1" x14ac:dyDescent="0.25">
      <c r="B13" s="96"/>
      <c r="C13" s="3"/>
      <c r="E13" s="66"/>
      <c r="F13" s="65"/>
      <c r="G13" s="64"/>
      <c r="H13" s="66"/>
      <c r="I13" s="64"/>
      <c r="J13" s="65"/>
      <c r="K13" s="64"/>
      <c r="L13" s="65"/>
      <c r="M13" s="64"/>
      <c r="N13" s="66"/>
      <c r="O13" s="64"/>
      <c r="P13" s="66"/>
      <c r="Q13" s="2"/>
      <c r="R13" s="105" t="str">
        <f>IF(R10="甲","",IF(OR(S10=0,S10="")=TRUE,"",IF(S10="入力ｴﾗｰ","","乙")))</f>
        <v/>
      </c>
      <c r="S13" s="101"/>
      <c r="U13" s="94"/>
      <c r="V13" s="95"/>
      <c r="W13" s="104"/>
      <c r="X13" s="103"/>
      <c r="Y13" s="103"/>
      <c r="Z13" s="107"/>
      <c r="AA13" s="99"/>
    </row>
    <row r="14" spans="2:29" ht="3" customHeight="1" x14ac:dyDescent="0.25">
      <c r="B14" s="96"/>
      <c r="C14" s="3"/>
      <c r="F14" s="2"/>
      <c r="G14" s="3"/>
      <c r="I14" s="3"/>
      <c r="J14" s="2"/>
      <c r="K14" s="3"/>
      <c r="L14" s="2"/>
      <c r="M14" s="3"/>
      <c r="O14" s="3"/>
      <c r="Q14" s="2"/>
      <c r="R14" s="105"/>
      <c r="S14" s="101"/>
      <c r="U14" s="94"/>
      <c r="V14" s="95"/>
      <c r="W14" s="104"/>
      <c r="X14" s="103"/>
      <c r="Y14" s="103"/>
      <c r="Z14" s="107"/>
      <c r="AA14" s="99"/>
    </row>
    <row r="15" spans="2:29" ht="15" customHeight="1" x14ac:dyDescent="0.25">
      <c r="B15" s="96"/>
      <c r="C15" s="3"/>
      <c r="G15" s="18"/>
      <c r="H15" s="13" t="str">
        <f>IF(I15="","",IF(I15=0,"","L="))</f>
        <v/>
      </c>
      <c r="I15" s="97"/>
      <c r="J15" s="97"/>
      <c r="K15" s="14" t="str">
        <f>IF(I15="","",IF(I15=0,"","m"))</f>
        <v/>
      </c>
      <c r="N15" s="13" t="str">
        <f>IF(O15="","",IF(O15=0,"","L="))</f>
        <v/>
      </c>
      <c r="O15" s="97"/>
      <c r="P15" s="97"/>
      <c r="Q15" s="24" t="str">
        <f>IF(O15="","",IF(O15=0,"","m"))</f>
        <v/>
      </c>
      <c r="R15" s="105"/>
      <c r="S15" s="101"/>
      <c r="U15" s="94"/>
      <c r="V15" s="95"/>
      <c r="W15" s="104"/>
      <c r="X15" s="103"/>
      <c r="Y15" s="103"/>
      <c r="Z15" s="107"/>
      <c r="AA15" s="99"/>
      <c r="AC15" s="1">
        <f>IF(U10="",0,IF(U10&gt;SUM(W10:AA15),U10-SUM(W10:AA15),0))</f>
        <v>0</v>
      </c>
    </row>
    <row r="16" spans="2:29" ht="6" customHeight="1" x14ac:dyDescent="0.2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"/>
      <c r="V16" s="76"/>
      <c r="W16" s="71"/>
      <c r="X16" s="28"/>
      <c r="Y16" s="28"/>
      <c r="Z16" s="28"/>
      <c r="AA16" s="29"/>
    </row>
    <row r="17" spans="2:29" ht="6" customHeight="1" x14ac:dyDescent="0.2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9"/>
      <c r="V17" s="77"/>
      <c r="W17" s="22"/>
      <c r="X17" s="23"/>
      <c r="Y17" s="23"/>
      <c r="Z17" s="23"/>
      <c r="AA17" s="37"/>
    </row>
    <row r="18" spans="2:29" ht="15" customHeight="1" x14ac:dyDescent="0.25">
      <c r="B18" s="96" t="str">
        <f>IF(S18="","",IF(B10="","",1+B10))</f>
        <v/>
      </c>
      <c r="C18" s="3"/>
      <c r="E18" s="13" t="str">
        <f>IF(F18="","",IF(F18=0,"","L="))</f>
        <v/>
      </c>
      <c r="F18" s="97"/>
      <c r="G18" s="97"/>
      <c r="H18" s="14" t="str">
        <f>IF(F18="","",IF(F18=0,"","m"))</f>
        <v/>
      </c>
      <c r="K18" s="13" t="str">
        <f>IF(L18="","",IF(L18=0,"","L="))</f>
        <v/>
      </c>
      <c r="L18" s="97"/>
      <c r="M18" s="97"/>
      <c r="N18" s="14" t="str">
        <f>IF(L18="","",IF(L18=0,"","m"))</f>
        <v/>
      </c>
      <c r="Q18" s="2"/>
      <c r="R18" s="106" t="str">
        <f>IF(OR(S18="入力ｴﾗｰ",S18=0,S18="")=TRUE,"",IF(F18="","甲",IF(F18=0,"甲","")))</f>
        <v/>
      </c>
      <c r="S18" s="101" t="str">
        <f>IF((F18+I23+L18+O23)=0,"",IF((F18+I23+L18+O23)&gt;SUM($AC$1:$AC$3),"入力ｴﾗｰ",SUM($AC$1:$AC$3)-(F18+I23+L18+O23)))</f>
        <v/>
      </c>
      <c r="T18" s="102" t="str">
        <f>IF(S18="","",IF(S18="入力ｴﾗｰ","","m"))</f>
        <v/>
      </c>
      <c r="U18" s="94" t="str">
        <f>IF(B18="","",COUNT(F18,I23,L18,O23)-IF(S18=0,1,0)-V18)</f>
        <v/>
      </c>
      <c r="V18" s="95"/>
      <c r="W18" s="104"/>
      <c r="X18" s="103"/>
      <c r="Y18" s="103"/>
      <c r="Z18" s="103"/>
      <c r="AA18" s="99"/>
    </row>
    <row r="19" spans="2:29" ht="3" customHeight="1" x14ac:dyDescent="0.25">
      <c r="B19" s="96"/>
      <c r="C19" s="3"/>
      <c r="G19" s="3"/>
      <c r="I19" s="3"/>
      <c r="J19" s="2"/>
      <c r="K19" s="3"/>
      <c r="L19" s="2"/>
      <c r="M19" s="3"/>
      <c r="O19" s="3"/>
      <c r="Q19" s="2"/>
      <c r="R19" s="106"/>
      <c r="S19" s="101"/>
      <c r="T19" s="102"/>
      <c r="U19" s="94"/>
      <c r="V19" s="95"/>
      <c r="W19" s="104"/>
      <c r="X19" s="103"/>
      <c r="Y19" s="103"/>
      <c r="Z19" s="103"/>
      <c r="AA19" s="99"/>
    </row>
    <row r="20" spans="2:29" ht="3" customHeight="1" x14ac:dyDescent="0.25">
      <c r="B20" s="96"/>
      <c r="C20" s="3"/>
      <c r="G20" s="3"/>
      <c r="I20" s="3"/>
      <c r="J20" s="2"/>
      <c r="K20" s="3"/>
      <c r="L20" s="2"/>
      <c r="M20" s="3"/>
      <c r="O20" s="3"/>
      <c r="Q20" s="2"/>
      <c r="R20" s="106"/>
      <c r="S20" s="101"/>
      <c r="T20" s="102"/>
      <c r="U20" s="94"/>
      <c r="V20" s="95"/>
      <c r="W20" s="104"/>
      <c r="X20" s="103"/>
      <c r="Y20" s="103"/>
      <c r="Z20" s="103"/>
      <c r="AA20" s="99"/>
    </row>
    <row r="21" spans="2:29" ht="3" customHeight="1" x14ac:dyDescent="0.25">
      <c r="B21" s="96"/>
      <c r="C21" s="3"/>
      <c r="E21" s="66"/>
      <c r="F21" s="65"/>
      <c r="G21" s="64"/>
      <c r="H21" s="66"/>
      <c r="I21" s="64"/>
      <c r="J21" s="65"/>
      <c r="K21" s="64"/>
      <c r="L21" s="65"/>
      <c r="M21" s="64"/>
      <c r="N21" s="66"/>
      <c r="O21" s="64"/>
      <c r="P21" s="66"/>
      <c r="Q21" s="2"/>
      <c r="R21" s="105" t="str">
        <f>IF(R18="甲","",IF(OR(S18=0,S18="")=TRUE,"",IF(S18="入力ｴﾗｰ","","乙")))</f>
        <v/>
      </c>
      <c r="S21" s="101"/>
      <c r="U21" s="94"/>
      <c r="V21" s="95"/>
      <c r="W21" s="104"/>
      <c r="X21" s="103"/>
      <c r="Y21" s="103"/>
      <c r="Z21" s="103"/>
      <c r="AA21" s="99"/>
    </row>
    <row r="22" spans="2:29" ht="3" customHeight="1" x14ac:dyDescent="0.25">
      <c r="B22" s="96"/>
      <c r="C22" s="3"/>
      <c r="F22" s="2"/>
      <c r="G22" s="3"/>
      <c r="I22" s="3"/>
      <c r="J22" s="2"/>
      <c r="K22" s="3"/>
      <c r="L22" s="2"/>
      <c r="M22" s="3"/>
      <c r="O22" s="3"/>
      <c r="Q22" s="2"/>
      <c r="R22" s="105"/>
      <c r="S22" s="101"/>
      <c r="U22" s="94"/>
      <c r="V22" s="95"/>
      <c r="W22" s="104"/>
      <c r="X22" s="103"/>
      <c r="Y22" s="103"/>
      <c r="Z22" s="103"/>
      <c r="AA22" s="99"/>
    </row>
    <row r="23" spans="2:29" ht="15" customHeight="1" x14ac:dyDescent="0.25">
      <c r="B23" s="96"/>
      <c r="C23" s="3"/>
      <c r="G23" s="18"/>
      <c r="H23" s="13" t="str">
        <f>IF(I23="","",IF(I23=0,"","L="))</f>
        <v/>
      </c>
      <c r="I23" s="97"/>
      <c r="J23" s="97"/>
      <c r="K23" s="14" t="str">
        <f>IF(I23="","",IF(I23=0,"","m"))</f>
        <v/>
      </c>
      <c r="N23" s="13" t="str">
        <f>IF(O23="","",IF(O23=0,"","L="))</f>
        <v/>
      </c>
      <c r="O23" s="97"/>
      <c r="P23" s="97"/>
      <c r="Q23" s="24" t="str">
        <f>IF(O23="","",IF(O23=0,"","m"))</f>
        <v/>
      </c>
      <c r="R23" s="105"/>
      <c r="S23" s="101"/>
      <c r="U23" s="94"/>
      <c r="V23" s="95"/>
      <c r="W23" s="104"/>
      <c r="X23" s="103"/>
      <c r="Y23" s="103"/>
      <c r="Z23" s="103"/>
      <c r="AA23" s="99"/>
      <c r="AC23" s="1">
        <f>IF(U18="",0,IF(U18&gt;SUM(W18:AA23),U18-SUM(W18:AA23),0))</f>
        <v>0</v>
      </c>
    </row>
    <row r="24" spans="2:29" ht="6" customHeight="1" x14ac:dyDescent="0.2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15"/>
      <c r="V24" s="78"/>
      <c r="W24" s="72"/>
      <c r="X24" s="41"/>
      <c r="Y24" s="41"/>
      <c r="Z24" s="41"/>
      <c r="AA24" s="42"/>
    </row>
    <row r="25" spans="2:29" ht="6" customHeight="1" x14ac:dyDescent="0.2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9"/>
      <c r="V25" s="77"/>
      <c r="W25" s="22"/>
      <c r="X25" s="23"/>
      <c r="Y25" s="23"/>
      <c r="Z25" s="23"/>
      <c r="AA25" s="37"/>
    </row>
    <row r="26" spans="2:29" ht="15" customHeight="1" x14ac:dyDescent="0.25">
      <c r="B26" s="96" t="str">
        <f>IF(S26="","",IF(B18="","",1+B18))</f>
        <v/>
      </c>
      <c r="C26" s="3"/>
      <c r="E26" s="13" t="str">
        <f>IF(F26="","",IF(F26=0,"","L="))</f>
        <v/>
      </c>
      <c r="F26" s="97"/>
      <c r="G26" s="97"/>
      <c r="H26" s="14" t="str">
        <f>IF(F26="","",IF(F26=0,"","m"))</f>
        <v/>
      </c>
      <c r="K26" s="13" t="str">
        <f>IF(L26="","",IF(L26=0,"","L="))</f>
        <v/>
      </c>
      <c r="L26" s="97"/>
      <c r="M26" s="97"/>
      <c r="N26" s="14" t="str">
        <f>IF(L26="","",IF(L26=0,"","m"))</f>
        <v/>
      </c>
      <c r="R26" s="98" t="str">
        <f>IF(OR(S26="入力ｴﾗｰ",S26=0,S26="")=TRUE,"",IF(F26="","甲",IF(F26=0,"甲","")))</f>
        <v/>
      </c>
      <c r="S26" s="101" t="str">
        <f>IF((F26+I31+L26+O31)=0,"",IF((F26+I31+L26+O31)&gt;SUM($AC$1:$AC$3),"入力ｴﾗｰ",SUM($AC$1:$AC$3)-(F26+I31+L26+O31)))</f>
        <v/>
      </c>
      <c r="T26" s="102" t="str">
        <f>IF(S26="","",IF(S26="入力ｴﾗｰ","","m"))</f>
        <v/>
      </c>
      <c r="U26" s="94" t="str">
        <f>IF(B26="","",COUNT(F26,I31,L26,O31)-IF(S26=0,1,0)-V26)</f>
        <v/>
      </c>
      <c r="V26" s="95"/>
      <c r="W26" s="104"/>
      <c r="X26" s="103"/>
      <c r="Y26" s="103"/>
      <c r="Z26" s="103"/>
      <c r="AA26" s="99"/>
    </row>
    <row r="27" spans="2:29" ht="3" customHeight="1" x14ac:dyDescent="0.25">
      <c r="B27" s="96"/>
      <c r="C27" s="3"/>
      <c r="G27" s="3"/>
      <c r="I27" s="3"/>
      <c r="J27" s="2"/>
      <c r="K27" s="3"/>
      <c r="L27" s="2"/>
      <c r="M27" s="3"/>
      <c r="O27" s="3"/>
      <c r="R27" s="98"/>
      <c r="S27" s="101"/>
      <c r="T27" s="102"/>
      <c r="U27" s="94"/>
      <c r="V27" s="95"/>
      <c r="W27" s="104"/>
      <c r="X27" s="103"/>
      <c r="Y27" s="103"/>
      <c r="Z27" s="103"/>
      <c r="AA27" s="99"/>
    </row>
    <row r="28" spans="2:29" ht="3" customHeight="1" x14ac:dyDescent="0.25">
      <c r="B28" s="96"/>
      <c r="C28" s="3"/>
      <c r="G28" s="3"/>
      <c r="I28" s="3"/>
      <c r="J28" s="2"/>
      <c r="K28" s="3"/>
      <c r="L28" s="2"/>
      <c r="M28" s="3"/>
      <c r="O28" s="3"/>
      <c r="R28" s="98"/>
      <c r="S28" s="101"/>
      <c r="T28" s="102"/>
      <c r="U28" s="94"/>
      <c r="V28" s="95"/>
      <c r="W28" s="104"/>
      <c r="X28" s="103"/>
      <c r="Y28" s="103"/>
      <c r="Z28" s="103"/>
      <c r="AA28" s="99"/>
    </row>
    <row r="29" spans="2:29" ht="3" customHeight="1" x14ac:dyDescent="0.25">
      <c r="B29" s="96"/>
      <c r="C29" s="3"/>
      <c r="E29" s="66"/>
      <c r="F29" s="65"/>
      <c r="G29" s="64"/>
      <c r="H29" s="66"/>
      <c r="I29" s="64"/>
      <c r="J29" s="65"/>
      <c r="K29" s="64"/>
      <c r="L29" s="65"/>
      <c r="M29" s="64"/>
      <c r="N29" s="66"/>
      <c r="O29" s="64"/>
      <c r="P29" s="66"/>
      <c r="R29" s="100" t="str">
        <f>IF(R26="甲","",IF(OR(S26=0,S26="")=TRUE,"",IF(S26="入力ｴﾗｰ","","乙")))</f>
        <v/>
      </c>
      <c r="S29" s="101"/>
      <c r="U29" s="94"/>
      <c r="V29" s="95"/>
      <c r="W29" s="104"/>
      <c r="X29" s="103"/>
      <c r="Y29" s="103"/>
      <c r="Z29" s="103"/>
      <c r="AA29" s="99"/>
    </row>
    <row r="30" spans="2:29" ht="3" customHeight="1" x14ac:dyDescent="0.25">
      <c r="B30" s="96"/>
      <c r="C30" s="3"/>
      <c r="F30" s="2"/>
      <c r="G30" s="3"/>
      <c r="I30" s="3"/>
      <c r="J30" s="2"/>
      <c r="K30" s="3"/>
      <c r="L30" s="2"/>
      <c r="M30" s="3"/>
      <c r="O30" s="3"/>
      <c r="R30" s="100"/>
      <c r="S30" s="101"/>
      <c r="U30" s="94"/>
      <c r="V30" s="95"/>
      <c r="W30" s="104"/>
      <c r="X30" s="103"/>
      <c r="Y30" s="103"/>
      <c r="Z30" s="103"/>
      <c r="AA30" s="99"/>
    </row>
    <row r="31" spans="2:29" ht="15" customHeight="1" x14ac:dyDescent="0.25">
      <c r="B31" s="96"/>
      <c r="C31" s="3"/>
      <c r="G31" s="18"/>
      <c r="H31" s="13" t="str">
        <f>IF(I31="","",IF(I31=0,"","L="))</f>
        <v/>
      </c>
      <c r="I31" s="97"/>
      <c r="J31" s="97"/>
      <c r="K31" s="14" t="str">
        <f>IF(I31="","",IF(I31=0,"","m"))</f>
        <v/>
      </c>
      <c r="N31" s="13" t="str">
        <f>IF(O31="","",IF(O31=0,"","L="))</f>
        <v/>
      </c>
      <c r="O31" s="97"/>
      <c r="P31" s="97"/>
      <c r="Q31" s="14" t="str">
        <f>IF(O31="","",IF(O31=0,"","m"))</f>
        <v/>
      </c>
      <c r="R31" s="100"/>
      <c r="S31" s="101"/>
      <c r="U31" s="94"/>
      <c r="V31" s="95"/>
      <c r="W31" s="104"/>
      <c r="X31" s="103"/>
      <c r="Y31" s="103"/>
      <c r="Z31" s="103"/>
      <c r="AA31" s="99"/>
      <c r="AC31" s="1">
        <f>IF(U26="",0,IF(U26&gt;SUM(W26:AA31),U26-SUM(W26:AA31),0))</f>
        <v>0</v>
      </c>
    </row>
    <row r="32" spans="2:29" ht="6" customHeight="1" x14ac:dyDescent="0.2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6"/>
      <c r="T32" s="16"/>
      <c r="U32" s="15"/>
      <c r="V32" s="78"/>
      <c r="W32" s="72"/>
      <c r="X32" s="41"/>
      <c r="Y32" s="41"/>
      <c r="Z32" s="41"/>
      <c r="AA32" s="42"/>
    </row>
    <row r="33" spans="2:29" ht="6" customHeight="1" x14ac:dyDescent="0.2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"/>
      <c r="S33" s="10"/>
      <c r="T33" s="10"/>
      <c r="U33" s="9"/>
      <c r="V33" s="77"/>
      <c r="W33" s="22"/>
      <c r="X33" s="23"/>
      <c r="Y33" s="23"/>
      <c r="Z33" s="23"/>
      <c r="AA33" s="37"/>
    </row>
    <row r="34" spans="2:29" ht="15" customHeight="1" x14ac:dyDescent="0.25">
      <c r="B34" s="96" t="str">
        <f>IF(S34="","",IF(B26="","",1+B26))</f>
        <v/>
      </c>
      <c r="C34" s="3"/>
      <c r="E34" s="13" t="str">
        <f>IF(F34="","",IF(F34=0,"","L="))</f>
        <v/>
      </c>
      <c r="F34" s="97"/>
      <c r="G34" s="97"/>
      <c r="H34" s="14" t="str">
        <f>IF(F34="","",IF(F34=0,"","m"))</f>
        <v/>
      </c>
      <c r="K34" s="13" t="str">
        <f>IF(L34="","",IF(L34=0,"","L="))</f>
        <v/>
      </c>
      <c r="L34" s="97"/>
      <c r="M34" s="97"/>
      <c r="N34" s="14" t="str">
        <f>IF(L34="","",IF(L34=0,"","m"))</f>
        <v/>
      </c>
      <c r="R34" s="98" t="str">
        <f>IF(OR(S34="入力ｴﾗｰ",S34=0,S34="")=TRUE,"",IF(F34="","甲",IF(F34=0,"甲","")))</f>
        <v/>
      </c>
      <c r="S34" s="101" t="str">
        <f>IF((F34+I39+L34+O39)=0,"",IF((F34+I39+L34+O39)&gt;SUM($AC$1:$AC$3),"入力ｴﾗｰ",SUM($AC$1:$AC$3)-(F34+I39+L34+O39)))</f>
        <v/>
      </c>
      <c r="T34" s="102" t="str">
        <f>IF(S34="","",IF(S34="入力ｴﾗｰ","","m"))</f>
        <v/>
      </c>
      <c r="U34" s="94" t="str">
        <f>IF(B34="","",COUNT(F34,I39,L34,O39)-IF(S34=0,1,0)-V34)</f>
        <v/>
      </c>
      <c r="V34" s="95"/>
      <c r="W34" s="104"/>
      <c r="X34" s="103"/>
      <c r="Y34" s="103"/>
      <c r="Z34" s="103"/>
      <c r="AA34" s="99"/>
    </row>
    <row r="35" spans="2:29" ht="3" customHeight="1" x14ac:dyDescent="0.25">
      <c r="B35" s="96"/>
      <c r="C35" s="3"/>
      <c r="G35" s="3"/>
      <c r="I35" s="3"/>
      <c r="J35" s="2"/>
      <c r="K35" s="3"/>
      <c r="L35" s="2"/>
      <c r="M35" s="3"/>
      <c r="O35" s="3"/>
      <c r="R35" s="98"/>
      <c r="S35" s="101"/>
      <c r="T35" s="102"/>
      <c r="U35" s="94"/>
      <c r="V35" s="95"/>
      <c r="W35" s="104"/>
      <c r="X35" s="103"/>
      <c r="Y35" s="103"/>
      <c r="Z35" s="103"/>
      <c r="AA35" s="99"/>
    </row>
    <row r="36" spans="2:29" ht="3" customHeight="1" x14ac:dyDescent="0.25">
      <c r="B36" s="96"/>
      <c r="C36" s="3"/>
      <c r="G36" s="3"/>
      <c r="I36" s="3"/>
      <c r="J36" s="2"/>
      <c r="K36" s="3"/>
      <c r="L36" s="2"/>
      <c r="M36" s="3"/>
      <c r="O36" s="3"/>
      <c r="R36" s="98"/>
      <c r="S36" s="101"/>
      <c r="T36" s="102"/>
      <c r="U36" s="94"/>
      <c r="V36" s="95"/>
      <c r="W36" s="104"/>
      <c r="X36" s="103"/>
      <c r="Y36" s="103"/>
      <c r="Z36" s="103"/>
      <c r="AA36" s="99"/>
    </row>
    <row r="37" spans="2:29" ht="3" customHeight="1" x14ac:dyDescent="0.25">
      <c r="B37" s="96"/>
      <c r="C37" s="3"/>
      <c r="E37" s="66"/>
      <c r="F37" s="65"/>
      <c r="G37" s="64"/>
      <c r="H37" s="66"/>
      <c r="I37" s="64"/>
      <c r="J37" s="65"/>
      <c r="K37" s="64"/>
      <c r="L37" s="65"/>
      <c r="M37" s="64"/>
      <c r="N37" s="66"/>
      <c r="O37" s="64"/>
      <c r="P37" s="66"/>
      <c r="R37" s="100" t="str">
        <f>IF(R34="甲","",IF(OR(S34=0,S34="")=TRUE,"",IF(S34="入力ｴﾗｰ","","乙")))</f>
        <v/>
      </c>
      <c r="S37" s="101"/>
      <c r="U37" s="94"/>
      <c r="V37" s="95"/>
      <c r="W37" s="104"/>
      <c r="X37" s="103"/>
      <c r="Y37" s="103"/>
      <c r="Z37" s="103"/>
      <c r="AA37" s="99"/>
    </row>
    <row r="38" spans="2:29" ht="3" customHeight="1" x14ac:dyDescent="0.25">
      <c r="B38" s="96"/>
      <c r="C38" s="3"/>
      <c r="F38" s="2"/>
      <c r="G38" s="3"/>
      <c r="I38" s="3"/>
      <c r="J38" s="2"/>
      <c r="K38" s="3"/>
      <c r="L38" s="2"/>
      <c r="M38" s="3"/>
      <c r="O38" s="3"/>
      <c r="R38" s="100"/>
      <c r="S38" s="101"/>
      <c r="U38" s="94"/>
      <c r="V38" s="95"/>
      <c r="W38" s="104"/>
      <c r="X38" s="103"/>
      <c r="Y38" s="103"/>
      <c r="Z38" s="103"/>
      <c r="AA38" s="99"/>
    </row>
    <row r="39" spans="2:29" ht="15" customHeight="1" x14ac:dyDescent="0.25">
      <c r="B39" s="96"/>
      <c r="C39" s="3"/>
      <c r="G39" s="18"/>
      <c r="H39" s="13" t="str">
        <f>IF(I39="","",IF(I39=0,"","L="))</f>
        <v/>
      </c>
      <c r="I39" s="97"/>
      <c r="J39" s="97"/>
      <c r="K39" s="14" t="str">
        <f>IF(I39="","",IF(I39=0,"","m"))</f>
        <v/>
      </c>
      <c r="N39" s="13" t="str">
        <f>IF(O39="","",IF(O39=0,"","L="))</f>
        <v/>
      </c>
      <c r="O39" s="97"/>
      <c r="P39" s="97"/>
      <c r="Q39" s="14" t="str">
        <f>IF(O39="","",IF(O39=0,"","m"))</f>
        <v/>
      </c>
      <c r="R39" s="100"/>
      <c r="S39" s="101"/>
      <c r="U39" s="94"/>
      <c r="V39" s="95"/>
      <c r="W39" s="104"/>
      <c r="X39" s="103"/>
      <c r="Y39" s="103"/>
      <c r="Z39" s="103"/>
      <c r="AA39" s="99"/>
      <c r="AC39" s="1">
        <f>IF(U34="",0,IF(U34&gt;SUM(W34:AA39),U34-SUM(W34:AA39),0))</f>
        <v>0</v>
      </c>
    </row>
    <row r="40" spans="2:29" ht="6" customHeight="1" x14ac:dyDescent="0.2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6"/>
      <c r="T40" s="16"/>
      <c r="U40" s="15"/>
      <c r="V40" s="78"/>
      <c r="W40" s="72"/>
      <c r="X40" s="41"/>
      <c r="Y40" s="41"/>
      <c r="Z40" s="41"/>
      <c r="AA40" s="42"/>
    </row>
    <row r="41" spans="2:29" ht="6" customHeight="1" x14ac:dyDescent="0.2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"/>
      <c r="S41" s="10"/>
      <c r="T41" s="10"/>
      <c r="U41" s="9"/>
      <c r="V41" s="77"/>
      <c r="W41" s="22"/>
      <c r="X41" s="23"/>
      <c r="Y41" s="23"/>
      <c r="Z41" s="23"/>
      <c r="AA41" s="37"/>
    </row>
    <row r="42" spans="2:29" ht="15" customHeight="1" x14ac:dyDescent="0.25">
      <c r="B42" s="96" t="str">
        <f>IF(S42="","",IF(B34="","",1+B34))</f>
        <v/>
      </c>
      <c r="C42" s="3"/>
      <c r="E42" s="13" t="str">
        <f>IF(F42="","",IF(F42=0,"","L="))</f>
        <v/>
      </c>
      <c r="F42" s="97"/>
      <c r="G42" s="97"/>
      <c r="H42" s="14" t="str">
        <f>IF(F42="","",IF(F42=0,"","m"))</f>
        <v/>
      </c>
      <c r="K42" s="13" t="str">
        <f>IF(L42="","",IF(L42=0,"","L="))</f>
        <v/>
      </c>
      <c r="L42" s="97"/>
      <c r="M42" s="97"/>
      <c r="N42" s="14" t="str">
        <f>IF(L42="","",IF(L42=0,"","m"))</f>
        <v/>
      </c>
      <c r="R42" s="98" t="str">
        <f>IF(OR(S42="入力ｴﾗｰ",S42=0,S42="")=TRUE,"",IF(F42="","甲",IF(F42=0,"甲","")))</f>
        <v/>
      </c>
      <c r="S42" s="101" t="str">
        <f>IF((F42+I47+L42+O47)=0,"",IF((F42+I47+L42+O47)&gt;SUM($AC$1:$AC$3),"入力ｴﾗｰ",SUM($AC$1:$AC$3)-(F42+I47+L42+O47)))</f>
        <v/>
      </c>
      <c r="T42" s="102" t="str">
        <f>IF(S42="","",IF(S42="入力ｴﾗｰ","","m"))</f>
        <v/>
      </c>
      <c r="U42" s="94" t="str">
        <f>IF(B42="","",COUNT(F42,I47,L42,O47)-IF(S42=0,1,0)-V42)</f>
        <v/>
      </c>
      <c r="V42" s="95"/>
      <c r="W42" s="104"/>
      <c r="X42" s="103"/>
      <c r="Y42" s="103"/>
      <c r="Z42" s="103"/>
      <c r="AA42" s="99"/>
    </row>
    <row r="43" spans="2:29" ht="3" customHeight="1" x14ac:dyDescent="0.25">
      <c r="B43" s="96"/>
      <c r="C43" s="3"/>
      <c r="G43" s="3"/>
      <c r="I43" s="3"/>
      <c r="J43" s="2"/>
      <c r="K43" s="3"/>
      <c r="L43" s="2"/>
      <c r="M43" s="3"/>
      <c r="O43" s="3"/>
      <c r="R43" s="98"/>
      <c r="S43" s="101"/>
      <c r="T43" s="102"/>
      <c r="U43" s="94"/>
      <c r="V43" s="95"/>
      <c r="W43" s="104"/>
      <c r="X43" s="103"/>
      <c r="Y43" s="103"/>
      <c r="Z43" s="103"/>
      <c r="AA43" s="99"/>
    </row>
    <row r="44" spans="2:29" ht="3" customHeight="1" x14ac:dyDescent="0.25">
      <c r="B44" s="96"/>
      <c r="C44" s="3"/>
      <c r="G44" s="3"/>
      <c r="I44" s="3"/>
      <c r="J44" s="2"/>
      <c r="K44" s="3"/>
      <c r="L44" s="2"/>
      <c r="M44" s="3"/>
      <c r="O44" s="3"/>
      <c r="R44" s="98"/>
      <c r="S44" s="101"/>
      <c r="T44" s="102"/>
      <c r="U44" s="94"/>
      <c r="V44" s="95"/>
      <c r="W44" s="104"/>
      <c r="X44" s="103"/>
      <c r="Y44" s="103"/>
      <c r="Z44" s="103"/>
      <c r="AA44" s="99"/>
    </row>
    <row r="45" spans="2:29" ht="3" customHeight="1" x14ac:dyDescent="0.25">
      <c r="B45" s="96"/>
      <c r="C45" s="3"/>
      <c r="E45" s="66"/>
      <c r="F45" s="65"/>
      <c r="G45" s="64"/>
      <c r="H45" s="66"/>
      <c r="I45" s="64"/>
      <c r="J45" s="65"/>
      <c r="K45" s="64"/>
      <c r="L45" s="65"/>
      <c r="M45" s="64"/>
      <c r="N45" s="66"/>
      <c r="O45" s="64"/>
      <c r="P45" s="66"/>
      <c r="R45" s="100" t="str">
        <f>IF(R42="甲","",IF(OR(S42=0,S42="")=TRUE,"",IF(S42="入力ｴﾗｰ","","乙")))</f>
        <v/>
      </c>
      <c r="S45" s="101"/>
      <c r="U45" s="94"/>
      <c r="V45" s="95"/>
      <c r="W45" s="104"/>
      <c r="X45" s="103"/>
      <c r="Y45" s="103"/>
      <c r="Z45" s="103"/>
      <c r="AA45" s="99"/>
    </row>
    <row r="46" spans="2:29" ht="3" customHeight="1" x14ac:dyDescent="0.25">
      <c r="B46" s="96"/>
      <c r="C46" s="3"/>
      <c r="F46" s="2"/>
      <c r="G46" s="3"/>
      <c r="I46" s="3"/>
      <c r="J46" s="2"/>
      <c r="K46" s="3"/>
      <c r="L46" s="2"/>
      <c r="M46" s="3"/>
      <c r="O46" s="3"/>
      <c r="R46" s="100"/>
      <c r="S46" s="101"/>
      <c r="U46" s="94"/>
      <c r="V46" s="95"/>
      <c r="W46" s="104"/>
      <c r="X46" s="103"/>
      <c r="Y46" s="103"/>
      <c r="Z46" s="103"/>
      <c r="AA46" s="99"/>
    </row>
    <row r="47" spans="2:29" ht="15" customHeight="1" x14ac:dyDescent="0.25">
      <c r="B47" s="96"/>
      <c r="C47" s="3"/>
      <c r="G47" s="18"/>
      <c r="H47" s="13" t="str">
        <f>IF(I47="","",IF(I47=0,"","L="))</f>
        <v/>
      </c>
      <c r="I47" s="97"/>
      <c r="J47" s="97"/>
      <c r="K47" s="14" t="str">
        <f>IF(I47="","",IF(I47=0,"","m"))</f>
        <v/>
      </c>
      <c r="N47" s="13" t="str">
        <f>IF(O47="","",IF(O47=0,"","L="))</f>
        <v/>
      </c>
      <c r="O47" s="97"/>
      <c r="P47" s="97"/>
      <c r="Q47" s="14" t="str">
        <f>IF(O47="","",IF(O47=0,"","m"))</f>
        <v/>
      </c>
      <c r="R47" s="100"/>
      <c r="S47" s="101"/>
      <c r="U47" s="94"/>
      <c r="V47" s="95"/>
      <c r="W47" s="104"/>
      <c r="X47" s="103"/>
      <c r="Y47" s="103"/>
      <c r="Z47" s="103"/>
      <c r="AA47" s="99"/>
      <c r="AC47" s="1">
        <f>IF(U42="",0,IF(U42&gt;SUM(W42:AA47),U42-SUM(W42:AA47),0))</f>
        <v>0</v>
      </c>
    </row>
    <row r="48" spans="2:29" ht="6" customHeight="1" x14ac:dyDescent="0.2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6"/>
      <c r="T48" s="16"/>
      <c r="U48" s="15"/>
      <c r="V48" s="78"/>
      <c r="W48" s="72"/>
      <c r="X48" s="41"/>
      <c r="Y48" s="41"/>
      <c r="Z48" s="41"/>
      <c r="AA48" s="42"/>
    </row>
    <row r="49" spans="2:29" ht="6" customHeight="1" x14ac:dyDescent="0.2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"/>
      <c r="S49" s="10"/>
      <c r="T49" s="10"/>
      <c r="U49" s="9"/>
      <c r="V49" s="77"/>
      <c r="W49" s="22"/>
      <c r="X49" s="23"/>
      <c r="Y49" s="23"/>
      <c r="Z49" s="23"/>
      <c r="AA49" s="37"/>
    </row>
    <row r="50" spans="2:29" ht="15" customHeight="1" x14ac:dyDescent="0.25">
      <c r="B50" s="96" t="str">
        <f>IF(S50="","",IF(B42="","",1+B42))</f>
        <v/>
      </c>
      <c r="C50" s="3"/>
      <c r="E50" s="13" t="str">
        <f>IF(F50="","",IF(F50=0,"","L="))</f>
        <v/>
      </c>
      <c r="F50" s="97"/>
      <c r="G50" s="97"/>
      <c r="H50" s="14" t="str">
        <f>IF(F50="","",IF(F50=0,"","m"))</f>
        <v/>
      </c>
      <c r="K50" s="13" t="str">
        <f>IF(L50="","",IF(L50=0,"","L="))</f>
        <v/>
      </c>
      <c r="L50" s="97"/>
      <c r="M50" s="97"/>
      <c r="N50" s="14" t="str">
        <f>IF(L50="","",IF(L50=0,"","m"))</f>
        <v/>
      </c>
      <c r="R50" s="98" t="str">
        <f>IF(OR(S50="入力ｴﾗｰ",S50=0,S50="")=TRUE,"",IF(F50="","甲",IF(F50=0,"甲","")))</f>
        <v/>
      </c>
      <c r="S50" s="101" t="str">
        <f>IF((F50+I55+L50+O55)=0,"",IF((F50+I55+L50+O55)&gt;SUM($AC$1:$AC$3),"入力ｴﾗｰ",SUM($AC$1:$AC$3)-(F50+I55+L50+O55)))</f>
        <v/>
      </c>
      <c r="T50" s="102" t="str">
        <f>IF(S50="","",IF(S50="入力ｴﾗｰ","","m"))</f>
        <v/>
      </c>
      <c r="U50" s="94" t="str">
        <f>IF(B50="","",COUNT(F50,I55,L50,O55)-IF(S50=0,1,0)-V50)</f>
        <v/>
      </c>
      <c r="V50" s="95"/>
      <c r="W50" s="104"/>
      <c r="X50" s="103"/>
      <c r="Y50" s="103"/>
      <c r="Z50" s="103"/>
      <c r="AA50" s="99"/>
    </row>
    <row r="51" spans="2:29" ht="3" customHeight="1" x14ac:dyDescent="0.25">
      <c r="B51" s="96"/>
      <c r="C51" s="3"/>
      <c r="G51" s="3"/>
      <c r="I51" s="3"/>
      <c r="J51" s="2"/>
      <c r="K51" s="3"/>
      <c r="L51" s="2"/>
      <c r="M51" s="3"/>
      <c r="O51" s="3"/>
      <c r="R51" s="98"/>
      <c r="S51" s="101"/>
      <c r="T51" s="102"/>
      <c r="U51" s="94"/>
      <c r="V51" s="95"/>
      <c r="W51" s="104"/>
      <c r="X51" s="103"/>
      <c r="Y51" s="103"/>
      <c r="Z51" s="103"/>
      <c r="AA51" s="99"/>
    </row>
    <row r="52" spans="2:29" ht="3" customHeight="1" x14ac:dyDescent="0.25">
      <c r="B52" s="96"/>
      <c r="C52" s="3"/>
      <c r="G52" s="3"/>
      <c r="I52" s="3"/>
      <c r="J52" s="2"/>
      <c r="K52" s="3"/>
      <c r="L52" s="2"/>
      <c r="M52" s="3"/>
      <c r="O52" s="3"/>
      <c r="R52" s="98"/>
      <c r="S52" s="101"/>
      <c r="T52" s="102"/>
      <c r="U52" s="94"/>
      <c r="V52" s="95"/>
      <c r="W52" s="104"/>
      <c r="X52" s="103"/>
      <c r="Y52" s="103"/>
      <c r="Z52" s="103"/>
      <c r="AA52" s="99"/>
    </row>
    <row r="53" spans="2:29" ht="3" customHeight="1" x14ac:dyDescent="0.25">
      <c r="B53" s="96"/>
      <c r="C53" s="3"/>
      <c r="E53" s="66"/>
      <c r="F53" s="65"/>
      <c r="G53" s="64"/>
      <c r="H53" s="66"/>
      <c r="I53" s="64"/>
      <c r="J53" s="65"/>
      <c r="K53" s="64"/>
      <c r="L53" s="65"/>
      <c r="M53" s="64"/>
      <c r="N53" s="66"/>
      <c r="O53" s="64"/>
      <c r="P53" s="66"/>
      <c r="R53" s="100" t="str">
        <f>IF(R50="甲","",IF(OR(S50=0,S50="")=TRUE,"",IF(S50="入力ｴﾗｰ","","乙")))</f>
        <v/>
      </c>
      <c r="S53" s="101"/>
      <c r="U53" s="94"/>
      <c r="V53" s="95"/>
      <c r="W53" s="104"/>
      <c r="X53" s="103"/>
      <c r="Y53" s="103"/>
      <c r="Z53" s="103"/>
      <c r="AA53" s="99"/>
    </row>
    <row r="54" spans="2:29" ht="3" customHeight="1" x14ac:dyDescent="0.25">
      <c r="B54" s="96"/>
      <c r="C54" s="3"/>
      <c r="F54" s="2"/>
      <c r="G54" s="3"/>
      <c r="I54" s="3"/>
      <c r="J54" s="2"/>
      <c r="K54" s="3"/>
      <c r="L54" s="2"/>
      <c r="M54" s="3"/>
      <c r="O54" s="3"/>
      <c r="R54" s="100"/>
      <c r="S54" s="101"/>
      <c r="U54" s="94"/>
      <c r="V54" s="95"/>
      <c r="W54" s="104"/>
      <c r="X54" s="103"/>
      <c r="Y54" s="103"/>
      <c r="Z54" s="103"/>
      <c r="AA54" s="99"/>
    </row>
    <row r="55" spans="2:29" ht="15" customHeight="1" x14ac:dyDescent="0.25">
      <c r="B55" s="96"/>
      <c r="C55" s="3"/>
      <c r="G55" s="18"/>
      <c r="H55" s="13" t="str">
        <f>IF(I55="","",IF(I55=0,"","L="))</f>
        <v/>
      </c>
      <c r="I55" s="97"/>
      <c r="J55" s="97"/>
      <c r="K55" s="14" t="str">
        <f>IF(I55="","",IF(I55=0,"","m"))</f>
        <v/>
      </c>
      <c r="N55" s="13" t="str">
        <f>IF(O55="","",IF(O55=0,"","L="))</f>
        <v/>
      </c>
      <c r="O55" s="97"/>
      <c r="P55" s="97"/>
      <c r="Q55" s="14" t="str">
        <f>IF(O55="","",IF(O55=0,"","m"))</f>
        <v/>
      </c>
      <c r="R55" s="100"/>
      <c r="S55" s="101"/>
      <c r="U55" s="94"/>
      <c r="V55" s="95"/>
      <c r="W55" s="104"/>
      <c r="X55" s="103"/>
      <c r="Y55" s="103"/>
      <c r="Z55" s="103"/>
      <c r="AA55" s="99"/>
      <c r="AC55" s="1">
        <f>IF(U50="",0,IF(U50&gt;SUM(W50:AA55),U50-SUM(W50:AA55),0))</f>
        <v>0</v>
      </c>
    </row>
    <row r="56" spans="2:29" ht="6" customHeight="1" x14ac:dyDescent="0.2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6"/>
      <c r="T56" s="16"/>
      <c r="U56" s="15"/>
      <c r="V56" s="78"/>
      <c r="W56" s="72"/>
      <c r="X56" s="41"/>
      <c r="Y56" s="41"/>
      <c r="Z56" s="41"/>
      <c r="AA56" s="42"/>
    </row>
    <row r="57" spans="2:29" ht="6" customHeight="1" x14ac:dyDescent="0.2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"/>
      <c r="S57" s="10"/>
      <c r="T57" s="10"/>
      <c r="U57" s="9"/>
      <c r="V57" s="77"/>
      <c r="W57" s="22"/>
      <c r="X57" s="23"/>
      <c r="Y57" s="23"/>
      <c r="Z57" s="23"/>
      <c r="AA57" s="37"/>
    </row>
    <row r="58" spans="2:29" ht="15" customHeight="1" x14ac:dyDescent="0.25">
      <c r="B58" s="96" t="str">
        <f>IF(S58="","",IF(B50="","",1+B50))</f>
        <v/>
      </c>
      <c r="C58" s="3"/>
      <c r="E58" s="13" t="str">
        <f>IF(F58="","",IF(F58=0,"","L="))</f>
        <v/>
      </c>
      <c r="F58" s="97"/>
      <c r="G58" s="97"/>
      <c r="H58" s="14" t="str">
        <f>IF(F58="","",IF(F58=0,"","m"))</f>
        <v/>
      </c>
      <c r="K58" s="13" t="str">
        <f>IF(L58="","",IF(L58=0,"","L="))</f>
        <v/>
      </c>
      <c r="L58" s="97"/>
      <c r="M58" s="97"/>
      <c r="N58" s="14" t="str">
        <f>IF(L58="","",IF(L58=0,"","m"))</f>
        <v/>
      </c>
      <c r="R58" s="98" t="str">
        <f>IF(OR(S58="入力ｴﾗｰ",S58=0,S58="")=TRUE,"",IF(F58="","甲",IF(F58=0,"甲","")))</f>
        <v/>
      </c>
      <c r="S58" s="101" t="str">
        <f>IF((F58+I63+L58+O63)=0,"",IF((F58+I63+L58+O63)&gt;SUM($AC$1:$AC$3),"入力ｴﾗｰ",SUM($AC$1:$AC$3)-(F58+I63+L58+O63)))</f>
        <v/>
      </c>
      <c r="T58" s="102" t="str">
        <f>IF(S58="","",IF(S58="入力ｴﾗｰ","","m"))</f>
        <v/>
      </c>
      <c r="U58" s="94" t="str">
        <f>IF(B58="","",COUNT(F58,I63,L58,O63)-IF(S58=0,1,0)-V58)</f>
        <v/>
      </c>
      <c r="V58" s="95"/>
      <c r="W58" s="104"/>
      <c r="X58" s="103"/>
      <c r="Y58" s="103"/>
      <c r="Z58" s="103"/>
      <c r="AA58" s="99"/>
    </row>
    <row r="59" spans="2:29" ht="3" customHeight="1" x14ac:dyDescent="0.25">
      <c r="B59" s="96"/>
      <c r="C59" s="3"/>
      <c r="G59" s="3"/>
      <c r="I59" s="3"/>
      <c r="J59" s="2"/>
      <c r="K59" s="3"/>
      <c r="L59" s="2"/>
      <c r="M59" s="3"/>
      <c r="O59" s="3"/>
      <c r="R59" s="98"/>
      <c r="S59" s="101"/>
      <c r="T59" s="102"/>
      <c r="U59" s="94"/>
      <c r="V59" s="95"/>
      <c r="W59" s="104"/>
      <c r="X59" s="103"/>
      <c r="Y59" s="103"/>
      <c r="Z59" s="103"/>
      <c r="AA59" s="99"/>
    </row>
    <row r="60" spans="2:29" ht="3" customHeight="1" x14ac:dyDescent="0.25">
      <c r="B60" s="96"/>
      <c r="C60" s="3"/>
      <c r="G60" s="3"/>
      <c r="I60" s="3"/>
      <c r="J60" s="2"/>
      <c r="K60" s="3"/>
      <c r="L60" s="2"/>
      <c r="M60" s="3"/>
      <c r="O60" s="3"/>
      <c r="R60" s="98"/>
      <c r="S60" s="101"/>
      <c r="T60" s="102"/>
      <c r="U60" s="94"/>
      <c r="V60" s="95"/>
      <c r="W60" s="104"/>
      <c r="X60" s="103"/>
      <c r="Y60" s="103"/>
      <c r="Z60" s="103"/>
      <c r="AA60" s="99"/>
    </row>
    <row r="61" spans="2:29" ht="3" customHeight="1" x14ac:dyDescent="0.25">
      <c r="B61" s="96"/>
      <c r="C61" s="3"/>
      <c r="E61" s="66"/>
      <c r="F61" s="65"/>
      <c r="G61" s="64"/>
      <c r="H61" s="66"/>
      <c r="I61" s="64"/>
      <c r="J61" s="65"/>
      <c r="K61" s="64"/>
      <c r="L61" s="65"/>
      <c r="M61" s="64"/>
      <c r="N61" s="66"/>
      <c r="O61" s="64"/>
      <c r="P61" s="66"/>
      <c r="R61" s="100" t="str">
        <f>IF(R58="甲","",IF(OR(S58=0,S58="")=TRUE,"",IF(S58="入力ｴﾗｰ","","乙")))</f>
        <v/>
      </c>
      <c r="S61" s="101"/>
      <c r="U61" s="94"/>
      <c r="V61" s="95"/>
      <c r="W61" s="104"/>
      <c r="X61" s="103"/>
      <c r="Y61" s="103"/>
      <c r="Z61" s="103"/>
      <c r="AA61" s="99"/>
    </row>
    <row r="62" spans="2:29" ht="3" customHeight="1" x14ac:dyDescent="0.25">
      <c r="B62" s="96"/>
      <c r="C62" s="3"/>
      <c r="F62" s="2"/>
      <c r="G62" s="3"/>
      <c r="I62" s="3"/>
      <c r="J62" s="2"/>
      <c r="K62" s="3"/>
      <c r="L62" s="2"/>
      <c r="M62" s="3"/>
      <c r="O62" s="3"/>
      <c r="R62" s="100"/>
      <c r="S62" s="101"/>
      <c r="U62" s="94"/>
      <c r="V62" s="95"/>
      <c r="W62" s="104"/>
      <c r="X62" s="103"/>
      <c r="Y62" s="103"/>
      <c r="Z62" s="103"/>
      <c r="AA62" s="99"/>
    </row>
    <row r="63" spans="2:29" ht="15" customHeight="1" x14ac:dyDescent="0.25">
      <c r="B63" s="96"/>
      <c r="C63" s="3"/>
      <c r="G63" s="18"/>
      <c r="H63" s="13" t="str">
        <f>IF(I63="","",IF(I63=0,"","L="))</f>
        <v/>
      </c>
      <c r="I63" s="97"/>
      <c r="J63" s="97"/>
      <c r="K63" s="14" t="str">
        <f>IF(I63="","",IF(I63=0,"","m"))</f>
        <v/>
      </c>
      <c r="N63" s="13" t="str">
        <f>IF(O63="","",IF(O63=0,"","L="))</f>
        <v/>
      </c>
      <c r="O63" s="97"/>
      <c r="P63" s="97"/>
      <c r="Q63" s="14" t="str">
        <f>IF(O63="","",IF(O63=0,"","m"))</f>
        <v/>
      </c>
      <c r="R63" s="100"/>
      <c r="S63" s="101"/>
      <c r="U63" s="94"/>
      <c r="V63" s="95"/>
      <c r="W63" s="104"/>
      <c r="X63" s="103"/>
      <c r="Y63" s="103"/>
      <c r="Z63" s="103"/>
      <c r="AA63" s="99"/>
      <c r="AC63" s="1">
        <f>IF(U58="",0,IF(U58&gt;SUM(W58:AA63),U58-SUM(W58:AA63),0))</f>
        <v>0</v>
      </c>
    </row>
    <row r="64" spans="2:29" ht="6" customHeight="1" x14ac:dyDescent="0.2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6"/>
      <c r="T64" s="16"/>
      <c r="U64" s="15"/>
      <c r="V64" s="78"/>
      <c r="W64" s="72"/>
      <c r="X64" s="41"/>
      <c r="Y64" s="41"/>
      <c r="Z64" s="41"/>
      <c r="AA64" s="42"/>
    </row>
    <row r="65" spans="2:29" ht="6" customHeight="1" x14ac:dyDescent="0.2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"/>
      <c r="S65" s="10"/>
      <c r="T65" s="10"/>
      <c r="U65" s="9"/>
      <c r="V65" s="77"/>
      <c r="W65" s="22"/>
      <c r="X65" s="23"/>
      <c r="Y65" s="23"/>
      <c r="Z65" s="23"/>
      <c r="AA65" s="37"/>
    </row>
    <row r="66" spans="2:29" ht="15" customHeight="1" x14ac:dyDescent="0.25">
      <c r="B66" s="96" t="str">
        <f>IF(S66="","",IF(B58="","",1+B58))</f>
        <v/>
      </c>
      <c r="C66" s="3"/>
      <c r="E66" s="13" t="str">
        <f>IF(F66="","",IF(F66=0,"","L="))</f>
        <v/>
      </c>
      <c r="F66" s="97"/>
      <c r="G66" s="97"/>
      <c r="H66" s="14" t="str">
        <f>IF(F66="","",IF(F66=0,"","m"))</f>
        <v/>
      </c>
      <c r="K66" s="13" t="str">
        <f>IF(L66="","",IF(L66=0,"","L="))</f>
        <v/>
      </c>
      <c r="L66" s="97"/>
      <c r="M66" s="97"/>
      <c r="N66" s="14" t="str">
        <f>IF(L66="","",IF(L66=0,"","m"))</f>
        <v/>
      </c>
      <c r="R66" s="98" t="str">
        <f>IF(OR(S66="入力ｴﾗｰ",S66=0,S66="")=TRUE,"",IF(F66="","甲",IF(F66=0,"甲","")))</f>
        <v/>
      </c>
      <c r="S66" s="101" t="str">
        <f>IF((F66+I71+L66+O71)=0,"",IF((F66+I71+L66+O71)&gt;SUM($AC$1:$AC$3),"入力ｴﾗｰ",SUM($AC$1:$AC$3)-(F66+I71+L66+O71)))</f>
        <v/>
      </c>
      <c r="T66" s="102" t="str">
        <f>IF(S66="","",IF(S66="入力ｴﾗｰ","","m"))</f>
        <v/>
      </c>
      <c r="U66" s="94" t="str">
        <f>IF(B66="","",COUNT(F66,I71,L66,O71)-IF(S66=0,1,0)-V66)</f>
        <v/>
      </c>
      <c r="V66" s="95"/>
      <c r="W66" s="104"/>
      <c r="X66" s="103"/>
      <c r="Y66" s="103"/>
      <c r="Z66" s="103"/>
      <c r="AA66" s="99"/>
    </row>
    <row r="67" spans="2:29" ht="3" customHeight="1" x14ac:dyDescent="0.25">
      <c r="B67" s="96"/>
      <c r="C67" s="3"/>
      <c r="G67" s="3"/>
      <c r="I67" s="3"/>
      <c r="J67" s="2"/>
      <c r="K67" s="3"/>
      <c r="L67" s="2"/>
      <c r="M67" s="3"/>
      <c r="O67" s="3"/>
      <c r="R67" s="98"/>
      <c r="S67" s="101"/>
      <c r="T67" s="102"/>
      <c r="U67" s="94"/>
      <c r="V67" s="95"/>
      <c r="W67" s="104"/>
      <c r="X67" s="103"/>
      <c r="Y67" s="103"/>
      <c r="Z67" s="103"/>
      <c r="AA67" s="99"/>
    </row>
    <row r="68" spans="2:29" ht="3" customHeight="1" x14ac:dyDescent="0.25">
      <c r="B68" s="96"/>
      <c r="C68" s="3"/>
      <c r="G68" s="3"/>
      <c r="I68" s="3"/>
      <c r="J68" s="2"/>
      <c r="K68" s="3"/>
      <c r="L68" s="2"/>
      <c r="M68" s="3"/>
      <c r="O68" s="3"/>
      <c r="R68" s="98"/>
      <c r="S68" s="101"/>
      <c r="T68" s="102"/>
      <c r="U68" s="94"/>
      <c r="V68" s="95"/>
      <c r="W68" s="104"/>
      <c r="X68" s="103"/>
      <c r="Y68" s="103"/>
      <c r="Z68" s="103"/>
      <c r="AA68" s="99"/>
    </row>
    <row r="69" spans="2:29" ht="3" customHeight="1" x14ac:dyDescent="0.25">
      <c r="B69" s="96"/>
      <c r="C69" s="3"/>
      <c r="E69" s="66"/>
      <c r="F69" s="65"/>
      <c r="G69" s="64"/>
      <c r="H69" s="66"/>
      <c r="I69" s="64"/>
      <c r="J69" s="65"/>
      <c r="K69" s="64"/>
      <c r="L69" s="65"/>
      <c r="M69" s="64"/>
      <c r="N69" s="66"/>
      <c r="O69" s="64"/>
      <c r="P69" s="66"/>
      <c r="R69" s="100" t="str">
        <f>IF(R66="甲","",IF(OR(S66=0,S66="")=TRUE,"",IF(S66="入力ｴﾗｰ","","乙")))</f>
        <v/>
      </c>
      <c r="S69" s="101"/>
      <c r="U69" s="94"/>
      <c r="V69" s="95"/>
      <c r="W69" s="104"/>
      <c r="X69" s="103"/>
      <c r="Y69" s="103"/>
      <c r="Z69" s="103"/>
      <c r="AA69" s="99"/>
    </row>
    <row r="70" spans="2:29" ht="3" customHeight="1" x14ac:dyDescent="0.25">
      <c r="B70" s="96"/>
      <c r="C70" s="3"/>
      <c r="F70" s="2"/>
      <c r="G70" s="3"/>
      <c r="I70" s="3"/>
      <c r="J70" s="2"/>
      <c r="K70" s="3"/>
      <c r="L70" s="2"/>
      <c r="M70" s="3"/>
      <c r="O70" s="3"/>
      <c r="R70" s="100"/>
      <c r="S70" s="101"/>
      <c r="U70" s="94"/>
      <c r="V70" s="95"/>
      <c r="W70" s="104"/>
      <c r="X70" s="103"/>
      <c r="Y70" s="103"/>
      <c r="Z70" s="103"/>
      <c r="AA70" s="99"/>
    </row>
    <row r="71" spans="2:29" ht="15" customHeight="1" x14ac:dyDescent="0.25">
      <c r="B71" s="96"/>
      <c r="C71" s="3"/>
      <c r="G71" s="18"/>
      <c r="H71" s="13" t="str">
        <f>IF(I71="","",IF(I71=0,"","L="))</f>
        <v/>
      </c>
      <c r="I71" s="97"/>
      <c r="J71" s="97"/>
      <c r="K71" s="14" t="str">
        <f>IF(I71="","",IF(I71=0,"","m"))</f>
        <v/>
      </c>
      <c r="N71" s="13" t="str">
        <f>IF(O71="","",IF(O71=0,"","L="))</f>
        <v/>
      </c>
      <c r="O71" s="97"/>
      <c r="P71" s="97"/>
      <c r="Q71" s="14" t="str">
        <f>IF(O71="","",IF(O71=0,"","m"))</f>
        <v/>
      </c>
      <c r="R71" s="100"/>
      <c r="S71" s="101"/>
      <c r="U71" s="94"/>
      <c r="V71" s="95"/>
      <c r="W71" s="104"/>
      <c r="X71" s="103"/>
      <c r="Y71" s="103"/>
      <c r="Z71" s="103"/>
      <c r="AA71" s="99"/>
      <c r="AC71" s="1">
        <f>IF(U66="",0,IF(U66&gt;SUM(W66:AA71),U66-SUM(W66:AA71),0))</f>
        <v>0</v>
      </c>
    </row>
    <row r="72" spans="2:29" ht="6" customHeight="1" x14ac:dyDescent="0.2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6"/>
      <c r="T72" s="16"/>
      <c r="U72" s="15"/>
      <c r="V72" s="78"/>
      <c r="W72" s="72"/>
      <c r="X72" s="41"/>
      <c r="Y72" s="41"/>
      <c r="Z72" s="41"/>
      <c r="AA72" s="42"/>
    </row>
    <row r="73" spans="2:29" ht="6" customHeight="1" x14ac:dyDescent="0.2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9"/>
      <c r="S73" s="10"/>
      <c r="T73" s="10"/>
      <c r="U73" s="9"/>
      <c r="V73" s="77"/>
      <c r="W73" s="22"/>
      <c r="X73" s="23"/>
      <c r="Y73" s="23"/>
      <c r="Z73" s="23"/>
      <c r="AA73" s="37"/>
    </row>
    <row r="74" spans="2:29" ht="15" customHeight="1" x14ac:dyDescent="0.25">
      <c r="B74" s="96" t="str">
        <f>IF(S74="","",IF(B66="","",1+B66))</f>
        <v/>
      </c>
      <c r="C74" s="3"/>
      <c r="E74" s="13" t="str">
        <f>IF(F74="","",IF(F74=0,"","L="))</f>
        <v/>
      </c>
      <c r="F74" s="97"/>
      <c r="G74" s="97"/>
      <c r="H74" s="14" t="str">
        <f>IF(F74="","",IF(F74=0,"","m"))</f>
        <v/>
      </c>
      <c r="K74" s="13" t="str">
        <f>IF(L74="","",IF(L74=0,"","L="))</f>
        <v/>
      </c>
      <c r="L74" s="97"/>
      <c r="M74" s="97"/>
      <c r="N74" s="14" t="str">
        <f>IF(L74="","",IF(L74=0,"","m"))</f>
        <v/>
      </c>
      <c r="R74" s="98" t="str">
        <f>IF(OR(S74="入力ｴﾗｰ",S74=0,S74="")=TRUE,"",IF(F74="","甲",IF(F74=0,"甲","")))</f>
        <v/>
      </c>
      <c r="S74" s="101" t="str">
        <f>IF((F74+I79+L74+O79)=0,"",IF((F74+I79+L74+O79)&gt;SUM($AC$1:$AC$3),"入力ｴﾗｰ",SUM($AC$1:$AC$3)-(F74+I79+L74+O79)))</f>
        <v/>
      </c>
      <c r="T74" s="102" t="str">
        <f>IF(S74="","",IF(S74="入力ｴﾗｰ","","m"))</f>
        <v/>
      </c>
      <c r="U74" s="94" t="str">
        <f>IF(B74="","",COUNT(F74,I79,L74,O79)-IF(S74=0,1,0)-V74)</f>
        <v/>
      </c>
      <c r="V74" s="95"/>
      <c r="W74" s="104"/>
      <c r="X74" s="103"/>
      <c r="Y74" s="103"/>
      <c r="Z74" s="103"/>
      <c r="AA74" s="99"/>
    </row>
    <row r="75" spans="2:29" ht="3" customHeight="1" x14ac:dyDescent="0.25">
      <c r="B75" s="96"/>
      <c r="C75" s="3"/>
      <c r="G75" s="3"/>
      <c r="I75" s="3"/>
      <c r="J75" s="2"/>
      <c r="K75" s="3"/>
      <c r="L75" s="2"/>
      <c r="M75" s="3"/>
      <c r="O75" s="3"/>
      <c r="R75" s="98"/>
      <c r="S75" s="101"/>
      <c r="T75" s="102"/>
      <c r="U75" s="94"/>
      <c r="V75" s="95"/>
      <c r="W75" s="104"/>
      <c r="X75" s="103"/>
      <c r="Y75" s="103"/>
      <c r="Z75" s="103"/>
      <c r="AA75" s="99"/>
    </row>
    <row r="76" spans="2:29" ht="3" customHeight="1" x14ac:dyDescent="0.25">
      <c r="B76" s="96"/>
      <c r="C76" s="3"/>
      <c r="G76" s="3"/>
      <c r="I76" s="3"/>
      <c r="J76" s="2"/>
      <c r="K76" s="3"/>
      <c r="L76" s="2"/>
      <c r="M76" s="3"/>
      <c r="O76" s="3"/>
      <c r="R76" s="98"/>
      <c r="S76" s="101"/>
      <c r="T76" s="102"/>
      <c r="U76" s="94"/>
      <c r="V76" s="95"/>
      <c r="W76" s="104"/>
      <c r="X76" s="103"/>
      <c r="Y76" s="103"/>
      <c r="Z76" s="103"/>
      <c r="AA76" s="99"/>
    </row>
    <row r="77" spans="2:29" ht="3" customHeight="1" x14ac:dyDescent="0.25">
      <c r="B77" s="96"/>
      <c r="C77" s="3"/>
      <c r="E77" s="66"/>
      <c r="F77" s="65"/>
      <c r="G77" s="64"/>
      <c r="H77" s="66"/>
      <c r="I77" s="64"/>
      <c r="J77" s="65"/>
      <c r="K77" s="64"/>
      <c r="L77" s="65"/>
      <c r="M77" s="64"/>
      <c r="N77" s="66"/>
      <c r="O77" s="64"/>
      <c r="P77" s="66"/>
      <c r="R77" s="100" t="str">
        <f>IF(R74="甲","",IF(OR(S74=0,S74="")=TRUE,"",IF(S74="入力ｴﾗｰ","","乙")))</f>
        <v/>
      </c>
      <c r="S77" s="101"/>
      <c r="U77" s="94"/>
      <c r="V77" s="95"/>
      <c r="W77" s="104"/>
      <c r="X77" s="103"/>
      <c r="Y77" s="103"/>
      <c r="Z77" s="103"/>
      <c r="AA77" s="99"/>
    </row>
    <row r="78" spans="2:29" ht="3" customHeight="1" x14ac:dyDescent="0.25">
      <c r="B78" s="96"/>
      <c r="C78" s="3"/>
      <c r="F78" s="2"/>
      <c r="G78" s="3"/>
      <c r="I78" s="3"/>
      <c r="J78" s="2"/>
      <c r="K78" s="3"/>
      <c r="L78" s="2"/>
      <c r="M78" s="3"/>
      <c r="O78" s="3"/>
      <c r="R78" s="100"/>
      <c r="S78" s="101"/>
      <c r="U78" s="94"/>
      <c r="V78" s="95"/>
      <c r="W78" s="104"/>
      <c r="X78" s="103"/>
      <c r="Y78" s="103"/>
      <c r="Z78" s="103"/>
      <c r="AA78" s="99"/>
    </row>
    <row r="79" spans="2:29" ht="15" customHeight="1" x14ac:dyDescent="0.25">
      <c r="B79" s="96"/>
      <c r="C79" s="3"/>
      <c r="G79" s="18"/>
      <c r="H79" s="13" t="str">
        <f>IF(I79="","",IF(I79=0,"","L="))</f>
        <v/>
      </c>
      <c r="I79" s="97"/>
      <c r="J79" s="97"/>
      <c r="K79" s="14" t="str">
        <f>IF(I79="","",IF(I79=0,"","m"))</f>
        <v/>
      </c>
      <c r="N79" s="13" t="str">
        <f>IF(O79="","",IF(O79=0,"","L="))</f>
        <v/>
      </c>
      <c r="O79" s="97"/>
      <c r="P79" s="97"/>
      <c r="Q79" s="14" t="str">
        <f>IF(O79="","",IF(O79=0,"","m"))</f>
        <v/>
      </c>
      <c r="R79" s="100"/>
      <c r="S79" s="101"/>
      <c r="U79" s="94"/>
      <c r="V79" s="95"/>
      <c r="W79" s="104"/>
      <c r="X79" s="103"/>
      <c r="Y79" s="103"/>
      <c r="Z79" s="103"/>
      <c r="AA79" s="99"/>
      <c r="AC79" s="1">
        <f>IF(U74="",0,IF(U74&gt;SUM(W74:AA79),U74-SUM(W74:AA79),0))</f>
        <v>0</v>
      </c>
    </row>
    <row r="80" spans="2:29" ht="6" customHeight="1" x14ac:dyDescent="0.2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6"/>
      <c r="T80" s="16"/>
      <c r="U80" s="15"/>
      <c r="V80" s="78"/>
      <c r="W80" s="72"/>
      <c r="X80" s="41"/>
      <c r="Y80" s="41"/>
      <c r="Z80" s="41"/>
      <c r="AA80" s="42"/>
    </row>
    <row r="81" spans="2:29" ht="6" customHeight="1" x14ac:dyDescent="0.2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9"/>
      <c r="S81" s="10"/>
      <c r="T81" s="10"/>
      <c r="U81" s="9"/>
      <c r="V81" s="77"/>
      <c r="W81" s="22"/>
      <c r="X81" s="23"/>
      <c r="Y81" s="23"/>
      <c r="Z81" s="23"/>
      <c r="AA81" s="37"/>
    </row>
    <row r="82" spans="2:29" ht="15" customHeight="1" x14ac:dyDescent="0.25">
      <c r="B82" s="96" t="str">
        <f>IF(S82="","",IF(B74="","",1+B74))</f>
        <v/>
      </c>
      <c r="C82" s="3"/>
      <c r="E82" s="13" t="str">
        <f>IF(F82="","",IF(F82=0,"","L="))</f>
        <v/>
      </c>
      <c r="F82" s="97"/>
      <c r="G82" s="97"/>
      <c r="H82" s="14" t="str">
        <f>IF(F82="","",IF(F82=0,"","m"))</f>
        <v/>
      </c>
      <c r="K82" s="13" t="str">
        <f>IF(L82="","",IF(L82=0,"","L="))</f>
        <v/>
      </c>
      <c r="L82" s="97"/>
      <c r="M82" s="97"/>
      <c r="N82" s="14" t="str">
        <f>IF(L82="","",IF(L82=0,"","m"))</f>
        <v/>
      </c>
      <c r="R82" s="98" t="str">
        <f>IF(OR(S82="入力ｴﾗｰ",S82=0,S82="")=TRUE,"",IF(F82="","甲",IF(F82=0,"甲","")))</f>
        <v/>
      </c>
      <c r="S82" s="101" t="str">
        <f>IF((F82+I87+L82+O87)=0,"",IF((F82+I87+L82+O87)&gt;SUM($AC$1:$AC$3),"入力ｴﾗｰ",SUM($AC$1:$AC$3)-(F82+I87+L82+O87)))</f>
        <v/>
      </c>
      <c r="T82" s="102" t="str">
        <f>IF(S82="","",IF(S82="入力ｴﾗｰ","","m"))</f>
        <v/>
      </c>
      <c r="U82" s="94" t="str">
        <f>IF(B82="","",COUNT(F82,I87,L82,O87)-IF(S82=0,1,0)-V82)</f>
        <v/>
      </c>
      <c r="V82" s="95"/>
      <c r="W82" s="104"/>
      <c r="X82" s="103"/>
      <c r="Y82" s="103"/>
      <c r="Z82" s="103"/>
      <c r="AA82" s="99"/>
    </row>
    <row r="83" spans="2:29" ht="3" customHeight="1" x14ac:dyDescent="0.25">
      <c r="B83" s="96"/>
      <c r="C83" s="3"/>
      <c r="G83" s="3"/>
      <c r="I83" s="3"/>
      <c r="J83" s="2"/>
      <c r="K83" s="3"/>
      <c r="L83" s="2"/>
      <c r="M83" s="3"/>
      <c r="O83" s="3"/>
      <c r="R83" s="98"/>
      <c r="S83" s="101"/>
      <c r="T83" s="102"/>
      <c r="U83" s="94"/>
      <c r="V83" s="95"/>
      <c r="W83" s="104"/>
      <c r="X83" s="103"/>
      <c r="Y83" s="103"/>
      <c r="Z83" s="103"/>
      <c r="AA83" s="99"/>
    </row>
    <row r="84" spans="2:29" ht="3" customHeight="1" x14ac:dyDescent="0.25">
      <c r="B84" s="96"/>
      <c r="C84" s="3"/>
      <c r="G84" s="3"/>
      <c r="I84" s="3"/>
      <c r="J84" s="2"/>
      <c r="K84" s="3"/>
      <c r="L84" s="2"/>
      <c r="M84" s="3"/>
      <c r="O84" s="3"/>
      <c r="R84" s="98"/>
      <c r="S84" s="101"/>
      <c r="T84" s="102"/>
      <c r="U84" s="94"/>
      <c r="V84" s="95"/>
      <c r="W84" s="104"/>
      <c r="X84" s="103"/>
      <c r="Y84" s="103"/>
      <c r="Z84" s="103"/>
      <c r="AA84" s="99"/>
    </row>
    <row r="85" spans="2:29" ht="3" customHeight="1" x14ac:dyDescent="0.25">
      <c r="B85" s="96"/>
      <c r="C85" s="3"/>
      <c r="E85" s="66"/>
      <c r="F85" s="65"/>
      <c r="G85" s="64"/>
      <c r="H85" s="66"/>
      <c r="I85" s="64"/>
      <c r="J85" s="65"/>
      <c r="K85" s="64"/>
      <c r="L85" s="65"/>
      <c r="M85" s="64"/>
      <c r="N85" s="66"/>
      <c r="O85" s="64"/>
      <c r="P85" s="66"/>
      <c r="R85" s="100" t="str">
        <f>IF(R82="甲","",IF(OR(S82=0,S82="")=TRUE,"",IF(S82="入力ｴﾗｰ","","乙")))</f>
        <v/>
      </c>
      <c r="S85" s="101"/>
      <c r="U85" s="94"/>
      <c r="V85" s="95"/>
      <c r="W85" s="104"/>
      <c r="X85" s="103"/>
      <c r="Y85" s="103"/>
      <c r="Z85" s="103"/>
      <c r="AA85" s="99"/>
    </row>
    <row r="86" spans="2:29" ht="3" customHeight="1" x14ac:dyDescent="0.25">
      <c r="B86" s="96"/>
      <c r="C86" s="3"/>
      <c r="F86" s="2"/>
      <c r="G86" s="3"/>
      <c r="I86" s="3"/>
      <c r="J86" s="2"/>
      <c r="K86" s="3"/>
      <c r="L86" s="2"/>
      <c r="M86" s="3"/>
      <c r="O86" s="3"/>
      <c r="R86" s="100"/>
      <c r="S86" s="101"/>
      <c r="U86" s="94"/>
      <c r="V86" s="95"/>
      <c r="W86" s="104"/>
      <c r="X86" s="103"/>
      <c r="Y86" s="103"/>
      <c r="Z86" s="103"/>
      <c r="AA86" s="99"/>
    </row>
    <row r="87" spans="2:29" ht="15" customHeight="1" x14ac:dyDescent="0.25">
      <c r="B87" s="96"/>
      <c r="C87" s="3"/>
      <c r="G87" s="18"/>
      <c r="H87" s="13" t="str">
        <f>IF(I87="","",IF(I87=0,"","L="))</f>
        <v/>
      </c>
      <c r="I87" s="97"/>
      <c r="J87" s="97"/>
      <c r="K87" s="14" t="str">
        <f>IF(I87="","",IF(I87=0,"","m"))</f>
        <v/>
      </c>
      <c r="N87" s="13" t="str">
        <f>IF(O87="","",IF(O87=0,"","L="))</f>
        <v/>
      </c>
      <c r="O87" s="97"/>
      <c r="P87" s="97"/>
      <c r="Q87" s="14" t="str">
        <f>IF(O87="","",IF(O87=0,"","m"))</f>
        <v/>
      </c>
      <c r="R87" s="100"/>
      <c r="S87" s="101"/>
      <c r="U87" s="94"/>
      <c r="V87" s="95"/>
      <c r="W87" s="104"/>
      <c r="X87" s="103"/>
      <c r="Y87" s="103"/>
      <c r="Z87" s="103"/>
      <c r="AA87" s="99"/>
      <c r="AC87" s="1">
        <f>IF(U82="",0,IF(U82&gt;SUM(W82:AA87),U82-SUM(W82:AA87),0))</f>
        <v>0</v>
      </c>
    </row>
    <row r="88" spans="2:29" ht="6" customHeight="1" x14ac:dyDescent="0.2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6"/>
      <c r="T88" s="16"/>
      <c r="U88" s="15"/>
      <c r="V88" s="78"/>
      <c r="W88" s="72"/>
      <c r="X88" s="41"/>
      <c r="Y88" s="41"/>
      <c r="Z88" s="41"/>
      <c r="AA88" s="42"/>
    </row>
    <row r="89" spans="2:29" ht="6" customHeight="1" x14ac:dyDescent="0.2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9"/>
      <c r="S89" s="10"/>
      <c r="T89" s="10"/>
      <c r="U89" s="9"/>
      <c r="V89" s="77"/>
      <c r="W89" s="22"/>
      <c r="X89" s="23"/>
      <c r="Y89" s="23"/>
      <c r="Z89" s="23"/>
      <c r="AA89" s="37"/>
    </row>
    <row r="90" spans="2:29" ht="15" customHeight="1" x14ac:dyDescent="0.25">
      <c r="B90" s="96" t="str">
        <f>IF(S90="","",IF(B82="","",1+B82))</f>
        <v/>
      </c>
      <c r="C90" s="3"/>
      <c r="E90" s="13" t="str">
        <f>IF(F90="","",IF(F90=0,"","L="))</f>
        <v/>
      </c>
      <c r="F90" s="97"/>
      <c r="G90" s="97"/>
      <c r="H90" s="14" t="str">
        <f>IF(F90="","",IF(F90=0,"","m"))</f>
        <v/>
      </c>
      <c r="K90" s="13" t="str">
        <f>IF(L90="","",IF(L90=0,"","L="))</f>
        <v/>
      </c>
      <c r="L90" s="97"/>
      <c r="M90" s="97"/>
      <c r="N90" s="14" t="str">
        <f>IF(L90="","",IF(L90=0,"","m"))</f>
        <v/>
      </c>
      <c r="R90" s="98" t="str">
        <f>IF(OR(S90="入力ｴﾗｰ",S90=0,S90="")=TRUE,"",IF(F90="","甲",IF(F90=0,"甲","")))</f>
        <v/>
      </c>
      <c r="S90" s="101" t="str">
        <f>IF((F90+I95+L90+O95)=0,"",IF((F90+I95+L90+O95)&gt;SUM($AC$1:$AC$3),"入力ｴﾗｰ",SUM($AC$1:$AC$3)-(F90+I95+L90+O95)))</f>
        <v/>
      </c>
      <c r="T90" s="102" t="str">
        <f>IF(S90="","",IF(S90="入力ｴﾗｰ","","m"))</f>
        <v/>
      </c>
      <c r="U90" s="94" t="str">
        <f>IF(B90="","",COUNT(F90,I95,L90,O95)-IF(S90=0,1,0)-V90)</f>
        <v/>
      </c>
      <c r="V90" s="95"/>
      <c r="W90" s="104"/>
      <c r="X90" s="103"/>
      <c r="Y90" s="103"/>
      <c r="Z90" s="103"/>
      <c r="AA90" s="99"/>
    </row>
    <row r="91" spans="2:29" ht="3" customHeight="1" x14ac:dyDescent="0.25">
      <c r="B91" s="96"/>
      <c r="C91" s="3"/>
      <c r="G91" s="3"/>
      <c r="I91" s="3"/>
      <c r="J91" s="2"/>
      <c r="K91" s="3"/>
      <c r="L91" s="2"/>
      <c r="M91" s="3"/>
      <c r="O91" s="3"/>
      <c r="R91" s="98"/>
      <c r="S91" s="101"/>
      <c r="T91" s="102"/>
      <c r="U91" s="94"/>
      <c r="V91" s="95"/>
      <c r="W91" s="104"/>
      <c r="X91" s="103"/>
      <c r="Y91" s="103"/>
      <c r="Z91" s="103"/>
      <c r="AA91" s="99"/>
    </row>
    <row r="92" spans="2:29" ht="3" customHeight="1" x14ac:dyDescent="0.25">
      <c r="B92" s="96"/>
      <c r="C92" s="3"/>
      <c r="G92" s="3"/>
      <c r="I92" s="3"/>
      <c r="J92" s="2"/>
      <c r="K92" s="3"/>
      <c r="L92" s="2"/>
      <c r="M92" s="3"/>
      <c r="O92" s="3"/>
      <c r="R92" s="98"/>
      <c r="S92" s="101"/>
      <c r="T92" s="102"/>
      <c r="U92" s="94"/>
      <c r="V92" s="95"/>
      <c r="W92" s="104"/>
      <c r="X92" s="103"/>
      <c r="Y92" s="103"/>
      <c r="Z92" s="103"/>
      <c r="AA92" s="99"/>
    </row>
    <row r="93" spans="2:29" ht="3" customHeight="1" x14ac:dyDescent="0.25">
      <c r="B93" s="96"/>
      <c r="C93" s="3"/>
      <c r="E93" s="66"/>
      <c r="F93" s="65"/>
      <c r="G93" s="64"/>
      <c r="H93" s="66"/>
      <c r="I93" s="64"/>
      <c r="J93" s="65"/>
      <c r="K93" s="64"/>
      <c r="L93" s="65"/>
      <c r="M93" s="64"/>
      <c r="N93" s="66"/>
      <c r="O93" s="64"/>
      <c r="P93" s="66"/>
      <c r="R93" s="100" t="str">
        <f>IF(R90="甲","",IF(OR(S90=0,S90="")=TRUE,"",IF(S90="入力ｴﾗｰ","","乙")))</f>
        <v/>
      </c>
      <c r="S93" s="101"/>
      <c r="U93" s="94"/>
      <c r="V93" s="95"/>
      <c r="W93" s="104"/>
      <c r="X93" s="103"/>
      <c r="Y93" s="103"/>
      <c r="Z93" s="103"/>
      <c r="AA93" s="99"/>
    </row>
    <row r="94" spans="2:29" ht="3" customHeight="1" x14ac:dyDescent="0.25">
      <c r="B94" s="96"/>
      <c r="C94" s="3"/>
      <c r="F94" s="2"/>
      <c r="G94" s="3"/>
      <c r="I94" s="3"/>
      <c r="J94" s="2"/>
      <c r="K94" s="3"/>
      <c r="L94" s="2"/>
      <c r="M94" s="3"/>
      <c r="O94" s="3"/>
      <c r="R94" s="100"/>
      <c r="S94" s="101"/>
      <c r="U94" s="94"/>
      <c r="V94" s="95"/>
      <c r="W94" s="104"/>
      <c r="X94" s="103"/>
      <c r="Y94" s="103"/>
      <c r="Z94" s="103"/>
      <c r="AA94" s="99"/>
    </row>
    <row r="95" spans="2:29" ht="15" customHeight="1" x14ac:dyDescent="0.25">
      <c r="B95" s="96"/>
      <c r="C95" s="3"/>
      <c r="G95" s="18"/>
      <c r="H95" s="13" t="str">
        <f>IF(I95="","",IF(I95=0,"","L="))</f>
        <v/>
      </c>
      <c r="I95" s="97"/>
      <c r="J95" s="97"/>
      <c r="K95" s="14" t="str">
        <f>IF(I95="","",IF(I95=0,"","m"))</f>
        <v/>
      </c>
      <c r="N95" s="13" t="str">
        <f>IF(O95="","",IF(O95=0,"","L="))</f>
        <v/>
      </c>
      <c r="O95" s="97"/>
      <c r="P95" s="97"/>
      <c r="Q95" s="14" t="str">
        <f>IF(O95="","",IF(O95=0,"","m"))</f>
        <v/>
      </c>
      <c r="R95" s="100"/>
      <c r="S95" s="101"/>
      <c r="U95" s="94"/>
      <c r="V95" s="95"/>
      <c r="W95" s="104"/>
      <c r="X95" s="103"/>
      <c r="Y95" s="103"/>
      <c r="Z95" s="103"/>
      <c r="AA95" s="99"/>
      <c r="AC95" s="1">
        <f>IF(U90="",0,IF(U90&gt;SUM(W90:AA95),U90-SUM(W90:AA95),0))</f>
        <v>0</v>
      </c>
    </row>
    <row r="96" spans="2:29" ht="6" customHeight="1" x14ac:dyDescent="0.2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6"/>
      <c r="T96" s="16"/>
      <c r="U96" s="15"/>
      <c r="V96" s="78"/>
      <c r="W96" s="72"/>
      <c r="X96" s="41"/>
      <c r="Y96" s="41"/>
      <c r="Z96" s="41"/>
      <c r="AA96" s="42"/>
    </row>
    <row r="97" spans="2:29" ht="6" customHeight="1" x14ac:dyDescent="0.2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10"/>
      <c r="T97" s="10"/>
      <c r="U97" s="9"/>
      <c r="V97" s="77"/>
      <c r="W97" s="22"/>
      <c r="X97" s="23"/>
      <c r="Y97" s="23"/>
      <c r="Z97" s="23"/>
      <c r="AA97" s="37"/>
    </row>
    <row r="98" spans="2:29" ht="15" customHeight="1" x14ac:dyDescent="0.25">
      <c r="B98" s="96" t="str">
        <f>IF(S98="","",IF(B90="","",1+B90))</f>
        <v/>
      </c>
      <c r="C98" s="3"/>
      <c r="E98" s="13" t="str">
        <f>IF(F98="","",IF(F98=0,"","L="))</f>
        <v/>
      </c>
      <c r="F98" s="97"/>
      <c r="G98" s="97"/>
      <c r="H98" s="14" t="str">
        <f>IF(F98="","",IF(F98=0,"","m"))</f>
        <v/>
      </c>
      <c r="K98" s="13" t="str">
        <f>IF(L98="","",IF(L98=0,"","L="))</f>
        <v/>
      </c>
      <c r="L98" s="97"/>
      <c r="M98" s="97"/>
      <c r="N98" s="14" t="str">
        <f>IF(L98="","",IF(L98=0,"","m"))</f>
        <v/>
      </c>
      <c r="R98" s="98" t="str">
        <f>IF(OR(S98="入力ｴﾗｰ",S98=0,S98="")=TRUE,"",IF(F98="","甲",IF(F98=0,"甲","")))</f>
        <v/>
      </c>
      <c r="S98" s="101" t="str">
        <f>IF((F98+I103+L98+O103)=0,"",IF((F98+I103+L98+O103)&gt;SUM($AC$1:$AC$3),"入力ｴﾗｰ",SUM($AC$1:$AC$3)-(F98+I103+L98+O103)))</f>
        <v/>
      </c>
      <c r="T98" s="102" t="str">
        <f>IF(S98="","",IF(S98="入力ｴﾗｰ","","m"))</f>
        <v/>
      </c>
      <c r="U98" s="94" t="str">
        <f>IF(B98="","",COUNT(F98,I103,L98,O103)-IF(S98=0,1,0)-V98)</f>
        <v/>
      </c>
      <c r="V98" s="95"/>
      <c r="W98" s="104"/>
      <c r="X98" s="103"/>
      <c r="Y98" s="103"/>
      <c r="Z98" s="103"/>
      <c r="AA98" s="99"/>
    </row>
    <row r="99" spans="2:29" ht="3" customHeight="1" x14ac:dyDescent="0.25">
      <c r="B99" s="96"/>
      <c r="C99" s="3"/>
      <c r="G99" s="3"/>
      <c r="I99" s="3"/>
      <c r="J99" s="2"/>
      <c r="K99" s="3"/>
      <c r="L99" s="2"/>
      <c r="M99" s="3"/>
      <c r="O99" s="3"/>
      <c r="R99" s="98"/>
      <c r="S99" s="101"/>
      <c r="T99" s="102"/>
      <c r="U99" s="94"/>
      <c r="V99" s="95"/>
      <c r="W99" s="104"/>
      <c r="X99" s="103"/>
      <c r="Y99" s="103"/>
      <c r="Z99" s="103"/>
      <c r="AA99" s="99"/>
    </row>
    <row r="100" spans="2:29" ht="3" customHeight="1" x14ac:dyDescent="0.25">
      <c r="B100" s="96"/>
      <c r="C100" s="3"/>
      <c r="G100" s="3"/>
      <c r="I100" s="3"/>
      <c r="J100" s="2"/>
      <c r="K100" s="3"/>
      <c r="L100" s="2"/>
      <c r="M100" s="3"/>
      <c r="O100" s="3"/>
      <c r="R100" s="98"/>
      <c r="S100" s="101"/>
      <c r="T100" s="102"/>
      <c r="U100" s="94"/>
      <c r="V100" s="95"/>
      <c r="W100" s="104"/>
      <c r="X100" s="103"/>
      <c r="Y100" s="103"/>
      <c r="Z100" s="103"/>
      <c r="AA100" s="99"/>
    </row>
    <row r="101" spans="2:29" ht="3" customHeight="1" x14ac:dyDescent="0.25">
      <c r="B101" s="96"/>
      <c r="C101" s="3"/>
      <c r="E101" s="66"/>
      <c r="F101" s="65"/>
      <c r="G101" s="64"/>
      <c r="H101" s="66"/>
      <c r="I101" s="64"/>
      <c r="J101" s="65"/>
      <c r="K101" s="64"/>
      <c r="L101" s="65"/>
      <c r="M101" s="64"/>
      <c r="N101" s="66"/>
      <c r="O101" s="64"/>
      <c r="P101" s="66"/>
      <c r="R101" s="100" t="str">
        <f>IF(R98="甲","",IF(OR(S98=0,S98="")=TRUE,"",IF(S98="入力ｴﾗｰ","","乙")))</f>
        <v/>
      </c>
      <c r="S101" s="101"/>
      <c r="U101" s="94"/>
      <c r="V101" s="95"/>
      <c r="W101" s="104"/>
      <c r="X101" s="103"/>
      <c r="Y101" s="103"/>
      <c r="Z101" s="103"/>
      <c r="AA101" s="99"/>
    </row>
    <row r="102" spans="2:29" ht="3" customHeight="1" x14ac:dyDescent="0.25">
      <c r="B102" s="96"/>
      <c r="C102" s="3"/>
      <c r="F102" s="2"/>
      <c r="G102" s="3"/>
      <c r="I102" s="3"/>
      <c r="J102" s="2"/>
      <c r="K102" s="3"/>
      <c r="L102" s="2"/>
      <c r="M102" s="3"/>
      <c r="O102" s="3"/>
      <c r="R102" s="100"/>
      <c r="S102" s="101"/>
      <c r="U102" s="94"/>
      <c r="V102" s="95"/>
      <c r="W102" s="104"/>
      <c r="X102" s="103"/>
      <c r="Y102" s="103"/>
      <c r="Z102" s="103"/>
      <c r="AA102" s="99"/>
    </row>
    <row r="103" spans="2:29" ht="15" customHeight="1" x14ac:dyDescent="0.25">
      <c r="B103" s="96"/>
      <c r="C103" s="3"/>
      <c r="G103" s="18"/>
      <c r="H103" s="13" t="str">
        <f>IF(I103="","",IF(I103=0,"","L="))</f>
        <v/>
      </c>
      <c r="I103" s="97"/>
      <c r="J103" s="97"/>
      <c r="K103" s="14" t="str">
        <f>IF(I103="","",IF(I103=0,"","m"))</f>
        <v/>
      </c>
      <c r="N103" s="13" t="str">
        <f>IF(O103="","",IF(O103=0,"","L="))</f>
        <v/>
      </c>
      <c r="O103" s="97"/>
      <c r="P103" s="97"/>
      <c r="Q103" s="14" t="str">
        <f>IF(O103="","",IF(O103=0,"","m"))</f>
        <v/>
      </c>
      <c r="R103" s="100"/>
      <c r="S103" s="101"/>
      <c r="U103" s="94"/>
      <c r="V103" s="95"/>
      <c r="W103" s="104"/>
      <c r="X103" s="103"/>
      <c r="Y103" s="103"/>
      <c r="Z103" s="103"/>
      <c r="AA103" s="99"/>
      <c r="AC103" s="1">
        <f>IF(U98="",0,IF(U98&gt;SUM(W98:AA103),U98-SUM(W98:AA103),0))</f>
        <v>0</v>
      </c>
    </row>
    <row r="104" spans="2:29" ht="6" customHeight="1" x14ac:dyDescent="0.2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6"/>
      <c r="T104" s="16"/>
      <c r="U104" s="15"/>
      <c r="V104" s="78"/>
      <c r="W104" s="72"/>
      <c r="X104" s="41"/>
      <c r="Y104" s="41"/>
      <c r="Z104" s="41"/>
      <c r="AA104" s="42"/>
    </row>
    <row r="105" spans="2:29" ht="6" customHeight="1" x14ac:dyDescent="0.2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  <c r="S105" s="10"/>
      <c r="T105" s="10"/>
      <c r="U105" s="9"/>
      <c r="V105" s="77"/>
      <c r="W105" s="22"/>
      <c r="X105" s="23"/>
      <c r="Y105" s="23"/>
      <c r="Z105" s="23"/>
      <c r="AA105" s="37"/>
    </row>
    <row r="106" spans="2:29" ht="15" customHeight="1" x14ac:dyDescent="0.25">
      <c r="B106" s="96" t="str">
        <f>IF(S106="","",IF(B98="","",1+B98))</f>
        <v/>
      </c>
      <c r="C106" s="3"/>
      <c r="E106" s="13" t="str">
        <f>IF(F106="","",IF(F106=0,"","L="))</f>
        <v/>
      </c>
      <c r="F106" s="97"/>
      <c r="G106" s="97"/>
      <c r="H106" s="14" t="str">
        <f>IF(F106="","",IF(F106=0,"","m"))</f>
        <v/>
      </c>
      <c r="K106" s="13" t="str">
        <f>IF(L106="","",IF(L106=0,"","L="))</f>
        <v/>
      </c>
      <c r="L106" s="97"/>
      <c r="M106" s="97"/>
      <c r="N106" s="14" t="str">
        <f>IF(L106="","",IF(L106=0,"","m"))</f>
        <v/>
      </c>
      <c r="R106" s="98" t="str">
        <f>IF(OR(S106="入力ｴﾗｰ",S106=0,S106="")=TRUE,"",IF(F106="","甲",IF(F106=0,"甲","")))</f>
        <v/>
      </c>
      <c r="S106" s="101" t="str">
        <f>IF((F106+I111+L106+O111)=0,"",IF((F106+I111+L106+O111)&gt;SUM($AC$1:$AC$3),"入力ｴﾗｰ",SUM($AC$1:$AC$3)-(F106+I111+L106+O111)))</f>
        <v/>
      </c>
      <c r="T106" s="102" t="str">
        <f>IF(S106="","",IF(S106="入力ｴﾗｰ","","m"))</f>
        <v/>
      </c>
      <c r="U106" s="94" t="str">
        <f>IF(B106="","",COUNT(F106,I111,L106,O111)-IF(S106=0,1,0)-V106)</f>
        <v/>
      </c>
      <c r="V106" s="95"/>
      <c r="W106" s="104"/>
      <c r="X106" s="103"/>
      <c r="Y106" s="103"/>
      <c r="Z106" s="103"/>
      <c r="AA106" s="99"/>
    </row>
    <row r="107" spans="2:29" ht="3" customHeight="1" x14ac:dyDescent="0.25">
      <c r="B107" s="96"/>
      <c r="C107" s="3"/>
      <c r="G107" s="3"/>
      <c r="I107" s="3"/>
      <c r="J107" s="2"/>
      <c r="K107" s="3"/>
      <c r="L107" s="2"/>
      <c r="M107" s="3"/>
      <c r="O107" s="3"/>
      <c r="R107" s="98"/>
      <c r="S107" s="101"/>
      <c r="T107" s="102"/>
      <c r="U107" s="94"/>
      <c r="V107" s="95"/>
      <c r="W107" s="104"/>
      <c r="X107" s="103"/>
      <c r="Y107" s="103"/>
      <c r="Z107" s="103"/>
      <c r="AA107" s="99"/>
    </row>
    <row r="108" spans="2:29" ht="3" customHeight="1" x14ac:dyDescent="0.25">
      <c r="B108" s="96"/>
      <c r="C108" s="3"/>
      <c r="G108" s="3"/>
      <c r="I108" s="3"/>
      <c r="J108" s="2"/>
      <c r="K108" s="3"/>
      <c r="L108" s="2"/>
      <c r="M108" s="3"/>
      <c r="O108" s="3"/>
      <c r="R108" s="98"/>
      <c r="S108" s="101"/>
      <c r="T108" s="102"/>
      <c r="U108" s="94"/>
      <c r="V108" s="95"/>
      <c r="W108" s="104"/>
      <c r="X108" s="103"/>
      <c r="Y108" s="103"/>
      <c r="Z108" s="103"/>
      <c r="AA108" s="99"/>
    </row>
    <row r="109" spans="2:29" ht="3" customHeight="1" x14ac:dyDescent="0.25">
      <c r="B109" s="96"/>
      <c r="C109" s="3"/>
      <c r="E109" s="66"/>
      <c r="F109" s="65"/>
      <c r="G109" s="64"/>
      <c r="H109" s="66"/>
      <c r="I109" s="64"/>
      <c r="J109" s="65"/>
      <c r="K109" s="64"/>
      <c r="L109" s="65"/>
      <c r="M109" s="64"/>
      <c r="N109" s="66"/>
      <c r="O109" s="64"/>
      <c r="P109" s="66"/>
      <c r="R109" s="100" t="str">
        <f>IF(R106="甲","",IF(OR(S106=0,S106="")=TRUE,"",IF(S106="入力ｴﾗｰ","","乙")))</f>
        <v/>
      </c>
      <c r="S109" s="101"/>
      <c r="U109" s="94"/>
      <c r="V109" s="95"/>
      <c r="W109" s="104"/>
      <c r="X109" s="103"/>
      <c r="Y109" s="103"/>
      <c r="Z109" s="103"/>
      <c r="AA109" s="99"/>
    </row>
    <row r="110" spans="2:29" ht="3" customHeight="1" x14ac:dyDescent="0.25">
      <c r="B110" s="96"/>
      <c r="C110" s="3"/>
      <c r="F110" s="2"/>
      <c r="G110" s="3"/>
      <c r="I110" s="3"/>
      <c r="J110" s="2"/>
      <c r="K110" s="3"/>
      <c r="L110" s="2"/>
      <c r="M110" s="3"/>
      <c r="O110" s="3"/>
      <c r="R110" s="100"/>
      <c r="S110" s="101"/>
      <c r="U110" s="94"/>
      <c r="V110" s="95"/>
      <c r="W110" s="104"/>
      <c r="X110" s="103"/>
      <c r="Y110" s="103"/>
      <c r="Z110" s="103"/>
      <c r="AA110" s="99"/>
    </row>
    <row r="111" spans="2:29" ht="15" customHeight="1" x14ac:dyDescent="0.25">
      <c r="B111" s="96"/>
      <c r="C111" s="3"/>
      <c r="G111" s="18"/>
      <c r="H111" s="13" t="str">
        <f>IF(I111="","",IF(I111=0,"","L="))</f>
        <v/>
      </c>
      <c r="I111" s="97"/>
      <c r="J111" s="97"/>
      <c r="K111" s="14" t="str">
        <f>IF(I111="","",IF(I111=0,"","m"))</f>
        <v/>
      </c>
      <c r="N111" s="13" t="str">
        <f>IF(O111="","",IF(O111=0,"","L="))</f>
        <v/>
      </c>
      <c r="O111" s="97"/>
      <c r="P111" s="97"/>
      <c r="Q111" s="14" t="str">
        <f>IF(O111="","",IF(O111=0,"","m"))</f>
        <v/>
      </c>
      <c r="R111" s="100"/>
      <c r="S111" s="101"/>
      <c r="U111" s="94"/>
      <c r="V111" s="95"/>
      <c r="W111" s="104"/>
      <c r="X111" s="103"/>
      <c r="Y111" s="103"/>
      <c r="Z111" s="103"/>
      <c r="AA111" s="99"/>
      <c r="AC111" s="1">
        <f>IF(U106="",0,IF(U106&gt;SUM(W106:AA111),U106-SUM(W106:AA111),0))</f>
        <v>0</v>
      </c>
    </row>
    <row r="112" spans="2:29" ht="6" customHeight="1" x14ac:dyDescent="0.2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5"/>
      <c r="S112" s="16"/>
      <c r="T112" s="16"/>
      <c r="U112" s="15"/>
      <c r="V112" s="78"/>
      <c r="W112" s="72"/>
      <c r="X112" s="41"/>
      <c r="Y112" s="41"/>
      <c r="Z112" s="41"/>
      <c r="AA112" s="42"/>
    </row>
    <row r="113" spans="2:29" ht="15" customHeight="1" x14ac:dyDescent="0.25">
      <c r="B113" s="84" t="s">
        <v>17</v>
      </c>
      <c r="C113" s="85"/>
      <c r="D113" s="85"/>
      <c r="E113" s="85"/>
      <c r="F113" s="86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77"/>
      <c r="W113" s="22"/>
      <c r="X113" s="23"/>
      <c r="Y113" s="23"/>
      <c r="Z113" s="23"/>
      <c r="AA113" s="37"/>
    </row>
    <row r="114" spans="2:29" ht="30" customHeight="1" thickBot="1" x14ac:dyDescent="0.3">
      <c r="B114" s="87"/>
      <c r="C114" s="88"/>
      <c r="D114" s="88"/>
      <c r="E114" s="88"/>
      <c r="F114" s="89"/>
      <c r="G114" s="25" t="str">
        <f>U2</f>
        <v>K</v>
      </c>
      <c r="H114" s="88">
        <f>Y2</f>
        <v>300</v>
      </c>
      <c r="I114" s="88"/>
      <c r="J114" s="89"/>
      <c r="K114" s="90">
        <f>IF(B10="",0,LARGE(B10:B111,1))</f>
        <v>0</v>
      </c>
      <c r="L114" s="91"/>
      <c r="M114" s="21"/>
      <c r="N114" s="25"/>
      <c r="O114" s="20"/>
      <c r="P114" s="20"/>
      <c r="Q114" s="21"/>
      <c r="R114" s="92">
        <f>SUM(S10:S111)</f>
        <v>0</v>
      </c>
      <c r="S114" s="93"/>
      <c r="T114" s="20"/>
      <c r="U114" s="51">
        <f t="shared" ref="U114:AA114" si="0">SUM(U10:U111)</f>
        <v>0</v>
      </c>
      <c r="V114" s="79">
        <f t="shared" si="0"/>
        <v>0</v>
      </c>
      <c r="W114" s="73">
        <f t="shared" si="0"/>
        <v>0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C1:Q1"/>
    <mergeCell ref="U2:V3"/>
    <mergeCell ref="Y2:Z3"/>
    <mergeCell ref="B7:B8"/>
    <mergeCell ref="C7:Q8"/>
    <mergeCell ref="R7:T8"/>
    <mergeCell ref="AA10:AA15"/>
    <mergeCell ref="R13:R15"/>
    <mergeCell ref="I15:J15"/>
    <mergeCell ref="O15:P15"/>
    <mergeCell ref="X10:X15"/>
    <mergeCell ref="Y10:Y15"/>
    <mergeCell ref="Z10:Z15"/>
    <mergeCell ref="U7:V7"/>
    <mergeCell ref="W7:AA7"/>
    <mergeCell ref="F18:G18"/>
    <mergeCell ref="L18:M18"/>
    <mergeCell ref="R18:R20"/>
    <mergeCell ref="S18:S23"/>
    <mergeCell ref="T18:T20"/>
    <mergeCell ref="U10:U15"/>
    <mergeCell ref="V10:V15"/>
    <mergeCell ref="W10:W15"/>
    <mergeCell ref="B10:B15"/>
    <mergeCell ref="F10:G10"/>
    <mergeCell ref="L10:M10"/>
    <mergeCell ref="R10:R12"/>
    <mergeCell ref="S10:S15"/>
    <mergeCell ref="T10:T12"/>
    <mergeCell ref="AA18:AA23"/>
    <mergeCell ref="R21:R23"/>
    <mergeCell ref="I23:J23"/>
    <mergeCell ref="O23:P23"/>
    <mergeCell ref="B26:B31"/>
    <mergeCell ref="F26:G26"/>
    <mergeCell ref="L26:M26"/>
    <mergeCell ref="R26:R28"/>
    <mergeCell ref="S26:S31"/>
    <mergeCell ref="T26:T28"/>
    <mergeCell ref="U18:U23"/>
    <mergeCell ref="V18:V23"/>
    <mergeCell ref="W18:W23"/>
    <mergeCell ref="X18:X23"/>
    <mergeCell ref="Y18:Y23"/>
    <mergeCell ref="Z18:Z23"/>
    <mergeCell ref="AA26:AA31"/>
    <mergeCell ref="R29:R31"/>
    <mergeCell ref="I31:J31"/>
    <mergeCell ref="O31:P31"/>
    <mergeCell ref="X26:X31"/>
    <mergeCell ref="Y26:Y31"/>
    <mergeCell ref="Z26:Z31"/>
    <mergeCell ref="B18:B23"/>
    <mergeCell ref="F34:G34"/>
    <mergeCell ref="L34:M34"/>
    <mergeCell ref="R34:R36"/>
    <mergeCell ref="S34:S39"/>
    <mergeCell ref="T34:T36"/>
    <mergeCell ref="U26:U31"/>
    <mergeCell ref="V26:V31"/>
    <mergeCell ref="W26:W31"/>
    <mergeCell ref="U42:U47"/>
    <mergeCell ref="V42:V47"/>
    <mergeCell ref="W42:W47"/>
    <mergeCell ref="AA34:AA39"/>
    <mergeCell ref="R37:R39"/>
    <mergeCell ref="I39:J39"/>
    <mergeCell ref="O39:P39"/>
    <mergeCell ref="B42:B47"/>
    <mergeCell ref="F42:G42"/>
    <mergeCell ref="L42:M42"/>
    <mergeCell ref="R42:R44"/>
    <mergeCell ref="S42:S47"/>
    <mergeCell ref="T42:T44"/>
    <mergeCell ref="U34:U39"/>
    <mergeCell ref="V34:V39"/>
    <mergeCell ref="W34:W39"/>
    <mergeCell ref="X34:X39"/>
    <mergeCell ref="Y34:Y39"/>
    <mergeCell ref="Z34:Z39"/>
    <mergeCell ref="AA42:AA47"/>
    <mergeCell ref="R45:R47"/>
    <mergeCell ref="I47:J47"/>
    <mergeCell ref="O47:P47"/>
    <mergeCell ref="X42:X47"/>
    <mergeCell ref="Y42:Y47"/>
    <mergeCell ref="Z42:Z47"/>
    <mergeCell ref="B34:B39"/>
    <mergeCell ref="B58:B63"/>
    <mergeCell ref="F58:G58"/>
    <mergeCell ref="L58:M58"/>
    <mergeCell ref="R58:R60"/>
    <mergeCell ref="S58:S63"/>
    <mergeCell ref="T58:T60"/>
    <mergeCell ref="U50:U55"/>
    <mergeCell ref="V50:V55"/>
    <mergeCell ref="W50:W55"/>
    <mergeCell ref="R61:R63"/>
    <mergeCell ref="I63:J63"/>
    <mergeCell ref="O63:P63"/>
    <mergeCell ref="B50:B55"/>
    <mergeCell ref="F50:G50"/>
    <mergeCell ref="L50:M50"/>
    <mergeCell ref="R50:R52"/>
    <mergeCell ref="S50:S55"/>
    <mergeCell ref="T50:T52"/>
    <mergeCell ref="U58:U63"/>
    <mergeCell ref="V58:V63"/>
    <mergeCell ref="W58:W63"/>
    <mergeCell ref="AA50:AA55"/>
    <mergeCell ref="R53:R55"/>
    <mergeCell ref="I55:J55"/>
    <mergeCell ref="O55:P55"/>
    <mergeCell ref="X50:X55"/>
    <mergeCell ref="Y50:Y55"/>
    <mergeCell ref="Z50:Z55"/>
    <mergeCell ref="AA58:AA63"/>
    <mergeCell ref="X58:X63"/>
    <mergeCell ref="Y58:Y63"/>
    <mergeCell ref="Z58:Z63"/>
    <mergeCell ref="B74:B79"/>
    <mergeCell ref="F74:G74"/>
    <mergeCell ref="L74:M74"/>
    <mergeCell ref="R74:R76"/>
    <mergeCell ref="S74:S79"/>
    <mergeCell ref="T74:T76"/>
    <mergeCell ref="U66:U71"/>
    <mergeCell ref="V66:V71"/>
    <mergeCell ref="W66:W71"/>
    <mergeCell ref="B66:B71"/>
    <mergeCell ref="F66:G66"/>
    <mergeCell ref="L66:M66"/>
    <mergeCell ref="R66:R68"/>
    <mergeCell ref="S66:S71"/>
    <mergeCell ref="T66:T68"/>
    <mergeCell ref="R69:R71"/>
    <mergeCell ref="I71:J71"/>
    <mergeCell ref="O71:P71"/>
    <mergeCell ref="Y66:Y71"/>
    <mergeCell ref="Z66:Z71"/>
    <mergeCell ref="AA74:AA79"/>
    <mergeCell ref="R77:R79"/>
    <mergeCell ref="I79:J79"/>
    <mergeCell ref="O79:P79"/>
    <mergeCell ref="X74:X79"/>
    <mergeCell ref="Y74:Y79"/>
    <mergeCell ref="Z74:Z79"/>
    <mergeCell ref="AA66:AA71"/>
    <mergeCell ref="X66:X71"/>
    <mergeCell ref="F82:G82"/>
    <mergeCell ref="L82:M82"/>
    <mergeCell ref="R82:R84"/>
    <mergeCell ref="S82:S87"/>
    <mergeCell ref="T82:T84"/>
    <mergeCell ref="U74:U79"/>
    <mergeCell ref="V74:V79"/>
    <mergeCell ref="W74:W79"/>
    <mergeCell ref="U90:U95"/>
    <mergeCell ref="V90:V95"/>
    <mergeCell ref="W90:W95"/>
    <mergeCell ref="AA82:AA87"/>
    <mergeCell ref="R85:R87"/>
    <mergeCell ref="I87:J87"/>
    <mergeCell ref="O87:P87"/>
    <mergeCell ref="B90:B95"/>
    <mergeCell ref="F90:G90"/>
    <mergeCell ref="L90:M90"/>
    <mergeCell ref="R90:R92"/>
    <mergeCell ref="S90:S95"/>
    <mergeCell ref="T90:T92"/>
    <mergeCell ref="U82:U87"/>
    <mergeCell ref="V82:V87"/>
    <mergeCell ref="W82:W87"/>
    <mergeCell ref="X82:X87"/>
    <mergeCell ref="Y82:Y87"/>
    <mergeCell ref="Z82:Z87"/>
    <mergeCell ref="AA90:AA95"/>
    <mergeCell ref="R93:R95"/>
    <mergeCell ref="I95:J95"/>
    <mergeCell ref="O95:P95"/>
    <mergeCell ref="X90:X95"/>
    <mergeCell ref="Y90:Y95"/>
    <mergeCell ref="Z90:Z95"/>
    <mergeCell ref="B82:B87"/>
    <mergeCell ref="AA98:AA103"/>
    <mergeCell ref="R101:R103"/>
    <mergeCell ref="I103:J103"/>
    <mergeCell ref="O103:P103"/>
    <mergeCell ref="B106:B111"/>
    <mergeCell ref="F106:G106"/>
    <mergeCell ref="L106:M106"/>
    <mergeCell ref="U98:U103"/>
    <mergeCell ref="V98:V103"/>
    <mergeCell ref="W98:W103"/>
    <mergeCell ref="X98:X103"/>
    <mergeCell ref="Y98:Y103"/>
    <mergeCell ref="Z98:Z103"/>
    <mergeCell ref="AA106:AA111"/>
    <mergeCell ref="I111:J111"/>
    <mergeCell ref="O111:P111"/>
    <mergeCell ref="Y106:Y111"/>
    <mergeCell ref="Z106:Z111"/>
    <mergeCell ref="B98:B103"/>
    <mergeCell ref="F98:G98"/>
    <mergeCell ref="L98:M98"/>
    <mergeCell ref="R98:R100"/>
    <mergeCell ref="S98:S103"/>
    <mergeCell ref="T98:T100"/>
    <mergeCell ref="B113:F114"/>
    <mergeCell ref="H114:J114"/>
    <mergeCell ref="K114:L114"/>
    <mergeCell ref="R114:S114"/>
    <mergeCell ref="U106:U111"/>
    <mergeCell ref="V106:V111"/>
    <mergeCell ref="W106:W111"/>
    <mergeCell ref="X106:X111"/>
    <mergeCell ref="R106:R108"/>
    <mergeCell ref="S106:S111"/>
    <mergeCell ref="T106:T108"/>
    <mergeCell ref="R109:R111"/>
  </mergeCells>
  <phoneticPr fontId="2"/>
  <conditionalFormatting sqref="S10:S15 S18:S23 S26:S31 S34:S39 S42:S47 S50:S55 S58:S63 S66:S71 S74:S79 S82:S87 S98:S103">
    <cfRule type="cellIs" dxfId="4" priority="3" stopIfTrue="1" operator="equal">
      <formula>"入力ｴﾗｰ"</formula>
    </cfRule>
  </conditionalFormatting>
  <conditionalFormatting sqref="S90:S95">
    <cfRule type="cellIs" dxfId="3" priority="2" stopIfTrue="1" operator="equal">
      <formula>"入力ｴﾗｰ"</formula>
    </cfRule>
  </conditionalFormatting>
  <conditionalFormatting sqref="S106:S111">
    <cfRule type="cellIs" dxfId="2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scale="95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>
    <tabColor indexed="10"/>
  </sheetPr>
  <dimension ref="B1:AC114"/>
  <sheetViews>
    <sheetView showGridLines="0" view="pageBreakPreview" zoomScaleNormal="123" zoomScaleSheetLayoutView="100" workbookViewId="0">
      <selection activeCell="C1" sqref="C1:Q1"/>
    </sheetView>
  </sheetViews>
  <sheetFormatPr defaultColWidth="9.0703125" defaultRowHeight="12" x14ac:dyDescent="0.25"/>
  <cols>
    <col min="1" max="1" width="0.92578125" style="1" customWidth="1"/>
    <col min="2" max="2" width="8.92578125" style="1" customWidth="1"/>
    <col min="3" max="17" width="2.7109375" style="1" customWidth="1"/>
    <col min="18" max="18" width="2.92578125" style="1" customWidth="1"/>
    <col min="19" max="19" width="5.7109375" style="1" customWidth="1"/>
    <col min="20" max="20" width="2.7109375" style="1" customWidth="1"/>
    <col min="21" max="27" width="5.7109375" style="1" customWidth="1"/>
    <col min="28" max="16384" width="9.0703125" style="1"/>
  </cols>
  <sheetData>
    <row r="1" spans="2:29" x14ac:dyDescent="0.25">
      <c r="B1" s="56" t="s">
        <v>19</v>
      </c>
      <c r="C1" s="113" t="s">
        <v>26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25">
      <c r="S2" s="12"/>
      <c r="T2" s="3"/>
      <c r="U2" s="114" t="s">
        <v>23</v>
      </c>
      <c r="V2" s="114"/>
      <c r="W2" s="2"/>
      <c r="X2" s="12"/>
      <c r="Y2" s="114">
        <v>700</v>
      </c>
      <c r="Z2" s="114"/>
      <c r="AA2" s="2"/>
      <c r="AC2" s="1">
        <f>IF(AC1=4,0,IF(Y2&lt;=200,5,0))</f>
        <v>0</v>
      </c>
    </row>
    <row r="3" spans="2:29" ht="12" customHeight="1" x14ac:dyDescent="0.25">
      <c r="S3" s="44" t="s">
        <v>12</v>
      </c>
      <c r="T3" s="15"/>
      <c r="U3" s="115"/>
      <c r="V3" s="115"/>
      <c r="W3" s="17" t="s">
        <v>15</v>
      </c>
      <c r="X3" s="44" t="s">
        <v>14</v>
      </c>
      <c r="Y3" s="115"/>
      <c r="Z3" s="115"/>
      <c r="AA3" s="17" t="s">
        <v>20</v>
      </c>
      <c r="AC3" s="1">
        <f>IF(Y2&gt;200,6,0)</f>
        <v>6</v>
      </c>
    </row>
    <row r="4" spans="2:29" ht="6.75" customHeight="1" x14ac:dyDescent="0.25">
      <c r="S4" s="18"/>
      <c r="U4" s="45"/>
      <c r="V4" s="45"/>
      <c r="X4" s="18"/>
      <c r="Y4" s="45"/>
      <c r="Z4" s="45"/>
    </row>
    <row r="5" spans="2:29" ht="21.75" customHeight="1" x14ac:dyDescent="0.25">
      <c r="B5" s="46" t="s">
        <v>16</v>
      </c>
    </row>
    <row r="6" spans="2:29" ht="6.75" customHeight="1" thickBot="1" x14ac:dyDescent="0.3"/>
    <row r="7" spans="2:29" ht="14.25" customHeight="1" x14ac:dyDescent="0.25">
      <c r="B7" s="116" t="s">
        <v>0</v>
      </c>
      <c r="C7" s="108" t="s">
        <v>3</v>
      </c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09"/>
      <c r="R7" s="117" t="s">
        <v>1</v>
      </c>
      <c r="S7" s="117"/>
      <c r="T7" s="117"/>
      <c r="U7" s="128" t="s">
        <v>2</v>
      </c>
      <c r="V7" s="117" t="s">
        <v>4</v>
      </c>
      <c r="W7" s="117"/>
      <c r="X7" s="117"/>
      <c r="Y7" s="117"/>
      <c r="Z7" s="117"/>
      <c r="AA7" s="126"/>
    </row>
    <row r="8" spans="2:29" ht="10.5" customHeight="1" x14ac:dyDescent="0.25">
      <c r="B8" s="96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20"/>
      <c r="R8" s="119"/>
      <c r="S8" s="119"/>
      <c r="T8" s="119"/>
      <c r="U8" s="129"/>
      <c r="V8" s="31" t="s">
        <v>6</v>
      </c>
      <c r="W8" s="32" t="s">
        <v>5</v>
      </c>
      <c r="X8" s="32" t="s">
        <v>7</v>
      </c>
      <c r="Y8" s="32" t="s">
        <v>8</v>
      </c>
      <c r="Z8" s="33" t="s">
        <v>9</v>
      </c>
      <c r="AA8" s="34" t="s">
        <v>10</v>
      </c>
    </row>
    <row r="9" spans="2:29" ht="6" customHeight="1" x14ac:dyDescent="0.2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26"/>
      <c r="V9" s="30"/>
      <c r="W9" s="28"/>
      <c r="X9" s="28"/>
      <c r="Y9" s="28"/>
      <c r="Z9" s="28"/>
      <c r="AA9" s="29"/>
    </row>
    <row r="10" spans="2:29" ht="15" customHeight="1" x14ac:dyDescent="0.25">
      <c r="B10" s="96">
        <f>IF(S10="","",1)</f>
        <v>1</v>
      </c>
      <c r="C10" s="3"/>
      <c r="E10" s="13" t="str">
        <f>IF(F10="","",IF(F10=0,"","L="))</f>
        <v>L=</v>
      </c>
      <c r="F10" s="97">
        <v>2.09</v>
      </c>
      <c r="G10" s="97"/>
      <c r="H10" s="14" t="str">
        <f>IF(F10="","",IF(F10=0,"","m"))</f>
        <v>m</v>
      </c>
      <c r="K10" s="13" t="str">
        <f>IF(L10="","",IF(L10=0,"","L="))</f>
        <v/>
      </c>
      <c r="L10" s="97"/>
      <c r="M10" s="97"/>
      <c r="N10" s="14" t="str">
        <f>IF(L10="","",IF(L10=0,"","m"))</f>
        <v/>
      </c>
      <c r="O10" s="1" t="s">
        <v>28</v>
      </c>
      <c r="Q10" s="2"/>
      <c r="R10" s="106" t="str">
        <f>IF(OR(S10="入力ｴﾗｰ",S10=0,S10="")=TRUE,"",IF(F10="","甲",IF(F10=0,"甲","")))</f>
        <v/>
      </c>
      <c r="S10" s="101">
        <f>IF((F10+I15+L10+O15)=0,"",IF((F10+I15+L10+O15)&gt;SUM($AC$1:$AC$3),"入力ｴﾗｰ",SUM($AC$1:$AC$3)-(F10+I15+L10+O15)))</f>
        <v>1.5700000000000003</v>
      </c>
      <c r="T10" s="102" t="str">
        <f>IF(S10="","",IF(S10="入力ｴﾗｰ","","m"))</f>
        <v>m</v>
      </c>
      <c r="U10" s="130">
        <f>IF(B10="","",COUNT(F10,I15,L10,O15)-IF(S10=0,1,0))</f>
        <v>2</v>
      </c>
      <c r="V10" s="127">
        <v>2</v>
      </c>
      <c r="W10" s="103"/>
      <c r="X10" s="103"/>
      <c r="Y10" s="103"/>
      <c r="Z10" s="103"/>
      <c r="AA10" s="99"/>
    </row>
    <row r="11" spans="2:29" ht="3" customHeight="1" thickBot="1" x14ac:dyDescent="0.3">
      <c r="B11" s="96"/>
      <c r="C11" s="3"/>
      <c r="G11" s="3"/>
      <c r="H11" s="2"/>
      <c r="K11" s="3"/>
      <c r="L11" s="2"/>
      <c r="M11" s="3"/>
      <c r="N11" s="2"/>
      <c r="Q11" s="2"/>
      <c r="R11" s="106"/>
      <c r="S11" s="101"/>
      <c r="T11" s="102"/>
      <c r="U11" s="130"/>
      <c r="V11" s="127"/>
      <c r="W11" s="103"/>
      <c r="X11" s="103"/>
      <c r="Y11" s="103"/>
      <c r="Z11" s="103"/>
      <c r="AA11" s="99"/>
    </row>
    <row r="12" spans="2:29" ht="3" customHeight="1" thickTop="1" x14ac:dyDescent="0.25">
      <c r="B12" s="96"/>
      <c r="C12" s="3"/>
      <c r="E12" s="57"/>
      <c r="F12" s="57"/>
      <c r="G12" s="58"/>
      <c r="H12" s="63"/>
      <c r="I12" s="4"/>
      <c r="J12" s="4"/>
      <c r="K12" s="5"/>
      <c r="L12" s="59"/>
      <c r="M12" s="58"/>
      <c r="N12" s="59"/>
      <c r="O12" s="57"/>
      <c r="P12" s="57"/>
      <c r="Q12" s="2"/>
      <c r="R12" s="106"/>
      <c r="S12" s="101"/>
      <c r="T12" s="102"/>
      <c r="U12" s="130"/>
      <c r="V12" s="127"/>
      <c r="W12" s="103"/>
      <c r="X12" s="103"/>
      <c r="Y12" s="103"/>
      <c r="Z12" s="103"/>
      <c r="AA12" s="99"/>
    </row>
    <row r="13" spans="2:29" ht="3" customHeight="1" x14ac:dyDescent="0.25">
      <c r="B13" s="96"/>
      <c r="C13" s="3"/>
      <c r="E13" s="6"/>
      <c r="F13" s="6"/>
      <c r="G13" s="7"/>
      <c r="H13" s="8"/>
      <c r="I13" s="7"/>
      <c r="J13" s="8"/>
      <c r="K13" s="7"/>
      <c r="L13" s="8"/>
      <c r="M13" s="7"/>
      <c r="N13" s="8"/>
      <c r="O13" s="6"/>
      <c r="P13" s="6"/>
      <c r="Q13" s="2"/>
      <c r="R13" s="105" t="str">
        <f>IF(R10="甲","",IF(OR(S10=0,S10="")=TRUE,"",IF(S10="入力ｴﾗｰ","","乙")))</f>
        <v>乙</v>
      </c>
      <c r="S13" s="101"/>
      <c r="U13" s="130"/>
      <c r="V13" s="127"/>
      <c r="W13" s="103"/>
      <c r="X13" s="103"/>
      <c r="Y13" s="103"/>
      <c r="Z13" s="103"/>
      <c r="AA13" s="99"/>
    </row>
    <row r="14" spans="2:29" ht="3" customHeight="1" x14ac:dyDescent="0.25">
      <c r="B14" s="96"/>
      <c r="C14" s="3"/>
      <c r="F14" s="2"/>
      <c r="G14" s="3"/>
      <c r="H14" s="2"/>
      <c r="K14" s="3"/>
      <c r="L14" s="2"/>
      <c r="M14" s="3"/>
      <c r="N14" s="2"/>
      <c r="Q14" s="2"/>
      <c r="R14" s="105"/>
      <c r="S14" s="101"/>
      <c r="U14" s="130"/>
      <c r="V14" s="127"/>
      <c r="W14" s="103"/>
      <c r="X14" s="103"/>
      <c r="Y14" s="103"/>
      <c r="Z14" s="103"/>
      <c r="AA14" s="99"/>
    </row>
    <row r="15" spans="2:29" ht="15" customHeight="1" x14ac:dyDescent="0.25">
      <c r="B15" s="96"/>
      <c r="C15" s="3"/>
      <c r="G15" s="18" t="s">
        <v>23</v>
      </c>
      <c r="H15" s="13" t="str">
        <f>IF(I15="","",IF(I15=0,"","L="))</f>
        <v/>
      </c>
      <c r="I15" s="97"/>
      <c r="J15" s="97"/>
      <c r="K15" s="14" t="str">
        <f>IF(I15="","",IF(I15=0,"","m"))</f>
        <v/>
      </c>
      <c r="N15" s="13" t="str">
        <f>IF(O15="","",IF(O15=0,"","L="))</f>
        <v>L=</v>
      </c>
      <c r="O15" s="97">
        <v>2.34</v>
      </c>
      <c r="P15" s="97"/>
      <c r="Q15" s="24" t="str">
        <f>IF(O15="","",IF(O15=0,"","m"))</f>
        <v>m</v>
      </c>
      <c r="R15" s="105"/>
      <c r="S15" s="101"/>
      <c r="U15" s="130"/>
      <c r="V15" s="127"/>
      <c r="W15" s="103"/>
      <c r="X15" s="103"/>
      <c r="Y15" s="103"/>
      <c r="Z15" s="103"/>
      <c r="AA15" s="99"/>
      <c r="AC15" s="1">
        <f>IF(U10="",0,IF(U10&gt;SUM(V10:AA15),U10-SUM(V10:AA15),0))</f>
        <v>0</v>
      </c>
    </row>
    <row r="16" spans="2:29" ht="6" customHeight="1" x14ac:dyDescent="0.2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6"/>
      <c r="V16" s="30"/>
      <c r="W16" s="28"/>
      <c r="X16" s="28"/>
      <c r="Y16" s="28"/>
      <c r="Z16" s="28"/>
      <c r="AA16" s="29"/>
    </row>
    <row r="17" spans="2:29" ht="6" customHeight="1" x14ac:dyDescent="0.2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26"/>
      <c r="V17" s="27"/>
      <c r="W17" s="23"/>
      <c r="X17" s="23"/>
      <c r="Y17" s="23"/>
      <c r="Z17" s="23"/>
      <c r="AA17" s="37"/>
    </row>
    <row r="18" spans="2:29" ht="15" customHeight="1" x14ac:dyDescent="0.25">
      <c r="B18" s="96">
        <f>IF(S18="","",IF(B10="","",1+B10))</f>
        <v>2</v>
      </c>
      <c r="C18" s="3"/>
      <c r="E18" s="13" t="str">
        <f>IF(F18="","",IF(F18=0,"","L="))</f>
        <v>L=</v>
      </c>
      <c r="F18" s="97">
        <v>2.09</v>
      </c>
      <c r="G18" s="97"/>
      <c r="H18" s="14" t="str">
        <f>IF(F18="","",IF(F18=0,"","m"))</f>
        <v>m</v>
      </c>
      <c r="K18" s="13" t="str">
        <f>IF(L18="","",IF(L18=0,"","L="))</f>
        <v/>
      </c>
      <c r="L18" s="97"/>
      <c r="M18" s="97"/>
      <c r="N18" s="14" t="str">
        <f>IF(L18="","",IF(L18=0,"","m"))</f>
        <v/>
      </c>
      <c r="O18" s="1" t="s">
        <v>23</v>
      </c>
      <c r="Q18" s="2"/>
      <c r="R18" s="106" t="str">
        <f>IF(OR(S18="入力ｴﾗｰ",S18=0,S18="")=TRUE,"",IF(F18="","甲",IF(F18=0,"甲","")))</f>
        <v/>
      </c>
      <c r="S18" s="101">
        <f>IF((F18+I23+L18+O23)=0,"",IF((F18+I23+L18+O23)&gt;SUM($AC$1:$AC$3),"入力ｴﾗｰ",SUM($AC$1:$AC$3)-(F18+I23+L18+O23)))</f>
        <v>0.3100000000000005</v>
      </c>
      <c r="T18" s="102" t="str">
        <f>IF(S18="","",IF(S18="入力ｴﾗｰ","","m"))</f>
        <v>m</v>
      </c>
      <c r="U18" s="130">
        <f>IF(B18="","",COUNT(F18,I23,L18,O23)-IF(S18=0,1,0))</f>
        <v>2</v>
      </c>
      <c r="V18" s="127">
        <v>2</v>
      </c>
      <c r="W18" s="103"/>
      <c r="X18" s="103"/>
      <c r="Y18" s="103"/>
      <c r="Z18" s="103"/>
      <c r="AA18" s="99"/>
    </row>
    <row r="19" spans="2:29" ht="3" customHeight="1" thickBot="1" x14ac:dyDescent="0.3">
      <c r="B19" s="96"/>
      <c r="C19" s="3"/>
      <c r="G19" s="3"/>
      <c r="H19" s="2"/>
      <c r="I19" s="3"/>
      <c r="J19" s="2"/>
      <c r="K19" s="3"/>
      <c r="L19" s="2"/>
      <c r="M19" s="3"/>
      <c r="N19" s="2"/>
      <c r="Q19" s="2"/>
      <c r="R19" s="106"/>
      <c r="S19" s="101"/>
      <c r="T19" s="102"/>
      <c r="U19" s="130"/>
      <c r="V19" s="127"/>
      <c r="W19" s="103"/>
      <c r="X19" s="103"/>
      <c r="Y19" s="103"/>
      <c r="Z19" s="103"/>
      <c r="AA19" s="99"/>
    </row>
    <row r="20" spans="2:29" ht="3" customHeight="1" thickTop="1" x14ac:dyDescent="0.25">
      <c r="B20" s="96"/>
      <c r="C20" s="3"/>
      <c r="E20" s="57"/>
      <c r="F20" s="57"/>
      <c r="G20" s="58"/>
      <c r="H20" s="59"/>
      <c r="I20" s="4"/>
      <c r="J20" s="59"/>
      <c r="K20" s="58"/>
      <c r="L20" s="59"/>
      <c r="M20" s="58"/>
      <c r="N20" s="59"/>
      <c r="O20" s="57"/>
      <c r="P20" s="57"/>
      <c r="Q20" s="2"/>
      <c r="R20" s="106"/>
      <c r="S20" s="101"/>
      <c r="T20" s="102"/>
      <c r="U20" s="130"/>
      <c r="V20" s="127"/>
      <c r="W20" s="103"/>
      <c r="X20" s="103"/>
      <c r="Y20" s="103"/>
      <c r="Z20" s="103"/>
      <c r="AA20" s="99"/>
    </row>
    <row r="21" spans="2:29" ht="3" customHeight="1" x14ac:dyDescent="0.25">
      <c r="B21" s="96"/>
      <c r="C21" s="3"/>
      <c r="E21" s="6"/>
      <c r="F21" s="6"/>
      <c r="G21" s="7"/>
      <c r="H21" s="8"/>
      <c r="I21" s="6"/>
      <c r="J21" s="6"/>
      <c r="K21" s="7"/>
      <c r="L21" s="8"/>
      <c r="M21" s="7"/>
      <c r="N21" s="8"/>
      <c r="O21" s="6"/>
      <c r="P21" s="6"/>
      <c r="Q21" s="2"/>
      <c r="R21" s="105" t="str">
        <f>IF(R18="甲","",IF(OR(S18=0,S18="")=TRUE,"",IF(S18="入力ｴﾗｰ","","乙")))</f>
        <v>乙</v>
      </c>
      <c r="S21" s="101"/>
      <c r="U21" s="130"/>
      <c r="V21" s="127"/>
      <c r="W21" s="103"/>
      <c r="X21" s="103"/>
      <c r="Y21" s="103"/>
      <c r="Z21" s="103"/>
      <c r="AA21" s="99"/>
    </row>
    <row r="22" spans="2:29" ht="3" customHeight="1" x14ac:dyDescent="0.25">
      <c r="B22" s="96"/>
      <c r="C22" s="3"/>
      <c r="G22" s="3"/>
      <c r="H22" s="2"/>
      <c r="K22" s="3"/>
      <c r="L22" s="2"/>
      <c r="M22" s="3"/>
      <c r="N22" s="2"/>
      <c r="Q22" s="2"/>
      <c r="R22" s="105"/>
      <c r="S22" s="101"/>
      <c r="U22" s="130"/>
      <c r="V22" s="127"/>
      <c r="W22" s="103"/>
      <c r="X22" s="103"/>
      <c r="Y22" s="103"/>
      <c r="Z22" s="103"/>
      <c r="AA22" s="99"/>
    </row>
    <row r="23" spans="2:29" ht="15" customHeight="1" x14ac:dyDescent="0.25">
      <c r="B23" s="96"/>
      <c r="C23" s="3"/>
      <c r="G23" s="1" t="s">
        <v>28</v>
      </c>
      <c r="H23" s="13" t="str">
        <f>IF(I23="","",IF(I23=0,"","L="))</f>
        <v/>
      </c>
      <c r="I23" s="97"/>
      <c r="J23" s="97"/>
      <c r="K23" s="14" t="str">
        <f>IF(I23="","",IF(I23=0,"","m"))</f>
        <v/>
      </c>
      <c r="N23" s="13" t="str">
        <f>IF(O23="","",IF(O23=0,"","L="))</f>
        <v>L=</v>
      </c>
      <c r="O23" s="97">
        <v>3.6</v>
      </c>
      <c r="P23" s="97"/>
      <c r="Q23" s="24" t="str">
        <f>IF(O23="","",IF(O23=0,"","m"))</f>
        <v>m</v>
      </c>
      <c r="R23" s="105"/>
      <c r="S23" s="101"/>
      <c r="U23" s="130"/>
      <c r="V23" s="127"/>
      <c r="W23" s="103"/>
      <c r="X23" s="103"/>
      <c r="Y23" s="103"/>
      <c r="Z23" s="103"/>
      <c r="AA23" s="99"/>
      <c r="AC23" s="1">
        <f>IF(U18="",0,IF(U18&gt;SUM(V18:AA23),U18-SUM(V18:AA23),0))</f>
        <v>0</v>
      </c>
    </row>
    <row r="24" spans="2:29" ht="6" customHeight="1" x14ac:dyDescent="0.2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39"/>
      <c r="V24" s="40"/>
      <c r="W24" s="41"/>
      <c r="X24" s="41"/>
      <c r="Y24" s="41"/>
      <c r="Z24" s="41"/>
      <c r="AA24" s="42"/>
    </row>
    <row r="25" spans="2:29" ht="6" customHeight="1" x14ac:dyDescent="0.2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26"/>
      <c r="V25" s="27"/>
      <c r="W25" s="23"/>
      <c r="X25" s="23"/>
      <c r="Y25" s="23"/>
      <c r="Z25" s="23"/>
      <c r="AA25" s="37"/>
    </row>
    <row r="26" spans="2:29" ht="15" customHeight="1" x14ac:dyDescent="0.25">
      <c r="B26" s="96">
        <f>IF(S26="","",IF(B18="","",1+B18))</f>
        <v>3</v>
      </c>
      <c r="C26" s="3"/>
      <c r="E26" s="13" t="str">
        <f>IF(F26="","",IF(F26=0,"","L="))</f>
        <v>L=</v>
      </c>
      <c r="F26" s="97">
        <v>3</v>
      </c>
      <c r="G26" s="97"/>
      <c r="H26" s="14" t="str">
        <f>IF(F26="","",IF(F26=0,"","m"))</f>
        <v>m</v>
      </c>
      <c r="K26" s="13" t="str">
        <f>IF(L26="","",IF(L26=0,"","L="))</f>
        <v/>
      </c>
      <c r="L26" s="97"/>
      <c r="M26" s="97"/>
      <c r="N26" s="14" t="str">
        <f>IF(L26="","",IF(L26=0,"","m"))</f>
        <v/>
      </c>
      <c r="Q26" s="2"/>
      <c r="R26" s="106" t="str">
        <f>IF(OR(S26="入力ｴﾗｰ",S26=0,S26="")=TRUE,"",IF(F26="","甲",IF(F26=0,"甲","")))</f>
        <v/>
      </c>
      <c r="S26" s="101">
        <f>IF((F26+I31+L26+O31)=0,"",IF((F26+I31+L26+O31)&gt;SUM($AC$1:$AC$3),"入力ｴﾗｰ",SUM($AC$1:$AC$3)-(F26+I31+L26+O31)))</f>
        <v>3</v>
      </c>
      <c r="T26" s="102" t="str">
        <f>IF(S26="","",IF(S26="入力ｴﾗｰ","","m"))</f>
        <v>m</v>
      </c>
      <c r="U26" s="130">
        <f>IF(B26="","",COUNT(F26,I31,L26,O31)-IF(S26=0,1,0))</f>
        <v>1</v>
      </c>
      <c r="V26" s="127">
        <v>1</v>
      </c>
      <c r="W26" s="103"/>
      <c r="X26" s="103"/>
      <c r="Y26" s="103"/>
      <c r="Z26" s="103"/>
      <c r="AA26" s="99"/>
    </row>
    <row r="27" spans="2:29" ht="3" customHeight="1" thickBot="1" x14ac:dyDescent="0.3">
      <c r="B27" s="96"/>
      <c r="C27" s="3"/>
      <c r="E27" s="60"/>
      <c r="F27" s="60"/>
      <c r="G27" s="61"/>
      <c r="H27" s="62"/>
      <c r="I27" s="60"/>
      <c r="J27" s="62"/>
      <c r="K27" s="3"/>
      <c r="L27" s="2"/>
      <c r="M27" s="3"/>
      <c r="N27" s="2"/>
      <c r="Q27" s="2"/>
      <c r="R27" s="106"/>
      <c r="S27" s="101"/>
      <c r="T27" s="102"/>
      <c r="U27" s="130"/>
      <c r="V27" s="127"/>
      <c r="W27" s="103"/>
      <c r="X27" s="103"/>
      <c r="Y27" s="103"/>
      <c r="Z27" s="103"/>
      <c r="AA27" s="99"/>
    </row>
    <row r="28" spans="2:29" ht="3" customHeight="1" thickTop="1" x14ac:dyDescent="0.25">
      <c r="B28" s="96"/>
      <c r="C28" s="3"/>
      <c r="E28" s="4"/>
      <c r="F28" s="4"/>
      <c r="G28" s="5"/>
      <c r="H28" s="55"/>
      <c r="I28" s="4"/>
      <c r="J28" s="4"/>
      <c r="K28" s="5"/>
      <c r="L28" s="2"/>
      <c r="M28" s="5"/>
      <c r="N28" s="55"/>
      <c r="O28" s="4"/>
      <c r="P28" s="4"/>
      <c r="Q28" s="2"/>
      <c r="R28" s="106"/>
      <c r="S28" s="101"/>
      <c r="T28" s="102"/>
      <c r="U28" s="130"/>
      <c r="V28" s="127"/>
      <c r="W28" s="103"/>
      <c r="X28" s="103"/>
      <c r="Y28" s="103"/>
      <c r="Z28" s="103"/>
      <c r="AA28" s="99"/>
    </row>
    <row r="29" spans="2:29" ht="3" customHeight="1" x14ac:dyDescent="0.25">
      <c r="B29" s="96"/>
      <c r="C29" s="3"/>
      <c r="E29" s="6"/>
      <c r="F29" s="6"/>
      <c r="G29" s="7"/>
      <c r="H29" s="8"/>
      <c r="I29" s="6"/>
      <c r="J29" s="6"/>
      <c r="K29" s="7"/>
      <c r="L29" s="8"/>
      <c r="M29" s="7"/>
      <c r="N29" s="8"/>
      <c r="O29" s="7"/>
      <c r="P29" s="6"/>
      <c r="Q29" s="2"/>
      <c r="R29" s="105" t="str">
        <f>IF(R26="甲","",IF(OR(S26=0,S26="")=TRUE,"",IF(S26="入力ｴﾗｰ","","乙")))</f>
        <v>乙</v>
      </c>
      <c r="S29" s="101"/>
      <c r="U29" s="130"/>
      <c r="V29" s="127"/>
      <c r="W29" s="103"/>
      <c r="X29" s="103"/>
      <c r="Y29" s="103"/>
      <c r="Z29" s="103"/>
      <c r="AA29" s="99"/>
    </row>
    <row r="30" spans="2:29" ht="3" customHeight="1" x14ac:dyDescent="0.25">
      <c r="B30" s="96"/>
      <c r="C30" s="3"/>
      <c r="G30" s="3"/>
      <c r="H30" s="2"/>
      <c r="K30" s="3"/>
      <c r="L30" s="2"/>
      <c r="M30" s="3"/>
      <c r="N30" s="2"/>
      <c r="Q30" s="2"/>
      <c r="R30" s="105"/>
      <c r="S30" s="101"/>
      <c r="U30" s="130"/>
      <c r="V30" s="127"/>
      <c r="W30" s="103"/>
      <c r="X30" s="103"/>
      <c r="Y30" s="103"/>
      <c r="Z30" s="103"/>
      <c r="AA30" s="99"/>
    </row>
    <row r="31" spans="2:29" ht="15" customHeight="1" x14ac:dyDescent="0.25">
      <c r="B31" s="96"/>
      <c r="C31" s="3"/>
      <c r="G31" s="1" t="s">
        <v>23</v>
      </c>
      <c r="H31" s="13" t="str">
        <f>IF(I31="","",IF(I31=0,"","L="))</f>
        <v/>
      </c>
      <c r="I31" s="97"/>
      <c r="J31" s="97"/>
      <c r="K31" s="14" t="str">
        <f>IF(I31="","",IF(I31=0,"","m"))</f>
        <v/>
      </c>
      <c r="N31" s="13" t="str">
        <f>IF(O31="","",IF(O31=0,"","L="))</f>
        <v/>
      </c>
      <c r="O31" s="97"/>
      <c r="P31" s="97"/>
      <c r="Q31" s="24" t="str">
        <f>IF(O31="","",IF(O31=0,"","m"))</f>
        <v/>
      </c>
      <c r="R31" s="105"/>
      <c r="S31" s="101"/>
      <c r="U31" s="130"/>
      <c r="V31" s="127"/>
      <c r="W31" s="103"/>
      <c r="X31" s="103"/>
      <c r="Y31" s="103"/>
      <c r="Z31" s="103"/>
      <c r="AA31" s="99"/>
      <c r="AC31" s="1">
        <f>IF(U26="",0,IF(U26&gt;SUM(V26:AA31),U26-SUM(V26:AA31),0))</f>
        <v>0</v>
      </c>
    </row>
    <row r="32" spans="2:29" ht="6" customHeight="1" x14ac:dyDescent="0.2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7"/>
      <c r="R32" s="16"/>
      <c r="S32" s="16"/>
      <c r="T32" s="16"/>
      <c r="U32" s="39"/>
      <c r="V32" s="40"/>
      <c r="W32" s="41"/>
      <c r="X32" s="41"/>
      <c r="Y32" s="41"/>
      <c r="Z32" s="41"/>
      <c r="AA32" s="42"/>
    </row>
    <row r="33" spans="2:29" ht="6" customHeight="1" x14ac:dyDescent="0.2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0"/>
      <c r="S33" s="10"/>
      <c r="T33" s="10"/>
      <c r="U33" s="26"/>
      <c r="V33" s="27"/>
      <c r="W33" s="23"/>
      <c r="X33" s="23"/>
      <c r="Y33" s="23"/>
      <c r="Z33" s="23"/>
      <c r="AA33" s="37"/>
    </row>
    <row r="34" spans="2:29" ht="15" customHeight="1" x14ac:dyDescent="0.25">
      <c r="B34" s="96">
        <f>IF(S34="","",IF(B26="","",1+B26))</f>
        <v>4</v>
      </c>
      <c r="C34" s="3"/>
      <c r="E34" s="13" t="str">
        <f>IF(F34="","",IF(F34=0,"","L="))</f>
        <v>L=</v>
      </c>
      <c r="F34" s="97">
        <v>5.26</v>
      </c>
      <c r="G34" s="97"/>
      <c r="H34" s="14" t="str">
        <f>IF(F34="","",IF(F34=0,"","m"))</f>
        <v>m</v>
      </c>
      <c r="K34" s="13" t="str">
        <f>IF(L34="","",IF(L34=0,"","L="))</f>
        <v/>
      </c>
      <c r="L34" s="97"/>
      <c r="M34" s="97"/>
      <c r="N34" s="14" t="str">
        <f>IF(L34="","",IF(L34=0,"","m"))</f>
        <v/>
      </c>
      <c r="Q34" s="2"/>
      <c r="R34" s="106" t="str">
        <f>IF(OR(S34="入力ｴﾗｰ",S34=0,S34="")=TRUE,"",IF(F34="","甲",IF(F34=0,"甲","")))</f>
        <v/>
      </c>
      <c r="S34" s="101">
        <f>IF((F34+I39+L34+O39)=0,"",IF((F34+I39+L34+O39)&gt;SUM($AC$1:$AC$3),"入力ｴﾗｰ",SUM($AC$1:$AC$3)-(F34+I39+L34+O39)))</f>
        <v>0.74000000000000021</v>
      </c>
      <c r="T34" s="102" t="str">
        <f>IF(S34="","",IF(S34="入力ｴﾗｰ","","m"))</f>
        <v>m</v>
      </c>
      <c r="U34" s="130">
        <f>IF(B34="","",COUNT(F34,I39,L34,O39)-IF(S34=0,1,0))</f>
        <v>1</v>
      </c>
      <c r="V34" s="127">
        <v>1</v>
      </c>
      <c r="W34" s="103"/>
      <c r="X34" s="103"/>
      <c r="Y34" s="103"/>
      <c r="Z34" s="103"/>
      <c r="AA34" s="99"/>
    </row>
    <row r="35" spans="2:29" ht="3" customHeight="1" thickBot="1" x14ac:dyDescent="0.3">
      <c r="B35" s="96"/>
      <c r="C35" s="3"/>
      <c r="E35" s="60"/>
      <c r="F35" s="60"/>
      <c r="G35" s="61"/>
      <c r="H35" s="62"/>
      <c r="I35" s="60"/>
      <c r="J35" s="60"/>
      <c r="K35" s="61"/>
      <c r="L35" s="62"/>
      <c r="M35" s="3"/>
      <c r="N35" s="2"/>
      <c r="Q35" s="2"/>
      <c r="R35" s="106"/>
      <c r="S35" s="101"/>
      <c r="T35" s="102"/>
      <c r="U35" s="130"/>
      <c r="V35" s="127"/>
      <c r="W35" s="103"/>
      <c r="X35" s="103"/>
      <c r="Y35" s="103"/>
      <c r="Z35" s="103"/>
      <c r="AA35" s="99"/>
    </row>
    <row r="36" spans="2:29" ht="3" customHeight="1" thickTop="1" x14ac:dyDescent="0.25">
      <c r="B36" s="96"/>
      <c r="C36" s="3"/>
      <c r="E36" s="4"/>
      <c r="F36" s="4"/>
      <c r="G36" s="5"/>
      <c r="H36" s="55"/>
      <c r="I36" s="4"/>
      <c r="J36" s="4"/>
      <c r="K36" s="5"/>
      <c r="L36" s="2"/>
      <c r="M36" s="58"/>
      <c r="N36" s="59"/>
      <c r="O36" s="58"/>
      <c r="P36" s="4"/>
      <c r="Q36" s="2"/>
      <c r="R36" s="106"/>
      <c r="S36" s="101"/>
      <c r="T36" s="102"/>
      <c r="U36" s="130"/>
      <c r="V36" s="127"/>
      <c r="W36" s="103"/>
      <c r="X36" s="103"/>
      <c r="Y36" s="103"/>
      <c r="Z36" s="103"/>
      <c r="AA36" s="99"/>
    </row>
    <row r="37" spans="2:29" ht="3" customHeight="1" x14ac:dyDescent="0.25">
      <c r="B37" s="96"/>
      <c r="C37" s="3"/>
      <c r="E37" s="6"/>
      <c r="F37" s="6"/>
      <c r="G37" s="7"/>
      <c r="H37" s="8"/>
      <c r="I37" s="6"/>
      <c r="J37" s="6"/>
      <c r="K37" s="7"/>
      <c r="L37" s="8"/>
      <c r="M37" s="7"/>
      <c r="N37" s="8"/>
      <c r="O37" s="7"/>
      <c r="P37" s="6"/>
      <c r="Q37" s="2"/>
      <c r="R37" s="105" t="str">
        <f>IF(R34="甲","",IF(OR(S34=0,S34="")=TRUE,"",IF(S34="入力ｴﾗｰ","","乙")))</f>
        <v>乙</v>
      </c>
      <c r="S37" s="101"/>
      <c r="U37" s="130"/>
      <c r="V37" s="127"/>
      <c r="W37" s="103"/>
      <c r="X37" s="103"/>
      <c r="Y37" s="103"/>
      <c r="Z37" s="103"/>
      <c r="AA37" s="99"/>
    </row>
    <row r="38" spans="2:29" ht="3" customHeight="1" x14ac:dyDescent="0.25">
      <c r="B38" s="96"/>
      <c r="C38" s="3"/>
      <c r="G38" s="3"/>
      <c r="H38" s="2"/>
      <c r="K38" s="3"/>
      <c r="L38" s="2"/>
      <c r="M38" s="3"/>
      <c r="N38" s="2"/>
      <c r="O38" s="3"/>
      <c r="Q38" s="2"/>
      <c r="R38" s="105"/>
      <c r="S38" s="101"/>
      <c r="U38" s="130"/>
      <c r="V38" s="127"/>
      <c r="W38" s="103"/>
      <c r="X38" s="103"/>
      <c r="Y38" s="103"/>
      <c r="Z38" s="103"/>
      <c r="AA38" s="99"/>
    </row>
    <row r="39" spans="2:29" ht="15" customHeight="1" x14ac:dyDescent="0.25">
      <c r="B39" s="96"/>
      <c r="C39" s="3"/>
      <c r="G39" s="1" t="s">
        <v>23</v>
      </c>
      <c r="H39" s="13" t="str">
        <f>IF(I39="","",IF(I39=0,"","L="))</f>
        <v/>
      </c>
      <c r="I39" s="97"/>
      <c r="J39" s="97"/>
      <c r="K39" s="14" t="str">
        <f>IF(I39="","",IF(I39=0,"","m"))</f>
        <v/>
      </c>
      <c r="N39" s="13" t="str">
        <f>IF(O39="","",IF(O39=0,"","L="))</f>
        <v/>
      </c>
      <c r="O39" s="97"/>
      <c r="P39" s="97"/>
      <c r="Q39" s="24" t="str">
        <f>IF(O39="","",IF(O39=0,"","m"))</f>
        <v/>
      </c>
      <c r="R39" s="105"/>
      <c r="S39" s="101"/>
      <c r="U39" s="130"/>
      <c r="V39" s="127"/>
      <c r="W39" s="103"/>
      <c r="X39" s="103"/>
      <c r="Y39" s="103"/>
      <c r="Z39" s="103"/>
      <c r="AA39" s="99"/>
      <c r="AC39" s="1">
        <f>IF(U34="",0,IF(U34&gt;SUM(V34:AA39),U34-SUM(V34:AA39),0))</f>
        <v>0</v>
      </c>
    </row>
    <row r="40" spans="2:29" ht="6" customHeight="1" x14ac:dyDescent="0.2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/>
      <c r="R40" s="16"/>
      <c r="S40" s="16"/>
      <c r="T40" s="16"/>
      <c r="U40" s="39"/>
      <c r="V40" s="40"/>
      <c r="W40" s="41"/>
      <c r="X40" s="41"/>
      <c r="Y40" s="41"/>
      <c r="Z40" s="41"/>
      <c r="AA40" s="42"/>
    </row>
    <row r="41" spans="2:29" ht="6" customHeight="1" x14ac:dyDescent="0.2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0"/>
      <c r="S41" s="10"/>
      <c r="T41" s="10"/>
      <c r="U41" s="26"/>
      <c r="V41" s="27"/>
      <c r="W41" s="23"/>
      <c r="X41" s="23"/>
      <c r="Y41" s="23"/>
      <c r="Z41" s="23"/>
      <c r="AA41" s="37"/>
    </row>
    <row r="42" spans="2:29" ht="15" customHeight="1" x14ac:dyDescent="0.25">
      <c r="B42" s="96">
        <f>IF(S42="","",IF(B34="","",1+B34))</f>
        <v>5</v>
      </c>
      <c r="C42" s="3"/>
      <c r="E42" s="13" t="str">
        <f>IF(F42="","",IF(F42=0,"","L="))</f>
        <v>L=</v>
      </c>
      <c r="F42" s="97">
        <v>3.4</v>
      </c>
      <c r="G42" s="97"/>
      <c r="H42" s="14" t="str">
        <f>IF(F42="","",IF(F42=0,"","m"))</f>
        <v>m</v>
      </c>
      <c r="K42" s="13" t="str">
        <f>IF(L42="","",IF(L42=0,"","L="))</f>
        <v/>
      </c>
      <c r="L42" s="97"/>
      <c r="M42" s="97"/>
      <c r="N42" s="14" t="str">
        <f>IF(L42="","",IF(L42=0,"","m"))</f>
        <v/>
      </c>
      <c r="Q42" s="2"/>
      <c r="R42" s="106" t="str">
        <f>IF(OR(S42="入力ｴﾗｰ",S42=0,S42="")=TRUE,"",IF(F42="","甲",IF(F42=0,"甲","")))</f>
        <v/>
      </c>
      <c r="S42" s="101">
        <f>IF((F42+I47+L42+O47)=0,"",IF((F42+I47+L42+O47)&gt;SUM($AC$1:$AC$3),"入力ｴﾗｰ",SUM($AC$1:$AC$3)-(F42+I47+L42+O47)))</f>
        <v>2.6</v>
      </c>
      <c r="T42" s="102" t="str">
        <f>IF(S42="","",IF(S42="入力ｴﾗｰ","","m"))</f>
        <v>m</v>
      </c>
      <c r="U42" s="130">
        <f>IF(B42="","",COUNT(F42,I47,L42,O47)-IF(S42=0,1,0))</f>
        <v>1</v>
      </c>
      <c r="V42" s="127">
        <v>1</v>
      </c>
      <c r="W42" s="103"/>
      <c r="X42" s="103"/>
      <c r="Y42" s="103"/>
      <c r="Z42" s="103"/>
      <c r="AA42" s="99"/>
    </row>
    <row r="43" spans="2:29" ht="3" customHeight="1" thickBot="1" x14ac:dyDescent="0.3">
      <c r="B43" s="96"/>
      <c r="C43" s="3"/>
      <c r="E43" s="60"/>
      <c r="F43" s="60"/>
      <c r="G43" s="61"/>
      <c r="H43" s="62"/>
      <c r="I43" s="60"/>
      <c r="J43" s="60"/>
      <c r="K43" s="61"/>
      <c r="L43" s="2"/>
      <c r="M43" s="3"/>
      <c r="N43" s="2"/>
      <c r="Q43" s="2"/>
      <c r="R43" s="106"/>
      <c r="S43" s="101"/>
      <c r="T43" s="102"/>
      <c r="U43" s="130"/>
      <c r="V43" s="127"/>
      <c r="W43" s="103"/>
      <c r="X43" s="103"/>
      <c r="Y43" s="103"/>
      <c r="Z43" s="103"/>
      <c r="AA43" s="99"/>
    </row>
    <row r="44" spans="2:29" ht="3" customHeight="1" thickTop="1" x14ac:dyDescent="0.25">
      <c r="B44" s="96"/>
      <c r="C44" s="3"/>
      <c r="E44" s="4"/>
      <c r="F44" s="4"/>
      <c r="G44" s="5"/>
      <c r="H44" s="55"/>
      <c r="I44" s="4"/>
      <c r="J44" s="4"/>
      <c r="K44" s="5"/>
      <c r="L44" s="2"/>
      <c r="M44" s="5"/>
      <c r="N44" s="55"/>
      <c r="O44" s="4"/>
      <c r="P44" s="4"/>
      <c r="Q44" s="2"/>
      <c r="R44" s="106"/>
      <c r="S44" s="101"/>
      <c r="T44" s="102"/>
      <c r="U44" s="130"/>
      <c r="V44" s="127"/>
      <c r="W44" s="103"/>
      <c r="X44" s="103"/>
      <c r="Y44" s="103"/>
      <c r="Z44" s="103"/>
      <c r="AA44" s="99"/>
    </row>
    <row r="45" spans="2:29" ht="3" customHeight="1" x14ac:dyDescent="0.25">
      <c r="B45" s="96"/>
      <c r="C45" s="3"/>
      <c r="E45" s="6"/>
      <c r="F45" s="6"/>
      <c r="G45" s="7"/>
      <c r="H45" s="8"/>
      <c r="I45" s="6"/>
      <c r="J45" s="6"/>
      <c r="K45" s="7"/>
      <c r="L45" s="8"/>
      <c r="M45" s="7"/>
      <c r="N45" s="8"/>
      <c r="O45" s="7"/>
      <c r="P45" s="6"/>
      <c r="Q45" s="2"/>
      <c r="R45" s="105" t="str">
        <f>IF(R42="甲","",IF(OR(S42=0,S42="")=TRUE,"",IF(S42="入力ｴﾗｰ","","乙")))</f>
        <v>乙</v>
      </c>
      <c r="S45" s="101"/>
      <c r="U45" s="130"/>
      <c r="V45" s="127"/>
      <c r="W45" s="103"/>
      <c r="X45" s="103"/>
      <c r="Y45" s="103"/>
      <c r="Z45" s="103"/>
      <c r="AA45" s="99"/>
    </row>
    <row r="46" spans="2:29" ht="3" customHeight="1" x14ac:dyDescent="0.25">
      <c r="B46" s="96"/>
      <c r="C46" s="3"/>
      <c r="G46" s="3"/>
      <c r="H46" s="2"/>
      <c r="K46" s="3"/>
      <c r="L46" s="2"/>
      <c r="M46" s="3"/>
      <c r="N46" s="2"/>
      <c r="Q46" s="2"/>
      <c r="R46" s="105"/>
      <c r="S46" s="101"/>
      <c r="U46" s="130"/>
      <c r="V46" s="127"/>
      <c r="W46" s="103"/>
      <c r="X46" s="103"/>
      <c r="Y46" s="103"/>
      <c r="Z46" s="103"/>
      <c r="AA46" s="99"/>
    </row>
    <row r="47" spans="2:29" ht="15" customHeight="1" x14ac:dyDescent="0.25">
      <c r="B47" s="96"/>
      <c r="C47" s="3"/>
      <c r="G47" s="1" t="s">
        <v>23</v>
      </c>
      <c r="H47" s="13" t="str">
        <f>IF(I47="","",IF(I47=0,"","L="))</f>
        <v/>
      </c>
      <c r="I47" s="97"/>
      <c r="J47" s="97"/>
      <c r="K47" s="14" t="str">
        <f>IF(I47="","",IF(I47=0,"","m"))</f>
        <v/>
      </c>
      <c r="N47" s="13" t="str">
        <f>IF(O47="","",IF(O47=0,"","L="))</f>
        <v/>
      </c>
      <c r="O47" s="97"/>
      <c r="P47" s="97"/>
      <c r="Q47" s="24" t="str">
        <f>IF(O47="","",IF(O47=0,"","m"))</f>
        <v/>
      </c>
      <c r="R47" s="105"/>
      <c r="S47" s="101"/>
      <c r="U47" s="130"/>
      <c r="V47" s="127"/>
      <c r="W47" s="103"/>
      <c r="X47" s="103"/>
      <c r="Y47" s="103"/>
      <c r="Z47" s="103"/>
      <c r="AA47" s="99"/>
      <c r="AC47" s="1">
        <f>IF(U42="",0,IF(U42&gt;SUM(V42:AA47),U42-SUM(V42:AA47),0))</f>
        <v>0</v>
      </c>
    </row>
    <row r="48" spans="2:29" ht="6" customHeight="1" x14ac:dyDescent="0.2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  <c r="R48" s="16"/>
      <c r="S48" s="16"/>
      <c r="T48" s="16"/>
      <c r="U48" s="39"/>
      <c r="V48" s="40"/>
      <c r="W48" s="41"/>
      <c r="X48" s="41"/>
      <c r="Y48" s="41"/>
      <c r="Z48" s="41"/>
      <c r="AA48" s="42"/>
    </row>
    <row r="49" spans="2:29" ht="6" customHeight="1" x14ac:dyDescent="0.2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0"/>
      <c r="S49" s="10"/>
      <c r="T49" s="10"/>
      <c r="U49" s="26"/>
      <c r="V49" s="27"/>
      <c r="W49" s="23"/>
      <c r="X49" s="23"/>
      <c r="Y49" s="23"/>
      <c r="Z49" s="23"/>
      <c r="AA49" s="37"/>
    </row>
    <row r="50" spans="2:29" ht="15" customHeight="1" x14ac:dyDescent="0.25">
      <c r="B50" s="96" t="str">
        <f>IF(S50="","",IF(B42="","",1+B42))</f>
        <v/>
      </c>
      <c r="C50" s="3"/>
      <c r="E50" s="13" t="str">
        <f>IF(F50="","",IF(F50=0,"","L="))</f>
        <v/>
      </c>
      <c r="F50" s="97"/>
      <c r="G50" s="97"/>
      <c r="H50" s="14" t="str">
        <f>IF(F50="","",IF(F50=0,"","m"))</f>
        <v/>
      </c>
      <c r="K50" s="13" t="str">
        <f>IF(L50="","",IF(L50=0,"","L="))</f>
        <v/>
      </c>
      <c r="L50" s="97"/>
      <c r="M50" s="97"/>
      <c r="N50" s="14" t="str">
        <f>IF(L50="","",IF(L50=0,"","m"))</f>
        <v/>
      </c>
      <c r="Q50" s="2"/>
      <c r="R50" s="106" t="str">
        <f>IF(OR(S50="入力ｴﾗｰ",S50=0,S50="")=TRUE,"",IF(F50="","甲",IF(F50=0,"甲","")))</f>
        <v/>
      </c>
      <c r="S50" s="101" t="str">
        <f>IF((F50+I55+L50+O55)=0,"",IF((F50+I55+L50+O55)&gt;SUM($AC$1:$AC$3),"入力ｴﾗｰ",SUM($AC$1:$AC$3)-(F50+I55+L50+O55)))</f>
        <v/>
      </c>
      <c r="T50" s="102" t="str">
        <f>IF(S50="","",IF(S50="入力ｴﾗｰ","","m"))</f>
        <v/>
      </c>
      <c r="U50" s="130" t="str">
        <f>IF(B50="","",COUNT(F50,I55,L50,O55)-IF(S50=0,1,0))</f>
        <v/>
      </c>
      <c r="V50" s="127"/>
      <c r="W50" s="103"/>
      <c r="X50" s="103"/>
      <c r="Y50" s="103"/>
      <c r="Z50" s="103"/>
      <c r="AA50" s="99"/>
    </row>
    <row r="51" spans="2:29" ht="3" customHeight="1" x14ac:dyDescent="0.25">
      <c r="B51" s="96"/>
      <c r="C51" s="3"/>
      <c r="G51" s="3"/>
      <c r="H51" s="2"/>
      <c r="K51" s="3"/>
      <c r="L51" s="2"/>
      <c r="M51" s="3"/>
      <c r="N51" s="2"/>
      <c r="Q51" s="2"/>
      <c r="R51" s="106"/>
      <c r="S51" s="101"/>
      <c r="T51" s="102"/>
      <c r="U51" s="130"/>
      <c r="V51" s="127"/>
      <c r="W51" s="103"/>
      <c r="X51" s="103"/>
      <c r="Y51" s="103"/>
      <c r="Z51" s="103"/>
      <c r="AA51" s="99"/>
    </row>
    <row r="52" spans="2:29" ht="3" customHeight="1" x14ac:dyDescent="0.25">
      <c r="B52" s="96"/>
      <c r="C52" s="3"/>
      <c r="E52" s="4"/>
      <c r="F52" s="4"/>
      <c r="G52" s="5"/>
      <c r="H52" s="55"/>
      <c r="I52" s="4"/>
      <c r="J52" s="4"/>
      <c r="K52" s="5"/>
      <c r="L52" s="55"/>
      <c r="M52" s="5"/>
      <c r="N52" s="55"/>
      <c r="O52" s="4"/>
      <c r="P52" s="4"/>
      <c r="Q52" s="2"/>
      <c r="R52" s="106"/>
      <c r="S52" s="101"/>
      <c r="T52" s="102"/>
      <c r="U52" s="130"/>
      <c r="V52" s="127"/>
      <c r="W52" s="103"/>
      <c r="X52" s="103"/>
      <c r="Y52" s="103"/>
      <c r="Z52" s="103"/>
      <c r="AA52" s="99"/>
    </row>
    <row r="53" spans="2:29" ht="3" customHeight="1" x14ac:dyDescent="0.25">
      <c r="B53" s="96"/>
      <c r="C53" s="3"/>
      <c r="E53" s="6"/>
      <c r="F53" s="6"/>
      <c r="G53" s="7"/>
      <c r="H53" s="8"/>
      <c r="I53" s="6"/>
      <c r="J53" s="6"/>
      <c r="K53" s="7"/>
      <c r="L53" s="8"/>
      <c r="M53" s="7"/>
      <c r="N53" s="8"/>
      <c r="O53" s="6"/>
      <c r="P53" s="6"/>
      <c r="Q53" s="2"/>
      <c r="R53" s="105" t="str">
        <f>IF(R50="甲","",IF(OR(S50=0,S50="")=TRUE,"",IF(S50="入力ｴﾗｰ","","乙")))</f>
        <v/>
      </c>
      <c r="S53" s="101"/>
      <c r="U53" s="130"/>
      <c r="V53" s="127"/>
      <c r="W53" s="103"/>
      <c r="X53" s="103"/>
      <c r="Y53" s="103"/>
      <c r="Z53" s="103"/>
      <c r="AA53" s="99"/>
    </row>
    <row r="54" spans="2:29" ht="3" customHeight="1" x14ac:dyDescent="0.25">
      <c r="B54" s="96"/>
      <c r="C54" s="3"/>
      <c r="G54" s="3"/>
      <c r="H54" s="2"/>
      <c r="K54" s="3"/>
      <c r="L54" s="2"/>
      <c r="M54" s="3"/>
      <c r="N54" s="2"/>
      <c r="Q54" s="2"/>
      <c r="R54" s="105"/>
      <c r="S54" s="101"/>
      <c r="U54" s="130"/>
      <c r="V54" s="127"/>
      <c r="W54" s="103"/>
      <c r="X54" s="103"/>
      <c r="Y54" s="103"/>
      <c r="Z54" s="103"/>
      <c r="AA54" s="99"/>
    </row>
    <row r="55" spans="2:29" ht="15" customHeight="1" x14ac:dyDescent="0.25">
      <c r="B55" s="96"/>
      <c r="C55" s="3"/>
      <c r="H55" s="13" t="str">
        <f>IF(I55="","",IF(I55=0,"","L="))</f>
        <v/>
      </c>
      <c r="I55" s="97"/>
      <c r="J55" s="97"/>
      <c r="K55" s="14" t="str">
        <f>IF(I55="","",IF(I55=0,"","m"))</f>
        <v/>
      </c>
      <c r="N55" s="13" t="str">
        <f>IF(O55="","",IF(O55=0,"","L="))</f>
        <v/>
      </c>
      <c r="O55" s="97"/>
      <c r="P55" s="97"/>
      <c r="Q55" s="24" t="str">
        <f>IF(O55="","",IF(O55=0,"","m"))</f>
        <v/>
      </c>
      <c r="R55" s="105"/>
      <c r="S55" s="101"/>
      <c r="U55" s="130"/>
      <c r="V55" s="127"/>
      <c r="W55" s="103"/>
      <c r="X55" s="103"/>
      <c r="Y55" s="103"/>
      <c r="Z55" s="103"/>
      <c r="AA55" s="99"/>
      <c r="AC55" s="1">
        <f>IF(U50="",0,IF(U50&gt;SUM(V50:AA55),U50-SUM(V50:AA55),0))</f>
        <v>0</v>
      </c>
    </row>
    <row r="56" spans="2:29" ht="6" customHeight="1" x14ac:dyDescent="0.2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7"/>
      <c r="R56" s="16"/>
      <c r="S56" s="16"/>
      <c r="T56" s="16"/>
      <c r="U56" s="39"/>
      <c r="V56" s="40"/>
      <c r="W56" s="41"/>
      <c r="X56" s="41"/>
      <c r="Y56" s="41"/>
      <c r="Z56" s="41"/>
      <c r="AA56" s="42"/>
    </row>
    <row r="57" spans="2:29" ht="6" customHeight="1" x14ac:dyDescent="0.2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1"/>
      <c r="R57" s="10"/>
      <c r="S57" s="10"/>
      <c r="T57" s="10"/>
      <c r="U57" s="26"/>
      <c r="V57" s="27"/>
      <c r="W57" s="23"/>
      <c r="X57" s="23"/>
      <c r="Y57" s="23"/>
      <c r="Z57" s="23"/>
      <c r="AA57" s="37"/>
    </row>
    <row r="58" spans="2:29" ht="15" customHeight="1" x14ac:dyDescent="0.25">
      <c r="B58" s="96" t="str">
        <f>IF(S58="","",IF(B50="","",1+B50))</f>
        <v/>
      </c>
      <c r="C58" s="3"/>
      <c r="E58" s="13" t="str">
        <f>IF(F58="","",IF(F58=0,"","L="))</f>
        <v/>
      </c>
      <c r="F58" s="97"/>
      <c r="G58" s="97"/>
      <c r="H58" s="14" t="str">
        <f>IF(F58="","",IF(F58=0,"","m"))</f>
        <v/>
      </c>
      <c r="K58" s="13" t="str">
        <f>IF(L58="","",IF(L58=0,"","L="))</f>
        <v/>
      </c>
      <c r="L58" s="97"/>
      <c r="M58" s="97"/>
      <c r="N58" s="14" t="str">
        <f>IF(L58="","",IF(L58=0,"","m"))</f>
        <v/>
      </c>
      <c r="Q58" s="2"/>
      <c r="R58" s="106" t="str">
        <f>IF(OR(S58="入力ｴﾗｰ",S58=0,S58="")=TRUE,"",IF(F58="","甲",IF(F58=0,"甲","")))</f>
        <v/>
      </c>
      <c r="S58" s="101" t="str">
        <f>IF((F58+I63+L58+O63)=0,"",IF((F58+I63+L58+O63)&gt;SUM($AC$1:$AC$3),"入力ｴﾗｰ",SUM($AC$1:$AC$3)-(F58+I63+L58+O63)))</f>
        <v/>
      </c>
      <c r="T58" s="102" t="str">
        <f>IF(S58="","",IF(S58="入力ｴﾗｰ","","m"))</f>
        <v/>
      </c>
      <c r="U58" s="130" t="str">
        <f>IF(B58="","",COUNT(F58,I63,L58,O63)-IF(S58=0,1,0))</f>
        <v/>
      </c>
      <c r="V58" s="127"/>
      <c r="W58" s="103"/>
      <c r="X58" s="103"/>
      <c r="Y58" s="103"/>
      <c r="Z58" s="103"/>
      <c r="AA58" s="99"/>
    </row>
    <row r="59" spans="2:29" ht="3" customHeight="1" x14ac:dyDescent="0.25">
      <c r="B59" s="96"/>
      <c r="C59" s="3"/>
      <c r="G59" s="3"/>
      <c r="H59" s="2"/>
      <c r="K59" s="3"/>
      <c r="L59" s="2"/>
      <c r="M59" s="3"/>
      <c r="N59" s="2"/>
      <c r="Q59" s="2"/>
      <c r="R59" s="106"/>
      <c r="S59" s="101"/>
      <c r="T59" s="102"/>
      <c r="U59" s="130"/>
      <c r="V59" s="127"/>
      <c r="W59" s="103"/>
      <c r="X59" s="103"/>
      <c r="Y59" s="103"/>
      <c r="Z59" s="103"/>
      <c r="AA59" s="99"/>
    </row>
    <row r="60" spans="2:29" ht="3" customHeight="1" x14ac:dyDescent="0.25">
      <c r="B60" s="96"/>
      <c r="C60" s="3"/>
      <c r="E60" s="4"/>
      <c r="F60" s="4"/>
      <c r="G60" s="5"/>
      <c r="H60" s="55"/>
      <c r="I60" s="4"/>
      <c r="J60" s="4"/>
      <c r="K60" s="5"/>
      <c r="L60" s="55"/>
      <c r="M60" s="5"/>
      <c r="N60" s="55"/>
      <c r="O60" s="4"/>
      <c r="P60" s="4"/>
      <c r="Q60" s="2"/>
      <c r="R60" s="106"/>
      <c r="S60" s="101"/>
      <c r="T60" s="102"/>
      <c r="U60" s="130"/>
      <c r="V60" s="127"/>
      <c r="W60" s="103"/>
      <c r="X60" s="103"/>
      <c r="Y60" s="103"/>
      <c r="Z60" s="103"/>
      <c r="AA60" s="99"/>
    </row>
    <row r="61" spans="2:29" ht="3" customHeight="1" x14ac:dyDescent="0.25">
      <c r="B61" s="96"/>
      <c r="C61" s="3"/>
      <c r="E61" s="6"/>
      <c r="F61" s="6"/>
      <c r="G61" s="7"/>
      <c r="H61" s="8"/>
      <c r="I61" s="6"/>
      <c r="J61" s="6"/>
      <c r="K61" s="7"/>
      <c r="L61" s="8"/>
      <c r="M61" s="7"/>
      <c r="N61" s="8"/>
      <c r="O61" s="6"/>
      <c r="P61" s="6"/>
      <c r="Q61" s="2"/>
      <c r="R61" s="105" t="str">
        <f>IF(R58="甲","",IF(OR(S58=0,S58="")=TRUE,"",IF(S58="入力ｴﾗｰ","","乙")))</f>
        <v/>
      </c>
      <c r="S61" s="101"/>
      <c r="U61" s="130"/>
      <c r="V61" s="127"/>
      <c r="W61" s="103"/>
      <c r="X61" s="103"/>
      <c r="Y61" s="103"/>
      <c r="Z61" s="103"/>
      <c r="AA61" s="99"/>
    </row>
    <row r="62" spans="2:29" ht="3" customHeight="1" x14ac:dyDescent="0.25">
      <c r="B62" s="96"/>
      <c r="C62" s="3"/>
      <c r="G62" s="3"/>
      <c r="H62" s="2"/>
      <c r="K62" s="3"/>
      <c r="L62" s="2"/>
      <c r="M62" s="3"/>
      <c r="N62" s="2"/>
      <c r="Q62" s="2"/>
      <c r="R62" s="105"/>
      <c r="S62" s="101"/>
      <c r="U62" s="130"/>
      <c r="V62" s="127"/>
      <c r="W62" s="103"/>
      <c r="X62" s="103"/>
      <c r="Y62" s="103"/>
      <c r="Z62" s="103"/>
      <c r="AA62" s="99"/>
    </row>
    <row r="63" spans="2:29" ht="15" customHeight="1" x14ac:dyDescent="0.25">
      <c r="B63" s="96"/>
      <c r="C63" s="3"/>
      <c r="H63" s="13" t="str">
        <f>IF(I63="","",IF(I63=0,"","L="))</f>
        <v/>
      </c>
      <c r="I63" s="97"/>
      <c r="J63" s="97"/>
      <c r="K63" s="14" t="str">
        <f>IF(I63="","",IF(I63=0,"","m"))</f>
        <v/>
      </c>
      <c r="N63" s="13" t="str">
        <f>IF(O63="","",IF(O63=0,"","L="))</f>
        <v/>
      </c>
      <c r="O63" s="97"/>
      <c r="P63" s="97"/>
      <c r="Q63" s="24" t="str">
        <f>IF(O63="","",IF(O63=0,"","m"))</f>
        <v/>
      </c>
      <c r="R63" s="105"/>
      <c r="S63" s="101"/>
      <c r="U63" s="130"/>
      <c r="V63" s="127"/>
      <c r="W63" s="103"/>
      <c r="X63" s="103"/>
      <c r="Y63" s="103"/>
      <c r="Z63" s="103"/>
      <c r="AA63" s="99"/>
      <c r="AC63" s="1">
        <f>IF(U58="",0,IF(U58&gt;SUM(V58:AA63),U58-SUM(V58:AA63),0))</f>
        <v>0</v>
      </c>
    </row>
    <row r="64" spans="2:29" ht="6" customHeight="1" x14ac:dyDescent="0.2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6"/>
      <c r="S64" s="16"/>
      <c r="T64" s="16"/>
      <c r="U64" s="39"/>
      <c r="V64" s="40"/>
      <c r="W64" s="41"/>
      <c r="X64" s="41"/>
      <c r="Y64" s="41"/>
      <c r="Z64" s="41"/>
      <c r="AA64" s="42"/>
    </row>
    <row r="65" spans="2:29" ht="6" customHeight="1" x14ac:dyDescent="0.2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1"/>
      <c r="R65" s="10"/>
      <c r="S65" s="10"/>
      <c r="T65" s="10"/>
      <c r="U65" s="26"/>
      <c r="V65" s="27"/>
      <c r="W65" s="23"/>
      <c r="X65" s="23"/>
      <c r="Y65" s="23"/>
      <c r="Z65" s="23"/>
      <c r="AA65" s="37"/>
    </row>
    <row r="66" spans="2:29" ht="15" customHeight="1" x14ac:dyDescent="0.25">
      <c r="B66" s="96" t="str">
        <f>IF(S66="","",IF(B58="","",1+B58))</f>
        <v/>
      </c>
      <c r="C66" s="3"/>
      <c r="E66" s="13" t="str">
        <f>IF(F66="","",IF(F66=0,"","L="))</f>
        <v/>
      </c>
      <c r="F66" s="97"/>
      <c r="G66" s="97"/>
      <c r="H66" s="14" t="str">
        <f>IF(F66="","",IF(F66=0,"","m"))</f>
        <v/>
      </c>
      <c r="K66" s="13" t="str">
        <f>IF(L66="","",IF(L66=0,"","L="))</f>
        <v/>
      </c>
      <c r="L66" s="97"/>
      <c r="M66" s="97"/>
      <c r="N66" s="14" t="str">
        <f>IF(L66="","",IF(L66=0,"","m"))</f>
        <v/>
      </c>
      <c r="Q66" s="2"/>
      <c r="R66" s="106" t="str">
        <f>IF(OR(S66="入力ｴﾗｰ",S66=0,S66="")=TRUE,"",IF(F66="","甲",IF(F66=0,"甲","")))</f>
        <v/>
      </c>
      <c r="S66" s="101" t="str">
        <f>IF((F66+I71+L66+O71)=0,"",IF((F66+I71+L66+O71)&gt;SUM($AC$1:$AC$3),"入力ｴﾗｰ",SUM($AC$1:$AC$3)-(F66+I71+L66+O71)))</f>
        <v/>
      </c>
      <c r="T66" s="102" t="str">
        <f>IF(S66="","",IF(S66="入力ｴﾗｰ","","m"))</f>
        <v/>
      </c>
      <c r="U66" s="130" t="str">
        <f>IF(B66="","",COUNT(F66,I71,L66,O71)-IF(S66=0,1,0))</f>
        <v/>
      </c>
      <c r="V66" s="127"/>
      <c r="W66" s="103"/>
      <c r="X66" s="103"/>
      <c r="Y66" s="103"/>
      <c r="Z66" s="103"/>
      <c r="AA66" s="99"/>
    </row>
    <row r="67" spans="2:29" ht="3" customHeight="1" x14ac:dyDescent="0.25">
      <c r="B67" s="96"/>
      <c r="C67" s="3"/>
      <c r="G67" s="3"/>
      <c r="H67" s="2"/>
      <c r="K67" s="3"/>
      <c r="L67" s="2"/>
      <c r="M67" s="3"/>
      <c r="N67" s="2"/>
      <c r="Q67" s="2"/>
      <c r="R67" s="106"/>
      <c r="S67" s="101"/>
      <c r="T67" s="102"/>
      <c r="U67" s="130"/>
      <c r="V67" s="127"/>
      <c r="W67" s="103"/>
      <c r="X67" s="103"/>
      <c r="Y67" s="103"/>
      <c r="Z67" s="103"/>
      <c r="AA67" s="99"/>
    </row>
    <row r="68" spans="2:29" ht="3" customHeight="1" x14ac:dyDescent="0.25">
      <c r="B68" s="96"/>
      <c r="C68" s="3"/>
      <c r="E68" s="4"/>
      <c r="F68" s="4"/>
      <c r="G68" s="5"/>
      <c r="H68" s="55"/>
      <c r="I68" s="4"/>
      <c r="J68" s="4"/>
      <c r="K68" s="5"/>
      <c r="L68" s="2"/>
      <c r="M68" s="5"/>
      <c r="N68" s="55"/>
      <c r="O68" s="4"/>
      <c r="P68" s="4"/>
      <c r="Q68" s="2"/>
      <c r="R68" s="106"/>
      <c r="S68" s="101"/>
      <c r="T68" s="102"/>
      <c r="U68" s="130"/>
      <c r="V68" s="127"/>
      <c r="W68" s="103"/>
      <c r="X68" s="103"/>
      <c r="Y68" s="103"/>
      <c r="Z68" s="103"/>
      <c r="AA68" s="99"/>
    </row>
    <row r="69" spans="2:29" ht="3" customHeight="1" x14ac:dyDescent="0.25">
      <c r="B69" s="96"/>
      <c r="C69" s="3"/>
      <c r="E69" s="6"/>
      <c r="F69" s="6"/>
      <c r="G69" s="7"/>
      <c r="H69" s="8"/>
      <c r="I69" s="6"/>
      <c r="J69" s="6"/>
      <c r="K69" s="7"/>
      <c r="L69" s="8"/>
      <c r="M69" s="7"/>
      <c r="N69" s="8"/>
      <c r="O69" s="6"/>
      <c r="P69" s="6"/>
      <c r="Q69" s="2"/>
      <c r="R69" s="105" t="str">
        <f>IF(R66="甲","",IF(OR(S66=0,S66="")=TRUE,"",IF(S66="入力ｴﾗｰ","","乙")))</f>
        <v/>
      </c>
      <c r="S69" s="101"/>
      <c r="U69" s="130"/>
      <c r="V69" s="127"/>
      <c r="W69" s="103"/>
      <c r="X69" s="103"/>
      <c r="Y69" s="103"/>
      <c r="Z69" s="103"/>
      <c r="AA69" s="99"/>
    </row>
    <row r="70" spans="2:29" ht="3" customHeight="1" x14ac:dyDescent="0.25">
      <c r="B70" s="96"/>
      <c r="C70" s="3"/>
      <c r="G70" s="3"/>
      <c r="H70" s="2"/>
      <c r="K70" s="3"/>
      <c r="L70" s="2"/>
      <c r="M70" s="3"/>
      <c r="N70" s="2"/>
      <c r="Q70" s="2"/>
      <c r="R70" s="105"/>
      <c r="S70" s="101"/>
      <c r="U70" s="130"/>
      <c r="V70" s="127"/>
      <c r="W70" s="103"/>
      <c r="X70" s="103"/>
      <c r="Y70" s="103"/>
      <c r="Z70" s="103"/>
      <c r="AA70" s="99"/>
    </row>
    <row r="71" spans="2:29" ht="15" customHeight="1" x14ac:dyDescent="0.25">
      <c r="B71" s="96"/>
      <c r="C71" s="3"/>
      <c r="H71" s="13" t="str">
        <f>IF(I71="","",IF(I71=0,"","L="))</f>
        <v/>
      </c>
      <c r="I71" s="97"/>
      <c r="J71" s="97"/>
      <c r="K71" s="14" t="str">
        <f>IF(I71="","",IF(I71=0,"","m"))</f>
        <v/>
      </c>
      <c r="N71" s="13" t="str">
        <f>IF(O71="","",IF(O71=0,"","L="))</f>
        <v/>
      </c>
      <c r="O71" s="97"/>
      <c r="P71" s="97"/>
      <c r="Q71" s="24" t="str">
        <f>IF(O71="","",IF(O71=0,"","m"))</f>
        <v/>
      </c>
      <c r="R71" s="105"/>
      <c r="S71" s="101"/>
      <c r="U71" s="130"/>
      <c r="V71" s="127"/>
      <c r="W71" s="103"/>
      <c r="X71" s="103"/>
      <c r="Y71" s="103"/>
      <c r="Z71" s="103"/>
      <c r="AA71" s="99"/>
      <c r="AC71" s="1">
        <f>IF(U66="",0,IF(U66&gt;SUM(V66:AA71),U66-SUM(V66:AA71),0))</f>
        <v>0</v>
      </c>
    </row>
    <row r="72" spans="2:29" ht="6" customHeight="1" x14ac:dyDescent="0.2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/>
      <c r="R72" s="16"/>
      <c r="S72" s="16"/>
      <c r="T72" s="16"/>
      <c r="U72" s="39"/>
      <c r="V72" s="40"/>
      <c r="W72" s="41"/>
      <c r="X72" s="41"/>
      <c r="Y72" s="41"/>
      <c r="Z72" s="41"/>
      <c r="AA72" s="42"/>
    </row>
    <row r="73" spans="2:29" ht="6" customHeight="1" x14ac:dyDescent="0.2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1"/>
      <c r="R73" s="10"/>
      <c r="S73" s="10"/>
      <c r="T73" s="10"/>
      <c r="U73" s="26"/>
      <c r="V73" s="27"/>
      <c r="W73" s="23"/>
      <c r="X73" s="23"/>
      <c r="Y73" s="23"/>
      <c r="Z73" s="23"/>
      <c r="AA73" s="37"/>
    </row>
    <row r="74" spans="2:29" ht="15" customHeight="1" x14ac:dyDescent="0.25">
      <c r="B74" s="96" t="str">
        <f>IF(S74="","",IF(B66="","",1+B66))</f>
        <v/>
      </c>
      <c r="C74" s="3"/>
      <c r="E74" s="13" t="str">
        <f>IF(F74="","",IF(F74=0,"","L="))</f>
        <v/>
      </c>
      <c r="F74" s="97"/>
      <c r="G74" s="97"/>
      <c r="H74" s="14" t="str">
        <f>IF(F74="","",IF(F74=0,"","m"))</f>
        <v/>
      </c>
      <c r="K74" s="13" t="str">
        <f>IF(L74="","",IF(L74=0,"","L="))</f>
        <v/>
      </c>
      <c r="L74" s="97"/>
      <c r="M74" s="97"/>
      <c r="N74" s="14" t="str">
        <f>IF(L74="","",IF(L74=0,"","m"))</f>
        <v/>
      </c>
      <c r="Q74" s="2"/>
      <c r="R74" s="106" t="str">
        <f>IF(OR(S74="入力ｴﾗｰ",S74=0,S74="")=TRUE,"",IF(F74="","甲",IF(F74=0,"甲","")))</f>
        <v/>
      </c>
      <c r="S74" s="101" t="str">
        <f>IF((F74+I79+L74+O79)=0,"",IF((F74+I79+L74+O79)&gt;SUM($AC$1:$AC$3),"入力ｴﾗｰ",SUM($AC$1:$AC$3)-(F74+I79+L74+O79)))</f>
        <v/>
      </c>
      <c r="T74" s="102" t="str">
        <f>IF(S74="","",IF(S74="入力ｴﾗｰ","","m"))</f>
        <v/>
      </c>
      <c r="U74" s="130" t="str">
        <f>IF(B74="","",COUNT(F74,I79,L74,O79)-IF(S74=0,1,0))</f>
        <v/>
      </c>
      <c r="V74" s="127"/>
      <c r="W74" s="103"/>
      <c r="X74" s="103"/>
      <c r="Y74" s="103"/>
      <c r="Z74" s="103"/>
      <c r="AA74" s="99"/>
    </row>
    <row r="75" spans="2:29" ht="3" customHeight="1" x14ac:dyDescent="0.25">
      <c r="B75" s="96"/>
      <c r="C75" s="3"/>
      <c r="G75" s="3"/>
      <c r="H75" s="2"/>
      <c r="K75" s="3"/>
      <c r="L75" s="2"/>
      <c r="M75" s="3"/>
      <c r="N75" s="2"/>
      <c r="Q75" s="2"/>
      <c r="R75" s="106"/>
      <c r="S75" s="101"/>
      <c r="T75" s="102"/>
      <c r="U75" s="130"/>
      <c r="V75" s="127"/>
      <c r="W75" s="103"/>
      <c r="X75" s="103"/>
      <c r="Y75" s="103"/>
      <c r="Z75" s="103"/>
      <c r="AA75" s="99"/>
    </row>
    <row r="76" spans="2:29" ht="3" customHeight="1" x14ac:dyDescent="0.25">
      <c r="B76" s="96"/>
      <c r="C76" s="3"/>
      <c r="E76" s="4"/>
      <c r="F76" s="4"/>
      <c r="G76" s="5"/>
      <c r="H76" s="55"/>
      <c r="I76" s="4"/>
      <c r="J76" s="4"/>
      <c r="K76" s="5"/>
      <c r="L76" s="2"/>
      <c r="M76" s="5"/>
      <c r="N76" s="55"/>
      <c r="O76" s="4"/>
      <c r="P76" s="4"/>
      <c r="Q76" s="2"/>
      <c r="R76" s="106"/>
      <c r="S76" s="101"/>
      <c r="T76" s="102"/>
      <c r="U76" s="130"/>
      <c r="V76" s="127"/>
      <c r="W76" s="103"/>
      <c r="X76" s="103"/>
      <c r="Y76" s="103"/>
      <c r="Z76" s="103"/>
      <c r="AA76" s="99"/>
    </row>
    <row r="77" spans="2:29" ht="3" customHeight="1" x14ac:dyDescent="0.25">
      <c r="B77" s="96"/>
      <c r="C77" s="3"/>
      <c r="E77" s="6"/>
      <c r="F77" s="6"/>
      <c r="G77" s="7"/>
      <c r="H77" s="8"/>
      <c r="I77" s="6"/>
      <c r="J77" s="6"/>
      <c r="K77" s="7"/>
      <c r="L77" s="8"/>
      <c r="M77" s="7"/>
      <c r="N77" s="8"/>
      <c r="O77" s="6"/>
      <c r="P77" s="6"/>
      <c r="Q77" s="2"/>
      <c r="R77" s="105" t="str">
        <f>IF(R74="甲","",IF(OR(S74=0,S74="")=TRUE,"",IF(S74="入力ｴﾗｰ","","乙")))</f>
        <v/>
      </c>
      <c r="S77" s="101"/>
      <c r="U77" s="130"/>
      <c r="V77" s="127"/>
      <c r="W77" s="103"/>
      <c r="X77" s="103"/>
      <c r="Y77" s="103"/>
      <c r="Z77" s="103"/>
      <c r="AA77" s="99"/>
    </row>
    <row r="78" spans="2:29" ht="3" customHeight="1" x14ac:dyDescent="0.25">
      <c r="B78" s="96"/>
      <c r="C78" s="3"/>
      <c r="G78" s="3"/>
      <c r="H78" s="2"/>
      <c r="K78" s="3"/>
      <c r="L78" s="2"/>
      <c r="M78" s="3"/>
      <c r="N78" s="2"/>
      <c r="Q78" s="2"/>
      <c r="R78" s="105"/>
      <c r="S78" s="101"/>
      <c r="U78" s="130"/>
      <c r="V78" s="127"/>
      <c r="W78" s="103"/>
      <c r="X78" s="103"/>
      <c r="Y78" s="103"/>
      <c r="Z78" s="103"/>
      <c r="AA78" s="99"/>
    </row>
    <row r="79" spans="2:29" ht="15" customHeight="1" x14ac:dyDescent="0.25">
      <c r="B79" s="96"/>
      <c r="C79" s="3"/>
      <c r="H79" s="13" t="str">
        <f>IF(I79="","",IF(I79=0,"","L="))</f>
        <v/>
      </c>
      <c r="I79" s="97"/>
      <c r="J79" s="97"/>
      <c r="K79" s="14" t="str">
        <f>IF(I79="","",IF(I79=0,"","m"))</f>
        <v/>
      </c>
      <c r="N79" s="13" t="str">
        <f>IF(O79="","",IF(O79=0,"","L="))</f>
        <v/>
      </c>
      <c r="O79" s="97"/>
      <c r="P79" s="97"/>
      <c r="Q79" s="24" t="str">
        <f>IF(O79="","",IF(O79=0,"","m"))</f>
        <v/>
      </c>
      <c r="R79" s="105"/>
      <c r="S79" s="101"/>
      <c r="U79" s="130"/>
      <c r="V79" s="127"/>
      <c r="W79" s="103"/>
      <c r="X79" s="103"/>
      <c r="Y79" s="103"/>
      <c r="Z79" s="103"/>
      <c r="AA79" s="99"/>
      <c r="AC79" s="1">
        <f>IF(U74="",0,IF(U74&gt;SUM(V74:AA79),U74-SUM(V74:AA79),0))</f>
        <v>0</v>
      </c>
    </row>
    <row r="80" spans="2:29" ht="6" customHeight="1" x14ac:dyDescent="0.2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7"/>
      <c r="R80" s="16"/>
      <c r="S80" s="16"/>
      <c r="T80" s="16"/>
      <c r="U80" s="39"/>
      <c r="V80" s="40"/>
      <c r="W80" s="41"/>
      <c r="X80" s="41"/>
      <c r="Y80" s="41"/>
      <c r="Z80" s="41"/>
      <c r="AA80" s="42"/>
    </row>
    <row r="81" spans="2:29" ht="6" customHeight="1" x14ac:dyDescent="0.2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1"/>
      <c r="R81" s="10"/>
      <c r="S81" s="10"/>
      <c r="T81" s="10"/>
      <c r="U81" s="26"/>
      <c r="V81" s="27"/>
      <c r="W81" s="23"/>
      <c r="X81" s="23"/>
      <c r="Y81" s="23"/>
      <c r="Z81" s="23"/>
      <c r="AA81" s="37"/>
    </row>
    <row r="82" spans="2:29" ht="15" customHeight="1" x14ac:dyDescent="0.25">
      <c r="B82" s="96" t="str">
        <f>IF(S82="","",IF(B74="","",1+B74))</f>
        <v/>
      </c>
      <c r="C82" s="3"/>
      <c r="E82" s="13" t="str">
        <f>IF(F82="","",IF(F82=0,"","L="))</f>
        <v/>
      </c>
      <c r="F82" s="97"/>
      <c r="G82" s="97"/>
      <c r="H82" s="14" t="str">
        <f>IF(F82="","",IF(F82=0,"","m"))</f>
        <v/>
      </c>
      <c r="K82" s="13" t="str">
        <f>IF(L82="","",IF(L82=0,"","L="))</f>
        <v/>
      </c>
      <c r="L82" s="97"/>
      <c r="M82" s="97"/>
      <c r="N82" s="14" t="str">
        <f>IF(L82="","",IF(L82=0,"","m"))</f>
        <v/>
      </c>
      <c r="Q82" s="2"/>
      <c r="R82" s="106" t="str">
        <f>IF(OR(S82="入力ｴﾗｰ",S82=0,S82="")=TRUE,"",IF(F82="","甲",IF(F82=0,"甲","")))</f>
        <v/>
      </c>
      <c r="S82" s="101" t="str">
        <f>IF((F82+I87+L82+O87)=0,"",IF((F82+I87+L82+O87)&gt;SUM($AC$1:$AC$3),"入力ｴﾗｰ",SUM($AC$1:$AC$3)-(F82+I87+L82+O87)))</f>
        <v/>
      </c>
      <c r="T82" s="102" t="str">
        <f>IF(S82="","",IF(S82="入力ｴﾗｰ","","m"))</f>
        <v/>
      </c>
      <c r="U82" s="130" t="str">
        <f>IF(B82="","",COUNT(F82,I87,L82,O87)-IF(S82=0,1,0))</f>
        <v/>
      </c>
      <c r="V82" s="127"/>
      <c r="W82" s="103"/>
      <c r="X82" s="103"/>
      <c r="Y82" s="103"/>
      <c r="Z82" s="103"/>
      <c r="AA82" s="99"/>
    </row>
    <row r="83" spans="2:29" ht="3" customHeight="1" x14ac:dyDescent="0.25">
      <c r="B83" s="96"/>
      <c r="C83" s="3"/>
      <c r="G83" s="3"/>
      <c r="H83" s="2"/>
      <c r="K83" s="3"/>
      <c r="L83" s="2"/>
      <c r="M83" s="3"/>
      <c r="N83" s="2"/>
      <c r="Q83" s="2"/>
      <c r="R83" s="106"/>
      <c r="S83" s="101"/>
      <c r="T83" s="102"/>
      <c r="U83" s="130"/>
      <c r="V83" s="127"/>
      <c r="W83" s="103"/>
      <c r="X83" s="103"/>
      <c r="Y83" s="103"/>
      <c r="Z83" s="103"/>
      <c r="AA83" s="99"/>
    </row>
    <row r="84" spans="2:29" ht="3" customHeight="1" x14ac:dyDescent="0.25">
      <c r="B84" s="96"/>
      <c r="C84" s="3"/>
      <c r="E84" s="4"/>
      <c r="F84" s="4"/>
      <c r="G84" s="5"/>
      <c r="H84" s="55"/>
      <c r="I84" s="4"/>
      <c r="J84" s="4"/>
      <c r="K84" s="5"/>
      <c r="L84" s="2"/>
      <c r="M84" s="5"/>
      <c r="N84" s="55"/>
      <c r="O84" s="4"/>
      <c r="P84" s="4"/>
      <c r="Q84" s="2"/>
      <c r="R84" s="106"/>
      <c r="S84" s="101"/>
      <c r="T84" s="102"/>
      <c r="U84" s="130"/>
      <c r="V84" s="127"/>
      <c r="W84" s="103"/>
      <c r="X84" s="103"/>
      <c r="Y84" s="103"/>
      <c r="Z84" s="103"/>
      <c r="AA84" s="99"/>
    </row>
    <row r="85" spans="2:29" ht="3" customHeight="1" x14ac:dyDescent="0.25">
      <c r="B85" s="96"/>
      <c r="C85" s="3"/>
      <c r="E85" s="6"/>
      <c r="F85" s="6"/>
      <c r="G85" s="7"/>
      <c r="H85" s="8"/>
      <c r="I85" s="6"/>
      <c r="J85" s="6"/>
      <c r="K85" s="7"/>
      <c r="L85" s="8"/>
      <c r="M85" s="7"/>
      <c r="N85" s="8"/>
      <c r="O85" s="6"/>
      <c r="P85" s="6"/>
      <c r="Q85" s="2"/>
      <c r="R85" s="105" t="str">
        <f>IF(R82="甲","",IF(OR(S82=0,S82="")=TRUE,"",IF(S82="入力ｴﾗｰ","","乙")))</f>
        <v/>
      </c>
      <c r="S85" s="101"/>
      <c r="U85" s="130"/>
      <c r="V85" s="127"/>
      <c r="W85" s="103"/>
      <c r="X85" s="103"/>
      <c r="Y85" s="103"/>
      <c r="Z85" s="103"/>
      <c r="AA85" s="99"/>
    </row>
    <row r="86" spans="2:29" ht="3" customHeight="1" x14ac:dyDescent="0.25">
      <c r="B86" s="96"/>
      <c r="C86" s="3"/>
      <c r="G86" s="3"/>
      <c r="H86" s="2"/>
      <c r="K86" s="3"/>
      <c r="L86" s="2"/>
      <c r="M86" s="3"/>
      <c r="N86" s="2"/>
      <c r="Q86" s="2"/>
      <c r="R86" s="105"/>
      <c r="S86" s="101"/>
      <c r="U86" s="130"/>
      <c r="V86" s="127"/>
      <c r="W86" s="103"/>
      <c r="X86" s="103"/>
      <c r="Y86" s="103"/>
      <c r="Z86" s="103"/>
      <c r="AA86" s="99"/>
    </row>
    <row r="87" spans="2:29" ht="15" customHeight="1" x14ac:dyDescent="0.25">
      <c r="B87" s="96"/>
      <c r="C87" s="3"/>
      <c r="H87" s="13" t="str">
        <f>IF(I87="","",IF(I87=0,"","L="))</f>
        <v/>
      </c>
      <c r="I87" s="97"/>
      <c r="J87" s="97"/>
      <c r="K87" s="14" t="str">
        <f>IF(I87="","",IF(I87=0,"","m"))</f>
        <v/>
      </c>
      <c r="N87" s="13" t="str">
        <f>IF(O87="","",IF(O87=0,"","L="))</f>
        <v/>
      </c>
      <c r="O87" s="97"/>
      <c r="P87" s="97"/>
      <c r="Q87" s="24" t="str">
        <f>IF(O87="","",IF(O87=0,"","m"))</f>
        <v/>
      </c>
      <c r="R87" s="105"/>
      <c r="S87" s="101"/>
      <c r="U87" s="130"/>
      <c r="V87" s="127"/>
      <c r="W87" s="103"/>
      <c r="X87" s="103"/>
      <c r="Y87" s="103"/>
      <c r="Z87" s="103"/>
      <c r="AA87" s="99"/>
      <c r="AC87" s="1">
        <f>IF(U82="",0,IF(U82&gt;SUM(V82:AA87),U82-SUM(V82:AA87),0))</f>
        <v>0</v>
      </c>
    </row>
    <row r="88" spans="2:29" ht="6" customHeight="1" x14ac:dyDescent="0.2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/>
      <c r="R88" s="16"/>
      <c r="S88" s="16"/>
      <c r="T88" s="16"/>
      <c r="U88" s="39"/>
      <c r="V88" s="40"/>
      <c r="W88" s="41"/>
      <c r="X88" s="41"/>
      <c r="Y88" s="41"/>
      <c r="Z88" s="41"/>
      <c r="AA88" s="42"/>
    </row>
    <row r="89" spans="2:29" ht="6" customHeight="1" x14ac:dyDescent="0.2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1"/>
      <c r="R89" s="10"/>
      <c r="S89" s="10"/>
      <c r="T89" s="10"/>
      <c r="U89" s="26"/>
      <c r="V89" s="27"/>
      <c r="W89" s="23"/>
      <c r="X89" s="23"/>
      <c r="Y89" s="23"/>
      <c r="Z89" s="23"/>
      <c r="AA89" s="37"/>
    </row>
    <row r="90" spans="2:29" ht="15" customHeight="1" x14ac:dyDescent="0.25">
      <c r="B90" s="96" t="str">
        <f>IF(S90="","",IF(B82="","",1+B82))</f>
        <v/>
      </c>
      <c r="C90" s="3"/>
      <c r="E90" s="13" t="str">
        <f>IF(F90="","",IF(F90=0,"","L="))</f>
        <v/>
      </c>
      <c r="F90" s="97"/>
      <c r="G90" s="97"/>
      <c r="H90" s="14" t="str">
        <f>IF(F90="","",IF(F90=0,"","m"))</f>
        <v/>
      </c>
      <c r="K90" s="13" t="str">
        <f>IF(L90="","",IF(L90=0,"","L="))</f>
        <v/>
      </c>
      <c r="L90" s="97"/>
      <c r="M90" s="97"/>
      <c r="N90" s="14" t="str">
        <f>IF(L90="","",IF(L90=0,"","m"))</f>
        <v/>
      </c>
      <c r="Q90" s="2"/>
      <c r="R90" s="106" t="str">
        <f>IF(OR(S90="入力ｴﾗｰ",S90=0,S90="")=TRUE,"",IF(F90="","甲",IF(F90=0,"甲","")))</f>
        <v/>
      </c>
      <c r="S90" s="101" t="str">
        <f>IF((F90+I95+L90+O95)=0,"",IF((F90+I95+L90+O95)&gt;SUM($AC$1:$AC$3),"入力ｴﾗｰ",SUM($AC$1:$AC$3)-(F90+I95+L90+O95)))</f>
        <v/>
      </c>
      <c r="T90" s="102" t="str">
        <f>IF(S90="","",IF(S90="入力ｴﾗｰ","","m"))</f>
        <v/>
      </c>
      <c r="U90" s="130" t="str">
        <f>IF(B90="","",COUNT(F90,I95,L90,O95)-IF(S90=0,1,0))</f>
        <v/>
      </c>
      <c r="V90" s="127"/>
      <c r="W90" s="103"/>
      <c r="X90" s="103"/>
      <c r="Y90" s="103"/>
      <c r="Z90" s="103"/>
      <c r="AA90" s="99"/>
    </row>
    <row r="91" spans="2:29" ht="3" customHeight="1" x14ac:dyDescent="0.25">
      <c r="B91" s="96"/>
      <c r="C91" s="3"/>
      <c r="G91" s="3"/>
      <c r="H91" s="2"/>
      <c r="K91" s="3"/>
      <c r="L91" s="2"/>
      <c r="M91" s="3"/>
      <c r="N91" s="2"/>
      <c r="Q91" s="2"/>
      <c r="R91" s="106"/>
      <c r="S91" s="101"/>
      <c r="T91" s="102"/>
      <c r="U91" s="130"/>
      <c r="V91" s="127"/>
      <c r="W91" s="103"/>
      <c r="X91" s="103"/>
      <c r="Y91" s="103"/>
      <c r="Z91" s="103"/>
      <c r="AA91" s="99"/>
    </row>
    <row r="92" spans="2:29" ht="3" customHeight="1" x14ac:dyDescent="0.25">
      <c r="B92" s="96"/>
      <c r="C92" s="3"/>
      <c r="E92" s="4"/>
      <c r="F92" s="4"/>
      <c r="G92" s="5"/>
      <c r="H92" s="55"/>
      <c r="I92" s="4"/>
      <c r="J92" s="4"/>
      <c r="K92" s="5"/>
      <c r="L92" s="2"/>
      <c r="M92" s="5"/>
      <c r="N92" s="55"/>
      <c r="O92" s="4"/>
      <c r="P92" s="4"/>
      <c r="Q92" s="2"/>
      <c r="R92" s="106"/>
      <c r="S92" s="101"/>
      <c r="T92" s="102"/>
      <c r="U92" s="130"/>
      <c r="V92" s="127"/>
      <c r="W92" s="103"/>
      <c r="X92" s="103"/>
      <c r="Y92" s="103"/>
      <c r="Z92" s="103"/>
      <c r="AA92" s="99"/>
    </row>
    <row r="93" spans="2:29" ht="3" customHeight="1" x14ac:dyDescent="0.25">
      <c r="B93" s="96"/>
      <c r="C93" s="3"/>
      <c r="E93" s="6"/>
      <c r="F93" s="6"/>
      <c r="G93" s="7"/>
      <c r="H93" s="8"/>
      <c r="I93" s="6"/>
      <c r="J93" s="6"/>
      <c r="K93" s="7"/>
      <c r="L93" s="8"/>
      <c r="M93" s="7"/>
      <c r="N93" s="8"/>
      <c r="O93" s="6"/>
      <c r="P93" s="6"/>
      <c r="Q93" s="2"/>
      <c r="R93" s="105" t="str">
        <f>IF(R90="甲","",IF(OR(S90=0,S90="")=TRUE,"",IF(S90="入力ｴﾗｰ","","乙")))</f>
        <v/>
      </c>
      <c r="S93" s="101"/>
      <c r="U93" s="130"/>
      <c r="V93" s="127"/>
      <c r="W93" s="103"/>
      <c r="X93" s="103"/>
      <c r="Y93" s="103"/>
      <c r="Z93" s="103"/>
      <c r="AA93" s="99"/>
    </row>
    <row r="94" spans="2:29" ht="3" customHeight="1" x14ac:dyDescent="0.25">
      <c r="B94" s="96"/>
      <c r="C94" s="3"/>
      <c r="G94" s="3"/>
      <c r="H94" s="2"/>
      <c r="K94" s="3"/>
      <c r="L94" s="2"/>
      <c r="M94" s="3"/>
      <c r="N94" s="2"/>
      <c r="Q94" s="2"/>
      <c r="R94" s="105"/>
      <c r="S94" s="101"/>
      <c r="U94" s="130"/>
      <c r="V94" s="127"/>
      <c r="W94" s="103"/>
      <c r="X94" s="103"/>
      <c r="Y94" s="103"/>
      <c r="Z94" s="103"/>
      <c r="AA94" s="99"/>
    </row>
    <row r="95" spans="2:29" ht="15" customHeight="1" x14ac:dyDescent="0.25">
      <c r="B95" s="96"/>
      <c r="C95" s="3"/>
      <c r="H95" s="13" t="str">
        <f>IF(I95="","",IF(I95=0,"","L="))</f>
        <v/>
      </c>
      <c r="I95" s="97"/>
      <c r="J95" s="97"/>
      <c r="K95" s="14" t="str">
        <f>IF(I95="","",IF(I95=0,"","m"))</f>
        <v/>
      </c>
      <c r="N95" s="13" t="str">
        <f>IF(O95="","",IF(O95=0,"","L="))</f>
        <v/>
      </c>
      <c r="O95" s="97"/>
      <c r="P95" s="97"/>
      <c r="Q95" s="24" t="str">
        <f>IF(O95="","",IF(O95=0,"","m"))</f>
        <v/>
      </c>
      <c r="R95" s="105"/>
      <c r="S95" s="101"/>
      <c r="U95" s="130"/>
      <c r="V95" s="127"/>
      <c r="W95" s="103"/>
      <c r="X95" s="103"/>
      <c r="Y95" s="103"/>
      <c r="Z95" s="103"/>
      <c r="AA95" s="99"/>
      <c r="AC95" s="1">
        <f>IF(U90="",0,IF(U90&gt;SUM(V90:AA95),U90-SUM(V90:AA95),0))</f>
        <v>0</v>
      </c>
    </row>
    <row r="96" spans="2:29" ht="6" customHeight="1" x14ac:dyDescent="0.2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7"/>
      <c r="R96" s="16"/>
      <c r="S96" s="16"/>
      <c r="T96" s="16"/>
      <c r="U96" s="39"/>
      <c r="V96" s="40"/>
      <c r="W96" s="41"/>
      <c r="X96" s="41"/>
      <c r="Y96" s="41"/>
      <c r="Z96" s="41"/>
      <c r="AA96" s="42"/>
    </row>
    <row r="97" spans="2:29" ht="6" customHeight="1" x14ac:dyDescent="0.2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1"/>
      <c r="R97" s="10"/>
      <c r="S97" s="10"/>
      <c r="T97" s="10"/>
      <c r="U97" s="26"/>
      <c r="V97" s="27"/>
      <c r="W97" s="23"/>
      <c r="X97" s="23"/>
      <c r="Y97" s="23"/>
      <c r="Z97" s="23"/>
      <c r="AA97" s="37"/>
    </row>
    <row r="98" spans="2:29" ht="15" customHeight="1" x14ac:dyDescent="0.25">
      <c r="B98" s="96" t="str">
        <f>IF(S98="","",IF(B90="","",1+B90))</f>
        <v/>
      </c>
      <c r="C98" s="3"/>
      <c r="E98" s="13" t="str">
        <f>IF(F98="","",IF(F98=0,"","L="))</f>
        <v/>
      </c>
      <c r="F98" s="97"/>
      <c r="G98" s="97"/>
      <c r="H98" s="14" t="str">
        <f>IF(F98="","",IF(F98=0,"","m"))</f>
        <v/>
      </c>
      <c r="K98" s="13" t="str">
        <f>IF(L98="","",IF(L98=0,"","L="))</f>
        <v/>
      </c>
      <c r="L98" s="97"/>
      <c r="M98" s="97"/>
      <c r="N98" s="14" t="str">
        <f>IF(L98="","",IF(L98=0,"","m"))</f>
        <v/>
      </c>
      <c r="Q98" s="2"/>
      <c r="R98" s="106" t="str">
        <f>IF(OR(S98="入力ｴﾗｰ",S98=0,S98="")=TRUE,"",IF(F98="","甲",IF(F98=0,"甲","")))</f>
        <v/>
      </c>
      <c r="S98" s="101" t="str">
        <f>IF((F98+I103+L98+O103)=0,"",IF((F98+I103+L98+O103)&gt;SUM($AC$1:$AC$3),"入力ｴﾗｰ",SUM($AC$1:$AC$3)-(F98+I103+L98+O103)))</f>
        <v/>
      </c>
      <c r="T98" s="102" t="str">
        <f>IF(S98="","",IF(S98="入力ｴﾗｰ","","m"))</f>
        <v/>
      </c>
      <c r="U98" s="130" t="str">
        <f>IF(B98="","",COUNT(F98,I103,L98,O103)-IF(S98=0,1,0))</f>
        <v/>
      </c>
      <c r="V98" s="127"/>
      <c r="W98" s="103"/>
      <c r="X98" s="103"/>
      <c r="Y98" s="103"/>
      <c r="Z98" s="103"/>
      <c r="AA98" s="99"/>
    </row>
    <row r="99" spans="2:29" ht="3" customHeight="1" x14ac:dyDescent="0.25">
      <c r="B99" s="96"/>
      <c r="C99" s="3"/>
      <c r="G99" s="3"/>
      <c r="H99" s="2"/>
      <c r="K99" s="3"/>
      <c r="L99" s="2"/>
      <c r="M99" s="3"/>
      <c r="N99" s="2"/>
      <c r="Q99" s="2"/>
      <c r="R99" s="106"/>
      <c r="S99" s="101"/>
      <c r="T99" s="102"/>
      <c r="U99" s="130"/>
      <c r="V99" s="127"/>
      <c r="W99" s="103"/>
      <c r="X99" s="103"/>
      <c r="Y99" s="103"/>
      <c r="Z99" s="103"/>
      <c r="AA99" s="99"/>
    </row>
    <row r="100" spans="2:29" ht="3" customHeight="1" x14ac:dyDescent="0.25">
      <c r="B100" s="96"/>
      <c r="C100" s="3"/>
      <c r="E100" s="4"/>
      <c r="F100" s="4"/>
      <c r="G100" s="5"/>
      <c r="H100" s="55"/>
      <c r="I100" s="4"/>
      <c r="J100" s="4"/>
      <c r="K100" s="5"/>
      <c r="L100" s="2"/>
      <c r="M100" s="5"/>
      <c r="N100" s="55"/>
      <c r="O100" s="4"/>
      <c r="P100" s="4"/>
      <c r="Q100" s="2"/>
      <c r="R100" s="106"/>
      <c r="S100" s="101"/>
      <c r="T100" s="102"/>
      <c r="U100" s="130"/>
      <c r="V100" s="127"/>
      <c r="W100" s="103"/>
      <c r="X100" s="103"/>
      <c r="Y100" s="103"/>
      <c r="Z100" s="103"/>
      <c r="AA100" s="99"/>
    </row>
    <row r="101" spans="2:29" ht="3" customHeight="1" x14ac:dyDescent="0.25">
      <c r="B101" s="96"/>
      <c r="C101" s="3"/>
      <c r="E101" s="6"/>
      <c r="F101" s="6"/>
      <c r="G101" s="7"/>
      <c r="H101" s="8"/>
      <c r="I101" s="6"/>
      <c r="J101" s="6"/>
      <c r="K101" s="7"/>
      <c r="L101" s="8"/>
      <c r="M101" s="7"/>
      <c r="N101" s="8"/>
      <c r="O101" s="6"/>
      <c r="P101" s="6"/>
      <c r="Q101" s="2"/>
      <c r="R101" s="105" t="str">
        <f>IF(R98="甲","",IF(OR(S98=0,S98="")=TRUE,"",IF(S98="入力ｴﾗｰ","","乙")))</f>
        <v/>
      </c>
      <c r="S101" s="101"/>
      <c r="U101" s="130"/>
      <c r="V101" s="127"/>
      <c r="W101" s="103"/>
      <c r="X101" s="103"/>
      <c r="Y101" s="103"/>
      <c r="Z101" s="103"/>
      <c r="AA101" s="99"/>
    </row>
    <row r="102" spans="2:29" ht="3" customHeight="1" x14ac:dyDescent="0.25">
      <c r="B102" s="96"/>
      <c r="C102" s="3"/>
      <c r="G102" s="3"/>
      <c r="H102" s="2"/>
      <c r="K102" s="3"/>
      <c r="L102" s="2"/>
      <c r="M102" s="3"/>
      <c r="N102" s="2"/>
      <c r="Q102" s="2"/>
      <c r="R102" s="105"/>
      <c r="S102" s="101"/>
      <c r="U102" s="130"/>
      <c r="V102" s="127"/>
      <c r="W102" s="103"/>
      <c r="X102" s="103"/>
      <c r="Y102" s="103"/>
      <c r="Z102" s="103"/>
      <c r="AA102" s="99"/>
    </row>
    <row r="103" spans="2:29" ht="15" customHeight="1" x14ac:dyDescent="0.25">
      <c r="B103" s="96"/>
      <c r="C103" s="3"/>
      <c r="H103" s="13" t="str">
        <f>IF(I103="","",IF(I103=0,"","L="))</f>
        <v/>
      </c>
      <c r="I103" s="97"/>
      <c r="J103" s="97"/>
      <c r="K103" s="14" t="str">
        <f>IF(I103="","",IF(I103=0,"","m"))</f>
        <v/>
      </c>
      <c r="N103" s="13" t="str">
        <f>IF(O103="","",IF(O103=0,"","L="))</f>
        <v/>
      </c>
      <c r="O103" s="97"/>
      <c r="P103" s="97"/>
      <c r="Q103" s="24" t="str">
        <f>IF(O103="","",IF(O103=0,"","m"))</f>
        <v/>
      </c>
      <c r="R103" s="105"/>
      <c r="S103" s="101"/>
      <c r="U103" s="130"/>
      <c r="V103" s="127"/>
      <c r="W103" s="103"/>
      <c r="X103" s="103"/>
      <c r="Y103" s="103"/>
      <c r="Z103" s="103"/>
      <c r="AA103" s="99"/>
      <c r="AC103" s="1">
        <f>IF(U98="",0,IF(U98&gt;SUM(V98:AA103),U98-SUM(V98:AA103),0))</f>
        <v>0</v>
      </c>
    </row>
    <row r="104" spans="2:29" ht="6" customHeight="1" x14ac:dyDescent="0.2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7"/>
      <c r="R104" s="16"/>
      <c r="S104" s="16"/>
      <c r="T104" s="16"/>
      <c r="U104" s="39"/>
      <c r="V104" s="40"/>
      <c r="W104" s="41"/>
      <c r="X104" s="41"/>
      <c r="Y104" s="41"/>
      <c r="Z104" s="41"/>
      <c r="AA104" s="42"/>
    </row>
    <row r="105" spans="2:29" ht="6" customHeight="1" x14ac:dyDescent="0.2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1"/>
      <c r="R105" s="10"/>
      <c r="S105" s="10"/>
      <c r="T105" s="10"/>
      <c r="U105" s="26"/>
      <c r="V105" s="27"/>
      <c r="W105" s="23"/>
      <c r="X105" s="23"/>
      <c r="Y105" s="23"/>
      <c r="Z105" s="23"/>
      <c r="AA105" s="37"/>
    </row>
    <row r="106" spans="2:29" ht="15" customHeight="1" x14ac:dyDescent="0.25">
      <c r="B106" s="96"/>
      <c r="C106" s="3"/>
      <c r="E106" s="13" t="str">
        <f>IF(F106="","",IF(F106=0,"","L="))</f>
        <v/>
      </c>
      <c r="F106" s="97"/>
      <c r="G106" s="97"/>
      <c r="H106" s="14" t="str">
        <f>IF(F106="","",IF(F106=0,"","m"))</f>
        <v/>
      </c>
      <c r="K106" s="13" t="str">
        <f>IF(L106="","",IF(L106=0,"","L="))</f>
        <v/>
      </c>
      <c r="L106" s="97"/>
      <c r="M106" s="97"/>
      <c r="N106" s="14" t="str">
        <f>IF(L106="","",IF(L106=0,"","m"))</f>
        <v/>
      </c>
      <c r="Q106" s="2"/>
      <c r="R106" s="106" t="str">
        <f>IF(OR(S106="入力ｴﾗｰ",S106=0,S106="")=TRUE,"",IF(F106="","甲",IF(F106=0,"甲","")))</f>
        <v/>
      </c>
      <c r="S106" s="101" t="str">
        <f>IF((F106+I111+L106+O111)=0,"",IF((F106+I111+L106+O111)&gt;SUM($AC$1:$AC$3),"入力ｴﾗｰ",SUM($AC$1:$AC$3)-(F106+I111+L106+O111)))</f>
        <v/>
      </c>
      <c r="T106" s="102" t="str">
        <f>IF(S106="","",IF(S106="入力ｴﾗｰ","","m"))</f>
        <v/>
      </c>
      <c r="U106" s="130" t="str">
        <f>IF(B106="","",COUNT(F106,I111,L106,O111)-IF(S106=0,1,0))</f>
        <v/>
      </c>
      <c r="V106" s="127"/>
      <c r="W106" s="103"/>
      <c r="X106" s="103"/>
      <c r="Y106" s="103"/>
      <c r="Z106" s="103"/>
      <c r="AA106" s="99"/>
    </row>
    <row r="107" spans="2:29" ht="3" customHeight="1" x14ac:dyDescent="0.25">
      <c r="B107" s="96"/>
      <c r="C107" s="3"/>
      <c r="G107" s="3"/>
      <c r="H107" s="2"/>
      <c r="K107" s="3"/>
      <c r="L107" s="2"/>
      <c r="M107" s="3"/>
      <c r="N107" s="2"/>
      <c r="Q107" s="2"/>
      <c r="R107" s="106"/>
      <c r="S107" s="101"/>
      <c r="T107" s="102"/>
      <c r="U107" s="130"/>
      <c r="V107" s="127"/>
      <c r="W107" s="103"/>
      <c r="X107" s="103"/>
      <c r="Y107" s="103"/>
      <c r="Z107" s="103"/>
      <c r="AA107" s="99"/>
    </row>
    <row r="108" spans="2:29" ht="3" customHeight="1" x14ac:dyDescent="0.25">
      <c r="B108" s="96"/>
      <c r="C108" s="3"/>
      <c r="E108" s="4"/>
      <c r="F108" s="4"/>
      <c r="G108" s="5"/>
      <c r="H108" s="55"/>
      <c r="I108" s="4"/>
      <c r="J108" s="4"/>
      <c r="K108" s="5"/>
      <c r="L108" s="2"/>
      <c r="M108" s="5"/>
      <c r="N108" s="55"/>
      <c r="O108" s="4"/>
      <c r="P108" s="4"/>
      <c r="Q108" s="2"/>
      <c r="R108" s="106"/>
      <c r="S108" s="101"/>
      <c r="T108" s="102"/>
      <c r="U108" s="130"/>
      <c r="V108" s="127"/>
      <c r="W108" s="103"/>
      <c r="X108" s="103"/>
      <c r="Y108" s="103"/>
      <c r="Z108" s="103"/>
      <c r="AA108" s="99"/>
    </row>
    <row r="109" spans="2:29" ht="3" customHeight="1" x14ac:dyDescent="0.25">
      <c r="B109" s="96"/>
      <c r="C109" s="3"/>
      <c r="E109" s="6"/>
      <c r="F109" s="6"/>
      <c r="G109" s="7"/>
      <c r="H109" s="8"/>
      <c r="I109" s="6"/>
      <c r="J109" s="6"/>
      <c r="K109" s="7"/>
      <c r="L109" s="8"/>
      <c r="M109" s="7"/>
      <c r="N109" s="8"/>
      <c r="O109" s="6"/>
      <c r="P109" s="6"/>
      <c r="Q109" s="2"/>
      <c r="R109" s="105" t="str">
        <f>IF(R106="甲","",IF(OR(S106=0,S106="")=TRUE,"",IF(S106="入力ｴﾗｰ","","乙")))</f>
        <v/>
      </c>
      <c r="S109" s="101"/>
      <c r="U109" s="130"/>
      <c r="V109" s="127"/>
      <c r="W109" s="103"/>
      <c r="X109" s="103"/>
      <c r="Y109" s="103"/>
      <c r="Z109" s="103"/>
      <c r="AA109" s="99"/>
    </row>
    <row r="110" spans="2:29" ht="3" customHeight="1" x14ac:dyDescent="0.25">
      <c r="B110" s="96"/>
      <c r="C110" s="3"/>
      <c r="G110" s="3"/>
      <c r="H110" s="2"/>
      <c r="K110" s="3"/>
      <c r="L110" s="2"/>
      <c r="M110" s="3"/>
      <c r="N110" s="2"/>
      <c r="Q110" s="2"/>
      <c r="R110" s="105"/>
      <c r="S110" s="101"/>
      <c r="U110" s="130"/>
      <c r="V110" s="127"/>
      <c r="W110" s="103"/>
      <c r="X110" s="103"/>
      <c r="Y110" s="103"/>
      <c r="Z110" s="103"/>
      <c r="AA110" s="99"/>
    </row>
    <row r="111" spans="2:29" ht="15" customHeight="1" x14ac:dyDescent="0.25">
      <c r="B111" s="96"/>
      <c r="C111" s="3"/>
      <c r="H111" s="13" t="str">
        <f>IF(I111="","",IF(I111=0,"","L="))</f>
        <v/>
      </c>
      <c r="I111" s="97"/>
      <c r="J111" s="97"/>
      <c r="K111" s="14" t="str">
        <f>IF(I111="","",IF(I111=0,"","m"))</f>
        <v/>
      </c>
      <c r="N111" s="13" t="str">
        <f>IF(O111="","",IF(O111=0,"","L="))</f>
        <v/>
      </c>
      <c r="O111" s="97"/>
      <c r="P111" s="97"/>
      <c r="Q111" s="24" t="str">
        <f>IF(O111="","",IF(O111=0,"","m"))</f>
        <v/>
      </c>
      <c r="R111" s="105"/>
      <c r="S111" s="101"/>
      <c r="U111" s="130"/>
      <c r="V111" s="127"/>
      <c r="W111" s="103"/>
      <c r="X111" s="103"/>
      <c r="Y111" s="103"/>
      <c r="Z111" s="103"/>
      <c r="AA111" s="99"/>
      <c r="AC111" s="1">
        <f>IF(U106="",0,IF(U106&gt;SUM(V106:AA111),U106-SUM(V106:AA111),0))</f>
        <v>0</v>
      </c>
    </row>
    <row r="112" spans="2:29" ht="6" customHeight="1" x14ac:dyDescent="0.2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39"/>
      <c r="V112" s="40"/>
      <c r="W112" s="41"/>
      <c r="X112" s="41"/>
      <c r="Y112" s="41"/>
      <c r="Z112" s="41"/>
      <c r="AA112" s="42"/>
    </row>
    <row r="113" spans="2:29" ht="15" customHeight="1" x14ac:dyDescent="0.25">
      <c r="B113" s="84" t="s">
        <v>17</v>
      </c>
      <c r="C113" s="85"/>
      <c r="D113" s="85"/>
      <c r="E113" s="85"/>
      <c r="F113" s="86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27"/>
      <c r="W113" s="22"/>
      <c r="X113" s="23"/>
      <c r="Y113" s="23"/>
      <c r="Z113" s="23"/>
      <c r="AA113" s="37"/>
    </row>
    <row r="114" spans="2:29" ht="30" customHeight="1" thickBot="1" x14ac:dyDescent="0.3">
      <c r="B114" s="87"/>
      <c r="C114" s="88"/>
      <c r="D114" s="88"/>
      <c r="E114" s="88"/>
      <c r="F114" s="89"/>
      <c r="G114" s="25" t="str">
        <f>U2</f>
        <v>NS</v>
      </c>
      <c r="H114" s="88">
        <f>Y2</f>
        <v>700</v>
      </c>
      <c r="I114" s="88"/>
      <c r="J114" s="89"/>
      <c r="K114" s="90">
        <f>IF(B10="",0,LARGE(B10:B111,1))</f>
        <v>5</v>
      </c>
      <c r="L114" s="91"/>
      <c r="M114" s="21"/>
      <c r="N114" s="25"/>
      <c r="O114" s="20"/>
      <c r="P114" s="20"/>
      <c r="Q114" s="21"/>
      <c r="R114" s="92">
        <f>SUM(S10:S111)</f>
        <v>8.2200000000000006</v>
      </c>
      <c r="S114" s="93"/>
      <c r="T114" s="20"/>
      <c r="U114" s="51">
        <f t="shared" ref="U114:AA114" si="0">SUM(U10:U111)</f>
        <v>7</v>
      </c>
      <c r="V114" s="52">
        <f t="shared" si="0"/>
        <v>7</v>
      </c>
      <c r="W114" s="53">
        <f t="shared" si="0"/>
        <v>0</v>
      </c>
      <c r="X114" s="53">
        <f t="shared" si="0"/>
        <v>0</v>
      </c>
      <c r="Y114" s="53">
        <f t="shared" si="0"/>
        <v>0</v>
      </c>
      <c r="Z114" s="53">
        <f t="shared" si="0"/>
        <v>0</v>
      </c>
      <c r="AA114" s="54">
        <f t="shared" si="0"/>
        <v>0</v>
      </c>
      <c r="AC114" s="1">
        <f>SUM(AC9:AC112)</f>
        <v>0</v>
      </c>
    </row>
  </sheetData>
  <mergeCells count="220">
    <mergeCell ref="B113:F114"/>
    <mergeCell ref="H114:J114"/>
    <mergeCell ref="K114:L114"/>
    <mergeCell ref="R114:S114"/>
    <mergeCell ref="B106:B111"/>
    <mergeCell ref="R106:R108"/>
    <mergeCell ref="S106:S111"/>
    <mergeCell ref="Y2:Z3"/>
    <mergeCell ref="W106:W111"/>
    <mergeCell ref="X106:X111"/>
    <mergeCell ref="Y106:Y111"/>
    <mergeCell ref="Z106:Z111"/>
    <mergeCell ref="U98:U103"/>
    <mergeCell ref="U106:U111"/>
    <mergeCell ref="U82:U87"/>
    <mergeCell ref="V82:V87"/>
    <mergeCell ref="B98:B103"/>
    <mergeCell ref="F98:G98"/>
    <mergeCell ref="F106:G106"/>
    <mergeCell ref="B90:B95"/>
    <mergeCell ref="F90:G90"/>
    <mergeCell ref="L74:M74"/>
    <mergeCell ref="R74:R76"/>
    <mergeCell ref="B66:B71"/>
    <mergeCell ref="AA106:AA111"/>
    <mergeCell ref="R109:R111"/>
    <mergeCell ref="I111:J111"/>
    <mergeCell ref="O111:P111"/>
    <mergeCell ref="AA98:AA103"/>
    <mergeCell ref="I103:J103"/>
    <mergeCell ref="O103:P103"/>
    <mergeCell ref="V106:V111"/>
    <mergeCell ref="T106:T108"/>
    <mergeCell ref="L106:M106"/>
    <mergeCell ref="AA90:AA95"/>
    <mergeCell ref="R93:R95"/>
    <mergeCell ref="I95:J95"/>
    <mergeCell ref="O95:P95"/>
    <mergeCell ref="W90:W95"/>
    <mergeCell ref="X90:X95"/>
    <mergeCell ref="Y90:Y95"/>
    <mergeCell ref="Z90:Z95"/>
    <mergeCell ref="Z98:Z103"/>
    <mergeCell ref="W98:W103"/>
    <mergeCell ref="X98:X103"/>
    <mergeCell ref="L98:M98"/>
    <mergeCell ref="R98:R100"/>
    <mergeCell ref="V98:V103"/>
    <mergeCell ref="S98:S103"/>
    <mergeCell ref="Y98:Y103"/>
    <mergeCell ref="T98:T100"/>
    <mergeCell ref="R101:R103"/>
    <mergeCell ref="S90:S95"/>
    <mergeCell ref="T90:T92"/>
    <mergeCell ref="U90:U95"/>
    <mergeCell ref="V90:V95"/>
    <mergeCell ref="L90:M90"/>
    <mergeCell ref="R90:R92"/>
    <mergeCell ref="AA82:AA87"/>
    <mergeCell ref="R85:R87"/>
    <mergeCell ref="I87:J87"/>
    <mergeCell ref="O87:P87"/>
    <mergeCell ref="W82:W87"/>
    <mergeCell ref="X82:X87"/>
    <mergeCell ref="Y82:Y87"/>
    <mergeCell ref="Z82:Z87"/>
    <mergeCell ref="S82:S87"/>
    <mergeCell ref="T82:T84"/>
    <mergeCell ref="F42:G42"/>
    <mergeCell ref="L42:M42"/>
    <mergeCell ref="R42:R44"/>
    <mergeCell ref="B26:B31"/>
    <mergeCell ref="F26:G26"/>
    <mergeCell ref="L26:M26"/>
    <mergeCell ref="AA74:AA79"/>
    <mergeCell ref="R77:R79"/>
    <mergeCell ref="I79:J79"/>
    <mergeCell ref="O79:P79"/>
    <mergeCell ref="W74:W79"/>
    <mergeCell ref="X74:X79"/>
    <mergeCell ref="Y74:Y79"/>
    <mergeCell ref="Z74:Z79"/>
    <mergeCell ref="S74:S79"/>
    <mergeCell ref="T74:T76"/>
    <mergeCell ref="U74:U79"/>
    <mergeCell ref="V74:V79"/>
    <mergeCell ref="AA66:AA71"/>
    <mergeCell ref="R69:R71"/>
    <mergeCell ref="I71:J71"/>
    <mergeCell ref="O71:P71"/>
    <mergeCell ref="W66:W71"/>
    <mergeCell ref="X66:X71"/>
    <mergeCell ref="C1:Q1"/>
    <mergeCell ref="U2:V3"/>
    <mergeCell ref="B82:B87"/>
    <mergeCell ref="F82:G82"/>
    <mergeCell ref="L82:M82"/>
    <mergeCell ref="R82:R84"/>
    <mergeCell ref="B74:B79"/>
    <mergeCell ref="F74:G74"/>
    <mergeCell ref="F66:G66"/>
    <mergeCell ref="L66:M66"/>
    <mergeCell ref="R66:R68"/>
    <mergeCell ref="B58:B63"/>
    <mergeCell ref="F58:G58"/>
    <mergeCell ref="B50:B55"/>
    <mergeCell ref="F50:G50"/>
    <mergeCell ref="V26:V31"/>
    <mergeCell ref="R21:R23"/>
    <mergeCell ref="B42:B47"/>
    <mergeCell ref="I63:J63"/>
    <mergeCell ref="O63:P63"/>
    <mergeCell ref="R53:R55"/>
    <mergeCell ref="I55:J55"/>
    <mergeCell ref="O55:P55"/>
    <mergeCell ref="L50:M50"/>
    <mergeCell ref="Y66:Y71"/>
    <mergeCell ref="Z66:Z71"/>
    <mergeCell ref="S66:S71"/>
    <mergeCell ref="T66:T68"/>
    <mergeCell ref="U66:U71"/>
    <mergeCell ref="V66:V71"/>
    <mergeCell ref="AA50:AA55"/>
    <mergeCell ref="W50:W55"/>
    <mergeCell ref="X50:X55"/>
    <mergeCell ref="Y58:Y63"/>
    <mergeCell ref="Z58:Z63"/>
    <mergeCell ref="S58:S63"/>
    <mergeCell ref="T58:T60"/>
    <mergeCell ref="U58:U63"/>
    <mergeCell ref="V58:V63"/>
    <mergeCell ref="AA58:AA63"/>
    <mergeCell ref="R50:R52"/>
    <mergeCell ref="Y50:Y55"/>
    <mergeCell ref="Z50:Z55"/>
    <mergeCell ref="S50:S55"/>
    <mergeCell ref="T50:T52"/>
    <mergeCell ref="U50:U55"/>
    <mergeCell ref="V50:V55"/>
    <mergeCell ref="L58:M58"/>
    <mergeCell ref="R58:R60"/>
    <mergeCell ref="W58:W63"/>
    <mergeCell ref="X58:X63"/>
    <mergeCell ref="R61:R63"/>
    <mergeCell ref="AA34:AA39"/>
    <mergeCell ref="R37:R39"/>
    <mergeCell ref="I39:J39"/>
    <mergeCell ref="O39:P39"/>
    <mergeCell ref="W34:W39"/>
    <mergeCell ref="X34:X39"/>
    <mergeCell ref="Y42:Y47"/>
    <mergeCell ref="Z42:Z47"/>
    <mergeCell ref="S42:S47"/>
    <mergeCell ref="T42:T44"/>
    <mergeCell ref="U42:U47"/>
    <mergeCell ref="V42:V47"/>
    <mergeCell ref="AA42:AA47"/>
    <mergeCell ref="R45:R47"/>
    <mergeCell ref="I47:J47"/>
    <mergeCell ref="O47:P47"/>
    <mergeCell ref="W42:W47"/>
    <mergeCell ref="X42:X47"/>
    <mergeCell ref="Y34:Y39"/>
    <mergeCell ref="Z34:Z39"/>
    <mergeCell ref="S34:S39"/>
    <mergeCell ref="T34:T36"/>
    <mergeCell ref="U34:U39"/>
    <mergeCell ref="V34:V39"/>
    <mergeCell ref="R26:R28"/>
    <mergeCell ref="U26:U31"/>
    <mergeCell ref="B34:B39"/>
    <mergeCell ref="F34:G34"/>
    <mergeCell ref="L34:M34"/>
    <mergeCell ref="R34:R36"/>
    <mergeCell ref="R29:R31"/>
    <mergeCell ref="I31:J31"/>
    <mergeCell ref="O31:P31"/>
    <mergeCell ref="Y26:Y31"/>
    <mergeCell ref="Z26:Z31"/>
    <mergeCell ref="S26:S31"/>
    <mergeCell ref="T26:T28"/>
    <mergeCell ref="W18:W23"/>
    <mergeCell ref="X18:X23"/>
    <mergeCell ref="Y18:Y23"/>
    <mergeCell ref="Z18:Z23"/>
    <mergeCell ref="AA18:AA23"/>
    <mergeCell ref="AA26:AA31"/>
    <mergeCell ref="W26:W31"/>
    <mergeCell ref="X26:X31"/>
    <mergeCell ref="B18:B23"/>
    <mergeCell ref="F18:G18"/>
    <mergeCell ref="L18:M18"/>
    <mergeCell ref="R18:R20"/>
    <mergeCell ref="S18:S23"/>
    <mergeCell ref="T18:T20"/>
    <mergeCell ref="AA10:AA15"/>
    <mergeCell ref="I15:J15"/>
    <mergeCell ref="L10:M10"/>
    <mergeCell ref="B10:B15"/>
    <mergeCell ref="U10:U15"/>
    <mergeCell ref="I23:J23"/>
    <mergeCell ref="O23:P23"/>
    <mergeCell ref="U18:U23"/>
    <mergeCell ref="V18:V23"/>
    <mergeCell ref="V7:AA7"/>
    <mergeCell ref="V10:V15"/>
    <mergeCell ref="W10:W15"/>
    <mergeCell ref="X10:X15"/>
    <mergeCell ref="Y10:Y15"/>
    <mergeCell ref="Z10:Z15"/>
    <mergeCell ref="B7:B8"/>
    <mergeCell ref="C7:Q8"/>
    <mergeCell ref="R7:T8"/>
    <mergeCell ref="U7:U8"/>
    <mergeCell ref="S10:S15"/>
    <mergeCell ref="T10:T12"/>
    <mergeCell ref="O15:P15"/>
    <mergeCell ref="R10:R12"/>
    <mergeCell ref="R13:R15"/>
    <mergeCell ref="F10:G10"/>
  </mergeCells>
  <phoneticPr fontId="2"/>
  <conditionalFormatting sqref="S10:S15 S18:S23 S26:S31 S34:S39 S42:S47 S50:S55 S58:S63 S66:S71 S74:S79 S82:S87 S90:S95 S98:S103 S106:S111">
    <cfRule type="cellIs" dxfId="1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orientation="portrait" blackAndWhite="1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">
    <tabColor indexed="10"/>
  </sheetPr>
  <dimension ref="B1:AC114"/>
  <sheetViews>
    <sheetView showGridLines="0" view="pageBreakPreview" topLeftCell="C1" zoomScale="130" zoomScaleNormal="123" zoomScaleSheetLayoutView="100" workbookViewId="0">
      <selection activeCell="C1" sqref="C1:Q1"/>
    </sheetView>
  </sheetViews>
  <sheetFormatPr defaultColWidth="9.0703125" defaultRowHeight="12" x14ac:dyDescent="0.25"/>
  <cols>
    <col min="1" max="1" width="0.92578125" style="1" customWidth="1"/>
    <col min="2" max="2" width="8.92578125" style="1" customWidth="1"/>
    <col min="3" max="17" width="2.7109375" style="1" customWidth="1"/>
    <col min="18" max="18" width="2.92578125" style="1" customWidth="1"/>
    <col min="19" max="19" width="5.7109375" style="1" customWidth="1"/>
    <col min="20" max="20" width="2.7109375" style="1" customWidth="1"/>
    <col min="21" max="27" width="5.7109375" style="1" customWidth="1"/>
    <col min="28" max="16384" width="9.0703125" style="1"/>
  </cols>
  <sheetData>
    <row r="1" spans="2:29" x14ac:dyDescent="0.25">
      <c r="B1" s="56" t="s">
        <v>19</v>
      </c>
      <c r="C1" s="113" t="s">
        <v>27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S1" s="43" t="s">
        <v>11</v>
      </c>
      <c r="T1" s="9"/>
      <c r="U1" s="10"/>
      <c r="V1" s="10"/>
      <c r="W1" s="11"/>
      <c r="X1" s="43" t="s">
        <v>13</v>
      </c>
      <c r="Y1" s="10"/>
      <c r="Z1" s="10"/>
      <c r="AA1" s="11"/>
      <c r="AC1" s="1">
        <f>IF(Y2&lt;=100,4,0)</f>
        <v>0</v>
      </c>
    </row>
    <row r="2" spans="2:29" ht="12" customHeight="1" x14ac:dyDescent="0.25">
      <c r="S2" s="12"/>
      <c r="T2" s="3"/>
      <c r="U2" s="114" t="s">
        <v>24</v>
      </c>
      <c r="V2" s="114"/>
      <c r="W2" s="2"/>
      <c r="X2" s="12"/>
      <c r="Y2" s="114">
        <v>700</v>
      </c>
      <c r="Z2" s="114"/>
      <c r="AA2" s="2"/>
      <c r="AC2" s="1">
        <f>IF(AC1=4,0,IF(Y2&lt;=200,5,0))</f>
        <v>0</v>
      </c>
    </row>
    <row r="3" spans="2:29" ht="12" customHeight="1" x14ac:dyDescent="0.25">
      <c r="S3" s="44" t="s">
        <v>12</v>
      </c>
      <c r="T3" s="15"/>
      <c r="U3" s="115"/>
      <c r="V3" s="115"/>
      <c r="W3" s="17" t="s">
        <v>15</v>
      </c>
      <c r="X3" s="44" t="s">
        <v>14</v>
      </c>
      <c r="Y3" s="115"/>
      <c r="Z3" s="115"/>
      <c r="AA3" s="17" t="s">
        <v>20</v>
      </c>
      <c r="AC3" s="1">
        <f>IF(Y2&gt;200,6,0)</f>
        <v>6</v>
      </c>
    </row>
    <row r="4" spans="2:29" ht="6.75" customHeight="1" x14ac:dyDescent="0.25">
      <c r="S4" s="18"/>
      <c r="U4" s="45"/>
      <c r="V4" s="45"/>
      <c r="X4" s="18"/>
      <c r="Y4" s="45"/>
      <c r="Z4" s="45"/>
    </row>
    <row r="5" spans="2:29" ht="21.75" customHeight="1" x14ac:dyDescent="0.25">
      <c r="B5" s="46" t="s">
        <v>16</v>
      </c>
    </row>
    <row r="6" spans="2:29" ht="6.75" customHeight="1" thickBot="1" x14ac:dyDescent="0.3"/>
    <row r="7" spans="2:29" ht="14.25" customHeight="1" x14ac:dyDescent="0.25">
      <c r="B7" s="116" t="s">
        <v>0</v>
      </c>
      <c r="C7" s="108" t="s">
        <v>3</v>
      </c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09"/>
      <c r="R7" s="117" t="s">
        <v>1</v>
      </c>
      <c r="S7" s="117"/>
      <c r="T7" s="117"/>
      <c r="U7" s="128" t="s">
        <v>2</v>
      </c>
      <c r="V7" s="117" t="s">
        <v>4</v>
      </c>
      <c r="W7" s="117"/>
      <c r="X7" s="117"/>
      <c r="Y7" s="117"/>
      <c r="Z7" s="117"/>
      <c r="AA7" s="126"/>
    </row>
    <row r="8" spans="2:29" ht="10.5" customHeight="1" x14ac:dyDescent="0.25">
      <c r="B8" s="96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20"/>
      <c r="R8" s="119"/>
      <c r="S8" s="119"/>
      <c r="T8" s="119"/>
      <c r="U8" s="129"/>
      <c r="V8" s="31" t="s">
        <v>6</v>
      </c>
      <c r="W8" s="32" t="s">
        <v>5</v>
      </c>
      <c r="X8" s="32" t="s">
        <v>7</v>
      </c>
      <c r="Y8" s="32" t="s">
        <v>8</v>
      </c>
      <c r="Z8" s="33" t="s">
        <v>9</v>
      </c>
      <c r="AA8" s="34" t="s">
        <v>10</v>
      </c>
    </row>
    <row r="9" spans="2:29" ht="6" customHeight="1" x14ac:dyDescent="0.25">
      <c r="B9" s="1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/>
      <c r="S9" s="10"/>
      <c r="T9" s="10"/>
      <c r="U9" s="26"/>
      <c r="V9" s="30"/>
      <c r="W9" s="28"/>
      <c r="X9" s="28"/>
      <c r="Y9" s="28"/>
      <c r="Z9" s="28"/>
      <c r="AA9" s="29"/>
    </row>
    <row r="10" spans="2:29" ht="15" customHeight="1" x14ac:dyDescent="0.25">
      <c r="B10" s="96">
        <f>IF(S10="","",1)</f>
        <v>1</v>
      </c>
      <c r="C10" s="3"/>
      <c r="E10" s="13" t="str">
        <f>IF(F10="","",IF(F10=0,"","L="))</f>
        <v>L=</v>
      </c>
      <c r="F10" s="97">
        <v>2.09</v>
      </c>
      <c r="G10" s="97"/>
      <c r="H10" s="14" t="str">
        <f>IF(F10="","",IF(F10=0,"","m"))</f>
        <v>m</v>
      </c>
      <c r="J10" s="1" t="s">
        <v>25</v>
      </c>
      <c r="K10" s="13" t="str">
        <f>IF(L10="","",IF(L10=0,"","L="))</f>
        <v/>
      </c>
      <c r="L10" s="97"/>
      <c r="M10" s="97"/>
      <c r="N10" s="14" t="str">
        <f>IF(L10="","",IF(L10=0,"","m"))</f>
        <v/>
      </c>
      <c r="O10" s="1" t="s">
        <v>23</v>
      </c>
      <c r="Q10" s="2"/>
      <c r="R10" s="106" t="str">
        <f>IF(OR(S10="入力ｴﾗｰ",S10=0,S10="")=TRUE,"",IF(F10="","甲",IF(F10=0,"甲","")))</f>
        <v/>
      </c>
      <c r="S10" s="101">
        <f>IF((F10+I15+L10+O15)=0,"",IF((F10+I15+L10+O15)&gt;SUM($AC$1:$AC$3),"入力ｴﾗｰ",SUM($AC$1:$AC$3)-(F10+I15+L10+O15)))</f>
        <v>1.5700000000000003</v>
      </c>
      <c r="T10" s="102" t="str">
        <f>IF(S10="","",IF(S10="入力ｴﾗｰ","","m"))</f>
        <v>m</v>
      </c>
      <c r="U10" s="130">
        <f>IF(B10="","",COUNT(F10,I15,L10,O15)-IF(S10=0,1,0))</f>
        <v>2</v>
      </c>
      <c r="V10" s="127">
        <v>2</v>
      </c>
      <c r="W10" s="103"/>
      <c r="X10" s="103">
        <v>1</v>
      </c>
      <c r="Y10" s="103">
        <v>1</v>
      </c>
      <c r="Z10" s="103"/>
      <c r="AA10" s="99"/>
    </row>
    <row r="11" spans="2:29" ht="3" customHeight="1" thickBot="1" x14ac:dyDescent="0.3">
      <c r="B11" s="96"/>
      <c r="C11" s="3"/>
      <c r="G11" s="3"/>
      <c r="H11" s="2"/>
      <c r="I11" s="60"/>
      <c r="J11" s="62"/>
      <c r="K11" s="3"/>
      <c r="L11" s="2"/>
      <c r="M11" s="3"/>
      <c r="N11" s="2"/>
      <c r="Q11" s="2"/>
      <c r="R11" s="106"/>
      <c r="S11" s="101"/>
      <c r="T11" s="102"/>
      <c r="U11" s="130"/>
      <c r="V11" s="127"/>
      <c r="W11" s="103"/>
      <c r="X11" s="103"/>
      <c r="Y11" s="103"/>
      <c r="Z11" s="103"/>
      <c r="AA11" s="99"/>
    </row>
    <row r="12" spans="2:29" ht="3" customHeight="1" thickTop="1" x14ac:dyDescent="0.25">
      <c r="B12" s="96"/>
      <c r="C12" s="3"/>
      <c r="E12" s="57"/>
      <c r="F12" s="57"/>
      <c r="G12" s="58"/>
      <c r="H12" s="63"/>
      <c r="I12" s="4"/>
      <c r="J12" s="4"/>
      <c r="K12" s="5"/>
      <c r="L12" s="59"/>
      <c r="M12" s="58"/>
      <c r="N12" s="59"/>
      <c r="O12" s="57"/>
      <c r="P12" s="57"/>
      <c r="Q12" s="2"/>
      <c r="R12" s="106"/>
      <c r="S12" s="101"/>
      <c r="T12" s="102"/>
      <c r="U12" s="130"/>
      <c r="V12" s="127"/>
      <c r="W12" s="103"/>
      <c r="X12" s="103"/>
      <c r="Y12" s="103"/>
      <c r="Z12" s="103"/>
      <c r="AA12" s="99"/>
    </row>
    <row r="13" spans="2:29" ht="3" customHeight="1" x14ac:dyDescent="0.25">
      <c r="B13" s="96"/>
      <c r="C13" s="3"/>
      <c r="E13" s="6"/>
      <c r="F13" s="6"/>
      <c r="G13" s="7"/>
      <c r="H13" s="8"/>
      <c r="I13" s="7"/>
      <c r="J13" s="8"/>
      <c r="K13" s="7"/>
      <c r="L13" s="8"/>
      <c r="M13" s="7"/>
      <c r="N13" s="8"/>
      <c r="O13" s="6"/>
      <c r="P13" s="6"/>
      <c r="Q13" s="2"/>
      <c r="R13" s="105" t="str">
        <f>IF(R10="甲","",IF(OR(S10=0,S10="")=TRUE,"",IF(S10="入力ｴﾗｰ","","乙")))</f>
        <v>乙</v>
      </c>
      <c r="S13" s="101"/>
      <c r="U13" s="130"/>
      <c r="V13" s="127"/>
      <c r="W13" s="103"/>
      <c r="X13" s="103"/>
      <c r="Y13" s="103"/>
      <c r="Z13" s="103"/>
      <c r="AA13" s="99"/>
    </row>
    <row r="14" spans="2:29" ht="3" customHeight="1" x14ac:dyDescent="0.25">
      <c r="B14" s="96"/>
      <c r="C14" s="3"/>
      <c r="F14" s="2"/>
      <c r="G14" s="3"/>
      <c r="H14" s="2"/>
      <c r="K14" s="3"/>
      <c r="L14" s="2"/>
      <c r="M14" s="3"/>
      <c r="N14" s="2"/>
      <c r="O14" s="3"/>
      <c r="Q14" s="2"/>
      <c r="R14" s="105"/>
      <c r="S14" s="101"/>
      <c r="U14" s="130"/>
      <c r="V14" s="127"/>
      <c r="W14" s="103"/>
      <c r="X14" s="103"/>
      <c r="Y14" s="103"/>
      <c r="Z14" s="103"/>
      <c r="AA14" s="99"/>
    </row>
    <row r="15" spans="2:29" ht="15" customHeight="1" x14ac:dyDescent="0.25">
      <c r="B15" s="96"/>
      <c r="C15" s="3"/>
      <c r="H15" s="13" t="str">
        <f>IF(I15="","",IF(I15=0,"","L="))</f>
        <v/>
      </c>
      <c r="I15" s="97"/>
      <c r="J15" s="97"/>
      <c r="K15" s="14" t="str">
        <f>IF(I15="","",IF(I15=0,"","m"))</f>
        <v/>
      </c>
      <c r="N15" s="13" t="str">
        <f>IF(O15="","",IF(O15=0,"","L="))</f>
        <v>L=</v>
      </c>
      <c r="O15" s="97">
        <v>2.34</v>
      </c>
      <c r="P15" s="97"/>
      <c r="Q15" s="24" t="str">
        <f>IF(O15="","",IF(O15=0,"","m"))</f>
        <v>m</v>
      </c>
      <c r="R15" s="105"/>
      <c r="S15" s="101"/>
      <c r="U15" s="130"/>
      <c r="V15" s="127"/>
      <c r="W15" s="103"/>
      <c r="X15" s="103"/>
      <c r="Y15" s="103"/>
      <c r="Z15" s="103"/>
      <c r="AA15" s="99"/>
      <c r="AC15" s="1">
        <f>IF(U10="",0,IF(U10&gt;SUM(V10:AA15),U10-SUM(V10:AA15),0))</f>
        <v>0</v>
      </c>
    </row>
    <row r="16" spans="2:29" ht="6" customHeight="1" x14ac:dyDescent="0.25">
      <c r="B16" s="35"/>
      <c r="C16" s="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U16" s="36"/>
      <c r="V16" s="30"/>
      <c r="W16" s="28"/>
      <c r="X16" s="28"/>
      <c r="Y16" s="28"/>
      <c r="Z16" s="28"/>
      <c r="AA16" s="29"/>
    </row>
    <row r="17" spans="2:29" ht="6" customHeight="1" x14ac:dyDescent="0.25">
      <c r="B17" s="1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/>
      <c r="S17" s="10"/>
      <c r="T17" s="10"/>
      <c r="U17" s="26"/>
      <c r="V17" s="27"/>
      <c r="W17" s="23"/>
      <c r="X17" s="23"/>
      <c r="Y17" s="23"/>
      <c r="Z17" s="23"/>
      <c r="AA17" s="37"/>
    </row>
    <row r="18" spans="2:29" ht="15" customHeight="1" x14ac:dyDescent="0.25">
      <c r="B18" s="96">
        <f>IF(S18="","",IF(B10="","",1+B10))</f>
        <v>2</v>
      </c>
      <c r="C18" s="3"/>
      <c r="E18" s="13" t="str">
        <f>IF(F18="","",IF(F18=0,"","L="))</f>
        <v>L=</v>
      </c>
      <c r="F18" s="97">
        <v>2.09</v>
      </c>
      <c r="G18" s="97"/>
      <c r="H18" s="14" t="str">
        <f>IF(F18="","",IF(F18=0,"","m"))</f>
        <v>m</v>
      </c>
      <c r="K18" s="13" t="str">
        <f>IF(L18="","",IF(L18=0,"","L="))</f>
        <v/>
      </c>
      <c r="L18" s="97"/>
      <c r="M18" s="97"/>
      <c r="N18" s="14" t="str">
        <f>IF(L18="","",IF(L18=0,"","m"))</f>
        <v/>
      </c>
      <c r="Q18" s="2"/>
      <c r="R18" s="106" t="str">
        <f>IF(OR(S18="入力ｴﾗｰ",S18=0,S18="")=TRUE,"",IF(F18="","甲",IF(F18=0,"甲","")))</f>
        <v/>
      </c>
      <c r="S18" s="101">
        <f>IF((F18+I23+L18+O23)=0,"",IF((F18+I23+L18+O23)&gt;SUM($AC$1:$AC$3),"入力ｴﾗｰ",SUM($AC$1:$AC$3)-(F18+I23+L18+O23)))</f>
        <v>0.3100000000000005</v>
      </c>
      <c r="T18" s="102" t="str">
        <f>IF(S18="","",IF(S18="入力ｴﾗｰ","","m"))</f>
        <v>m</v>
      </c>
      <c r="U18" s="130">
        <f>IF(B18="","",COUNT(F18,I23,L18,O23)-IF(S18=0,1,0))</f>
        <v>2</v>
      </c>
      <c r="V18" s="127">
        <v>2</v>
      </c>
      <c r="W18" s="103"/>
      <c r="X18" s="103"/>
      <c r="Y18" s="103"/>
      <c r="Z18" s="103"/>
      <c r="AA18" s="99"/>
    </row>
    <row r="19" spans="2:29" ht="3" customHeight="1" thickBot="1" x14ac:dyDescent="0.3">
      <c r="B19" s="96"/>
      <c r="C19" s="3"/>
      <c r="G19" s="3"/>
      <c r="H19" s="2"/>
      <c r="I19" s="3"/>
      <c r="J19" s="2"/>
      <c r="K19" s="3"/>
      <c r="L19" s="2"/>
      <c r="M19" s="3"/>
      <c r="N19" s="2"/>
      <c r="Q19" s="2"/>
      <c r="R19" s="106"/>
      <c r="S19" s="101"/>
      <c r="T19" s="102"/>
      <c r="U19" s="130"/>
      <c r="V19" s="127"/>
      <c r="W19" s="103"/>
      <c r="X19" s="103"/>
      <c r="Y19" s="103"/>
      <c r="Z19" s="103"/>
      <c r="AA19" s="99"/>
    </row>
    <row r="20" spans="2:29" ht="3" customHeight="1" thickTop="1" x14ac:dyDescent="0.25">
      <c r="B20" s="96"/>
      <c r="C20" s="3"/>
      <c r="E20" s="4"/>
      <c r="F20" s="4"/>
      <c r="G20" s="5"/>
      <c r="H20" s="55"/>
      <c r="I20" s="4"/>
      <c r="J20" s="59"/>
      <c r="K20" s="5"/>
      <c r="L20" s="2"/>
      <c r="M20" s="5"/>
      <c r="N20" s="55"/>
      <c r="O20" s="4"/>
      <c r="P20" s="57"/>
      <c r="Q20" s="2"/>
      <c r="R20" s="106"/>
      <c r="S20" s="101"/>
      <c r="T20" s="102"/>
      <c r="U20" s="130"/>
      <c r="V20" s="127"/>
      <c r="W20" s="103"/>
      <c r="X20" s="103"/>
      <c r="Y20" s="103"/>
      <c r="Z20" s="103"/>
      <c r="AA20" s="99"/>
    </row>
    <row r="21" spans="2:29" ht="3" customHeight="1" x14ac:dyDescent="0.25">
      <c r="B21" s="96"/>
      <c r="C21" s="3"/>
      <c r="E21" s="6"/>
      <c r="F21" s="6"/>
      <c r="G21" s="7"/>
      <c r="H21" s="8"/>
      <c r="I21" s="6"/>
      <c r="J21" s="6"/>
      <c r="K21" s="7"/>
      <c r="L21" s="8"/>
      <c r="M21" s="7"/>
      <c r="N21" s="8"/>
      <c r="O21" s="6"/>
      <c r="P21" s="6"/>
      <c r="Q21" s="2"/>
      <c r="R21" s="105" t="str">
        <f>IF(R18="甲","",IF(OR(S18=0,S18="")=TRUE,"",IF(S18="入力ｴﾗｰ","","乙")))</f>
        <v>乙</v>
      </c>
      <c r="S21" s="101"/>
      <c r="U21" s="130"/>
      <c r="V21" s="127"/>
      <c r="W21" s="103"/>
      <c r="X21" s="103"/>
      <c r="Y21" s="103"/>
      <c r="Z21" s="103"/>
      <c r="AA21" s="99"/>
    </row>
    <row r="22" spans="2:29" ht="3" customHeight="1" x14ac:dyDescent="0.25">
      <c r="B22" s="96"/>
      <c r="C22" s="3"/>
      <c r="G22" s="3"/>
      <c r="H22" s="2"/>
      <c r="K22" s="3"/>
      <c r="L22" s="2"/>
      <c r="M22" s="3"/>
      <c r="N22" s="2"/>
      <c r="Q22" s="2"/>
      <c r="R22" s="105"/>
      <c r="S22" s="101"/>
      <c r="U22" s="130"/>
      <c r="V22" s="127"/>
      <c r="W22" s="103"/>
      <c r="X22" s="103"/>
      <c r="Y22" s="103"/>
      <c r="Z22" s="103"/>
      <c r="AA22" s="99"/>
    </row>
    <row r="23" spans="2:29" ht="15" customHeight="1" x14ac:dyDescent="0.25">
      <c r="B23" s="96"/>
      <c r="C23" s="3"/>
      <c r="G23" s="1" t="s">
        <v>23</v>
      </c>
      <c r="H23" s="13" t="str">
        <f>IF(I23="","",IF(I23=0,"","L="))</f>
        <v/>
      </c>
      <c r="I23" s="97"/>
      <c r="J23" s="97"/>
      <c r="K23" s="14" t="str">
        <f>IF(I23="","",IF(I23=0,"","m"))</f>
        <v/>
      </c>
      <c r="N23" s="13" t="str">
        <f>IF(O23="","",IF(O23=0,"","L="))</f>
        <v>L=</v>
      </c>
      <c r="O23" s="97">
        <v>3.6</v>
      </c>
      <c r="P23" s="97"/>
      <c r="Q23" s="24" t="str">
        <f>IF(O23="","",IF(O23=0,"","m"))</f>
        <v>m</v>
      </c>
      <c r="R23" s="105"/>
      <c r="S23" s="101"/>
      <c r="U23" s="130"/>
      <c r="V23" s="127"/>
      <c r="W23" s="103"/>
      <c r="X23" s="103"/>
      <c r="Y23" s="103"/>
      <c r="Z23" s="103"/>
      <c r="AA23" s="99"/>
      <c r="AC23" s="1">
        <f>IF(U18="",0,IF(U18&gt;SUM(V18:AA23),U18-SUM(V18:AA23),0))</f>
        <v>0</v>
      </c>
    </row>
    <row r="24" spans="2:29" ht="6" customHeight="1" x14ac:dyDescent="0.25">
      <c r="B24" s="38"/>
      <c r="C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6"/>
      <c r="S24" s="16"/>
      <c r="T24" s="16"/>
      <c r="U24" s="39"/>
      <c r="V24" s="40"/>
      <c r="W24" s="41"/>
      <c r="X24" s="41"/>
      <c r="Y24" s="41"/>
      <c r="Z24" s="41"/>
      <c r="AA24" s="42"/>
    </row>
    <row r="25" spans="2:29" ht="6" customHeight="1" x14ac:dyDescent="0.25">
      <c r="B25" s="1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/>
      <c r="S25" s="10"/>
      <c r="T25" s="10"/>
      <c r="U25" s="26"/>
      <c r="V25" s="27"/>
      <c r="W25" s="23"/>
      <c r="X25" s="23"/>
      <c r="Y25" s="23"/>
      <c r="Z25" s="23"/>
      <c r="AA25" s="37"/>
    </row>
    <row r="26" spans="2:29" ht="15" customHeight="1" x14ac:dyDescent="0.25">
      <c r="B26" s="96">
        <f>IF(S26="","",IF(B18="","",1+B18))</f>
        <v>3</v>
      </c>
      <c r="C26" s="3"/>
      <c r="E26" s="13" t="str">
        <f>IF(F26="","",IF(F26=0,"","L="))</f>
        <v>L=</v>
      </c>
      <c r="F26" s="97">
        <v>3</v>
      </c>
      <c r="G26" s="97"/>
      <c r="H26" s="14" t="str">
        <f>IF(F26="","",IF(F26=0,"","m"))</f>
        <v>m</v>
      </c>
      <c r="K26" s="13" t="str">
        <f>IF(L26="","",IF(L26=0,"","L="))</f>
        <v/>
      </c>
      <c r="L26" s="97"/>
      <c r="M26" s="97"/>
      <c r="N26" s="14" t="str">
        <f>IF(L26="","",IF(L26=0,"","m"))</f>
        <v/>
      </c>
      <c r="Q26" s="2"/>
      <c r="R26" s="106" t="str">
        <f>IF(OR(S26="入力ｴﾗｰ",S26=0,S26="")=TRUE,"",IF(F26="","甲",IF(F26=0,"甲","")))</f>
        <v/>
      </c>
      <c r="S26" s="101">
        <f>IF((F26+I31+L26+O31)=0,"",IF((F26+I31+L26+O31)&gt;SUM($AC$1:$AC$3),"入力ｴﾗｰ",SUM($AC$1:$AC$3)-(F26+I31+L26+O31)))</f>
        <v>3</v>
      </c>
      <c r="T26" s="102" t="str">
        <f>IF(S26="","",IF(S26="入力ｴﾗｰ","","m"))</f>
        <v>m</v>
      </c>
      <c r="U26" s="130">
        <f>IF(B26="","",COUNT(F26,I31,L26,O31)-IF(S26=0,1,0))</f>
        <v>1</v>
      </c>
      <c r="V26" s="127">
        <v>1</v>
      </c>
      <c r="W26" s="103"/>
      <c r="X26" s="103"/>
      <c r="Y26" s="103"/>
      <c r="Z26" s="103"/>
      <c r="AA26" s="99"/>
    </row>
    <row r="27" spans="2:29" ht="3" customHeight="1" thickBot="1" x14ac:dyDescent="0.3">
      <c r="B27" s="96"/>
      <c r="C27" s="3"/>
      <c r="G27" s="3"/>
      <c r="H27" s="2"/>
      <c r="J27" s="62"/>
      <c r="K27" s="3"/>
      <c r="L27" s="2"/>
      <c r="M27" s="3"/>
      <c r="N27" s="2"/>
      <c r="Q27" s="2"/>
      <c r="R27" s="106"/>
      <c r="S27" s="101"/>
      <c r="T27" s="102"/>
      <c r="U27" s="130"/>
      <c r="V27" s="127"/>
      <c r="W27" s="103"/>
      <c r="X27" s="103"/>
      <c r="Y27" s="103"/>
      <c r="Z27" s="103"/>
      <c r="AA27" s="99"/>
    </row>
    <row r="28" spans="2:29" ht="3" customHeight="1" thickTop="1" x14ac:dyDescent="0.25">
      <c r="B28" s="96"/>
      <c r="C28" s="3"/>
      <c r="E28" s="4"/>
      <c r="F28" s="4"/>
      <c r="G28" s="5"/>
      <c r="H28" s="55"/>
      <c r="I28" s="4"/>
      <c r="J28" s="4"/>
      <c r="K28" s="5"/>
      <c r="L28" s="2"/>
      <c r="M28" s="5"/>
      <c r="N28" s="55"/>
      <c r="O28" s="4"/>
      <c r="P28" s="4"/>
      <c r="Q28" s="2"/>
      <c r="R28" s="106"/>
      <c r="S28" s="101"/>
      <c r="T28" s="102"/>
      <c r="U28" s="130"/>
      <c r="V28" s="127"/>
      <c r="W28" s="103"/>
      <c r="X28" s="103"/>
      <c r="Y28" s="103"/>
      <c r="Z28" s="103"/>
      <c r="AA28" s="99"/>
    </row>
    <row r="29" spans="2:29" ht="3" customHeight="1" x14ac:dyDescent="0.25">
      <c r="B29" s="96"/>
      <c r="C29" s="3"/>
      <c r="E29" s="6"/>
      <c r="F29" s="6"/>
      <c r="G29" s="7"/>
      <c r="H29" s="8"/>
      <c r="I29" s="6"/>
      <c r="J29" s="6"/>
      <c r="K29" s="7"/>
      <c r="L29" s="8"/>
      <c r="M29" s="7"/>
      <c r="N29" s="8"/>
      <c r="O29" s="7"/>
      <c r="P29" s="6"/>
      <c r="Q29" s="2"/>
      <c r="R29" s="105" t="str">
        <f>IF(R26="甲","",IF(OR(S26=0,S26="")=TRUE,"",IF(S26="入力ｴﾗｰ","","乙")))</f>
        <v>乙</v>
      </c>
      <c r="S29" s="101"/>
      <c r="U29" s="130"/>
      <c r="V29" s="127"/>
      <c r="W29" s="103"/>
      <c r="X29" s="103"/>
      <c r="Y29" s="103"/>
      <c r="Z29" s="103"/>
      <c r="AA29" s="99"/>
    </row>
    <row r="30" spans="2:29" ht="3" customHeight="1" x14ac:dyDescent="0.25">
      <c r="B30" s="96"/>
      <c r="C30" s="3"/>
      <c r="G30" s="3"/>
      <c r="H30" s="2"/>
      <c r="K30" s="3"/>
      <c r="L30" s="2"/>
      <c r="M30" s="3"/>
      <c r="N30" s="2"/>
      <c r="Q30" s="2"/>
      <c r="R30" s="105"/>
      <c r="S30" s="101"/>
      <c r="U30" s="130"/>
      <c r="V30" s="127"/>
      <c r="W30" s="103"/>
      <c r="X30" s="103"/>
      <c r="Y30" s="103"/>
      <c r="Z30" s="103"/>
      <c r="AA30" s="99"/>
    </row>
    <row r="31" spans="2:29" ht="15" customHeight="1" x14ac:dyDescent="0.25">
      <c r="B31" s="96"/>
      <c r="C31" s="3"/>
      <c r="G31" s="1" t="s">
        <v>29</v>
      </c>
      <c r="H31" s="13" t="str">
        <f>IF(I31="","",IF(I31=0,"","L="))</f>
        <v/>
      </c>
      <c r="I31" s="97"/>
      <c r="J31" s="97"/>
      <c r="K31" s="14" t="str">
        <f>IF(I31="","",IF(I31=0,"","m"))</f>
        <v/>
      </c>
      <c r="N31" s="13" t="str">
        <f>IF(O31="","",IF(O31=0,"","L="))</f>
        <v/>
      </c>
      <c r="O31" s="97"/>
      <c r="P31" s="97"/>
      <c r="Q31" s="24" t="str">
        <f>IF(O31="","",IF(O31=0,"","m"))</f>
        <v/>
      </c>
      <c r="R31" s="105"/>
      <c r="S31" s="101"/>
      <c r="U31" s="130"/>
      <c r="V31" s="127"/>
      <c r="W31" s="103"/>
      <c r="X31" s="103"/>
      <c r="Y31" s="103"/>
      <c r="Z31" s="103"/>
      <c r="AA31" s="99"/>
      <c r="AC31" s="1">
        <f>IF(U26="",0,IF(U26&gt;SUM(V26:AA31),U26-SUM(V26:AA31),0))</f>
        <v>0</v>
      </c>
    </row>
    <row r="32" spans="2:29" ht="6" customHeight="1" x14ac:dyDescent="0.25">
      <c r="B32" s="38"/>
      <c r="C32" s="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7"/>
      <c r="R32" s="16"/>
      <c r="S32" s="16"/>
      <c r="T32" s="16"/>
      <c r="U32" s="39"/>
      <c r="V32" s="40"/>
      <c r="W32" s="41"/>
      <c r="X32" s="41"/>
      <c r="Y32" s="41"/>
      <c r="Z32" s="41"/>
      <c r="AA32" s="42"/>
    </row>
    <row r="33" spans="2:29" ht="6" customHeight="1" x14ac:dyDescent="0.25">
      <c r="B33" s="1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0"/>
      <c r="S33" s="10"/>
      <c r="T33" s="10"/>
      <c r="U33" s="26"/>
      <c r="V33" s="27"/>
      <c r="W33" s="23"/>
      <c r="X33" s="23"/>
      <c r="Y33" s="23"/>
      <c r="Z33" s="23"/>
      <c r="AA33" s="37"/>
    </row>
    <row r="34" spans="2:29" ht="15" customHeight="1" x14ac:dyDescent="0.25">
      <c r="B34" s="96">
        <f>IF(S34="","",IF(B26="","",1+B26))</f>
        <v>4</v>
      </c>
      <c r="C34" s="3"/>
      <c r="E34" s="13" t="str">
        <f>IF(F34="","",IF(F34=0,"","L="))</f>
        <v>L=</v>
      </c>
      <c r="F34" s="97">
        <v>5.26</v>
      </c>
      <c r="G34" s="97"/>
      <c r="H34" s="14" t="str">
        <f>IF(F34="","",IF(F34=0,"","m"))</f>
        <v>m</v>
      </c>
      <c r="K34" s="13" t="str">
        <f>IF(L34="","",IF(L34=0,"","L="))</f>
        <v/>
      </c>
      <c r="L34" s="97"/>
      <c r="M34" s="97"/>
      <c r="N34" s="14" t="str">
        <f>IF(L34="","",IF(L34=0,"","m"))</f>
        <v/>
      </c>
      <c r="Q34" s="2"/>
      <c r="R34" s="106" t="str">
        <f>IF(OR(S34="入力ｴﾗｰ",S34=0,S34="")=TRUE,"",IF(F34="","甲",IF(F34=0,"甲","")))</f>
        <v/>
      </c>
      <c r="S34" s="101">
        <f>IF((F34+I39+L34+O39)=0,"",IF((F34+I39+L34+O39)&gt;SUM($AC$1:$AC$3),"入力ｴﾗｰ",SUM($AC$1:$AC$3)-(F34+I39+L34+O39)))</f>
        <v>0.74000000000000021</v>
      </c>
      <c r="T34" s="102" t="str">
        <f>IF(S34="","",IF(S34="入力ｴﾗｰ","","m"))</f>
        <v>m</v>
      </c>
      <c r="U34" s="130">
        <f>IF(B34="","",COUNT(F34,I39,L34,O39)-IF(S34=0,1,0))</f>
        <v>1</v>
      </c>
      <c r="V34" s="127">
        <v>1</v>
      </c>
      <c r="W34" s="103"/>
      <c r="X34" s="103"/>
      <c r="Y34" s="103"/>
      <c r="Z34" s="103"/>
      <c r="AA34" s="99"/>
    </row>
    <row r="35" spans="2:29" ht="3" customHeight="1" thickBot="1" x14ac:dyDescent="0.3">
      <c r="B35" s="96"/>
      <c r="C35" s="3"/>
      <c r="G35" s="3"/>
      <c r="H35" s="2"/>
      <c r="K35" s="3"/>
      <c r="L35" s="2"/>
      <c r="M35" s="3"/>
      <c r="N35" s="2"/>
      <c r="Q35" s="2"/>
      <c r="R35" s="106"/>
      <c r="S35" s="101"/>
      <c r="T35" s="102"/>
      <c r="U35" s="130"/>
      <c r="V35" s="127"/>
      <c r="W35" s="103"/>
      <c r="X35" s="103"/>
      <c r="Y35" s="103"/>
      <c r="Z35" s="103"/>
      <c r="AA35" s="99"/>
    </row>
    <row r="36" spans="2:29" ht="3" customHeight="1" thickTop="1" x14ac:dyDescent="0.25">
      <c r="B36" s="96"/>
      <c r="C36" s="3"/>
      <c r="E36" s="4"/>
      <c r="F36" s="4"/>
      <c r="G36" s="5"/>
      <c r="H36" s="55"/>
      <c r="I36" s="4"/>
      <c r="J36" s="4"/>
      <c r="K36" s="5"/>
      <c r="L36" s="2"/>
      <c r="M36" s="58"/>
      <c r="N36" s="59"/>
      <c r="O36" s="58"/>
      <c r="P36" s="4"/>
      <c r="Q36" s="2"/>
      <c r="R36" s="106"/>
      <c r="S36" s="101"/>
      <c r="T36" s="102"/>
      <c r="U36" s="130"/>
      <c r="V36" s="127"/>
      <c r="W36" s="103"/>
      <c r="X36" s="103"/>
      <c r="Y36" s="103"/>
      <c r="Z36" s="103"/>
      <c r="AA36" s="99"/>
    </row>
    <row r="37" spans="2:29" ht="3" customHeight="1" x14ac:dyDescent="0.25">
      <c r="B37" s="96"/>
      <c r="C37" s="3"/>
      <c r="E37" s="6"/>
      <c r="F37" s="6"/>
      <c r="G37" s="7"/>
      <c r="H37" s="8"/>
      <c r="I37" s="6"/>
      <c r="J37" s="6"/>
      <c r="K37" s="7"/>
      <c r="L37" s="8"/>
      <c r="M37" s="7"/>
      <c r="N37" s="8"/>
      <c r="O37" s="6"/>
      <c r="P37" s="6"/>
      <c r="Q37" s="2"/>
      <c r="R37" s="105" t="str">
        <f>IF(R34="甲","",IF(OR(S34=0,S34="")=TRUE,"",IF(S34="入力ｴﾗｰ","","乙")))</f>
        <v>乙</v>
      </c>
      <c r="S37" s="101"/>
      <c r="U37" s="130"/>
      <c r="V37" s="127"/>
      <c r="W37" s="103"/>
      <c r="X37" s="103"/>
      <c r="Y37" s="103"/>
      <c r="Z37" s="103"/>
      <c r="AA37" s="99"/>
    </row>
    <row r="38" spans="2:29" ht="3" customHeight="1" x14ac:dyDescent="0.25">
      <c r="B38" s="96"/>
      <c r="C38" s="3"/>
      <c r="G38" s="3"/>
      <c r="H38" s="2"/>
      <c r="K38" s="3"/>
      <c r="L38" s="2"/>
      <c r="M38" s="3"/>
      <c r="N38" s="2"/>
      <c r="O38" s="3"/>
      <c r="Q38" s="2"/>
      <c r="R38" s="105"/>
      <c r="S38" s="101"/>
      <c r="U38" s="130"/>
      <c r="V38" s="127"/>
      <c r="W38" s="103"/>
      <c r="X38" s="103"/>
      <c r="Y38" s="103"/>
      <c r="Z38" s="103"/>
      <c r="AA38" s="99"/>
    </row>
    <row r="39" spans="2:29" ht="15" customHeight="1" x14ac:dyDescent="0.25">
      <c r="B39" s="96"/>
      <c r="C39" s="3"/>
      <c r="G39" s="1" t="s">
        <v>29</v>
      </c>
      <c r="H39" s="13" t="str">
        <f>IF(I39="","",IF(I39=0,"","L="))</f>
        <v/>
      </c>
      <c r="I39" s="97"/>
      <c r="J39" s="97"/>
      <c r="K39" s="14" t="str">
        <f>IF(I39="","",IF(I39=0,"","m"))</f>
        <v/>
      </c>
      <c r="N39" s="13" t="str">
        <f>IF(O39="","",IF(O39=0,"","L="))</f>
        <v/>
      </c>
      <c r="O39" s="97"/>
      <c r="P39" s="97"/>
      <c r="Q39" s="24" t="str">
        <f>IF(O39="","",IF(O39=0,"","m"))</f>
        <v/>
      </c>
      <c r="R39" s="105"/>
      <c r="S39" s="101"/>
      <c r="U39" s="130"/>
      <c r="V39" s="127"/>
      <c r="W39" s="103"/>
      <c r="X39" s="103"/>
      <c r="Y39" s="103"/>
      <c r="Z39" s="103"/>
      <c r="AA39" s="99"/>
      <c r="AC39" s="1">
        <f>IF(U34="",0,IF(U34&gt;SUM(V34:AA39),U34-SUM(V34:AA39),0))</f>
        <v>0</v>
      </c>
    </row>
    <row r="40" spans="2:29" ht="6" customHeight="1" x14ac:dyDescent="0.25">
      <c r="B40" s="38"/>
      <c r="C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/>
      <c r="R40" s="16"/>
      <c r="S40" s="16"/>
      <c r="T40" s="16"/>
      <c r="U40" s="39"/>
      <c r="V40" s="40"/>
      <c r="W40" s="41"/>
      <c r="X40" s="41"/>
      <c r="Y40" s="41"/>
      <c r="Z40" s="41"/>
      <c r="AA40" s="42"/>
    </row>
    <row r="41" spans="2:29" ht="6" customHeight="1" x14ac:dyDescent="0.25">
      <c r="B41" s="1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0"/>
      <c r="S41" s="10"/>
      <c r="T41" s="10"/>
      <c r="U41" s="26"/>
      <c r="V41" s="27"/>
      <c r="W41" s="23"/>
      <c r="X41" s="23"/>
      <c r="Y41" s="23"/>
      <c r="Z41" s="23"/>
      <c r="AA41" s="37"/>
    </row>
    <row r="42" spans="2:29" ht="15" customHeight="1" x14ac:dyDescent="0.25">
      <c r="B42" s="96">
        <f>IF(S42="","",IF(B34="","",1+B34))</f>
        <v>5</v>
      </c>
      <c r="C42" s="3"/>
      <c r="E42" s="13" t="str">
        <f>IF(F42="","",IF(F42=0,"","L="))</f>
        <v>L=</v>
      </c>
      <c r="F42" s="97">
        <v>3.26</v>
      </c>
      <c r="G42" s="97"/>
      <c r="H42" s="14" t="str">
        <f>IF(F42="","",IF(F42=0,"","m"))</f>
        <v>m</v>
      </c>
      <c r="K42" s="13" t="str">
        <f>IF(L42="","",IF(L42=0,"","L="))</f>
        <v/>
      </c>
      <c r="L42" s="97"/>
      <c r="M42" s="97"/>
      <c r="N42" s="14" t="str">
        <f>IF(L42="","",IF(L42=0,"","m"))</f>
        <v/>
      </c>
      <c r="Q42" s="2"/>
      <c r="R42" s="106" t="str">
        <f>IF(OR(S42="入力ｴﾗｰ",S42=0,S42="")=TRUE,"",IF(F42="","甲",IF(F42=0,"甲","")))</f>
        <v/>
      </c>
      <c r="S42" s="101">
        <f>IF((F42+I47+L42+O47)=0,"",IF((F42+I47+L42+O47)&gt;SUM($AC$1:$AC$3),"入力ｴﾗｰ",SUM($AC$1:$AC$3)-(F42+I47+L42+O47)))</f>
        <v>2.74</v>
      </c>
      <c r="T42" s="102" t="str">
        <f>IF(S42="","",IF(S42="入力ｴﾗｰ","","m"))</f>
        <v>m</v>
      </c>
      <c r="U42" s="130">
        <f>IF(B42="","",COUNT(F42,I47,L42,O47)-IF(S42=0,1,0))</f>
        <v>1</v>
      </c>
      <c r="V42" s="127"/>
      <c r="W42" s="103"/>
      <c r="X42" s="103"/>
      <c r="Y42" s="103"/>
      <c r="Z42" s="103"/>
      <c r="AA42" s="99"/>
    </row>
    <row r="43" spans="2:29" ht="3" customHeight="1" x14ac:dyDescent="0.25">
      <c r="B43" s="96"/>
      <c r="C43" s="3"/>
      <c r="G43" s="3"/>
      <c r="H43" s="2"/>
      <c r="K43" s="3"/>
      <c r="L43" s="2"/>
      <c r="M43" s="3"/>
      <c r="N43" s="2"/>
      <c r="Q43" s="2"/>
      <c r="R43" s="106"/>
      <c r="S43" s="101"/>
      <c r="T43" s="102"/>
      <c r="U43" s="130"/>
      <c r="V43" s="127"/>
      <c r="W43" s="103"/>
      <c r="X43" s="103"/>
      <c r="Y43" s="103"/>
      <c r="Z43" s="103"/>
      <c r="AA43" s="99"/>
    </row>
    <row r="44" spans="2:29" ht="3" customHeight="1" x14ac:dyDescent="0.25">
      <c r="B44" s="96"/>
      <c r="C44" s="3"/>
      <c r="E44" s="4"/>
      <c r="F44" s="4"/>
      <c r="G44" s="5"/>
      <c r="H44" s="55"/>
      <c r="I44" s="4"/>
      <c r="J44" s="4"/>
      <c r="K44" s="5"/>
      <c r="L44" s="2"/>
      <c r="M44" s="5"/>
      <c r="N44" s="55"/>
      <c r="O44" s="4"/>
      <c r="P44" s="4"/>
      <c r="Q44" s="2"/>
      <c r="R44" s="106"/>
      <c r="S44" s="101"/>
      <c r="T44" s="102"/>
      <c r="U44" s="130"/>
      <c r="V44" s="127"/>
      <c r="W44" s="103"/>
      <c r="X44" s="103"/>
      <c r="Y44" s="103"/>
      <c r="Z44" s="103"/>
      <c r="AA44" s="99"/>
    </row>
    <row r="45" spans="2:29" ht="3" customHeight="1" x14ac:dyDescent="0.25">
      <c r="B45" s="96"/>
      <c r="C45" s="3"/>
      <c r="E45" s="6"/>
      <c r="F45" s="6"/>
      <c r="G45" s="7"/>
      <c r="H45" s="8"/>
      <c r="I45" s="6"/>
      <c r="J45" s="6"/>
      <c r="K45" s="7"/>
      <c r="L45" s="8"/>
      <c r="M45" s="7"/>
      <c r="N45" s="8"/>
      <c r="O45" s="7"/>
      <c r="P45" s="6"/>
      <c r="Q45" s="2"/>
      <c r="R45" s="105" t="str">
        <f>IF(R42="甲","",IF(OR(S42=0,S42="")=TRUE,"",IF(S42="入力ｴﾗｰ","","乙")))</f>
        <v>乙</v>
      </c>
      <c r="S45" s="101"/>
      <c r="U45" s="130"/>
      <c r="V45" s="127"/>
      <c r="W45" s="103"/>
      <c r="X45" s="103"/>
      <c r="Y45" s="103"/>
      <c r="Z45" s="103"/>
      <c r="AA45" s="99"/>
    </row>
    <row r="46" spans="2:29" ht="3" customHeight="1" x14ac:dyDescent="0.25">
      <c r="B46" s="96"/>
      <c r="C46" s="3"/>
      <c r="G46" s="3"/>
      <c r="H46" s="2"/>
      <c r="K46" s="3"/>
      <c r="L46" s="2"/>
      <c r="M46" s="3"/>
      <c r="N46" s="2"/>
      <c r="Q46" s="2"/>
      <c r="R46" s="105"/>
      <c r="S46" s="101"/>
      <c r="U46" s="130"/>
      <c r="V46" s="127"/>
      <c r="W46" s="103"/>
      <c r="X46" s="103"/>
      <c r="Y46" s="103"/>
      <c r="Z46" s="103"/>
      <c r="AA46" s="99"/>
    </row>
    <row r="47" spans="2:29" ht="15" customHeight="1" x14ac:dyDescent="0.25">
      <c r="B47" s="96"/>
      <c r="C47" s="3"/>
      <c r="G47" s="1" t="s">
        <v>29</v>
      </c>
      <c r="H47" s="13" t="str">
        <f>IF(I47="","",IF(I47=0,"","L="))</f>
        <v/>
      </c>
      <c r="I47" s="97"/>
      <c r="J47" s="97"/>
      <c r="K47" s="14" t="str">
        <f>IF(I47="","",IF(I47=0,"","m"))</f>
        <v/>
      </c>
      <c r="N47" s="13" t="str">
        <f>IF(O47="","",IF(O47=0,"","L="))</f>
        <v/>
      </c>
      <c r="O47" s="97"/>
      <c r="P47" s="97"/>
      <c r="Q47" s="24" t="str">
        <f>IF(O47="","",IF(O47=0,"","m"))</f>
        <v/>
      </c>
      <c r="R47" s="105"/>
      <c r="S47" s="101"/>
      <c r="U47" s="130"/>
      <c r="V47" s="127"/>
      <c r="W47" s="103"/>
      <c r="X47" s="103"/>
      <c r="Y47" s="103"/>
      <c r="Z47" s="103"/>
      <c r="AA47" s="99"/>
      <c r="AC47" s="1">
        <f>IF(U42="",0,IF(U42&gt;SUM(V42:AA47),U42-SUM(V42:AA47),0))</f>
        <v>1</v>
      </c>
    </row>
    <row r="48" spans="2:29" ht="6" customHeight="1" x14ac:dyDescent="0.25">
      <c r="B48" s="38"/>
      <c r="C48" s="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  <c r="R48" s="16"/>
      <c r="S48" s="16"/>
      <c r="T48" s="16"/>
      <c r="U48" s="39"/>
      <c r="V48" s="40"/>
      <c r="W48" s="41"/>
      <c r="X48" s="41"/>
      <c r="Y48" s="41"/>
      <c r="Z48" s="41"/>
      <c r="AA48" s="42"/>
    </row>
    <row r="49" spans="2:29" ht="6" customHeight="1" x14ac:dyDescent="0.25">
      <c r="B49" s="1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0"/>
      <c r="S49" s="10"/>
      <c r="T49" s="10"/>
      <c r="U49" s="26"/>
      <c r="V49" s="27"/>
      <c r="W49" s="23"/>
      <c r="X49" s="23"/>
      <c r="Y49" s="23"/>
      <c r="Z49" s="23"/>
      <c r="AA49" s="37"/>
    </row>
    <row r="50" spans="2:29" ht="15" customHeight="1" x14ac:dyDescent="0.25">
      <c r="B50" s="96" t="str">
        <f>IF(S50="","",IF(B42="","",1+B42))</f>
        <v/>
      </c>
      <c r="C50" s="3"/>
      <c r="E50" s="13" t="str">
        <f>IF(F50="","",IF(F50=0,"","L="))</f>
        <v/>
      </c>
      <c r="F50" s="97"/>
      <c r="G50" s="97"/>
      <c r="H50" s="14" t="str">
        <f>IF(F50="","",IF(F50=0,"","m"))</f>
        <v/>
      </c>
      <c r="K50" s="13" t="str">
        <f>IF(L50="","",IF(L50=0,"","L="))</f>
        <v/>
      </c>
      <c r="L50" s="97"/>
      <c r="M50" s="97"/>
      <c r="N50" s="14" t="str">
        <f>IF(L50="","",IF(L50=0,"","m"))</f>
        <v/>
      </c>
      <c r="Q50" s="2"/>
      <c r="R50" s="106" t="str">
        <f>IF(OR(S50="入力ｴﾗｰ",S50=0,S50="")=TRUE,"",IF(F50="","甲",IF(F50=0,"甲","")))</f>
        <v/>
      </c>
      <c r="S50" s="101" t="str">
        <f>IF((F50+I55+L50+O55)=0,"",IF((F50+I55+L50+O55)&gt;SUM($AC$1:$AC$3),"入力ｴﾗｰ",SUM($AC$1:$AC$3)-(F50+I55+L50+O55)))</f>
        <v/>
      </c>
      <c r="T50" s="102" t="str">
        <f>IF(S50="","",IF(S50="入力ｴﾗｰ","","m"))</f>
        <v/>
      </c>
      <c r="U50" s="130" t="str">
        <f>IF(B50="","",COUNT(F50,I55,L50,O55)-IF(S50=0,1,0))</f>
        <v/>
      </c>
      <c r="V50" s="127"/>
      <c r="W50" s="103"/>
      <c r="X50" s="103"/>
      <c r="Y50" s="103"/>
      <c r="Z50" s="103"/>
      <c r="AA50" s="99"/>
    </row>
    <row r="51" spans="2:29" ht="3" customHeight="1" x14ac:dyDescent="0.25">
      <c r="B51" s="96"/>
      <c r="C51" s="3"/>
      <c r="G51" s="3"/>
      <c r="H51" s="2"/>
      <c r="K51" s="3"/>
      <c r="L51" s="2"/>
      <c r="M51" s="3"/>
      <c r="N51" s="2"/>
      <c r="Q51" s="2"/>
      <c r="R51" s="106"/>
      <c r="S51" s="101"/>
      <c r="T51" s="102"/>
      <c r="U51" s="130"/>
      <c r="V51" s="127"/>
      <c r="W51" s="103"/>
      <c r="X51" s="103"/>
      <c r="Y51" s="103"/>
      <c r="Z51" s="103"/>
      <c r="AA51" s="99"/>
    </row>
    <row r="52" spans="2:29" ht="3" customHeight="1" x14ac:dyDescent="0.25">
      <c r="B52" s="96"/>
      <c r="C52" s="3"/>
      <c r="E52" s="4"/>
      <c r="F52" s="4"/>
      <c r="G52" s="5"/>
      <c r="H52" s="55"/>
      <c r="I52" s="4"/>
      <c r="J52" s="4"/>
      <c r="K52" s="5"/>
      <c r="L52" s="55"/>
      <c r="M52" s="5"/>
      <c r="N52" s="55"/>
      <c r="O52" s="4"/>
      <c r="P52" s="4"/>
      <c r="Q52" s="2"/>
      <c r="R52" s="106"/>
      <c r="S52" s="101"/>
      <c r="T52" s="102"/>
      <c r="U52" s="130"/>
      <c r="V52" s="127"/>
      <c r="W52" s="103"/>
      <c r="X52" s="103"/>
      <c r="Y52" s="103"/>
      <c r="Z52" s="103"/>
      <c r="AA52" s="99"/>
    </row>
    <row r="53" spans="2:29" ht="3" customHeight="1" x14ac:dyDescent="0.25">
      <c r="B53" s="96"/>
      <c r="C53" s="3"/>
      <c r="E53" s="6"/>
      <c r="F53" s="6"/>
      <c r="G53" s="7"/>
      <c r="H53" s="8"/>
      <c r="I53" s="6"/>
      <c r="J53" s="6"/>
      <c r="K53" s="7"/>
      <c r="L53" s="8"/>
      <c r="M53" s="7"/>
      <c r="N53" s="8"/>
      <c r="O53" s="6"/>
      <c r="P53" s="6"/>
      <c r="Q53" s="2"/>
      <c r="R53" s="105" t="str">
        <f>IF(R50="甲","",IF(OR(S50=0,S50="")=TRUE,"",IF(S50="入力ｴﾗｰ","","乙")))</f>
        <v/>
      </c>
      <c r="S53" s="101"/>
      <c r="U53" s="130"/>
      <c r="V53" s="127"/>
      <c r="W53" s="103"/>
      <c r="X53" s="103"/>
      <c r="Y53" s="103"/>
      <c r="Z53" s="103"/>
      <c r="AA53" s="99"/>
    </row>
    <row r="54" spans="2:29" ht="3" customHeight="1" x14ac:dyDescent="0.25">
      <c r="B54" s="96"/>
      <c r="C54" s="3"/>
      <c r="G54" s="3"/>
      <c r="H54" s="2"/>
      <c r="K54" s="3"/>
      <c r="L54" s="2"/>
      <c r="M54" s="3"/>
      <c r="N54" s="2"/>
      <c r="Q54" s="2"/>
      <c r="R54" s="105"/>
      <c r="S54" s="101"/>
      <c r="U54" s="130"/>
      <c r="V54" s="127"/>
      <c r="W54" s="103"/>
      <c r="X54" s="103"/>
      <c r="Y54" s="103"/>
      <c r="Z54" s="103"/>
      <c r="AA54" s="99"/>
    </row>
    <row r="55" spans="2:29" ht="15" customHeight="1" x14ac:dyDescent="0.25">
      <c r="B55" s="96"/>
      <c r="C55" s="3"/>
      <c r="H55" s="13" t="str">
        <f>IF(I55="","",IF(I55=0,"","L="))</f>
        <v/>
      </c>
      <c r="I55" s="97"/>
      <c r="J55" s="97"/>
      <c r="K55" s="14" t="str">
        <f>IF(I55="","",IF(I55=0,"","m"))</f>
        <v/>
      </c>
      <c r="N55" s="13" t="str">
        <f>IF(O55="","",IF(O55=0,"","L="))</f>
        <v/>
      </c>
      <c r="O55" s="97"/>
      <c r="P55" s="97"/>
      <c r="Q55" s="24" t="str">
        <f>IF(O55="","",IF(O55=0,"","m"))</f>
        <v/>
      </c>
      <c r="R55" s="105"/>
      <c r="S55" s="101"/>
      <c r="U55" s="130"/>
      <c r="V55" s="127"/>
      <c r="W55" s="103"/>
      <c r="X55" s="103"/>
      <c r="Y55" s="103"/>
      <c r="Z55" s="103"/>
      <c r="AA55" s="99"/>
      <c r="AC55" s="1">
        <f>IF(U50="",0,IF(U50&gt;SUM(V50:AA55),U50-SUM(V50:AA55),0))</f>
        <v>0</v>
      </c>
    </row>
    <row r="56" spans="2:29" ht="6" customHeight="1" x14ac:dyDescent="0.25">
      <c r="B56" s="38"/>
      <c r="C56" s="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7"/>
      <c r="R56" s="16"/>
      <c r="S56" s="16"/>
      <c r="T56" s="16"/>
      <c r="U56" s="39"/>
      <c r="V56" s="40"/>
      <c r="W56" s="41"/>
      <c r="X56" s="41"/>
      <c r="Y56" s="41"/>
      <c r="Z56" s="41"/>
      <c r="AA56" s="42"/>
    </row>
    <row r="57" spans="2:29" ht="6" customHeight="1" x14ac:dyDescent="0.25">
      <c r="B57" s="1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1"/>
      <c r="R57" s="10"/>
      <c r="S57" s="10"/>
      <c r="T57" s="10"/>
      <c r="U57" s="26"/>
      <c r="V57" s="27"/>
      <c r="W57" s="23"/>
      <c r="X57" s="23"/>
      <c r="Y57" s="23"/>
      <c r="Z57" s="23"/>
      <c r="AA57" s="37"/>
    </row>
    <row r="58" spans="2:29" ht="15" customHeight="1" x14ac:dyDescent="0.25">
      <c r="B58" s="96" t="str">
        <f>IF(S58="","",IF(B50="","",1+B50))</f>
        <v/>
      </c>
      <c r="C58" s="3"/>
      <c r="E58" s="13" t="str">
        <f>IF(F58="","",IF(F58=0,"","L="))</f>
        <v/>
      </c>
      <c r="F58" s="97"/>
      <c r="G58" s="97"/>
      <c r="H58" s="14" t="str">
        <f>IF(F58="","",IF(F58=0,"","m"))</f>
        <v/>
      </c>
      <c r="K58" s="13" t="str">
        <f>IF(L58="","",IF(L58=0,"","L="))</f>
        <v/>
      </c>
      <c r="L58" s="97"/>
      <c r="M58" s="97"/>
      <c r="N58" s="14" t="str">
        <f>IF(L58="","",IF(L58=0,"","m"))</f>
        <v/>
      </c>
      <c r="Q58" s="2"/>
      <c r="R58" s="106" t="str">
        <f>IF(OR(S58="入力ｴﾗｰ",S58=0,S58="")=TRUE,"",IF(F58="","甲",IF(F58=0,"甲","")))</f>
        <v/>
      </c>
      <c r="S58" s="101" t="str">
        <f>IF((F58+I63+L58+O63)=0,"",IF((F58+I63+L58+O63)&gt;SUM($AC$1:$AC$3),"入力ｴﾗｰ",SUM($AC$1:$AC$3)-(F58+I63+L58+O63)))</f>
        <v/>
      </c>
      <c r="T58" s="102" t="str">
        <f>IF(S58="","",IF(S58="入力ｴﾗｰ","","m"))</f>
        <v/>
      </c>
      <c r="U58" s="130" t="str">
        <f>IF(B58="","",COUNT(F58,I63,L58,O63)-IF(S58=0,1,0))</f>
        <v/>
      </c>
      <c r="V58" s="127"/>
      <c r="W58" s="103"/>
      <c r="X58" s="103"/>
      <c r="Y58" s="103"/>
      <c r="Z58" s="103"/>
      <c r="AA58" s="99"/>
    </row>
    <row r="59" spans="2:29" ht="3" customHeight="1" x14ac:dyDescent="0.25">
      <c r="B59" s="96"/>
      <c r="C59" s="3"/>
      <c r="G59" s="3"/>
      <c r="H59" s="2"/>
      <c r="K59" s="3"/>
      <c r="L59" s="2"/>
      <c r="M59" s="3"/>
      <c r="N59" s="2"/>
      <c r="Q59" s="2"/>
      <c r="R59" s="106"/>
      <c r="S59" s="101"/>
      <c r="T59" s="102"/>
      <c r="U59" s="130"/>
      <c r="V59" s="127"/>
      <c r="W59" s="103"/>
      <c r="X59" s="103"/>
      <c r="Y59" s="103"/>
      <c r="Z59" s="103"/>
      <c r="AA59" s="99"/>
    </row>
    <row r="60" spans="2:29" ht="3" customHeight="1" x14ac:dyDescent="0.25">
      <c r="B60" s="96"/>
      <c r="C60" s="3"/>
      <c r="E60" s="4"/>
      <c r="F60" s="4"/>
      <c r="G60" s="5"/>
      <c r="H60" s="55"/>
      <c r="I60" s="4"/>
      <c r="J60" s="4"/>
      <c r="K60" s="5"/>
      <c r="L60" s="55"/>
      <c r="M60" s="5"/>
      <c r="N60" s="55"/>
      <c r="O60" s="4"/>
      <c r="P60" s="4"/>
      <c r="Q60" s="2"/>
      <c r="R60" s="106"/>
      <c r="S60" s="101"/>
      <c r="T60" s="102"/>
      <c r="U60" s="130"/>
      <c r="V60" s="127"/>
      <c r="W60" s="103"/>
      <c r="X60" s="103"/>
      <c r="Y60" s="103"/>
      <c r="Z60" s="103"/>
      <c r="AA60" s="99"/>
    </row>
    <row r="61" spans="2:29" ht="3" customHeight="1" x14ac:dyDescent="0.25">
      <c r="B61" s="96"/>
      <c r="C61" s="3"/>
      <c r="E61" s="6"/>
      <c r="F61" s="6"/>
      <c r="G61" s="7"/>
      <c r="H61" s="8"/>
      <c r="I61" s="6"/>
      <c r="J61" s="6"/>
      <c r="K61" s="7"/>
      <c r="L61" s="8"/>
      <c r="M61" s="7"/>
      <c r="N61" s="8"/>
      <c r="O61" s="6"/>
      <c r="P61" s="6"/>
      <c r="Q61" s="2"/>
      <c r="R61" s="105" t="str">
        <f>IF(R58="甲","",IF(OR(S58=0,S58="")=TRUE,"",IF(S58="入力ｴﾗｰ","","乙")))</f>
        <v/>
      </c>
      <c r="S61" s="101"/>
      <c r="U61" s="130"/>
      <c r="V61" s="127"/>
      <c r="W61" s="103"/>
      <c r="X61" s="103"/>
      <c r="Y61" s="103"/>
      <c r="Z61" s="103"/>
      <c r="AA61" s="99"/>
    </row>
    <row r="62" spans="2:29" ht="3" customHeight="1" x14ac:dyDescent="0.25">
      <c r="B62" s="96"/>
      <c r="C62" s="3"/>
      <c r="G62" s="3"/>
      <c r="H62" s="2"/>
      <c r="K62" s="3"/>
      <c r="L62" s="2"/>
      <c r="M62" s="3"/>
      <c r="N62" s="2"/>
      <c r="Q62" s="2"/>
      <c r="R62" s="105"/>
      <c r="S62" s="101"/>
      <c r="U62" s="130"/>
      <c r="V62" s="127"/>
      <c r="W62" s="103"/>
      <c r="X62" s="103"/>
      <c r="Y62" s="103"/>
      <c r="Z62" s="103"/>
      <c r="AA62" s="99"/>
    </row>
    <row r="63" spans="2:29" ht="15" customHeight="1" x14ac:dyDescent="0.25">
      <c r="B63" s="96"/>
      <c r="C63" s="3"/>
      <c r="H63" s="13" t="str">
        <f>IF(I63="","",IF(I63=0,"","L="))</f>
        <v/>
      </c>
      <c r="I63" s="97"/>
      <c r="J63" s="97"/>
      <c r="K63" s="14" t="str">
        <f>IF(I63="","",IF(I63=0,"","m"))</f>
        <v/>
      </c>
      <c r="N63" s="13" t="str">
        <f>IF(O63="","",IF(O63=0,"","L="))</f>
        <v/>
      </c>
      <c r="O63" s="97"/>
      <c r="P63" s="97"/>
      <c r="Q63" s="24" t="str">
        <f>IF(O63="","",IF(O63=0,"","m"))</f>
        <v/>
      </c>
      <c r="R63" s="105"/>
      <c r="S63" s="101"/>
      <c r="U63" s="130"/>
      <c r="V63" s="127"/>
      <c r="W63" s="103"/>
      <c r="X63" s="103"/>
      <c r="Y63" s="103"/>
      <c r="Z63" s="103"/>
      <c r="AA63" s="99"/>
      <c r="AC63" s="1">
        <f>IF(U58="",0,IF(U58&gt;SUM(V58:AA63),U58-SUM(V58:AA63),0))</f>
        <v>0</v>
      </c>
    </row>
    <row r="64" spans="2:29" ht="6" customHeight="1" x14ac:dyDescent="0.25">
      <c r="B64" s="38"/>
      <c r="C64" s="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6"/>
      <c r="S64" s="16"/>
      <c r="T64" s="16"/>
      <c r="U64" s="39"/>
      <c r="V64" s="40"/>
      <c r="W64" s="41"/>
      <c r="X64" s="41"/>
      <c r="Y64" s="41"/>
      <c r="Z64" s="41"/>
      <c r="AA64" s="42"/>
    </row>
    <row r="65" spans="2:29" ht="6" customHeight="1" x14ac:dyDescent="0.25">
      <c r="B65" s="1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1"/>
      <c r="R65" s="10"/>
      <c r="S65" s="10"/>
      <c r="T65" s="10"/>
      <c r="U65" s="26"/>
      <c r="V65" s="27"/>
      <c r="W65" s="23"/>
      <c r="X65" s="23"/>
      <c r="Y65" s="23"/>
      <c r="Z65" s="23"/>
      <c r="AA65" s="37"/>
    </row>
    <row r="66" spans="2:29" ht="15" customHeight="1" x14ac:dyDescent="0.25">
      <c r="B66" s="96" t="str">
        <f>IF(S66="","",IF(B58="","",1+B58))</f>
        <v/>
      </c>
      <c r="C66" s="3"/>
      <c r="E66" s="13" t="str">
        <f>IF(F66="","",IF(F66=0,"","L="))</f>
        <v/>
      </c>
      <c r="F66" s="97"/>
      <c r="G66" s="97"/>
      <c r="H66" s="14" t="str">
        <f>IF(F66="","",IF(F66=0,"","m"))</f>
        <v/>
      </c>
      <c r="K66" s="13" t="str">
        <f>IF(L66="","",IF(L66=0,"","L="))</f>
        <v/>
      </c>
      <c r="L66" s="97"/>
      <c r="M66" s="97"/>
      <c r="N66" s="14" t="str">
        <f>IF(L66="","",IF(L66=0,"","m"))</f>
        <v/>
      </c>
      <c r="Q66" s="2"/>
      <c r="R66" s="106" t="str">
        <f>IF(OR(S66="入力ｴﾗｰ",S66=0,S66="")=TRUE,"",IF(F66="","甲",IF(F66=0,"甲","")))</f>
        <v/>
      </c>
      <c r="S66" s="101" t="str">
        <f>IF((F66+I71+L66+O71)=0,"",IF((F66+I71+L66+O71)&gt;SUM($AC$1:$AC$3),"入力ｴﾗｰ",SUM($AC$1:$AC$3)-(F66+I71+L66+O71)))</f>
        <v/>
      </c>
      <c r="T66" s="102" t="str">
        <f>IF(S66="","",IF(S66="入力ｴﾗｰ","","m"))</f>
        <v/>
      </c>
      <c r="U66" s="130" t="str">
        <f>IF(B66="","",COUNT(F66,I71,L66,O71)-IF(S66=0,1,0))</f>
        <v/>
      </c>
      <c r="V66" s="127"/>
      <c r="W66" s="103"/>
      <c r="X66" s="103"/>
      <c r="Y66" s="103"/>
      <c r="Z66" s="103"/>
      <c r="AA66" s="99"/>
    </row>
    <row r="67" spans="2:29" ht="3" customHeight="1" x14ac:dyDescent="0.25">
      <c r="B67" s="96"/>
      <c r="C67" s="3"/>
      <c r="G67" s="3"/>
      <c r="H67" s="2"/>
      <c r="K67" s="3"/>
      <c r="L67" s="2"/>
      <c r="M67" s="3"/>
      <c r="N67" s="2"/>
      <c r="Q67" s="2"/>
      <c r="R67" s="106"/>
      <c r="S67" s="101"/>
      <c r="T67" s="102"/>
      <c r="U67" s="130"/>
      <c r="V67" s="127"/>
      <c r="W67" s="103"/>
      <c r="X67" s="103"/>
      <c r="Y67" s="103"/>
      <c r="Z67" s="103"/>
      <c r="AA67" s="99"/>
    </row>
    <row r="68" spans="2:29" ht="3" customHeight="1" x14ac:dyDescent="0.25">
      <c r="B68" s="96"/>
      <c r="C68" s="3"/>
      <c r="E68" s="4"/>
      <c r="F68" s="4"/>
      <c r="G68" s="5"/>
      <c r="H68" s="55"/>
      <c r="I68" s="4"/>
      <c r="J68" s="4"/>
      <c r="K68" s="5"/>
      <c r="L68" s="2"/>
      <c r="M68" s="5"/>
      <c r="N68" s="55"/>
      <c r="O68" s="4"/>
      <c r="P68" s="4"/>
      <c r="Q68" s="2"/>
      <c r="R68" s="106"/>
      <c r="S68" s="101"/>
      <c r="T68" s="102"/>
      <c r="U68" s="130"/>
      <c r="V68" s="127"/>
      <c r="W68" s="103"/>
      <c r="X68" s="103"/>
      <c r="Y68" s="103"/>
      <c r="Z68" s="103"/>
      <c r="AA68" s="99"/>
    </row>
    <row r="69" spans="2:29" ht="3" customHeight="1" x14ac:dyDescent="0.25">
      <c r="B69" s="96"/>
      <c r="C69" s="3"/>
      <c r="E69" s="6"/>
      <c r="F69" s="6"/>
      <c r="G69" s="7"/>
      <c r="H69" s="8"/>
      <c r="I69" s="6"/>
      <c r="J69" s="6"/>
      <c r="K69" s="7"/>
      <c r="L69" s="8"/>
      <c r="M69" s="7"/>
      <c r="N69" s="8"/>
      <c r="O69" s="6"/>
      <c r="P69" s="6"/>
      <c r="Q69" s="2"/>
      <c r="R69" s="105" t="str">
        <f>IF(R66="甲","",IF(OR(S66=0,S66="")=TRUE,"",IF(S66="入力ｴﾗｰ","","乙")))</f>
        <v/>
      </c>
      <c r="S69" s="101"/>
      <c r="U69" s="130"/>
      <c r="V69" s="127"/>
      <c r="W69" s="103"/>
      <c r="X69" s="103"/>
      <c r="Y69" s="103"/>
      <c r="Z69" s="103"/>
      <c r="AA69" s="99"/>
    </row>
    <row r="70" spans="2:29" ht="3" customHeight="1" x14ac:dyDescent="0.25">
      <c r="B70" s="96"/>
      <c r="C70" s="3"/>
      <c r="G70" s="3"/>
      <c r="H70" s="2"/>
      <c r="K70" s="3"/>
      <c r="L70" s="2"/>
      <c r="M70" s="3"/>
      <c r="N70" s="2"/>
      <c r="Q70" s="2"/>
      <c r="R70" s="105"/>
      <c r="S70" s="101"/>
      <c r="U70" s="130"/>
      <c r="V70" s="127"/>
      <c r="W70" s="103"/>
      <c r="X70" s="103"/>
      <c r="Y70" s="103"/>
      <c r="Z70" s="103"/>
      <c r="AA70" s="99"/>
    </row>
    <row r="71" spans="2:29" ht="15" customHeight="1" x14ac:dyDescent="0.25">
      <c r="B71" s="96"/>
      <c r="C71" s="3"/>
      <c r="H71" s="13" t="str">
        <f>IF(I71="","",IF(I71=0,"","L="))</f>
        <v/>
      </c>
      <c r="I71" s="97"/>
      <c r="J71" s="97"/>
      <c r="K71" s="14" t="str">
        <f>IF(I71="","",IF(I71=0,"","m"))</f>
        <v/>
      </c>
      <c r="N71" s="13" t="str">
        <f>IF(O71="","",IF(O71=0,"","L="))</f>
        <v/>
      </c>
      <c r="O71" s="97"/>
      <c r="P71" s="97"/>
      <c r="Q71" s="24" t="str">
        <f>IF(O71="","",IF(O71=0,"","m"))</f>
        <v/>
      </c>
      <c r="R71" s="105"/>
      <c r="S71" s="101"/>
      <c r="U71" s="130"/>
      <c r="V71" s="127"/>
      <c r="W71" s="103"/>
      <c r="X71" s="103"/>
      <c r="Y71" s="103"/>
      <c r="Z71" s="103"/>
      <c r="AA71" s="99"/>
      <c r="AC71" s="1">
        <f>IF(U66="",0,IF(U66&gt;SUM(V66:AA71),U66-SUM(V66:AA71),0))</f>
        <v>0</v>
      </c>
    </row>
    <row r="72" spans="2:29" ht="6" customHeight="1" x14ac:dyDescent="0.25">
      <c r="B72" s="38"/>
      <c r="C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/>
      <c r="R72" s="16"/>
      <c r="S72" s="16"/>
      <c r="T72" s="16"/>
      <c r="U72" s="39"/>
      <c r="V72" s="40"/>
      <c r="W72" s="41"/>
      <c r="X72" s="41"/>
      <c r="Y72" s="41"/>
      <c r="Z72" s="41"/>
      <c r="AA72" s="42"/>
    </row>
    <row r="73" spans="2:29" ht="6" customHeight="1" x14ac:dyDescent="0.25">
      <c r="B73" s="1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1"/>
      <c r="R73" s="10"/>
      <c r="S73" s="10"/>
      <c r="T73" s="10"/>
      <c r="U73" s="26"/>
      <c r="V73" s="27"/>
      <c r="W73" s="23"/>
      <c r="X73" s="23"/>
      <c r="Y73" s="23"/>
      <c r="Z73" s="23"/>
      <c r="AA73" s="37"/>
    </row>
    <row r="74" spans="2:29" ht="15" customHeight="1" x14ac:dyDescent="0.25">
      <c r="B74" s="96" t="str">
        <f>IF(S74="","",IF(B66="","",1+B66))</f>
        <v/>
      </c>
      <c r="C74" s="3"/>
      <c r="E74" s="13" t="str">
        <f>IF(F74="","",IF(F74=0,"","L="))</f>
        <v/>
      </c>
      <c r="F74" s="97"/>
      <c r="G74" s="97"/>
      <c r="H74" s="14" t="str">
        <f>IF(F74="","",IF(F74=0,"","m"))</f>
        <v/>
      </c>
      <c r="K74" s="13" t="str">
        <f>IF(L74="","",IF(L74=0,"","L="))</f>
        <v/>
      </c>
      <c r="L74" s="97"/>
      <c r="M74" s="97"/>
      <c r="N74" s="14" t="str">
        <f>IF(L74="","",IF(L74=0,"","m"))</f>
        <v/>
      </c>
      <c r="Q74" s="2"/>
      <c r="R74" s="106" t="str">
        <f>IF(OR(S74="入力ｴﾗｰ",S74=0,S74="")=TRUE,"",IF(F74="","甲",IF(F74=0,"甲","")))</f>
        <v/>
      </c>
      <c r="S74" s="101" t="str">
        <f>IF((F74+I79+L74+O79)=0,"",IF((F74+I79+L74+O79)&gt;SUM($AC$1:$AC$3),"入力ｴﾗｰ",SUM($AC$1:$AC$3)-(F74+I79+L74+O79)))</f>
        <v/>
      </c>
      <c r="T74" s="102" t="str">
        <f>IF(S74="","",IF(S74="入力ｴﾗｰ","","m"))</f>
        <v/>
      </c>
      <c r="U74" s="130" t="str">
        <f>IF(B74="","",COUNT(F74,I79,L74,O79)-IF(S74=0,1,0))</f>
        <v/>
      </c>
      <c r="V74" s="127"/>
      <c r="W74" s="103"/>
      <c r="X74" s="103"/>
      <c r="Y74" s="103"/>
      <c r="Z74" s="103"/>
      <c r="AA74" s="99"/>
    </row>
    <row r="75" spans="2:29" ht="3" customHeight="1" x14ac:dyDescent="0.25">
      <c r="B75" s="96"/>
      <c r="C75" s="3"/>
      <c r="G75" s="3"/>
      <c r="H75" s="2"/>
      <c r="K75" s="3"/>
      <c r="L75" s="2"/>
      <c r="M75" s="3"/>
      <c r="N75" s="2"/>
      <c r="Q75" s="2"/>
      <c r="R75" s="106"/>
      <c r="S75" s="101"/>
      <c r="T75" s="102"/>
      <c r="U75" s="130"/>
      <c r="V75" s="127"/>
      <c r="W75" s="103"/>
      <c r="X75" s="103"/>
      <c r="Y75" s="103"/>
      <c r="Z75" s="103"/>
      <c r="AA75" s="99"/>
    </row>
    <row r="76" spans="2:29" ht="3" customHeight="1" x14ac:dyDescent="0.25">
      <c r="B76" s="96"/>
      <c r="C76" s="3"/>
      <c r="E76" s="4"/>
      <c r="F76" s="4"/>
      <c r="G76" s="5"/>
      <c r="H76" s="55"/>
      <c r="I76" s="4"/>
      <c r="J76" s="4"/>
      <c r="K76" s="5"/>
      <c r="L76" s="2"/>
      <c r="M76" s="5"/>
      <c r="N76" s="55"/>
      <c r="O76" s="4"/>
      <c r="P76" s="4"/>
      <c r="Q76" s="2"/>
      <c r="R76" s="106"/>
      <c r="S76" s="101"/>
      <c r="T76" s="102"/>
      <c r="U76" s="130"/>
      <c r="V76" s="127"/>
      <c r="W76" s="103"/>
      <c r="X76" s="103"/>
      <c r="Y76" s="103"/>
      <c r="Z76" s="103"/>
      <c r="AA76" s="99"/>
    </row>
    <row r="77" spans="2:29" ht="3" customHeight="1" x14ac:dyDescent="0.25">
      <c r="B77" s="96"/>
      <c r="C77" s="3"/>
      <c r="E77" s="6"/>
      <c r="F77" s="6"/>
      <c r="G77" s="7"/>
      <c r="H77" s="8"/>
      <c r="I77" s="6"/>
      <c r="J77" s="6"/>
      <c r="K77" s="7"/>
      <c r="L77" s="8"/>
      <c r="M77" s="7"/>
      <c r="N77" s="8"/>
      <c r="O77" s="6"/>
      <c r="P77" s="6"/>
      <c r="Q77" s="2"/>
      <c r="R77" s="105" t="str">
        <f>IF(R74="甲","",IF(OR(S74=0,S74="")=TRUE,"",IF(S74="入力ｴﾗｰ","","乙")))</f>
        <v/>
      </c>
      <c r="S77" s="101"/>
      <c r="U77" s="130"/>
      <c r="V77" s="127"/>
      <c r="W77" s="103"/>
      <c r="X77" s="103"/>
      <c r="Y77" s="103"/>
      <c r="Z77" s="103"/>
      <c r="AA77" s="99"/>
    </row>
    <row r="78" spans="2:29" ht="3" customHeight="1" x14ac:dyDescent="0.25">
      <c r="B78" s="96"/>
      <c r="C78" s="3"/>
      <c r="G78" s="3"/>
      <c r="H78" s="2"/>
      <c r="K78" s="3"/>
      <c r="L78" s="2"/>
      <c r="M78" s="3"/>
      <c r="N78" s="2"/>
      <c r="Q78" s="2"/>
      <c r="R78" s="105"/>
      <c r="S78" s="101"/>
      <c r="U78" s="130"/>
      <c r="V78" s="127"/>
      <c r="W78" s="103"/>
      <c r="X78" s="103"/>
      <c r="Y78" s="103"/>
      <c r="Z78" s="103"/>
      <c r="AA78" s="99"/>
    </row>
    <row r="79" spans="2:29" ht="15" customHeight="1" x14ac:dyDescent="0.25">
      <c r="B79" s="96"/>
      <c r="C79" s="3"/>
      <c r="H79" s="13" t="str">
        <f>IF(I79="","",IF(I79=0,"","L="))</f>
        <v/>
      </c>
      <c r="I79" s="97"/>
      <c r="J79" s="97"/>
      <c r="K79" s="14" t="str">
        <f>IF(I79="","",IF(I79=0,"","m"))</f>
        <v/>
      </c>
      <c r="N79" s="13" t="str">
        <f>IF(O79="","",IF(O79=0,"","L="))</f>
        <v/>
      </c>
      <c r="O79" s="97"/>
      <c r="P79" s="97"/>
      <c r="Q79" s="24" t="str">
        <f>IF(O79="","",IF(O79=0,"","m"))</f>
        <v/>
      </c>
      <c r="R79" s="105"/>
      <c r="S79" s="101"/>
      <c r="U79" s="130"/>
      <c r="V79" s="127"/>
      <c r="W79" s="103"/>
      <c r="X79" s="103"/>
      <c r="Y79" s="103"/>
      <c r="Z79" s="103"/>
      <c r="AA79" s="99"/>
      <c r="AC79" s="1">
        <f>IF(U74="",0,IF(U74&gt;SUM(V74:AA79),U74-SUM(V74:AA79),0))</f>
        <v>0</v>
      </c>
    </row>
    <row r="80" spans="2:29" ht="6" customHeight="1" x14ac:dyDescent="0.25">
      <c r="B80" s="38"/>
      <c r="C80" s="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7"/>
      <c r="R80" s="16"/>
      <c r="S80" s="16"/>
      <c r="T80" s="16"/>
      <c r="U80" s="39"/>
      <c r="V80" s="40"/>
      <c r="W80" s="41"/>
      <c r="X80" s="41"/>
      <c r="Y80" s="41"/>
      <c r="Z80" s="41"/>
      <c r="AA80" s="42"/>
    </row>
    <row r="81" spans="2:29" ht="6" customHeight="1" x14ac:dyDescent="0.25">
      <c r="B81" s="1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1"/>
      <c r="R81" s="10"/>
      <c r="S81" s="10"/>
      <c r="T81" s="10"/>
      <c r="U81" s="26"/>
      <c r="V81" s="27"/>
      <c r="W81" s="23"/>
      <c r="X81" s="23"/>
      <c r="Y81" s="23"/>
      <c r="Z81" s="23"/>
      <c r="AA81" s="37"/>
    </row>
    <row r="82" spans="2:29" ht="15" customHeight="1" x14ac:dyDescent="0.25">
      <c r="B82" s="96" t="str">
        <f>IF(S82="","",IF(B74="","",1+B74))</f>
        <v/>
      </c>
      <c r="C82" s="3"/>
      <c r="E82" s="13" t="str">
        <f>IF(F82="","",IF(F82=0,"","L="))</f>
        <v/>
      </c>
      <c r="F82" s="97"/>
      <c r="G82" s="97"/>
      <c r="H82" s="14" t="str">
        <f>IF(F82="","",IF(F82=0,"","m"))</f>
        <v/>
      </c>
      <c r="K82" s="13" t="str">
        <f>IF(L82="","",IF(L82=0,"","L="))</f>
        <v/>
      </c>
      <c r="L82" s="97"/>
      <c r="M82" s="97"/>
      <c r="N82" s="14" t="str">
        <f>IF(L82="","",IF(L82=0,"","m"))</f>
        <v/>
      </c>
      <c r="Q82" s="2"/>
      <c r="R82" s="106" t="str">
        <f>IF(OR(S82="入力ｴﾗｰ",S82=0,S82="")=TRUE,"",IF(F82="","甲",IF(F82=0,"甲","")))</f>
        <v/>
      </c>
      <c r="S82" s="101" t="str">
        <f>IF((F82+I87+L82+O87)=0,"",IF((F82+I87+L82+O87)&gt;SUM($AC$1:$AC$3),"入力ｴﾗｰ",SUM($AC$1:$AC$3)-(F82+I87+L82+O87)))</f>
        <v/>
      </c>
      <c r="T82" s="102" t="str">
        <f>IF(S82="","",IF(S82="入力ｴﾗｰ","","m"))</f>
        <v/>
      </c>
      <c r="U82" s="130" t="str">
        <f>IF(B82="","",COUNT(F82,I87,L82,O87)-IF(S82=0,1,0))</f>
        <v/>
      </c>
      <c r="V82" s="127"/>
      <c r="W82" s="103"/>
      <c r="X82" s="103"/>
      <c r="Y82" s="103"/>
      <c r="Z82" s="103"/>
      <c r="AA82" s="99"/>
    </row>
    <row r="83" spans="2:29" ht="3" customHeight="1" x14ac:dyDescent="0.25">
      <c r="B83" s="96"/>
      <c r="C83" s="3"/>
      <c r="G83" s="3"/>
      <c r="H83" s="2"/>
      <c r="K83" s="3"/>
      <c r="L83" s="2"/>
      <c r="M83" s="3"/>
      <c r="N83" s="2"/>
      <c r="Q83" s="2"/>
      <c r="R83" s="106"/>
      <c r="S83" s="101"/>
      <c r="T83" s="102"/>
      <c r="U83" s="130"/>
      <c r="V83" s="127"/>
      <c r="W83" s="103"/>
      <c r="X83" s="103"/>
      <c r="Y83" s="103"/>
      <c r="Z83" s="103"/>
      <c r="AA83" s="99"/>
    </row>
    <row r="84" spans="2:29" ht="3" customHeight="1" x14ac:dyDescent="0.25">
      <c r="B84" s="96"/>
      <c r="C84" s="3"/>
      <c r="E84" s="4"/>
      <c r="F84" s="4"/>
      <c r="G84" s="5"/>
      <c r="H84" s="55"/>
      <c r="I84" s="4"/>
      <c r="J84" s="4"/>
      <c r="K84" s="5"/>
      <c r="L84" s="2"/>
      <c r="M84" s="5"/>
      <c r="N84" s="55"/>
      <c r="O84" s="4"/>
      <c r="P84" s="4"/>
      <c r="Q84" s="2"/>
      <c r="R84" s="106"/>
      <c r="S84" s="101"/>
      <c r="T84" s="102"/>
      <c r="U84" s="130"/>
      <c r="V84" s="127"/>
      <c r="W84" s="103"/>
      <c r="X84" s="103"/>
      <c r="Y84" s="103"/>
      <c r="Z84" s="103"/>
      <c r="AA84" s="99"/>
    </row>
    <row r="85" spans="2:29" ht="3" customHeight="1" x14ac:dyDescent="0.25">
      <c r="B85" s="96"/>
      <c r="C85" s="3"/>
      <c r="E85" s="6"/>
      <c r="F85" s="6"/>
      <c r="G85" s="7"/>
      <c r="H85" s="8"/>
      <c r="I85" s="6"/>
      <c r="J85" s="6"/>
      <c r="K85" s="7"/>
      <c r="L85" s="8"/>
      <c r="M85" s="7"/>
      <c r="N85" s="8"/>
      <c r="O85" s="6"/>
      <c r="P85" s="6"/>
      <c r="Q85" s="2"/>
      <c r="R85" s="105" t="str">
        <f>IF(R82="甲","",IF(OR(S82=0,S82="")=TRUE,"",IF(S82="入力ｴﾗｰ","","乙")))</f>
        <v/>
      </c>
      <c r="S85" s="101"/>
      <c r="U85" s="130"/>
      <c r="V85" s="127"/>
      <c r="W85" s="103"/>
      <c r="X85" s="103"/>
      <c r="Y85" s="103"/>
      <c r="Z85" s="103"/>
      <c r="AA85" s="99"/>
    </row>
    <row r="86" spans="2:29" ht="3" customHeight="1" x14ac:dyDescent="0.25">
      <c r="B86" s="96"/>
      <c r="C86" s="3"/>
      <c r="G86" s="3"/>
      <c r="H86" s="2"/>
      <c r="K86" s="3"/>
      <c r="L86" s="2"/>
      <c r="M86" s="3"/>
      <c r="N86" s="2"/>
      <c r="Q86" s="2"/>
      <c r="R86" s="105"/>
      <c r="S86" s="101"/>
      <c r="U86" s="130"/>
      <c r="V86" s="127"/>
      <c r="W86" s="103"/>
      <c r="X86" s="103"/>
      <c r="Y86" s="103"/>
      <c r="Z86" s="103"/>
      <c r="AA86" s="99"/>
    </row>
    <row r="87" spans="2:29" ht="15" customHeight="1" x14ac:dyDescent="0.25">
      <c r="B87" s="96"/>
      <c r="C87" s="3"/>
      <c r="H87" s="13" t="str">
        <f>IF(I87="","",IF(I87=0,"","L="))</f>
        <v/>
      </c>
      <c r="I87" s="97"/>
      <c r="J87" s="97"/>
      <c r="K87" s="14" t="str">
        <f>IF(I87="","",IF(I87=0,"","m"))</f>
        <v/>
      </c>
      <c r="N87" s="13" t="str">
        <f>IF(O87="","",IF(O87=0,"","L="))</f>
        <v/>
      </c>
      <c r="O87" s="97"/>
      <c r="P87" s="97"/>
      <c r="Q87" s="24" t="str">
        <f>IF(O87="","",IF(O87=0,"","m"))</f>
        <v/>
      </c>
      <c r="R87" s="105"/>
      <c r="S87" s="101"/>
      <c r="U87" s="130"/>
      <c r="V87" s="127"/>
      <c r="W87" s="103"/>
      <c r="X87" s="103"/>
      <c r="Y87" s="103"/>
      <c r="Z87" s="103"/>
      <c r="AA87" s="99"/>
      <c r="AC87" s="1">
        <f>IF(U82="",0,IF(U82&gt;SUM(V82:AA87),U82-SUM(V82:AA87),0))</f>
        <v>0</v>
      </c>
    </row>
    <row r="88" spans="2:29" ht="6" customHeight="1" x14ac:dyDescent="0.25">
      <c r="B88" s="38"/>
      <c r="C88" s="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/>
      <c r="R88" s="16"/>
      <c r="S88" s="16"/>
      <c r="T88" s="16"/>
      <c r="U88" s="39"/>
      <c r="V88" s="40"/>
      <c r="W88" s="41"/>
      <c r="X88" s="41"/>
      <c r="Y88" s="41"/>
      <c r="Z88" s="41"/>
      <c r="AA88" s="42"/>
    </row>
    <row r="89" spans="2:29" ht="6" customHeight="1" x14ac:dyDescent="0.25">
      <c r="B89" s="1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1"/>
      <c r="R89" s="10"/>
      <c r="S89" s="10"/>
      <c r="T89" s="10"/>
      <c r="U89" s="26"/>
      <c r="V89" s="27"/>
      <c r="W89" s="23"/>
      <c r="X89" s="23"/>
      <c r="Y89" s="23"/>
      <c r="Z89" s="23"/>
      <c r="AA89" s="37"/>
    </row>
    <row r="90" spans="2:29" ht="15" customHeight="1" x14ac:dyDescent="0.25">
      <c r="B90" s="96" t="str">
        <f>IF(S90="","",IF(B82="","",1+B82))</f>
        <v/>
      </c>
      <c r="C90" s="3"/>
      <c r="E90" s="13" t="str">
        <f>IF(F90="","",IF(F90=0,"","L="))</f>
        <v/>
      </c>
      <c r="F90" s="97"/>
      <c r="G90" s="97"/>
      <c r="H90" s="14" t="str">
        <f>IF(F90="","",IF(F90=0,"","m"))</f>
        <v/>
      </c>
      <c r="K90" s="13" t="str">
        <f>IF(L90="","",IF(L90=0,"","L="))</f>
        <v/>
      </c>
      <c r="L90" s="97"/>
      <c r="M90" s="97"/>
      <c r="N90" s="14" t="str">
        <f>IF(L90="","",IF(L90=0,"","m"))</f>
        <v/>
      </c>
      <c r="Q90" s="2"/>
      <c r="R90" s="106" t="str">
        <f>IF(OR(S90="入力ｴﾗｰ",S90=0,S90="")=TRUE,"",IF(F90="","甲",IF(F90=0,"甲","")))</f>
        <v/>
      </c>
      <c r="S90" s="101" t="str">
        <f>IF((F90+I95+L90+O95)=0,"",IF((F90+I95+L90+O95)&gt;SUM($AC$1:$AC$3),"入力ｴﾗｰ",SUM($AC$1:$AC$3)-(F90+I95+L90+O95)))</f>
        <v/>
      </c>
      <c r="T90" s="102" t="str">
        <f>IF(S90="","",IF(S90="入力ｴﾗｰ","","m"))</f>
        <v/>
      </c>
      <c r="U90" s="130" t="str">
        <f>IF(B90="","",COUNT(F90,I95,L90,O95)-IF(S90=0,1,0))</f>
        <v/>
      </c>
      <c r="V90" s="127"/>
      <c r="W90" s="103"/>
      <c r="X90" s="103"/>
      <c r="Y90" s="103"/>
      <c r="Z90" s="103"/>
      <c r="AA90" s="99"/>
    </row>
    <row r="91" spans="2:29" ht="3" customHeight="1" x14ac:dyDescent="0.25">
      <c r="B91" s="96"/>
      <c r="C91" s="3"/>
      <c r="G91" s="3"/>
      <c r="H91" s="2"/>
      <c r="K91" s="3"/>
      <c r="L91" s="2"/>
      <c r="M91" s="3"/>
      <c r="N91" s="2"/>
      <c r="Q91" s="2"/>
      <c r="R91" s="106"/>
      <c r="S91" s="101"/>
      <c r="T91" s="102"/>
      <c r="U91" s="130"/>
      <c r="V91" s="127"/>
      <c r="W91" s="103"/>
      <c r="X91" s="103"/>
      <c r="Y91" s="103"/>
      <c r="Z91" s="103"/>
      <c r="AA91" s="99"/>
    </row>
    <row r="92" spans="2:29" ht="3" customHeight="1" x14ac:dyDescent="0.25">
      <c r="B92" s="96"/>
      <c r="C92" s="3"/>
      <c r="E92" s="4"/>
      <c r="F92" s="4"/>
      <c r="G92" s="5"/>
      <c r="H92" s="55"/>
      <c r="I92" s="4"/>
      <c r="J92" s="4"/>
      <c r="K92" s="5"/>
      <c r="L92" s="2"/>
      <c r="M92" s="5"/>
      <c r="N92" s="55"/>
      <c r="O92" s="4"/>
      <c r="P92" s="4"/>
      <c r="Q92" s="2"/>
      <c r="R92" s="106"/>
      <c r="S92" s="101"/>
      <c r="T92" s="102"/>
      <c r="U92" s="130"/>
      <c r="V92" s="127"/>
      <c r="W92" s="103"/>
      <c r="X92" s="103"/>
      <c r="Y92" s="103"/>
      <c r="Z92" s="103"/>
      <c r="AA92" s="99"/>
    </row>
    <row r="93" spans="2:29" ht="3" customHeight="1" x14ac:dyDescent="0.25">
      <c r="B93" s="96"/>
      <c r="C93" s="3"/>
      <c r="E93" s="6"/>
      <c r="F93" s="6"/>
      <c r="G93" s="7"/>
      <c r="H93" s="8"/>
      <c r="I93" s="6"/>
      <c r="J93" s="6"/>
      <c r="K93" s="7"/>
      <c r="L93" s="8"/>
      <c r="M93" s="7"/>
      <c r="N93" s="8"/>
      <c r="O93" s="6"/>
      <c r="P93" s="6"/>
      <c r="Q93" s="2"/>
      <c r="R93" s="105" t="str">
        <f>IF(R90="甲","",IF(OR(S90=0,S90="")=TRUE,"",IF(S90="入力ｴﾗｰ","","乙")))</f>
        <v/>
      </c>
      <c r="S93" s="101"/>
      <c r="U93" s="130"/>
      <c r="V93" s="127"/>
      <c r="W93" s="103"/>
      <c r="X93" s="103"/>
      <c r="Y93" s="103"/>
      <c r="Z93" s="103"/>
      <c r="AA93" s="99"/>
    </row>
    <row r="94" spans="2:29" ht="3" customHeight="1" x14ac:dyDescent="0.25">
      <c r="B94" s="96"/>
      <c r="C94" s="3"/>
      <c r="G94" s="3"/>
      <c r="H94" s="2"/>
      <c r="K94" s="3"/>
      <c r="L94" s="2"/>
      <c r="M94" s="3"/>
      <c r="N94" s="2"/>
      <c r="Q94" s="2"/>
      <c r="R94" s="105"/>
      <c r="S94" s="101"/>
      <c r="U94" s="130"/>
      <c r="V94" s="127"/>
      <c r="W94" s="103"/>
      <c r="X94" s="103"/>
      <c r="Y94" s="103"/>
      <c r="Z94" s="103"/>
      <c r="AA94" s="99"/>
    </row>
    <row r="95" spans="2:29" ht="15" customHeight="1" x14ac:dyDescent="0.25">
      <c r="B95" s="96"/>
      <c r="C95" s="3"/>
      <c r="H95" s="13" t="str">
        <f>IF(I95="","",IF(I95=0,"","L="))</f>
        <v/>
      </c>
      <c r="I95" s="97"/>
      <c r="J95" s="97"/>
      <c r="K95" s="14" t="str">
        <f>IF(I95="","",IF(I95=0,"","m"))</f>
        <v/>
      </c>
      <c r="N95" s="13" t="str">
        <f>IF(O95="","",IF(O95=0,"","L="))</f>
        <v/>
      </c>
      <c r="O95" s="97"/>
      <c r="P95" s="97"/>
      <c r="Q95" s="24" t="str">
        <f>IF(O95="","",IF(O95=0,"","m"))</f>
        <v/>
      </c>
      <c r="R95" s="105"/>
      <c r="S95" s="101"/>
      <c r="U95" s="130"/>
      <c r="V95" s="127"/>
      <c r="W95" s="103"/>
      <c r="X95" s="103"/>
      <c r="Y95" s="103"/>
      <c r="Z95" s="103"/>
      <c r="AA95" s="99"/>
      <c r="AC95" s="1">
        <f>IF(U90="",0,IF(U90&gt;SUM(V90:AA95),U90-SUM(V90:AA95),0))</f>
        <v>0</v>
      </c>
    </row>
    <row r="96" spans="2:29" ht="6" customHeight="1" x14ac:dyDescent="0.25">
      <c r="B96" s="38"/>
      <c r="C96" s="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7"/>
      <c r="R96" s="16"/>
      <c r="S96" s="16"/>
      <c r="T96" s="16"/>
      <c r="U96" s="39"/>
      <c r="V96" s="40"/>
      <c r="W96" s="41"/>
      <c r="X96" s="41"/>
      <c r="Y96" s="41"/>
      <c r="Z96" s="41"/>
      <c r="AA96" s="42"/>
    </row>
    <row r="97" spans="2:29" ht="6" customHeight="1" x14ac:dyDescent="0.25">
      <c r="B97" s="1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1"/>
      <c r="R97" s="10"/>
      <c r="S97" s="10"/>
      <c r="T97" s="10"/>
      <c r="U97" s="26"/>
      <c r="V97" s="27"/>
      <c r="W97" s="23"/>
      <c r="X97" s="23"/>
      <c r="Y97" s="23"/>
      <c r="Z97" s="23"/>
      <c r="AA97" s="37"/>
    </row>
    <row r="98" spans="2:29" ht="15" customHeight="1" x14ac:dyDescent="0.25">
      <c r="B98" s="96" t="str">
        <f>IF(S98="","",IF(B90="","",1+B90))</f>
        <v/>
      </c>
      <c r="C98" s="3"/>
      <c r="E98" s="13" t="str">
        <f>IF(F98="","",IF(F98=0,"","L="))</f>
        <v/>
      </c>
      <c r="F98" s="97"/>
      <c r="G98" s="97"/>
      <c r="H98" s="14" t="str">
        <f>IF(F98="","",IF(F98=0,"","m"))</f>
        <v/>
      </c>
      <c r="K98" s="13" t="str">
        <f>IF(L98="","",IF(L98=0,"","L="))</f>
        <v/>
      </c>
      <c r="L98" s="97"/>
      <c r="M98" s="97"/>
      <c r="N98" s="14" t="str">
        <f>IF(L98="","",IF(L98=0,"","m"))</f>
        <v/>
      </c>
      <c r="Q98" s="2"/>
      <c r="R98" s="106" t="str">
        <f>IF(OR(S98="入力ｴﾗｰ",S98=0,S98="")=TRUE,"",IF(F98="","甲",IF(F98=0,"甲","")))</f>
        <v/>
      </c>
      <c r="S98" s="101" t="str">
        <f>IF((F98+I103+L98+O103)=0,"",IF((F98+I103+L98+O103)&gt;SUM($AC$1:$AC$3),"入力ｴﾗｰ",SUM($AC$1:$AC$3)-(F98+I103+L98+O103)))</f>
        <v/>
      </c>
      <c r="T98" s="102" t="str">
        <f>IF(S98="","",IF(S98="入力ｴﾗｰ","","m"))</f>
        <v/>
      </c>
      <c r="U98" s="130" t="str">
        <f>IF(B98="","",COUNT(F98,I103,L98,O103)-IF(S98=0,1,0))</f>
        <v/>
      </c>
      <c r="V98" s="127"/>
      <c r="W98" s="103"/>
      <c r="X98" s="103"/>
      <c r="Y98" s="103"/>
      <c r="Z98" s="103"/>
      <c r="AA98" s="99"/>
    </row>
    <row r="99" spans="2:29" ht="3" customHeight="1" x14ac:dyDescent="0.25">
      <c r="B99" s="96"/>
      <c r="C99" s="3"/>
      <c r="G99" s="3"/>
      <c r="H99" s="2"/>
      <c r="K99" s="3"/>
      <c r="L99" s="2"/>
      <c r="M99" s="3"/>
      <c r="N99" s="2"/>
      <c r="Q99" s="2"/>
      <c r="R99" s="106"/>
      <c r="S99" s="101"/>
      <c r="T99" s="102"/>
      <c r="U99" s="130"/>
      <c r="V99" s="127"/>
      <c r="W99" s="103"/>
      <c r="X99" s="103"/>
      <c r="Y99" s="103"/>
      <c r="Z99" s="103"/>
      <c r="AA99" s="99"/>
    </row>
    <row r="100" spans="2:29" ht="3" customHeight="1" x14ac:dyDescent="0.25">
      <c r="B100" s="96"/>
      <c r="C100" s="3"/>
      <c r="E100" s="4"/>
      <c r="F100" s="4"/>
      <c r="G100" s="5"/>
      <c r="H100" s="55"/>
      <c r="I100" s="4"/>
      <c r="J100" s="4"/>
      <c r="K100" s="5"/>
      <c r="L100" s="2"/>
      <c r="M100" s="5"/>
      <c r="N100" s="55"/>
      <c r="O100" s="4"/>
      <c r="P100" s="4"/>
      <c r="Q100" s="2"/>
      <c r="R100" s="106"/>
      <c r="S100" s="101"/>
      <c r="T100" s="102"/>
      <c r="U100" s="130"/>
      <c r="V100" s="127"/>
      <c r="W100" s="103"/>
      <c r="X100" s="103"/>
      <c r="Y100" s="103"/>
      <c r="Z100" s="103"/>
      <c r="AA100" s="99"/>
    </row>
    <row r="101" spans="2:29" ht="3" customHeight="1" x14ac:dyDescent="0.25">
      <c r="B101" s="96"/>
      <c r="C101" s="3"/>
      <c r="E101" s="6"/>
      <c r="F101" s="6"/>
      <c r="G101" s="7"/>
      <c r="H101" s="8"/>
      <c r="I101" s="6"/>
      <c r="J101" s="6"/>
      <c r="K101" s="7"/>
      <c r="L101" s="8"/>
      <c r="M101" s="7"/>
      <c r="N101" s="8"/>
      <c r="O101" s="6"/>
      <c r="P101" s="6"/>
      <c r="Q101" s="2"/>
      <c r="R101" s="105" t="str">
        <f>IF(R98="甲","",IF(OR(S98=0,S98="")=TRUE,"",IF(S98="入力ｴﾗｰ","","乙")))</f>
        <v/>
      </c>
      <c r="S101" s="101"/>
      <c r="U101" s="130"/>
      <c r="V101" s="127"/>
      <c r="W101" s="103"/>
      <c r="X101" s="103"/>
      <c r="Y101" s="103"/>
      <c r="Z101" s="103"/>
      <c r="AA101" s="99"/>
    </row>
    <row r="102" spans="2:29" ht="3" customHeight="1" x14ac:dyDescent="0.25">
      <c r="B102" s="96"/>
      <c r="C102" s="3"/>
      <c r="G102" s="3"/>
      <c r="H102" s="2"/>
      <c r="K102" s="3"/>
      <c r="L102" s="2"/>
      <c r="M102" s="3"/>
      <c r="N102" s="2"/>
      <c r="Q102" s="2"/>
      <c r="R102" s="105"/>
      <c r="S102" s="101"/>
      <c r="U102" s="130"/>
      <c r="V102" s="127"/>
      <c r="W102" s="103"/>
      <c r="X102" s="103"/>
      <c r="Y102" s="103"/>
      <c r="Z102" s="103"/>
      <c r="AA102" s="99"/>
    </row>
    <row r="103" spans="2:29" ht="15" customHeight="1" x14ac:dyDescent="0.25">
      <c r="B103" s="96"/>
      <c r="C103" s="3"/>
      <c r="H103" s="13" t="str">
        <f>IF(I103="","",IF(I103=0,"","L="))</f>
        <v/>
      </c>
      <c r="I103" s="97"/>
      <c r="J103" s="97"/>
      <c r="K103" s="14" t="str">
        <f>IF(I103="","",IF(I103=0,"","m"))</f>
        <v/>
      </c>
      <c r="N103" s="13" t="str">
        <f>IF(O103="","",IF(O103=0,"","L="))</f>
        <v/>
      </c>
      <c r="O103" s="97"/>
      <c r="P103" s="97"/>
      <c r="Q103" s="24" t="str">
        <f>IF(O103="","",IF(O103=0,"","m"))</f>
        <v/>
      </c>
      <c r="R103" s="105"/>
      <c r="S103" s="101"/>
      <c r="U103" s="130"/>
      <c r="V103" s="127"/>
      <c r="W103" s="103"/>
      <c r="X103" s="103"/>
      <c r="Y103" s="103"/>
      <c r="Z103" s="103"/>
      <c r="AA103" s="99"/>
      <c r="AC103" s="1">
        <f>IF(U98="",0,IF(U98&gt;SUM(V98:AA103),U98-SUM(V98:AA103),0))</f>
        <v>0</v>
      </c>
    </row>
    <row r="104" spans="2:29" ht="6" customHeight="1" x14ac:dyDescent="0.25">
      <c r="B104" s="38"/>
      <c r="C104" s="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7"/>
      <c r="R104" s="16"/>
      <c r="S104" s="16"/>
      <c r="T104" s="16"/>
      <c r="U104" s="39"/>
      <c r="V104" s="40"/>
      <c r="W104" s="41"/>
      <c r="X104" s="41"/>
      <c r="Y104" s="41"/>
      <c r="Z104" s="41"/>
      <c r="AA104" s="42"/>
    </row>
    <row r="105" spans="2:29" ht="6" customHeight="1" x14ac:dyDescent="0.25">
      <c r="B105" s="1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1"/>
      <c r="R105" s="10"/>
      <c r="S105" s="10"/>
      <c r="T105" s="10"/>
      <c r="U105" s="26"/>
      <c r="V105" s="27"/>
      <c r="W105" s="23"/>
      <c r="X105" s="23"/>
      <c r="Y105" s="23"/>
      <c r="Z105" s="23"/>
      <c r="AA105" s="37"/>
    </row>
    <row r="106" spans="2:29" ht="15" customHeight="1" x14ac:dyDescent="0.25">
      <c r="B106" s="96"/>
      <c r="C106" s="3"/>
      <c r="E106" s="13" t="str">
        <f>IF(F106="","",IF(F106=0,"","L="))</f>
        <v/>
      </c>
      <c r="F106" s="97"/>
      <c r="G106" s="97"/>
      <c r="H106" s="14" t="str">
        <f>IF(F106="","",IF(F106=0,"","m"))</f>
        <v/>
      </c>
      <c r="K106" s="13" t="str">
        <f>IF(L106="","",IF(L106=0,"","L="))</f>
        <v/>
      </c>
      <c r="L106" s="97"/>
      <c r="M106" s="97"/>
      <c r="N106" s="14" t="str">
        <f>IF(L106="","",IF(L106=0,"","m"))</f>
        <v/>
      </c>
      <c r="Q106" s="2"/>
      <c r="R106" s="106" t="str">
        <f>IF(OR(S106="入力ｴﾗｰ",S106=0,S106="")=TRUE,"",IF(F106="","甲",IF(F106=0,"甲","")))</f>
        <v/>
      </c>
      <c r="S106" s="101" t="str">
        <f>IF((F106+I111+L106+O111)=0,"",IF((F106+I111+L106+O111)&gt;SUM($AC$1:$AC$3),"入力ｴﾗｰ",SUM($AC$1:$AC$3)-(F106+I111+L106+O111)))</f>
        <v/>
      </c>
      <c r="T106" s="102" t="str">
        <f>IF(S106="","",IF(S106="入力ｴﾗｰ","","m"))</f>
        <v/>
      </c>
      <c r="U106" s="130" t="str">
        <f>IF(B106="","",COUNT(F106,I111,L106,O111)-IF(S106=0,1,0))</f>
        <v/>
      </c>
      <c r="V106" s="127"/>
      <c r="W106" s="103"/>
      <c r="X106" s="103"/>
      <c r="Y106" s="103"/>
      <c r="Z106" s="103"/>
      <c r="AA106" s="99"/>
    </row>
    <row r="107" spans="2:29" ht="3" customHeight="1" x14ac:dyDescent="0.25">
      <c r="B107" s="96"/>
      <c r="C107" s="3"/>
      <c r="G107" s="3"/>
      <c r="H107" s="2"/>
      <c r="K107" s="3"/>
      <c r="L107" s="2"/>
      <c r="M107" s="3"/>
      <c r="N107" s="2"/>
      <c r="Q107" s="2"/>
      <c r="R107" s="106"/>
      <c r="S107" s="101"/>
      <c r="T107" s="102"/>
      <c r="U107" s="130"/>
      <c r="V107" s="127"/>
      <c r="W107" s="103"/>
      <c r="X107" s="103"/>
      <c r="Y107" s="103"/>
      <c r="Z107" s="103"/>
      <c r="AA107" s="99"/>
    </row>
    <row r="108" spans="2:29" ht="3" customHeight="1" x14ac:dyDescent="0.25">
      <c r="B108" s="96"/>
      <c r="C108" s="3"/>
      <c r="E108" s="4"/>
      <c r="F108" s="4"/>
      <c r="G108" s="5"/>
      <c r="H108" s="55"/>
      <c r="I108" s="4"/>
      <c r="J108" s="4"/>
      <c r="K108" s="5"/>
      <c r="L108" s="2"/>
      <c r="M108" s="5"/>
      <c r="N108" s="55"/>
      <c r="O108" s="4"/>
      <c r="P108" s="4"/>
      <c r="Q108" s="2"/>
      <c r="R108" s="106"/>
      <c r="S108" s="101"/>
      <c r="T108" s="102"/>
      <c r="U108" s="130"/>
      <c r="V108" s="127"/>
      <c r="W108" s="103"/>
      <c r="X108" s="103"/>
      <c r="Y108" s="103"/>
      <c r="Z108" s="103"/>
      <c r="AA108" s="99"/>
    </row>
    <row r="109" spans="2:29" ht="3" customHeight="1" x14ac:dyDescent="0.25">
      <c r="B109" s="96"/>
      <c r="C109" s="3"/>
      <c r="E109" s="6"/>
      <c r="F109" s="6"/>
      <c r="G109" s="7"/>
      <c r="H109" s="8"/>
      <c r="I109" s="6"/>
      <c r="J109" s="6"/>
      <c r="K109" s="7"/>
      <c r="L109" s="8"/>
      <c r="M109" s="7"/>
      <c r="N109" s="8"/>
      <c r="O109" s="6"/>
      <c r="P109" s="6"/>
      <c r="Q109" s="2"/>
      <c r="R109" s="105" t="str">
        <f>IF(R106="甲","",IF(OR(S106=0,S106="")=TRUE,"",IF(S106="入力ｴﾗｰ","","乙")))</f>
        <v/>
      </c>
      <c r="S109" s="101"/>
      <c r="U109" s="130"/>
      <c r="V109" s="127"/>
      <c r="W109" s="103"/>
      <c r="X109" s="103"/>
      <c r="Y109" s="103"/>
      <c r="Z109" s="103"/>
      <c r="AA109" s="99"/>
    </row>
    <row r="110" spans="2:29" ht="3" customHeight="1" x14ac:dyDescent="0.25">
      <c r="B110" s="96"/>
      <c r="C110" s="3"/>
      <c r="G110" s="3"/>
      <c r="H110" s="2"/>
      <c r="K110" s="3"/>
      <c r="L110" s="2"/>
      <c r="M110" s="3"/>
      <c r="N110" s="2"/>
      <c r="Q110" s="2"/>
      <c r="R110" s="105"/>
      <c r="S110" s="101"/>
      <c r="U110" s="130"/>
      <c r="V110" s="127"/>
      <c r="W110" s="103"/>
      <c r="X110" s="103"/>
      <c r="Y110" s="103"/>
      <c r="Z110" s="103"/>
      <c r="AA110" s="99"/>
    </row>
    <row r="111" spans="2:29" ht="15" customHeight="1" x14ac:dyDescent="0.25">
      <c r="B111" s="96"/>
      <c r="C111" s="3"/>
      <c r="H111" s="13" t="str">
        <f>IF(I111="","",IF(I111=0,"","L="))</f>
        <v/>
      </c>
      <c r="I111" s="97"/>
      <c r="J111" s="97"/>
      <c r="K111" s="14" t="str">
        <f>IF(I111="","",IF(I111=0,"","m"))</f>
        <v/>
      </c>
      <c r="N111" s="13" t="str">
        <f>IF(O111="","",IF(O111=0,"","L="))</f>
        <v/>
      </c>
      <c r="O111" s="97"/>
      <c r="P111" s="97"/>
      <c r="Q111" s="24" t="str">
        <f>IF(O111="","",IF(O111=0,"","m"))</f>
        <v/>
      </c>
      <c r="R111" s="105"/>
      <c r="S111" s="101"/>
      <c r="U111" s="130"/>
      <c r="V111" s="127"/>
      <c r="W111" s="103"/>
      <c r="X111" s="103"/>
      <c r="Y111" s="103"/>
      <c r="Z111" s="103"/>
      <c r="AA111" s="99"/>
      <c r="AC111" s="1">
        <f>IF(U106="",0,IF(U106&gt;SUM(V106:AA111),U106-SUM(V106:AA111),0))</f>
        <v>0</v>
      </c>
    </row>
    <row r="112" spans="2:29" ht="6" customHeight="1" x14ac:dyDescent="0.25">
      <c r="B112" s="38"/>
      <c r="C112" s="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6"/>
      <c r="S112" s="16"/>
      <c r="T112" s="16"/>
      <c r="U112" s="39"/>
      <c r="V112" s="40"/>
      <c r="W112" s="41"/>
      <c r="X112" s="41"/>
      <c r="Y112" s="41"/>
      <c r="Z112" s="41"/>
      <c r="AA112" s="42"/>
    </row>
    <row r="113" spans="2:29" ht="15" customHeight="1" x14ac:dyDescent="0.25">
      <c r="B113" s="84" t="s">
        <v>17</v>
      </c>
      <c r="C113" s="85"/>
      <c r="D113" s="85"/>
      <c r="E113" s="85"/>
      <c r="F113" s="86"/>
      <c r="G113" s="47" t="s">
        <v>21</v>
      </c>
      <c r="H113" s="48"/>
      <c r="I113" s="48"/>
      <c r="J113" s="49"/>
      <c r="K113" s="50"/>
      <c r="L113" s="48"/>
      <c r="M113" s="49" t="s">
        <v>18</v>
      </c>
      <c r="N113" s="50"/>
      <c r="O113" s="48"/>
      <c r="P113" s="48"/>
      <c r="Q113" s="49"/>
      <c r="R113" s="48"/>
      <c r="S113" s="48"/>
      <c r="T113" s="48" t="s">
        <v>22</v>
      </c>
      <c r="U113" s="9"/>
      <c r="V113" s="27"/>
      <c r="W113" s="22"/>
      <c r="X113" s="23"/>
      <c r="Y113" s="23"/>
      <c r="Z113" s="23"/>
      <c r="AA113" s="37"/>
    </row>
    <row r="114" spans="2:29" ht="30" customHeight="1" thickBot="1" x14ac:dyDescent="0.3">
      <c r="B114" s="87"/>
      <c r="C114" s="88"/>
      <c r="D114" s="88"/>
      <c r="E114" s="88"/>
      <c r="F114" s="89"/>
      <c r="G114" s="25" t="str">
        <f>U2</f>
        <v>KF-S</v>
      </c>
      <c r="H114" s="88">
        <f>Y2</f>
        <v>700</v>
      </c>
      <c r="I114" s="88"/>
      <c r="J114" s="89"/>
      <c r="K114" s="90">
        <f>IF(B10="",0,LARGE(B10:B111,1))</f>
        <v>5</v>
      </c>
      <c r="L114" s="91"/>
      <c r="M114" s="21"/>
      <c r="N114" s="25"/>
      <c r="O114" s="20"/>
      <c r="P114" s="20"/>
      <c r="Q114" s="21"/>
      <c r="R114" s="92">
        <f>SUM(S10:S111)</f>
        <v>8.3600000000000012</v>
      </c>
      <c r="S114" s="93"/>
      <c r="T114" s="20"/>
      <c r="U114" s="51">
        <f t="shared" ref="U114:AA114" si="0">SUM(U10:U111)</f>
        <v>7</v>
      </c>
      <c r="V114" s="52">
        <f t="shared" si="0"/>
        <v>6</v>
      </c>
      <c r="W114" s="53">
        <f t="shared" si="0"/>
        <v>0</v>
      </c>
      <c r="X114" s="53">
        <f t="shared" si="0"/>
        <v>1</v>
      </c>
      <c r="Y114" s="53">
        <f t="shared" si="0"/>
        <v>1</v>
      </c>
      <c r="Z114" s="53">
        <f t="shared" si="0"/>
        <v>0</v>
      </c>
      <c r="AA114" s="54">
        <f t="shared" si="0"/>
        <v>0</v>
      </c>
      <c r="AC114" s="1">
        <f>SUM(AC9:AC112)</f>
        <v>1</v>
      </c>
    </row>
  </sheetData>
  <mergeCells count="220">
    <mergeCell ref="B10:B15"/>
    <mergeCell ref="U10:U15"/>
    <mergeCell ref="I15:J15"/>
    <mergeCell ref="L10:M10"/>
    <mergeCell ref="B7:B8"/>
    <mergeCell ref="C7:Q8"/>
    <mergeCell ref="R7:T8"/>
    <mergeCell ref="U7:U8"/>
    <mergeCell ref="S10:S15"/>
    <mergeCell ref="T10:T12"/>
    <mergeCell ref="O15:P15"/>
    <mergeCell ref="R10:R12"/>
    <mergeCell ref="R13:R15"/>
    <mergeCell ref="F10:G10"/>
    <mergeCell ref="AA18:AA23"/>
    <mergeCell ref="B26:B31"/>
    <mergeCell ref="F26:G26"/>
    <mergeCell ref="L26:M26"/>
    <mergeCell ref="R26:R28"/>
    <mergeCell ref="U26:U31"/>
    <mergeCell ref="V26:V31"/>
    <mergeCell ref="R21:R23"/>
    <mergeCell ref="I23:J23"/>
    <mergeCell ref="O23:P23"/>
    <mergeCell ref="W18:W23"/>
    <mergeCell ref="X18:X23"/>
    <mergeCell ref="Y18:Y23"/>
    <mergeCell ref="Z18:Z23"/>
    <mergeCell ref="S18:S23"/>
    <mergeCell ref="T18:T20"/>
    <mergeCell ref="U18:U23"/>
    <mergeCell ref="V18:V23"/>
    <mergeCell ref="B18:B23"/>
    <mergeCell ref="F18:G18"/>
    <mergeCell ref="L18:M18"/>
    <mergeCell ref="R18:R20"/>
    <mergeCell ref="AA26:AA31"/>
    <mergeCell ref="R29:R31"/>
    <mergeCell ref="I31:J31"/>
    <mergeCell ref="O31:P31"/>
    <mergeCell ref="W26:W31"/>
    <mergeCell ref="X26:X31"/>
    <mergeCell ref="Y26:Y31"/>
    <mergeCell ref="Z26:Z31"/>
    <mergeCell ref="S26:S31"/>
    <mergeCell ref="T26:T28"/>
    <mergeCell ref="B42:B47"/>
    <mergeCell ref="F42:G42"/>
    <mergeCell ref="L42:M42"/>
    <mergeCell ref="R42:R44"/>
    <mergeCell ref="B34:B39"/>
    <mergeCell ref="F34:G34"/>
    <mergeCell ref="AA34:AA39"/>
    <mergeCell ref="R37:R39"/>
    <mergeCell ref="I39:J39"/>
    <mergeCell ref="O39:P39"/>
    <mergeCell ref="W34:W39"/>
    <mergeCell ref="X34:X39"/>
    <mergeCell ref="Y34:Y39"/>
    <mergeCell ref="Z34:Z39"/>
    <mergeCell ref="S34:S39"/>
    <mergeCell ref="T34:T36"/>
    <mergeCell ref="U34:U39"/>
    <mergeCell ref="V34:V39"/>
    <mergeCell ref="L34:M34"/>
    <mergeCell ref="R34:R36"/>
    <mergeCell ref="B50:B55"/>
    <mergeCell ref="F50:G50"/>
    <mergeCell ref="L50:M50"/>
    <mergeCell ref="R50:R52"/>
    <mergeCell ref="AA58:AA63"/>
    <mergeCell ref="R61:R63"/>
    <mergeCell ref="I63:J63"/>
    <mergeCell ref="O63:P63"/>
    <mergeCell ref="AA42:AA47"/>
    <mergeCell ref="R45:R47"/>
    <mergeCell ref="I47:J47"/>
    <mergeCell ref="O47:P47"/>
    <mergeCell ref="W42:W47"/>
    <mergeCell ref="X42:X47"/>
    <mergeCell ref="Y42:Y47"/>
    <mergeCell ref="Z42:Z47"/>
    <mergeCell ref="S42:S47"/>
    <mergeCell ref="T42:T44"/>
    <mergeCell ref="U42:U47"/>
    <mergeCell ref="V42:V47"/>
    <mergeCell ref="AA50:AA55"/>
    <mergeCell ref="R53:R55"/>
    <mergeCell ref="I55:J55"/>
    <mergeCell ref="O55:P55"/>
    <mergeCell ref="W50:W55"/>
    <mergeCell ref="X50:X55"/>
    <mergeCell ref="Y50:Y55"/>
    <mergeCell ref="Z50:Z55"/>
    <mergeCell ref="S50:S55"/>
    <mergeCell ref="T50:T52"/>
    <mergeCell ref="U50:U55"/>
    <mergeCell ref="V50:V55"/>
    <mergeCell ref="S58:S63"/>
    <mergeCell ref="T58:T60"/>
    <mergeCell ref="U58:U63"/>
    <mergeCell ref="V58:V63"/>
    <mergeCell ref="B66:B71"/>
    <mergeCell ref="F66:G66"/>
    <mergeCell ref="B58:B63"/>
    <mergeCell ref="F58:G58"/>
    <mergeCell ref="L58:M58"/>
    <mergeCell ref="R58:R60"/>
    <mergeCell ref="R69:R71"/>
    <mergeCell ref="I71:J71"/>
    <mergeCell ref="O71:P71"/>
    <mergeCell ref="W66:W71"/>
    <mergeCell ref="X66:X71"/>
    <mergeCell ref="Y66:Y71"/>
    <mergeCell ref="Z66:Z71"/>
    <mergeCell ref="S66:S71"/>
    <mergeCell ref="T66:T68"/>
    <mergeCell ref="U66:U71"/>
    <mergeCell ref="V66:V71"/>
    <mergeCell ref="L66:M66"/>
    <mergeCell ref="R66:R68"/>
    <mergeCell ref="W74:W79"/>
    <mergeCell ref="X74:X79"/>
    <mergeCell ref="Y74:Y79"/>
    <mergeCell ref="Z74:Z79"/>
    <mergeCell ref="S74:S79"/>
    <mergeCell ref="T74:T76"/>
    <mergeCell ref="U74:U79"/>
    <mergeCell ref="V74:V79"/>
    <mergeCell ref="B90:B95"/>
    <mergeCell ref="F90:G90"/>
    <mergeCell ref="L90:M90"/>
    <mergeCell ref="R90:R92"/>
    <mergeCell ref="B82:B87"/>
    <mergeCell ref="F82:G82"/>
    <mergeCell ref="B74:B79"/>
    <mergeCell ref="F74:G74"/>
    <mergeCell ref="L74:M74"/>
    <mergeCell ref="R74:R76"/>
    <mergeCell ref="R77:R79"/>
    <mergeCell ref="I79:J79"/>
    <mergeCell ref="O79:P79"/>
    <mergeCell ref="AA82:AA87"/>
    <mergeCell ref="R85:R87"/>
    <mergeCell ref="I87:J87"/>
    <mergeCell ref="O87:P87"/>
    <mergeCell ref="W82:W87"/>
    <mergeCell ref="X82:X87"/>
    <mergeCell ref="Y82:Y87"/>
    <mergeCell ref="Z82:Z87"/>
    <mergeCell ref="S82:S87"/>
    <mergeCell ref="T82:T84"/>
    <mergeCell ref="U82:U87"/>
    <mergeCell ref="V82:V87"/>
    <mergeCell ref="L82:M82"/>
    <mergeCell ref="R82:R84"/>
    <mergeCell ref="C1:Q1"/>
    <mergeCell ref="AA106:AA111"/>
    <mergeCell ref="R109:R111"/>
    <mergeCell ref="I111:J111"/>
    <mergeCell ref="O111:P111"/>
    <mergeCell ref="AA98:AA103"/>
    <mergeCell ref="I103:J103"/>
    <mergeCell ref="O103:P103"/>
    <mergeCell ref="F106:G106"/>
    <mergeCell ref="Z98:Z103"/>
    <mergeCell ref="V98:V103"/>
    <mergeCell ref="U106:U111"/>
    <mergeCell ref="S98:S103"/>
    <mergeCell ref="AA90:AA95"/>
    <mergeCell ref="R93:R95"/>
    <mergeCell ref="I95:J95"/>
    <mergeCell ref="O95:P95"/>
    <mergeCell ref="W90:W95"/>
    <mergeCell ref="X90:X95"/>
    <mergeCell ref="Y90:Y95"/>
    <mergeCell ref="Z90:Z95"/>
    <mergeCell ref="S90:S95"/>
    <mergeCell ref="T90:T92"/>
    <mergeCell ref="U90:U95"/>
    <mergeCell ref="B113:F114"/>
    <mergeCell ref="H114:J114"/>
    <mergeCell ref="K114:L114"/>
    <mergeCell ref="R114:S114"/>
    <mergeCell ref="B106:B111"/>
    <mergeCell ref="R106:R108"/>
    <mergeCell ref="S106:S111"/>
    <mergeCell ref="U98:U103"/>
    <mergeCell ref="T98:T100"/>
    <mergeCell ref="T106:T108"/>
    <mergeCell ref="L106:M106"/>
    <mergeCell ref="R101:R103"/>
    <mergeCell ref="B98:B103"/>
    <mergeCell ref="F98:G98"/>
    <mergeCell ref="L98:M98"/>
    <mergeCell ref="R98:R100"/>
    <mergeCell ref="U2:V3"/>
    <mergeCell ref="Y2:Z3"/>
    <mergeCell ref="W106:W111"/>
    <mergeCell ref="X106:X111"/>
    <mergeCell ref="Y106:Y111"/>
    <mergeCell ref="Z106:Z111"/>
    <mergeCell ref="W98:W103"/>
    <mergeCell ref="X98:X103"/>
    <mergeCell ref="Y98:Y103"/>
    <mergeCell ref="V106:V111"/>
    <mergeCell ref="V90:V95"/>
    <mergeCell ref="V7:AA7"/>
    <mergeCell ref="V10:V15"/>
    <mergeCell ref="W10:W15"/>
    <mergeCell ref="X10:X15"/>
    <mergeCell ref="Y10:Y15"/>
    <mergeCell ref="Z10:Z15"/>
    <mergeCell ref="AA10:AA15"/>
    <mergeCell ref="AA74:AA79"/>
    <mergeCell ref="AA66:AA71"/>
    <mergeCell ref="W58:W63"/>
    <mergeCell ref="X58:X63"/>
    <mergeCell ref="Y58:Y63"/>
    <mergeCell ref="Z58:Z63"/>
  </mergeCells>
  <phoneticPr fontId="2"/>
  <conditionalFormatting sqref="S10:S15 S18:S23 S26:S31 S34:S39 S42:S47 S50:S55 S58:S63 S66:S71 S74:S79 S82:S87 S90:S95 S98:S103 S106:S111">
    <cfRule type="cellIs" dxfId="0" priority="1" stopIfTrue="1" operator="equal">
      <formula>"入力ｴﾗｰ"</formula>
    </cfRule>
  </conditionalFormatting>
  <pageMargins left="0.59055118110236227" right="0.39370078740157483" top="0.39370078740157483" bottom="0.39370078740157483" header="0.51181102362204722" footer="0.51181102362204722"/>
  <pageSetup paperSize="9" orientation="portrait" blackAndWhite="1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16</vt:i4>
      </vt:variant>
    </vt:vector>
  </HeadingPairs>
  <TitlesOfParts>
    <vt:vector size="33" baseType="lpstr">
      <vt:lpstr>白紙(4m)</vt:lpstr>
      <vt:lpstr>白紙(5m)</vt:lpstr>
      <vt:lpstr>白紙(6m)</vt:lpstr>
      <vt:lpstr>GX 75</vt:lpstr>
      <vt:lpstr>GX 100</vt:lpstr>
      <vt:lpstr>GX　150</vt:lpstr>
      <vt:lpstr>GX　150 (2)</vt:lpstr>
      <vt:lpstr>GX　300</vt:lpstr>
      <vt:lpstr>GX　300 (2)</vt:lpstr>
      <vt:lpstr>Ｔ150</vt:lpstr>
      <vt:lpstr>Ｔ200</vt:lpstr>
      <vt:lpstr>→不要</vt:lpstr>
      <vt:lpstr>ＰＥ管（スピゴット）</vt:lpstr>
      <vt:lpstr>GX　200</vt:lpstr>
      <vt:lpstr>K300</vt:lpstr>
      <vt:lpstr>NSφ700</vt:lpstr>
      <vt:lpstr>KF-Sφ700</vt:lpstr>
      <vt:lpstr>'GX 100'!Print_Area</vt:lpstr>
      <vt:lpstr>'GX　150'!Print_Area</vt:lpstr>
      <vt:lpstr>'GX　150 (2)'!Print_Area</vt:lpstr>
      <vt:lpstr>'GX　200'!Print_Area</vt:lpstr>
      <vt:lpstr>'GX　300'!Print_Area</vt:lpstr>
      <vt:lpstr>'GX　300 (2)'!Print_Area</vt:lpstr>
      <vt:lpstr>'GX 75'!Print_Area</vt:lpstr>
      <vt:lpstr>'K300'!Print_Area</vt:lpstr>
      <vt:lpstr>'KF-Sφ700'!Print_Area</vt:lpstr>
      <vt:lpstr>NSφ700!Print_Area</vt:lpstr>
      <vt:lpstr>'ＰＥ管（スピゴット）'!Print_Area</vt:lpstr>
      <vt:lpstr>'Ｔ150'!Print_Area</vt:lpstr>
      <vt:lpstr>'Ｔ200'!Print_Area</vt:lpstr>
      <vt:lpstr>'白紙(4m)'!Print_Area</vt:lpstr>
      <vt:lpstr>'白紙(5m)'!Print_Area</vt:lpstr>
      <vt:lpstr>'白紙(6m)'!Print_Area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神戸市水道局</dc:creator>
  <cp:lastModifiedBy>晃征 岡田</cp:lastModifiedBy>
  <cp:lastPrinted>2025-03-26T06:05:13Z</cp:lastPrinted>
  <dcterms:created xsi:type="dcterms:W3CDTF">2003-08-18T23:39:55Z</dcterms:created>
  <dcterms:modified xsi:type="dcterms:W3CDTF">2025-06-04T14:46:48Z</dcterms:modified>
</cp:coreProperties>
</file>
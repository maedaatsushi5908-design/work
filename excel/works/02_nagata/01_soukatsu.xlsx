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fs2.kobe.local\work2\26_水道局\03_配水課\3管路設計係\003 各センターと工水のフォルダ\西部センター関連\⑥年度別工事設計分\令和７年度\工事発注\長田（花山町2丁目他）配水管取替工事\送付用（センター）\数量計算書（業者用）\"/>
    </mc:Choice>
  </mc:AlternateContent>
  <bookViews>
    <workbookView xWindow="0" yWindow="0" windowWidth="28800" windowHeight="12370" tabRatio="532" activeTab="1"/>
  </bookViews>
  <sheets>
    <sheet name="表紙" sheetId="86" r:id="rId1"/>
    <sheet name="総括表（土工事）" sheetId="50" r:id="rId2"/>
    <sheet name="総括表（管工事）" sheetId="85" r:id="rId3"/>
    <sheet name="総括表（舗装工事）" sheetId="52" r:id="rId4"/>
  </sheets>
  <definedNames>
    <definedName name="_xlnm.Print_Area" localSheetId="2">'総括表（管工事）'!$B$1:$K$194</definedName>
    <definedName name="_xlnm.Print_Area" localSheetId="1">'総括表（土工事）'!$A$3:$AA$219</definedName>
    <definedName name="_xlnm.Print_Area" localSheetId="3">'総括表（舗装工事）'!$B$1:$L$150,'総括表（舗装工事）'!$T$95:$Y$167</definedName>
    <definedName name="範囲1" localSheetId="2">#REF!</definedName>
    <definedName name="範囲1">#REF!</definedName>
    <definedName name="範囲2" localSheetId="2">#REF!</definedName>
    <definedName name="範囲2">#REF!</definedName>
    <definedName name="範囲３" localSheetId="2">#REF!</definedName>
    <definedName name="範囲３">#REF!</definedName>
    <definedName name="範囲４" localSheetId="2">#REF!</definedName>
    <definedName name="範囲４">#REF!</definedName>
  </definedNames>
  <calcPr calcId="162913"/>
</workbook>
</file>

<file path=xl/calcChain.xml><?xml version="1.0" encoding="utf-8"?>
<calcChain xmlns="http://schemas.openxmlformats.org/spreadsheetml/2006/main">
  <c r="R215" i="50" l="1"/>
  <c r="R212" i="50"/>
  <c r="R201" i="50" l="1"/>
  <c r="R202" i="50"/>
  <c r="Q215" i="50"/>
  <c r="Q212" i="50"/>
  <c r="J215" i="50" l="1"/>
  <c r="J212" i="50"/>
  <c r="Z93" i="50"/>
  <c r="AD93" i="50" s="1"/>
  <c r="H93" i="50"/>
  <c r="Z92" i="50"/>
  <c r="AD92" i="50" s="1"/>
  <c r="H92" i="50"/>
  <c r="Z91" i="50"/>
  <c r="AD91" i="50" s="1"/>
  <c r="H91" i="50"/>
  <c r="Z90" i="50"/>
  <c r="AD90" i="50" s="1"/>
  <c r="H90" i="50"/>
  <c r="Z89" i="50"/>
  <c r="AD89" i="50" s="1"/>
  <c r="H89" i="50"/>
  <c r="Z88" i="50"/>
  <c r="AD88" i="50" s="1"/>
  <c r="H88" i="50"/>
  <c r="Z87" i="50"/>
  <c r="AD87" i="50" s="1"/>
  <c r="H87" i="50"/>
  <c r="Z86" i="50"/>
  <c r="AD86" i="50" s="1"/>
  <c r="H86" i="50"/>
  <c r="AD85" i="50"/>
  <c r="Z85" i="50"/>
  <c r="AC85" i="50" s="1"/>
  <c r="H85" i="50"/>
  <c r="Z84" i="50"/>
  <c r="AD84" i="50" s="1"/>
  <c r="H84" i="50"/>
  <c r="Z83" i="50"/>
  <c r="AD83" i="50" s="1"/>
  <c r="H83" i="50"/>
  <c r="Z82" i="50"/>
  <c r="AD82" i="50" s="1"/>
  <c r="H82" i="50"/>
  <c r="AC82" i="50" l="1"/>
  <c r="AA82" i="50" s="1"/>
  <c r="AC92" i="50"/>
  <c r="AA92" i="50" s="1"/>
  <c r="AC84" i="50"/>
  <c r="AA84" i="50" s="1"/>
  <c r="AC87" i="50"/>
  <c r="AA87" i="50" s="1"/>
  <c r="AC90" i="50"/>
  <c r="AA90" i="50" s="1"/>
  <c r="AA85" i="50"/>
  <c r="AC89" i="50"/>
  <c r="AA89" i="50" s="1"/>
  <c r="AC86" i="50"/>
  <c r="AA86" i="50" s="1"/>
  <c r="AC83" i="50"/>
  <c r="AA83" i="50" s="1"/>
  <c r="AC91" i="50"/>
  <c r="AA91" i="50" s="1"/>
  <c r="AC88" i="50"/>
  <c r="AA88" i="50" s="1"/>
  <c r="AC93" i="50"/>
  <c r="AA93" i="50" s="1"/>
  <c r="Z94" i="50"/>
  <c r="AD94" i="50" s="1"/>
  <c r="Z95" i="50"/>
  <c r="H94" i="50"/>
  <c r="Z80" i="50"/>
  <c r="AD80" i="50" s="1"/>
  <c r="K50" i="52"/>
  <c r="P50" i="52" s="1"/>
  <c r="G50" i="52"/>
  <c r="O43" i="52"/>
  <c r="O42" i="52"/>
  <c r="L42" i="52"/>
  <c r="P42" i="52"/>
  <c r="K42" i="52"/>
  <c r="AC80" i="50" l="1"/>
  <c r="AA80" i="50" s="1"/>
  <c r="AC94" i="50"/>
  <c r="AA94" i="50" s="1"/>
  <c r="O50" i="52"/>
  <c r="L50" i="52" s="1"/>
  <c r="K28" i="52"/>
  <c r="K73" i="52" l="1"/>
  <c r="Q73" i="52" s="1"/>
  <c r="G73" i="52"/>
  <c r="D73" i="52"/>
  <c r="K72" i="52"/>
  <c r="P72" i="52" s="1"/>
  <c r="G72" i="52"/>
  <c r="D72" i="52"/>
  <c r="K71" i="52"/>
  <c r="Q71" i="52" s="1"/>
  <c r="G71" i="52"/>
  <c r="D71" i="52"/>
  <c r="K70" i="52"/>
  <c r="Q70" i="52" s="1"/>
  <c r="K69" i="52"/>
  <c r="Q69" i="52" s="1"/>
  <c r="K68" i="52"/>
  <c r="Q68" i="52" s="1"/>
  <c r="K67" i="52"/>
  <c r="Q67" i="52" s="1"/>
  <c r="K93" i="52"/>
  <c r="Q93" i="52" s="1"/>
  <c r="G93" i="52"/>
  <c r="D93" i="52"/>
  <c r="G92" i="52"/>
  <c r="D92" i="52"/>
  <c r="K90" i="52"/>
  <c r="Q90" i="52" s="1"/>
  <c r="G90" i="52"/>
  <c r="D90" i="52"/>
  <c r="K89" i="52"/>
  <c r="P89" i="52" s="1"/>
  <c r="G89" i="52"/>
  <c r="D89" i="52"/>
  <c r="K88" i="52"/>
  <c r="Q88" i="52" s="1"/>
  <c r="G88" i="52"/>
  <c r="D88" i="52"/>
  <c r="K87" i="52"/>
  <c r="P87" i="52" s="1"/>
  <c r="G87" i="52"/>
  <c r="D87" i="52"/>
  <c r="K86" i="52"/>
  <c r="Q86" i="52" s="1"/>
  <c r="G86" i="52"/>
  <c r="D86" i="52"/>
  <c r="G85" i="52"/>
  <c r="D85" i="52"/>
  <c r="J84" i="52"/>
  <c r="J85" i="52" s="1"/>
  <c r="I84" i="52"/>
  <c r="I85" i="52" s="1"/>
  <c r="K83" i="52"/>
  <c r="Q83" i="52" s="1"/>
  <c r="G83" i="52"/>
  <c r="D83" i="52"/>
  <c r="K82" i="52"/>
  <c r="P82" i="52" s="1"/>
  <c r="G82" i="52"/>
  <c r="D82" i="52"/>
  <c r="K81" i="52"/>
  <c r="Q81" i="52" s="1"/>
  <c r="G81" i="52"/>
  <c r="D81" i="52"/>
  <c r="K80" i="52"/>
  <c r="P80" i="52" s="1"/>
  <c r="G80" i="52"/>
  <c r="D80" i="52"/>
  <c r="K85" i="52" l="1"/>
  <c r="P85" i="52" s="1"/>
  <c r="P70" i="52"/>
  <c r="P88" i="52"/>
  <c r="P68" i="52"/>
  <c r="P90" i="52"/>
  <c r="P93" i="52"/>
  <c r="P67" i="52"/>
  <c r="R68" i="52"/>
  <c r="P69" i="52"/>
  <c r="R70" i="52"/>
  <c r="P71" i="52"/>
  <c r="P81" i="52"/>
  <c r="R67" i="52"/>
  <c r="R69" i="52"/>
  <c r="P73" i="52"/>
  <c r="O72" i="52"/>
  <c r="Q72" i="52"/>
  <c r="O67" i="52"/>
  <c r="O68" i="52"/>
  <c r="O69" i="52"/>
  <c r="O70" i="52"/>
  <c r="O71" i="52"/>
  <c r="O73" i="52"/>
  <c r="L73" i="52" s="1"/>
  <c r="O87" i="52"/>
  <c r="Q87" i="52"/>
  <c r="O89" i="52"/>
  <c r="Q89" i="52"/>
  <c r="I91" i="52"/>
  <c r="P83" i="52"/>
  <c r="P86" i="52"/>
  <c r="O88" i="52"/>
  <c r="L88" i="52" s="1"/>
  <c r="O90" i="52"/>
  <c r="J91" i="52"/>
  <c r="J92" i="52" s="1"/>
  <c r="O93" i="52"/>
  <c r="L93" i="52" s="1"/>
  <c r="O85" i="52"/>
  <c r="O80" i="52"/>
  <c r="Q80" i="52"/>
  <c r="O82" i="52"/>
  <c r="Q82" i="52"/>
  <c r="K84" i="52"/>
  <c r="O81" i="52"/>
  <c r="O83" i="52"/>
  <c r="O86" i="52"/>
  <c r="D66" i="52"/>
  <c r="D65" i="52"/>
  <c r="D64" i="52"/>
  <c r="L71" i="52" l="1"/>
  <c r="Q85" i="52"/>
  <c r="L90" i="52"/>
  <c r="L69" i="52"/>
  <c r="L67" i="52"/>
  <c r="L86" i="52"/>
  <c r="L81" i="52"/>
  <c r="L70" i="52"/>
  <c r="L68" i="52"/>
  <c r="L72" i="52"/>
  <c r="L83" i="52"/>
  <c r="L82" i="52"/>
  <c r="L80" i="52"/>
  <c r="I92" i="52"/>
  <c r="K92" i="52" s="1"/>
  <c r="K91" i="52"/>
  <c r="L89" i="52"/>
  <c r="L87" i="52"/>
  <c r="R84" i="52"/>
  <c r="P84" i="52"/>
  <c r="Q84" i="52"/>
  <c r="O84" i="52"/>
  <c r="L85" i="52"/>
  <c r="K183" i="85"/>
  <c r="K175" i="85"/>
  <c r="K176" i="85"/>
  <c r="K177" i="85"/>
  <c r="K178" i="85"/>
  <c r="K179" i="85"/>
  <c r="K180" i="85"/>
  <c r="K181" i="85"/>
  <c r="K182" i="85"/>
  <c r="K174" i="85"/>
  <c r="K173" i="85"/>
  <c r="P92" i="52" l="1"/>
  <c r="Q92" i="52"/>
  <c r="O92" i="52"/>
  <c r="L84" i="52"/>
  <c r="R91" i="52"/>
  <c r="P91" i="52"/>
  <c r="Q91" i="52"/>
  <c r="O91" i="52"/>
  <c r="Z170" i="50"/>
  <c r="L91" i="52" l="1"/>
  <c r="L92" i="52"/>
  <c r="X165" i="52"/>
  <c r="X164" i="52"/>
  <c r="X163" i="52"/>
  <c r="X162" i="52"/>
  <c r="X161" i="52"/>
  <c r="Z116" i="50" l="1"/>
  <c r="Z29" i="50"/>
  <c r="Z28" i="50"/>
  <c r="Z27" i="50"/>
  <c r="Z26" i="50"/>
  <c r="Z119" i="50"/>
  <c r="Z30" i="50" l="1"/>
  <c r="Z121" i="50"/>
  <c r="S123" i="50" l="1"/>
  <c r="R123" i="50"/>
  <c r="R147" i="50" s="1"/>
  <c r="Q147" i="50" l="1"/>
  <c r="P147" i="50"/>
  <c r="O147" i="50"/>
  <c r="U125" i="50"/>
  <c r="Z125" i="50" s="1"/>
  <c r="V126" i="50"/>
  <c r="Z105" i="50"/>
  <c r="AF105" i="50" s="1"/>
  <c r="AC105" i="50" l="1"/>
  <c r="AE105" i="50"/>
  <c r="AD105" i="50"/>
  <c r="AA105" i="50" l="1"/>
  <c r="Z66" i="50" l="1"/>
  <c r="K61" i="52" l="1"/>
  <c r="Q61" i="52" s="1"/>
  <c r="P61" i="52" l="1"/>
  <c r="R61" i="52"/>
  <c r="O61" i="52"/>
  <c r="S215" i="50"/>
  <c r="S212" i="50"/>
  <c r="T124" i="50"/>
  <c r="R148" i="50"/>
  <c r="Z120" i="50"/>
  <c r="L61" i="52" l="1"/>
  <c r="Z188" i="50"/>
  <c r="AD188" i="50" s="1"/>
  <c r="AA188" i="50" s="1"/>
  <c r="Z182" i="50"/>
  <c r="AD182" i="50" s="1"/>
  <c r="AA182" i="50" s="1"/>
  <c r="Z183" i="50"/>
  <c r="AD183" i="50" s="1"/>
  <c r="AA183" i="50" s="1"/>
  <c r="Z79" i="50"/>
  <c r="AD79" i="50" s="1"/>
  <c r="Z78" i="50"/>
  <c r="AC78" i="50" s="1"/>
  <c r="Z124" i="50"/>
  <c r="X215" i="50"/>
  <c r="X218" i="50" s="1"/>
  <c r="X212" i="50"/>
  <c r="X214" i="50" s="1"/>
  <c r="X147" i="50"/>
  <c r="X148" i="50" s="1"/>
  <c r="Z141" i="50"/>
  <c r="H141" i="50"/>
  <c r="Z133" i="50"/>
  <c r="AF133" i="50" s="1"/>
  <c r="Z129" i="50"/>
  <c r="AF129" i="50" s="1"/>
  <c r="Z106" i="50"/>
  <c r="AC106" i="50" s="1"/>
  <c r="AA55" i="50"/>
  <c r="Z55" i="50"/>
  <c r="AA54" i="50"/>
  <c r="Z54" i="50"/>
  <c r="AA34" i="50"/>
  <c r="Z34" i="50"/>
  <c r="AA33" i="50"/>
  <c r="Z33" i="50"/>
  <c r="AA32" i="50"/>
  <c r="Z32" i="50"/>
  <c r="AA31" i="50"/>
  <c r="Z31" i="50"/>
  <c r="U215" i="50"/>
  <c r="U218" i="50" s="1"/>
  <c r="U212" i="50"/>
  <c r="U214" i="50" s="1"/>
  <c r="U203" i="50"/>
  <c r="U202" i="50"/>
  <c r="U201" i="50"/>
  <c r="M215" i="50"/>
  <c r="M218" i="50" s="1"/>
  <c r="M212" i="50"/>
  <c r="M214" i="50" s="1"/>
  <c r="M147" i="50"/>
  <c r="M148" i="50" s="1"/>
  <c r="AC170" i="50"/>
  <c r="AC160" i="50"/>
  <c r="AD110" i="50"/>
  <c r="AC110" i="50"/>
  <c r="L30" i="52"/>
  <c r="L29" i="52"/>
  <c r="L27" i="52"/>
  <c r="L26" i="52"/>
  <c r="L25" i="52"/>
  <c r="L24" i="52"/>
  <c r="L17" i="52"/>
  <c r="L16" i="52"/>
  <c r="L14" i="52"/>
  <c r="L13" i="52"/>
  <c r="L12" i="52"/>
  <c r="AD170" i="50"/>
  <c r="AE170" i="50"/>
  <c r="AD160" i="50"/>
  <c r="AE160" i="50"/>
  <c r="AA203" i="50"/>
  <c r="AA202" i="50"/>
  <c r="AA201" i="50"/>
  <c r="Z185" i="50"/>
  <c r="AD185" i="50" s="1"/>
  <c r="AA185" i="50" s="1"/>
  <c r="Z184" i="50"/>
  <c r="AD184" i="50" s="1"/>
  <c r="AA184" i="50" s="1"/>
  <c r="AE110" i="50"/>
  <c r="AF110" i="50"/>
  <c r="AA64" i="50"/>
  <c r="AA63" i="50"/>
  <c r="AA61" i="50"/>
  <c r="AA60" i="50"/>
  <c r="AA58" i="50"/>
  <c r="AA57" i="50"/>
  <c r="AA52" i="50"/>
  <c r="AA51" i="50"/>
  <c r="AA49" i="50"/>
  <c r="AA48" i="50"/>
  <c r="AA47" i="50"/>
  <c r="AA46" i="50"/>
  <c r="AA44" i="50"/>
  <c r="AA43" i="50"/>
  <c r="AA42" i="50"/>
  <c r="AA41" i="50"/>
  <c r="AA39" i="50"/>
  <c r="AA38" i="50"/>
  <c r="AA37" i="50"/>
  <c r="AA36" i="50"/>
  <c r="AA29" i="50"/>
  <c r="AA28" i="50"/>
  <c r="AA27" i="50"/>
  <c r="AA26" i="50"/>
  <c r="AA19" i="50"/>
  <c r="AA18" i="50"/>
  <c r="AA16" i="50"/>
  <c r="AA15" i="50"/>
  <c r="AA14" i="50"/>
  <c r="K129" i="52"/>
  <c r="K128" i="52"/>
  <c r="K126" i="52"/>
  <c r="K125" i="52"/>
  <c r="K124" i="52"/>
  <c r="K123" i="52"/>
  <c r="O123" i="52" s="1"/>
  <c r="K122" i="52"/>
  <c r="K121" i="52"/>
  <c r="Q121" i="52" s="1"/>
  <c r="K120" i="52"/>
  <c r="Q120" i="52" s="1"/>
  <c r="K119" i="52"/>
  <c r="O119" i="52" s="1"/>
  <c r="K118" i="52"/>
  <c r="Q118" i="52" s="1"/>
  <c r="K117" i="52"/>
  <c r="Q117" i="52" s="1"/>
  <c r="K116" i="52"/>
  <c r="Q116" i="52" s="1"/>
  <c r="K115" i="52"/>
  <c r="K114" i="52"/>
  <c r="N215" i="50"/>
  <c r="N218" i="50" s="1"/>
  <c r="N212" i="50"/>
  <c r="N214" i="50" s="1"/>
  <c r="N147" i="50"/>
  <c r="N148" i="50" s="1"/>
  <c r="K62" i="52"/>
  <c r="R62" i="52" s="1"/>
  <c r="I59" i="52"/>
  <c r="I146" i="52"/>
  <c r="I149" i="52" s="1"/>
  <c r="K149" i="52" s="1"/>
  <c r="L149" i="52" s="1"/>
  <c r="R218" i="50"/>
  <c r="R214" i="50"/>
  <c r="R203" i="50"/>
  <c r="J115" i="85"/>
  <c r="J114" i="85"/>
  <c r="J113" i="85"/>
  <c r="J112" i="85"/>
  <c r="J111" i="85"/>
  <c r="K63" i="52"/>
  <c r="K96" i="52"/>
  <c r="K97" i="52"/>
  <c r="O97" i="52" s="1"/>
  <c r="P215" i="50"/>
  <c r="P218" i="50" s="1"/>
  <c r="P212" i="50"/>
  <c r="P214" i="50" s="1"/>
  <c r="J143" i="52"/>
  <c r="J145" i="52" s="1"/>
  <c r="K55" i="52"/>
  <c r="O55" i="52" s="1"/>
  <c r="K56" i="52"/>
  <c r="O56" i="52" s="1"/>
  <c r="K57" i="52"/>
  <c r="G58" i="52"/>
  <c r="G57" i="52"/>
  <c r="G56" i="52"/>
  <c r="G55" i="52"/>
  <c r="K45" i="52"/>
  <c r="O45" i="52" s="1"/>
  <c r="K46" i="52"/>
  <c r="K47" i="52"/>
  <c r="K48" i="52"/>
  <c r="O48" i="52" s="1"/>
  <c r="K49" i="52"/>
  <c r="G47" i="52"/>
  <c r="G46" i="52"/>
  <c r="Z97" i="50"/>
  <c r="Z99" i="50"/>
  <c r="AC99" i="50" s="1"/>
  <c r="H101" i="50"/>
  <c r="H100" i="50"/>
  <c r="H99" i="50"/>
  <c r="Z100" i="50"/>
  <c r="AC100" i="50" s="1"/>
  <c r="S202" i="50"/>
  <c r="T202" i="50"/>
  <c r="V202" i="50"/>
  <c r="V201" i="50"/>
  <c r="S201" i="50"/>
  <c r="K58" i="52"/>
  <c r="K53" i="52"/>
  <c r="K54" i="52"/>
  <c r="G49" i="52"/>
  <c r="G48" i="52"/>
  <c r="K51" i="52"/>
  <c r="O51" i="52" s="1"/>
  <c r="G51" i="52"/>
  <c r="G45" i="52"/>
  <c r="K44" i="52"/>
  <c r="G44" i="52"/>
  <c r="K35" i="52"/>
  <c r="K34" i="52"/>
  <c r="K33" i="52"/>
  <c r="P33" i="52" s="1"/>
  <c r="K32" i="52"/>
  <c r="K30" i="52"/>
  <c r="K29" i="52"/>
  <c r="K23" i="52"/>
  <c r="K22" i="52"/>
  <c r="K21" i="52"/>
  <c r="K20" i="52"/>
  <c r="Q20" i="52" s="1"/>
  <c r="J214" i="50"/>
  <c r="J218" i="50"/>
  <c r="Z101" i="50"/>
  <c r="K11" i="52"/>
  <c r="Z98" i="50"/>
  <c r="AC98" i="50" s="1"/>
  <c r="T203" i="50"/>
  <c r="V203" i="50"/>
  <c r="S203" i="50"/>
  <c r="K215" i="50"/>
  <c r="K218" i="50" s="1"/>
  <c r="L215" i="50"/>
  <c r="L218" i="50" s="1"/>
  <c r="O215" i="50"/>
  <c r="O218" i="50" s="1"/>
  <c r="Q218" i="50"/>
  <c r="S218" i="50"/>
  <c r="T215" i="50"/>
  <c r="T218" i="50" s="1"/>
  <c r="V215" i="50"/>
  <c r="V218" i="50" s="1"/>
  <c r="W215" i="50"/>
  <c r="W218" i="50" s="1"/>
  <c r="Y215" i="50"/>
  <c r="Y218" i="50" s="1"/>
  <c r="K212" i="50"/>
  <c r="K214" i="50" s="1"/>
  <c r="L212" i="50"/>
  <c r="L214" i="50" s="1"/>
  <c r="O212" i="50"/>
  <c r="O214" i="50" s="1"/>
  <c r="Q214" i="50"/>
  <c r="S214" i="50"/>
  <c r="T212" i="50"/>
  <c r="T214" i="50" s="1"/>
  <c r="V212" i="50"/>
  <c r="V214" i="50" s="1"/>
  <c r="W212" i="50"/>
  <c r="W214" i="50" s="1"/>
  <c r="Y212" i="50"/>
  <c r="Y214" i="50" s="1"/>
  <c r="Z161" i="50"/>
  <c r="AC161" i="50" s="1"/>
  <c r="Z166" i="50"/>
  <c r="AC166" i="50" s="1"/>
  <c r="K147" i="50"/>
  <c r="K148" i="50" s="1"/>
  <c r="L147" i="50"/>
  <c r="L148" i="50" s="1"/>
  <c r="P148" i="50"/>
  <c r="Q148" i="50"/>
  <c r="W147" i="50"/>
  <c r="W148" i="50" s="1"/>
  <c r="Y147" i="50"/>
  <c r="Y148" i="50" s="1"/>
  <c r="J147" i="50"/>
  <c r="J148" i="50" s="1"/>
  <c r="H147" i="50"/>
  <c r="H148" i="50"/>
  <c r="H149" i="50"/>
  <c r="Z149" i="50"/>
  <c r="AD149" i="50" s="1"/>
  <c r="Z145" i="50"/>
  <c r="H145" i="50"/>
  <c r="Z144" i="50"/>
  <c r="H144" i="50"/>
  <c r="Z143" i="50"/>
  <c r="H143" i="50"/>
  <c r="Z142" i="50"/>
  <c r="H142" i="50"/>
  <c r="Z140" i="50"/>
  <c r="H140" i="50"/>
  <c r="H103" i="50"/>
  <c r="Z103" i="50"/>
  <c r="AC103" i="50" s="1"/>
  <c r="AA103" i="50" s="1"/>
  <c r="Z70" i="50"/>
  <c r="AC70" i="50" s="1"/>
  <c r="Z69" i="50"/>
  <c r="Z68" i="50"/>
  <c r="AC68" i="50" s="1"/>
  <c r="H102" i="50"/>
  <c r="H95" i="50"/>
  <c r="AC95" i="50"/>
  <c r="Z24" i="50"/>
  <c r="AD24" i="50" s="1"/>
  <c r="Z23" i="50"/>
  <c r="AC23" i="50" s="1"/>
  <c r="Z22" i="50"/>
  <c r="AE22" i="50" s="1"/>
  <c r="Z19" i="50"/>
  <c r="AA215" i="50"/>
  <c r="AA212" i="50"/>
  <c r="J146" i="52"/>
  <c r="J149" i="52" s="1"/>
  <c r="L148" i="52"/>
  <c r="L147" i="52"/>
  <c r="L146" i="52"/>
  <c r="L144" i="52"/>
  <c r="L143" i="52"/>
  <c r="K65" i="52"/>
  <c r="G65" i="52"/>
  <c r="K41" i="52"/>
  <c r="G41" i="52"/>
  <c r="K40" i="52"/>
  <c r="G40" i="52"/>
  <c r="K43" i="52"/>
  <c r="G43" i="52"/>
  <c r="K19" i="52"/>
  <c r="K17" i="52"/>
  <c r="K16" i="52"/>
  <c r="K14" i="52"/>
  <c r="K13" i="52"/>
  <c r="K12" i="52"/>
  <c r="Z81" i="50"/>
  <c r="AC81" i="50" s="1"/>
  <c r="Z77" i="50"/>
  <c r="AC77" i="50" s="1"/>
  <c r="Z49" i="50"/>
  <c r="Z48" i="50"/>
  <c r="Z47" i="50"/>
  <c r="Z46" i="50"/>
  <c r="Z44" i="50"/>
  <c r="Z43" i="50"/>
  <c r="Z42" i="50"/>
  <c r="Z41" i="50"/>
  <c r="Z39" i="50"/>
  <c r="Z38" i="50"/>
  <c r="Z37" i="50"/>
  <c r="Z36" i="50"/>
  <c r="Z113" i="50"/>
  <c r="Z114" i="50"/>
  <c r="Z14" i="50"/>
  <c r="Z15" i="50"/>
  <c r="Z16" i="50"/>
  <c r="Z18" i="50"/>
  <c r="Z20" i="50" s="1"/>
  <c r="AD20" i="50" s="1"/>
  <c r="Z21" i="50"/>
  <c r="AC21" i="50" s="1"/>
  <c r="Z25" i="50"/>
  <c r="Z51" i="50"/>
  <c r="Z52" i="50"/>
  <c r="Z57" i="50"/>
  <c r="Z58" i="50"/>
  <c r="Z60" i="50"/>
  <c r="Z61" i="50"/>
  <c r="Z63" i="50"/>
  <c r="Z64" i="50"/>
  <c r="AC66" i="50"/>
  <c r="Z67" i="50"/>
  <c r="AC67" i="50" s="1"/>
  <c r="S147" i="50"/>
  <c r="S148" i="50" s="1"/>
  <c r="K64" i="52"/>
  <c r="K66" i="52"/>
  <c r="G66" i="52"/>
  <c r="G64" i="52"/>
  <c r="Z206" i="50"/>
  <c r="AA206" i="50" s="1"/>
  <c r="Z207" i="50"/>
  <c r="AA207" i="50" s="1"/>
  <c r="Z208" i="50"/>
  <c r="AA208" i="50" s="1"/>
  <c r="Z209" i="50"/>
  <c r="AA209" i="50" s="1"/>
  <c r="V147" i="50"/>
  <c r="V148" i="50" s="1"/>
  <c r="T147" i="50"/>
  <c r="T148" i="50" s="1"/>
  <c r="K130" i="52"/>
  <c r="L130" i="52" s="1"/>
  <c r="K113" i="52"/>
  <c r="K98" i="52"/>
  <c r="O98" i="52" s="1"/>
  <c r="K99" i="52"/>
  <c r="O99" i="52" s="1"/>
  <c r="K100" i="52"/>
  <c r="O100" i="52" s="1"/>
  <c r="K101" i="52"/>
  <c r="Q101" i="52" s="1"/>
  <c r="K102" i="52"/>
  <c r="K103" i="52"/>
  <c r="K104" i="52"/>
  <c r="K105" i="52"/>
  <c r="K106" i="52"/>
  <c r="K107" i="52"/>
  <c r="K108" i="52"/>
  <c r="K109" i="52"/>
  <c r="K110" i="52"/>
  <c r="K111" i="52"/>
  <c r="K112" i="52"/>
  <c r="K95" i="52"/>
  <c r="O95" i="52" s="1"/>
  <c r="K94" i="52"/>
  <c r="O94" i="52" s="1"/>
  <c r="X166" i="52"/>
  <c r="X131" i="52"/>
  <c r="X130" i="52"/>
  <c r="K60" i="52"/>
  <c r="K59" i="52"/>
  <c r="K39" i="52"/>
  <c r="O39" i="52" s="1"/>
  <c r="K38" i="52"/>
  <c r="K37" i="52"/>
  <c r="P37" i="52" s="1"/>
  <c r="K36" i="52"/>
  <c r="K9" i="52"/>
  <c r="K10" i="52"/>
  <c r="K24" i="52"/>
  <c r="K25" i="52"/>
  <c r="K26" i="52"/>
  <c r="K27" i="52"/>
  <c r="K8" i="52"/>
  <c r="K7" i="52"/>
  <c r="Z112" i="50"/>
  <c r="Z115" i="50"/>
  <c r="Z109" i="50"/>
  <c r="AF109" i="50" s="1"/>
  <c r="Z205" i="50"/>
  <c r="AA205" i="50" s="1"/>
  <c r="Z177" i="50"/>
  <c r="AD177" i="50" s="1"/>
  <c r="AA177" i="50" s="1"/>
  <c r="Z176" i="50"/>
  <c r="AD176" i="50" s="1"/>
  <c r="AA176" i="50" s="1"/>
  <c r="Z175" i="50"/>
  <c r="AD175" i="50" s="1"/>
  <c r="AA175" i="50" s="1"/>
  <c r="Z174" i="50"/>
  <c r="AD174" i="50" s="1"/>
  <c r="AA174" i="50" s="1"/>
  <c r="Z173" i="50"/>
  <c r="AD173" i="50" s="1"/>
  <c r="AA173" i="50" s="1"/>
  <c r="Z172" i="50"/>
  <c r="AD172" i="50" s="1"/>
  <c r="AA172" i="50" s="1"/>
  <c r="Z126" i="50"/>
  <c r="Z111" i="50"/>
  <c r="AD111" i="50" s="1"/>
  <c r="Z108" i="50"/>
  <c r="AD108" i="50" s="1"/>
  <c r="Z107" i="50"/>
  <c r="AF107" i="50" s="1"/>
  <c r="Z104" i="50"/>
  <c r="AE104" i="50" s="1"/>
  <c r="B6" i="50"/>
  <c r="B135" i="85" s="1"/>
  <c r="X97" i="52"/>
  <c r="X98" i="52"/>
  <c r="X99" i="52"/>
  <c r="X100" i="52"/>
  <c r="X101" i="52"/>
  <c r="X102" i="52"/>
  <c r="X103" i="52"/>
  <c r="X104" i="52"/>
  <c r="X105" i="52"/>
  <c r="X106" i="52"/>
  <c r="X107" i="52"/>
  <c r="X108" i="52"/>
  <c r="X109" i="52"/>
  <c r="X110" i="52"/>
  <c r="X111" i="52"/>
  <c r="X112" i="52"/>
  <c r="X113" i="52"/>
  <c r="X114" i="52"/>
  <c r="X115" i="52"/>
  <c r="X116" i="52"/>
  <c r="X117" i="52"/>
  <c r="X118" i="52"/>
  <c r="X119" i="52"/>
  <c r="X120" i="52"/>
  <c r="X121" i="52"/>
  <c r="X122" i="52"/>
  <c r="X123" i="52"/>
  <c r="X124" i="52"/>
  <c r="X125" i="52"/>
  <c r="X126" i="52"/>
  <c r="X127" i="52"/>
  <c r="X128" i="52"/>
  <c r="X132" i="52"/>
  <c r="X133" i="52"/>
  <c r="X134" i="52"/>
  <c r="X135" i="52"/>
  <c r="X136" i="52"/>
  <c r="X137" i="52"/>
  <c r="X138" i="52"/>
  <c r="X139" i="52"/>
  <c r="X140" i="52"/>
  <c r="X141" i="52"/>
  <c r="X142" i="52"/>
  <c r="X143" i="52"/>
  <c r="X144" i="52"/>
  <c r="X145" i="52"/>
  <c r="X146" i="52"/>
  <c r="X147" i="52"/>
  <c r="X148" i="52"/>
  <c r="X149" i="52"/>
  <c r="X150" i="52"/>
  <c r="X151" i="52"/>
  <c r="X152" i="52"/>
  <c r="X153" i="52"/>
  <c r="X154" i="52"/>
  <c r="X155" i="52"/>
  <c r="X156" i="52"/>
  <c r="X157" i="52"/>
  <c r="X158" i="52"/>
  <c r="X159" i="52"/>
  <c r="X160" i="52"/>
  <c r="X96" i="52"/>
  <c r="T110" i="52"/>
  <c r="T109" i="52"/>
  <c r="T118" i="52"/>
  <c r="Z189" i="50"/>
  <c r="AD189" i="50" s="1"/>
  <c r="AA189" i="50" s="1"/>
  <c r="Z137" i="50"/>
  <c r="AF137" i="50" s="1"/>
  <c r="Z136" i="50"/>
  <c r="AC136" i="50" s="1"/>
  <c r="Z135" i="50"/>
  <c r="AE135" i="50" s="1"/>
  <c r="Z134" i="50"/>
  <c r="AF134" i="50" s="1"/>
  <c r="Z9" i="50"/>
  <c r="Z13" i="50"/>
  <c r="Z200" i="50"/>
  <c r="AC200" i="50" s="1"/>
  <c r="AA200" i="50" s="1"/>
  <c r="Z199" i="50"/>
  <c r="AC199" i="50" s="1"/>
  <c r="AA199" i="50" s="1"/>
  <c r="Z198" i="50"/>
  <c r="AC198" i="50" s="1"/>
  <c r="AA198" i="50" s="1"/>
  <c r="Z197" i="50"/>
  <c r="AC197" i="50" s="1"/>
  <c r="AA197" i="50" s="1"/>
  <c r="Z196" i="50"/>
  <c r="AC196" i="50" s="1"/>
  <c r="AA196" i="50" s="1"/>
  <c r="Z195" i="50"/>
  <c r="AC195" i="50" s="1"/>
  <c r="AA195" i="50" s="1"/>
  <c r="Z194" i="50"/>
  <c r="AC194" i="50" s="1"/>
  <c r="AA194" i="50" s="1"/>
  <c r="Z171" i="50"/>
  <c r="AC171" i="50" s="1"/>
  <c r="Z169" i="50"/>
  <c r="AC169" i="50" s="1"/>
  <c r="Z168" i="50"/>
  <c r="AC168" i="50" s="1"/>
  <c r="Z167" i="50"/>
  <c r="AC167" i="50" s="1"/>
  <c r="Z165" i="50"/>
  <c r="AC165" i="50" s="1"/>
  <c r="Z164" i="50"/>
  <c r="AC164" i="50" s="1"/>
  <c r="Z163" i="50"/>
  <c r="AC163" i="50" s="1"/>
  <c r="Z162" i="50"/>
  <c r="AC162" i="50" s="1"/>
  <c r="Z159" i="50"/>
  <c r="AC159" i="50" s="1"/>
  <c r="Z158" i="50"/>
  <c r="AC158" i="50" s="1"/>
  <c r="Z157" i="50"/>
  <c r="AC157" i="50" s="1"/>
  <c r="Z156" i="50"/>
  <c r="AC156" i="50" s="1"/>
  <c r="Z193" i="50"/>
  <c r="AA193" i="50" s="1"/>
  <c r="Z192" i="50"/>
  <c r="AA192" i="50" s="1"/>
  <c r="Z187" i="50"/>
  <c r="AD187" i="50" s="1"/>
  <c r="AA187" i="50" s="1"/>
  <c r="Z186" i="50"/>
  <c r="AD186" i="50" s="1"/>
  <c r="AA186" i="50" s="1"/>
  <c r="Z181" i="50"/>
  <c r="AD181" i="50" s="1"/>
  <c r="AA181" i="50" s="1"/>
  <c r="Z180" i="50"/>
  <c r="AD180" i="50" s="1"/>
  <c r="AA180" i="50" s="1"/>
  <c r="Z179" i="50"/>
  <c r="AD179" i="50" s="1"/>
  <c r="AA179" i="50" s="1"/>
  <c r="Z178" i="50"/>
  <c r="AD178" i="50" s="1"/>
  <c r="AA178" i="50" s="1"/>
  <c r="Z139" i="50"/>
  <c r="AE139" i="50" s="1"/>
  <c r="Z138" i="50"/>
  <c r="AC138" i="50" s="1"/>
  <c r="Z132" i="50"/>
  <c r="AE132" i="50" s="1"/>
  <c r="Z131" i="50"/>
  <c r="AF131" i="50" s="1"/>
  <c r="Z130" i="50"/>
  <c r="AD130" i="50" s="1"/>
  <c r="Z128" i="50"/>
  <c r="AC128" i="50" s="1"/>
  <c r="Z12" i="50"/>
  <c r="Z11" i="50"/>
  <c r="AD11" i="50" s="1"/>
  <c r="Z10" i="50"/>
  <c r="Z210" i="50"/>
  <c r="AA210" i="50" s="1"/>
  <c r="Z191" i="50"/>
  <c r="AA191" i="50" s="1"/>
  <c r="Z190" i="50"/>
  <c r="AA190" i="50" s="1"/>
  <c r="AA217" i="50"/>
  <c r="AA216" i="50"/>
  <c r="AA213" i="50"/>
  <c r="K140" i="52"/>
  <c r="L140" i="52" s="1"/>
  <c r="K139" i="52"/>
  <c r="L139" i="52" s="1"/>
  <c r="K138" i="52"/>
  <c r="L138" i="52" s="1"/>
  <c r="K137" i="52"/>
  <c r="L137" i="52" s="1"/>
  <c r="K136" i="52"/>
  <c r="L136" i="52" s="1"/>
  <c r="K135" i="52"/>
  <c r="L135" i="52" s="1"/>
  <c r="K142" i="52"/>
  <c r="L142" i="52" s="1"/>
  <c r="K141" i="52"/>
  <c r="L141" i="52" s="1"/>
  <c r="K134" i="52"/>
  <c r="L134" i="52" s="1"/>
  <c r="K133" i="52"/>
  <c r="L133" i="52" s="1"/>
  <c r="K131" i="52"/>
  <c r="L131" i="52" s="1"/>
  <c r="K132" i="52"/>
  <c r="L132" i="52" s="1"/>
  <c r="Z118" i="50"/>
  <c r="K52" i="52"/>
  <c r="O52" i="52" s="1"/>
  <c r="Z102" i="50"/>
  <c r="AC102" i="50" s="1"/>
  <c r="Z96" i="50"/>
  <c r="AC96" i="50" s="1"/>
  <c r="O148" i="50"/>
  <c r="Z123" i="50"/>
  <c r="AD66" i="50"/>
  <c r="Q122" i="52"/>
  <c r="Q96" i="52"/>
  <c r="AD166" i="50"/>
  <c r="AE166" i="50"/>
  <c r="AD78" i="50"/>
  <c r="U147" i="50"/>
  <c r="U148" i="50" s="1"/>
  <c r="AC129" i="50" l="1"/>
  <c r="AE161" i="50"/>
  <c r="AE21" i="50"/>
  <c r="AE157" i="50"/>
  <c r="P100" i="52"/>
  <c r="Q123" i="52"/>
  <c r="Q100" i="52"/>
  <c r="Q94" i="52"/>
  <c r="I143" i="52"/>
  <c r="I145" i="52" s="1"/>
  <c r="Q98" i="52"/>
  <c r="AD156" i="50"/>
  <c r="V219" i="50"/>
  <c r="AF128" i="50"/>
  <c r="AF108" i="50"/>
  <c r="B70" i="85"/>
  <c r="AD138" i="50"/>
  <c r="K31" i="52"/>
  <c r="O31" i="52" s="1"/>
  <c r="Q99" i="52"/>
  <c r="Q95" i="52"/>
  <c r="P97" i="52"/>
  <c r="Q119" i="52"/>
  <c r="AD157" i="50"/>
  <c r="AC107" i="50"/>
  <c r="Q97" i="52"/>
  <c r="P95" i="52"/>
  <c r="AE67" i="50"/>
  <c r="P219" i="50"/>
  <c r="AE171" i="50"/>
  <c r="AE159" i="50"/>
  <c r="AD171" i="50"/>
  <c r="AA160" i="50"/>
  <c r="AC133" i="50"/>
  <c r="AD68" i="50"/>
  <c r="AA68" i="50" s="1"/>
  <c r="AD23" i="50"/>
  <c r="AD81" i="50"/>
  <c r="AA81" i="50" s="1"/>
  <c r="AD133" i="50"/>
  <c r="AA170" i="50"/>
  <c r="Z56" i="50"/>
  <c r="AC56" i="50" s="1"/>
  <c r="AD129" i="50"/>
  <c r="AD132" i="50"/>
  <c r="AD164" i="50"/>
  <c r="AE162" i="50"/>
  <c r="AD106" i="50"/>
  <c r="AC130" i="50"/>
  <c r="AC139" i="50"/>
  <c r="AE130" i="50"/>
  <c r="AF130" i="50"/>
  <c r="S219" i="50"/>
  <c r="AF132" i="50"/>
  <c r="AE133" i="50"/>
  <c r="AD95" i="50"/>
  <c r="AA95" i="50" s="1"/>
  <c r="AC79" i="50"/>
  <c r="AA79" i="50" s="1"/>
  <c r="Z40" i="50"/>
  <c r="AD40" i="50" s="1"/>
  <c r="AC9" i="50"/>
  <c r="AD9" i="50"/>
  <c r="AD109" i="50"/>
  <c r="AD100" i="50"/>
  <c r="AA100" i="50" s="1"/>
  <c r="AD98" i="50"/>
  <c r="AA98" i="50" s="1"/>
  <c r="AD168" i="50"/>
  <c r="AD70" i="50"/>
  <c r="AA70" i="50" s="1"/>
  <c r="AC109" i="50"/>
  <c r="AD137" i="50"/>
  <c r="Z45" i="50"/>
  <c r="AD45" i="50" s="1"/>
  <c r="Z50" i="50"/>
  <c r="AC50" i="50" s="1"/>
  <c r="Z146" i="50"/>
  <c r="AE109" i="50"/>
  <c r="AE12" i="50"/>
  <c r="AD12" i="50"/>
  <c r="AC12" i="50"/>
  <c r="AE23" i="50"/>
  <c r="AD99" i="50"/>
  <c r="AA99" i="50" s="1"/>
  <c r="AC132" i="50"/>
  <c r="AE129" i="50"/>
  <c r="AD96" i="50"/>
  <c r="AA96" i="50" s="1"/>
  <c r="AD163" i="50"/>
  <c r="AC10" i="50"/>
  <c r="AD10" i="50"/>
  <c r="AC13" i="50"/>
  <c r="AD13" i="50"/>
  <c r="Z35" i="50"/>
  <c r="AC35" i="50" s="1"/>
  <c r="P123" i="52"/>
  <c r="L123" i="52" s="1"/>
  <c r="X167" i="52"/>
  <c r="I127" i="52" s="1"/>
  <c r="K127" i="52" s="1"/>
  <c r="Q127" i="52" s="1"/>
  <c r="K18" i="52"/>
  <c r="P18" i="52" s="1"/>
  <c r="L100" i="52"/>
  <c r="K15" i="52"/>
  <c r="Q15" i="52" s="1"/>
  <c r="P119" i="52"/>
  <c r="O7" i="52"/>
  <c r="Q7" i="52"/>
  <c r="O10" i="52"/>
  <c r="P10" i="52"/>
  <c r="O36" i="52"/>
  <c r="P36" i="52"/>
  <c r="O38" i="52"/>
  <c r="P38" i="52"/>
  <c r="Q59" i="52"/>
  <c r="P59" i="52"/>
  <c r="O111" i="52"/>
  <c r="P111" i="52"/>
  <c r="Q111" i="52"/>
  <c r="O109" i="52"/>
  <c r="P109" i="52"/>
  <c r="Q109" i="52"/>
  <c r="O107" i="52"/>
  <c r="P107" i="52"/>
  <c r="Q107" i="52"/>
  <c r="O105" i="52"/>
  <c r="P105" i="52"/>
  <c r="Q105" i="52"/>
  <c r="O103" i="52"/>
  <c r="P103" i="52"/>
  <c r="Q103" i="52"/>
  <c r="O66" i="52"/>
  <c r="P66" i="52"/>
  <c r="Q66" i="52"/>
  <c r="O19" i="52"/>
  <c r="Q19" i="52"/>
  <c r="O40" i="52"/>
  <c r="P40" i="52"/>
  <c r="O41" i="52"/>
  <c r="P41" i="52"/>
  <c r="O65" i="52"/>
  <c r="P65" i="52"/>
  <c r="Q65" i="52"/>
  <c r="O11" i="52"/>
  <c r="Q11" i="52"/>
  <c r="O21" i="52"/>
  <c r="Q21" i="52"/>
  <c r="O23" i="52"/>
  <c r="Q23" i="52"/>
  <c r="O32" i="52"/>
  <c r="P32" i="52"/>
  <c r="O34" i="52"/>
  <c r="P34" i="52"/>
  <c r="O54" i="52"/>
  <c r="P54" i="52"/>
  <c r="O58" i="52"/>
  <c r="P58" i="52"/>
  <c r="O47" i="52"/>
  <c r="P47" i="52"/>
  <c r="O57" i="52"/>
  <c r="P57" i="52"/>
  <c r="O117" i="52"/>
  <c r="P117" i="52"/>
  <c r="O120" i="52"/>
  <c r="P120" i="52"/>
  <c r="P7" i="52"/>
  <c r="Q10" i="52"/>
  <c r="P19" i="52"/>
  <c r="P23" i="52"/>
  <c r="Q34" i="52"/>
  <c r="P39" i="52"/>
  <c r="P43" i="52"/>
  <c r="L43" i="52" s="1"/>
  <c r="P45" i="52"/>
  <c r="L45" i="52" s="1"/>
  <c r="P48" i="52"/>
  <c r="L48" i="52" s="1"/>
  <c r="P51" i="52"/>
  <c r="L51" i="52" s="1"/>
  <c r="P56" i="52"/>
  <c r="L56" i="52" s="1"/>
  <c r="O8" i="52"/>
  <c r="Q8" i="52"/>
  <c r="O9" i="52"/>
  <c r="P9" i="52"/>
  <c r="O37" i="52"/>
  <c r="Q37" i="52"/>
  <c r="L39" i="52"/>
  <c r="O60" i="52"/>
  <c r="P60" i="52"/>
  <c r="R60" i="52"/>
  <c r="Q60" i="52"/>
  <c r="P94" i="52"/>
  <c r="P112" i="52"/>
  <c r="O112" i="52"/>
  <c r="Q112" i="52"/>
  <c r="P110" i="52"/>
  <c r="O110" i="52"/>
  <c r="Q110" i="52"/>
  <c r="P108" i="52"/>
  <c r="O108" i="52"/>
  <c r="Q108" i="52"/>
  <c r="P106" i="52"/>
  <c r="O106" i="52"/>
  <c r="Q106" i="52"/>
  <c r="P104" i="52"/>
  <c r="O104" i="52"/>
  <c r="Q104" i="52"/>
  <c r="P102" i="52"/>
  <c r="O102" i="52"/>
  <c r="Q102" i="52"/>
  <c r="O101" i="52"/>
  <c r="P101" i="52"/>
  <c r="P99" i="52"/>
  <c r="P98" i="52"/>
  <c r="O113" i="52"/>
  <c r="P113" i="52"/>
  <c r="Q113" i="52"/>
  <c r="O64" i="52"/>
  <c r="P64" i="52"/>
  <c r="Q64" i="52"/>
  <c r="O20" i="52"/>
  <c r="P20" i="52"/>
  <c r="O22" i="52"/>
  <c r="P22" i="52"/>
  <c r="O33" i="52"/>
  <c r="Q33" i="52"/>
  <c r="O35" i="52"/>
  <c r="Q35" i="52"/>
  <c r="O44" i="52"/>
  <c r="P44" i="52"/>
  <c r="O53" i="52"/>
  <c r="P53" i="52"/>
  <c r="O49" i="52"/>
  <c r="P49" i="52"/>
  <c r="O46" i="52"/>
  <c r="P46" i="52"/>
  <c r="J150" i="52"/>
  <c r="O96" i="52"/>
  <c r="P96" i="52"/>
  <c r="O116" i="52"/>
  <c r="P116" i="52"/>
  <c r="O121" i="52"/>
  <c r="P121" i="52"/>
  <c r="O124" i="52"/>
  <c r="Q124" i="52"/>
  <c r="P124" i="52"/>
  <c r="O126" i="52"/>
  <c r="Q126" i="52"/>
  <c r="P126" i="52"/>
  <c r="Q129" i="52"/>
  <c r="O129" i="52"/>
  <c r="P129" i="52"/>
  <c r="P8" i="52"/>
  <c r="Q9" i="52"/>
  <c r="P11" i="52"/>
  <c r="P21" i="52"/>
  <c r="Q22" i="52"/>
  <c r="Q32" i="52"/>
  <c r="P35" i="52"/>
  <c r="Q36" i="52"/>
  <c r="P52" i="52"/>
  <c r="L52" i="52" s="1"/>
  <c r="P55" i="52"/>
  <c r="L55" i="52" s="1"/>
  <c r="O63" i="52"/>
  <c r="P63" i="52"/>
  <c r="O62" i="52"/>
  <c r="P62" i="52"/>
  <c r="Q115" i="52"/>
  <c r="O115" i="52"/>
  <c r="O118" i="52"/>
  <c r="P118" i="52"/>
  <c r="O122" i="52"/>
  <c r="P122" i="52"/>
  <c r="Q125" i="52"/>
  <c r="O125" i="52"/>
  <c r="O128" i="52"/>
  <c r="Q128" i="52"/>
  <c r="Q62" i="52"/>
  <c r="Q63" i="52"/>
  <c r="P115" i="52"/>
  <c r="P125" i="52"/>
  <c r="R63" i="52"/>
  <c r="P128" i="52"/>
  <c r="Z127" i="50"/>
  <c r="AE127" i="50" s="1"/>
  <c r="AD139" i="50"/>
  <c r="Z117" i="50"/>
  <c r="Z122" i="50"/>
  <c r="AC11" i="50"/>
  <c r="AD102" i="50"/>
  <c r="AA102" i="50" s="1"/>
  <c r="AE9" i="50"/>
  <c r="AC135" i="50"/>
  <c r="AC30" i="50"/>
  <c r="Z17" i="50"/>
  <c r="AD17" i="50" s="1"/>
  <c r="AE30" i="50"/>
  <c r="AD158" i="50"/>
  <c r="AE167" i="50"/>
  <c r="AD128" i="50"/>
  <c r="AD77" i="50"/>
  <c r="AA77" i="50" s="1"/>
  <c r="AE164" i="50"/>
  <c r="AA164" i="50" s="1"/>
  <c r="AD162" i="50"/>
  <c r="AF135" i="50"/>
  <c r="AD21" i="50"/>
  <c r="AA21" i="50" s="1"/>
  <c r="AC137" i="50"/>
  <c r="AD167" i="50"/>
  <c r="AD161" i="50"/>
  <c r="AA161" i="50" s="1"/>
  <c r="AD135" i="50"/>
  <c r="Z65" i="50"/>
  <c r="AE65" i="50" s="1"/>
  <c r="M219" i="50"/>
  <c r="AD30" i="50"/>
  <c r="AE10" i="50"/>
  <c r="AF139" i="50"/>
  <c r="AE165" i="50"/>
  <c r="AE168" i="50"/>
  <c r="AD165" i="50"/>
  <c r="AD159" i="50"/>
  <c r="AE66" i="50"/>
  <c r="AA66" i="50" s="1"/>
  <c r="AD67" i="50"/>
  <c r="AD131" i="50"/>
  <c r="AE128" i="50"/>
  <c r="AE11" i="50"/>
  <c r="AE169" i="50"/>
  <c r="AE131" i="50"/>
  <c r="AE158" i="50"/>
  <c r="AD169" i="50"/>
  <c r="AE156" i="50"/>
  <c r="Y219" i="50"/>
  <c r="Z203" i="50"/>
  <c r="Z201" i="50"/>
  <c r="AE163" i="50"/>
  <c r="Z59" i="50"/>
  <c r="AC59" i="50" s="1"/>
  <c r="Z53" i="50"/>
  <c r="AE134" i="50"/>
  <c r="AC134" i="50"/>
  <c r="AD134" i="50"/>
  <c r="AE136" i="50"/>
  <c r="AD136" i="50"/>
  <c r="AF136" i="50"/>
  <c r="B5" i="85"/>
  <c r="B153" i="50"/>
  <c r="B74" i="50"/>
  <c r="B4" i="52"/>
  <c r="B77" i="52"/>
  <c r="AE107" i="50"/>
  <c r="AD107" i="50"/>
  <c r="AE111" i="50"/>
  <c r="AF111" i="50"/>
  <c r="AC111" i="50"/>
  <c r="AC25" i="50"/>
  <c r="AE25" i="50"/>
  <c r="AD25" i="50"/>
  <c r="AE20" i="50"/>
  <c r="AC20" i="50"/>
  <c r="AC22" i="50"/>
  <c r="AD22" i="50"/>
  <c r="AC24" i="50"/>
  <c r="AE24" i="50"/>
  <c r="AC69" i="50"/>
  <c r="AD69" i="50"/>
  <c r="W219" i="50"/>
  <c r="T219" i="50"/>
  <c r="Q219" i="50"/>
  <c r="L219" i="50"/>
  <c r="AF138" i="50"/>
  <c r="AE138" i="50"/>
  <c r="AF104" i="50"/>
  <c r="AC104" i="50"/>
  <c r="AD104" i="50"/>
  <c r="AE108" i="50"/>
  <c r="AC108" i="50"/>
  <c r="AE149" i="50"/>
  <c r="AC149" i="50"/>
  <c r="AA166" i="50"/>
  <c r="AC101" i="50"/>
  <c r="AD101" i="50"/>
  <c r="AC97" i="50"/>
  <c r="AD97" i="50"/>
  <c r="R219" i="50"/>
  <c r="AF106" i="50"/>
  <c r="AE106" i="50"/>
  <c r="Z62" i="50"/>
  <c r="AC62" i="50" s="1"/>
  <c r="O219" i="50"/>
  <c r="Z202" i="50"/>
  <c r="N219" i="50"/>
  <c r="U219" i="50"/>
  <c r="X219" i="50"/>
  <c r="Z214" i="50"/>
  <c r="K219" i="50"/>
  <c r="Z218" i="50"/>
  <c r="AA218" i="50" s="1"/>
  <c r="J219" i="50"/>
  <c r="AA78" i="50"/>
  <c r="Z147" i="50"/>
  <c r="AE147" i="50" s="1"/>
  <c r="Z148" i="50"/>
  <c r="AE148" i="50" s="1"/>
  <c r="AA110" i="50"/>
  <c r="AE13" i="50"/>
  <c r="AC131" i="50"/>
  <c r="AE137" i="50"/>
  <c r="L119" i="52" l="1"/>
  <c r="AA156" i="50"/>
  <c r="L99" i="52"/>
  <c r="AA158" i="50"/>
  <c r="AA159" i="50"/>
  <c r="AA157" i="50"/>
  <c r="L94" i="52"/>
  <c r="L97" i="52"/>
  <c r="I150" i="52"/>
  <c r="K145" i="52"/>
  <c r="L145" i="52" s="1"/>
  <c r="L98" i="52"/>
  <c r="AE56" i="50"/>
  <c r="AA67" i="50"/>
  <c r="AA10" i="50"/>
  <c r="AA171" i="50"/>
  <c r="O18" i="52"/>
  <c r="L95" i="52"/>
  <c r="Q31" i="52"/>
  <c r="AE59" i="50"/>
  <c r="AA11" i="50"/>
  <c r="AE45" i="50"/>
  <c r="L115" i="52"/>
  <c r="L121" i="52"/>
  <c r="L116" i="52"/>
  <c r="L96" i="52"/>
  <c r="L120" i="52"/>
  <c r="L117" i="52"/>
  <c r="L47" i="52"/>
  <c r="L59" i="52"/>
  <c r="Q18" i="52"/>
  <c r="P15" i="52"/>
  <c r="AA23" i="50"/>
  <c r="AA13" i="50"/>
  <c r="AE50" i="50"/>
  <c r="AA132" i="50"/>
  <c r="AA109" i="50"/>
  <c r="AA129" i="50"/>
  <c r="AA12" i="50"/>
  <c r="AC17" i="50"/>
  <c r="AA133" i="50"/>
  <c r="AD50" i="50"/>
  <c r="AA163" i="50"/>
  <c r="AD65" i="50"/>
  <c r="AA9" i="50"/>
  <c r="AA168" i="50"/>
  <c r="AE35" i="50"/>
  <c r="AD56" i="50"/>
  <c r="AA169" i="50"/>
  <c r="AC65" i="50"/>
  <c r="AA167" i="50"/>
  <c r="AA162" i="50"/>
  <c r="AA130" i="50"/>
  <c r="AA139" i="50"/>
  <c r="AC45" i="50"/>
  <c r="AC40" i="50"/>
  <c r="AE40" i="50"/>
  <c r="AA165" i="50"/>
  <c r="AE146" i="50"/>
  <c r="AC146" i="50"/>
  <c r="AD146" i="50"/>
  <c r="AD35" i="50"/>
  <c r="Z204" i="50"/>
  <c r="AC204" i="50" s="1"/>
  <c r="AA204" i="50" s="1"/>
  <c r="O127" i="52"/>
  <c r="O15" i="52"/>
  <c r="P31" i="52"/>
  <c r="P127" i="52"/>
  <c r="L49" i="52"/>
  <c r="L53" i="52"/>
  <c r="L44" i="52"/>
  <c r="L33" i="52"/>
  <c r="L20" i="52"/>
  <c r="L101" i="52"/>
  <c r="L102" i="52"/>
  <c r="L106" i="52"/>
  <c r="L110" i="52"/>
  <c r="L37" i="52"/>
  <c r="L41" i="52"/>
  <c r="L40" i="52"/>
  <c r="L125" i="52"/>
  <c r="L124" i="52"/>
  <c r="L35" i="52"/>
  <c r="L22" i="52"/>
  <c r="L113" i="52"/>
  <c r="L9" i="52"/>
  <c r="L8" i="52"/>
  <c r="L34" i="52"/>
  <c r="L32" i="52"/>
  <c r="L23" i="52"/>
  <c r="L21" i="52"/>
  <c r="L11" i="52"/>
  <c r="L19" i="52"/>
  <c r="L103" i="52"/>
  <c r="L107" i="52"/>
  <c r="L111" i="52"/>
  <c r="L38" i="52"/>
  <c r="L36" i="52"/>
  <c r="L10" i="52"/>
  <c r="L7" i="52"/>
  <c r="L128" i="52"/>
  <c r="L122" i="52"/>
  <c r="L118" i="52"/>
  <c r="L62" i="52"/>
  <c r="L63" i="52"/>
  <c r="L129" i="52"/>
  <c r="L126" i="52"/>
  <c r="L46" i="52"/>
  <c r="L64" i="52"/>
  <c r="L104" i="52"/>
  <c r="L108" i="52"/>
  <c r="L112" i="52"/>
  <c r="L60" i="52"/>
  <c r="L57" i="52"/>
  <c r="L58" i="52"/>
  <c r="L54" i="52"/>
  <c r="L65" i="52"/>
  <c r="L66" i="52"/>
  <c r="L105" i="52"/>
  <c r="L109" i="52"/>
  <c r="AD127" i="50"/>
  <c r="AC127" i="50"/>
  <c r="AF122" i="50"/>
  <c r="AD122" i="50"/>
  <c r="AC122" i="50"/>
  <c r="AE122" i="50"/>
  <c r="AA97" i="50"/>
  <c r="AA135" i="50"/>
  <c r="AA128" i="50"/>
  <c r="AA136" i="50"/>
  <c r="AA131" i="50"/>
  <c r="AE17" i="50"/>
  <c r="AC117" i="50"/>
  <c r="AD117" i="50"/>
  <c r="AE117" i="50"/>
  <c r="AA137" i="50"/>
  <c r="AA30" i="50"/>
  <c r="AA24" i="50"/>
  <c r="AA134" i="50"/>
  <c r="AA25" i="50"/>
  <c r="AD59" i="50"/>
  <c r="AA106" i="50"/>
  <c r="AA138" i="50"/>
  <c r="AA22" i="50"/>
  <c r="AD148" i="50"/>
  <c r="AD62" i="50"/>
  <c r="AA101" i="50"/>
  <c r="AA149" i="50"/>
  <c r="AA108" i="50"/>
  <c r="AA69" i="50"/>
  <c r="AA20" i="50"/>
  <c r="AA107" i="50"/>
  <c r="AE53" i="50"/>
  <c r="AD53" i="50"/>
  <c r="AC53" i="50"/>
  <c r="AE62" i="50"/>
  <c r="AA104" i="50"/>
  <c r="AA111" i="50"/>
  <c r="Z219" i="50"/>
  <c r="AA219" i="50" s="1"/>
  <c r="AA214" i="50"/>
  <c r="AC148" i="50"/>
  <c r="AC147" i="50"/>
  <c r="AD147" i="50"/>
  <c r="AA56" i="50" l="1"/>
  <c r="AA45" i="50"/>
  <c r="K150" i="52"/>
  <c r="L150" i="52" s="1"/>
  <c r="L31" i="52"/>
  <c r="L18" i="52"/>
  <c r="L15" i="52"/>
  <c r="AA65" i="50"/>
  <c r="AA50" i="50"/>
  <c r="AA59" i="50"/>
  <c r="AA35" i="50"/>
  <c r="AA146" i="50"/>
  <c r="AA40" i="50"/>
  <c r="AA17" i="50"/>
  <c r="L127" i="52"/>
  <c r="AA127" i="50"/>
  <c r="AA122" i="50"/>
  <c r="AA117" i="50"/>
  <c r="AA148" i="50"/>
  <c r="AA53" i="50"/>
  <c r="AA62" i="50"/>
  <c r="AA147" i="50"/>
</calcChain>
</file>

<file path=xl/comments1.xml><?xml version="1.0" encoding="utf-8"?>
<comments xmlns="http://schemas.openxmlformats.org/spreadsheetml/2006/main">
  <authors>
    <author>Windows ユーザー</author>
  </authors>
  <commentList>
    <comment ref="D127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減速・速度抑制等を目的とした破線（平行四辺形）は矢印・記号・文字を適用すること</t>
        </r>
      </text>
    </comment>
  </commentList>
</comments>
</file>

<file path=xl/sharedStrings.xml><?xml version="1.0" encoding="utf-8"?>
<sst xmlns="http://schemas.openxmlformats.org/spreadsheetml/2006/main" count="1063" uniqueCount="401">
  <si>
    <t>給水付替</t>
    <rPh sb="0" eb="2">
      <t>キュウスイ</t>
    </rPh>
    <rPh sb="2" eb="4">
      <t>ツケカ</t>
    </rPh>
    <phoneticPr fontId="2"/>
  </si>
  <si>
    <t>=入力セル（各数量計算書の数量を転記間違いないように！）</t>
    <rPh sb="6" eb="7">
      <t>カク</t>
    </rPh>
    <rPh sb="7" eb="9">
      <t>スウリョウ</t>
    </rPh>
    <rPh sb="9" eb="11">
      <t>ケイサン</t>
    </rPh>
    <rPh sb="11" eb="12">
      <t>ショ</t>
    </rPh>
    <rPh sb="13" eb="15">
      <t>スウリョウ</t>
    </rPh>
    <rPh sb="16" eb="18">
      <t>テンキ</t>
    </rPh>
    <rPh sb="18" eb="20">
      <t>マチガ</t>
    </rPh>
    <phoneticPr fontId="2"/>
  </si>
  <si>
    <t>先行路盤</t>
    <rPh sb="0" eb="2">
      <t>センコウ</t>
    </rPh>
    <rPh sb="2" eb="4">
      <t>ロバン</t>
    </rPh>
    <phoneticPr fontId="2"/>
  </si>
  <si>
    <t>消火栓据付</t>
    <rPh sb="0" eb="3">
      <t>ショウカセン</t>
    </rPh>
    <rPh sb="3" eb="5">
      <t>スエツケ</t>
    </rPh>
    <phoneticPr fontId="2"/>
  </si>
  <si>
    <t>空気弁据付</t>
    <rPh sb="0" eb="2">
      <t>クウキ</t>
    </rPh>
    <rPh sb="2" eb="3">
      <t>ベン</t>
    </rPh>
    <rPh sb="3" eb="5">
      <t>スエツケ</t>
    </rPh>
    <phoneticPr fontId="2"/>
  </si>
  <si>
    <t>数量総括表（土工事-1）</t>
    <rPh sb="0" eb="2">
      <t>スウリョウ</t>
    </rPh>
    <rPh sb="2" eb="4">
      <t>ソウカツ</t>
    </rPh>
    <rPh sb="4" eb="5">
      <t>ヒョウ</t>
    </rPh>
    <rPh sb="6" eb="7">
      <t>ド</t>
    </rPh>
    <rPh sb="7" eb="9">
      <t>コウジ</t>
    </rPh>
    <phoneticPr fontId="2"/>
  </si>
  <si>
    <t>配　水　管　土　工　事</t>
    <rPh sb="0" eb="1">
      <t>クバ</t>
    </rPh>
    <rPh sb="2" eb="3">
      <t>ミズ</t>
    </rPh>
    <rPh sb="4" eb="5">
      <t>カン</t>
    </rPh>
    <rPh sb="6" eb="7">
      <t>ド</t>
    </rPh>
    <rPh sb="8" eb="9">
      <t>コウ</t>
    </rPh>
    <rPh sb="10" eb="11">
      <t>コト</t>
    </rPh>
    <phoneticPr fontId="2"/>
  </si>
  <si>
    <t>土量収支</t>
    <rPh sb="0" eb="1">
      <t>ド</t>
    </rPh>
    <rPh sb="1" eb="2">
      <t>リョウ</t>
    </rPh>
    <rPh sb="2" eb="4">
      <t>シュウシ</t>
    </rPh>
    <phoneticPr fontId="2"/>
  </si>
  <si>
    <t>搬出</t>
    <rPh sb="0" eb="2">
      <t>ハンシュツ</t>
    </rPh>
    <phoneticPr fontId="2"/>
  </si>
  <si>
    <t>掘削控除</t>
    <rPh sb="0" eb="2">
      <t>クッサク</t>
    </rPh>
    <rPh sb="2" eb="4">
      <t>コウジョ</t>
    </rPh>
    <phoneticPr fontId="2"/>
  </si>
  <si>
    <t>搬入</t>
    <rPh sb="0" eb="2">
      <t>ハンニュウ</t>
    </rPh>
    <phoneticPr fontId="2"/>
  </si>
  <si>
    <t>埋戻し控除</t>
    <rPh sb="0" eb="1">
      <t>ウ</t>
    </rPh>
    <rPh sb="1" eb="2">
      <t>モド</t>
    </rPh>
    <rPh sb="3" eb="5">
      <t>コウジョ</t>
    </rPh>
    <phoneticPr fontId="2"/>
  </si>
  <si>
    <t>撤去管管体分</t>
    <rPh sb="0" eb="2">
      <t>テッキョ</t>
    </rPh>
    <rPh sb="2" eb="3">
      <t>カン</t>
    </rPh>
    <rPh sb="3" eb="4">
      <t>カン</t>
    </rPh>
    <rPh sb="4" eb="5">
      <t>タイ</t>
    </rPh>
    <rPh sb="5" eb="6">
      <t>ブン</t>
    </rPh>
    <phoneticPr fontId="2"/>
  </si>
  <si>
    <t>再生砕石</t>
    <rPh sb="0" eb="2">
      <t>サイセイ</t>
    </rPh>
    <rPh sb="2" eb="4">
      <t>サイセキ</t>
    </rPh>
    <phoneticPr fontId="2"/>
  </si>
  <si>
    <t>粒調砕石</t>
    <rPh sb="0" eb="4">
      <t>リュウチョウサイセキ</t>
    </rPh>
    <phoneticPr fontId="2"/>
  </si>
  <si>
    <t>再生As</t>
    <rPh sb="0" eb="2">
      <t>サイセイ</t>
    </rPh>
    <phoneticPr fontId="2"/>
  </si>
  <si>
    <t>施工厚
（As+路盤)</t>
    <rPh sb="0" eb="2">
      <t>セコウ</t>
    </rPh>
    <rPh sb="2" eb="3">
      <t>アツ</t>
    </rPh>
    <rPh sb="8" eb="10">
      <t>ロバン</t>
    </rPh>
    <phoneticPr fontId="2"/>
  </si>
  <si>
    <t>合計①</t>
    <rPh sb="0" eb="2">
      <t>ゴウケイ</t>
    </rPh>
    <phoneticPr fontId="2"/>
  </si>
  <si>
    <t>合計②</t>
    <rPh sb="0" eb="2">
      <t>ゴウケイ</t>
    </rPh>
    <phoneticPr fontId="2"/>
  </si>
  <si>
    <t>収支①-②</t>
    <rPh sb="0" eb="2">
      <t>シュウシ</t>
    </rPh>
    <phoneticPr fontId="2"/>
  </si>
  <si>
    <t>鋼管据付</t>
    <rPh sb="0" eb="1">
      <t>コウ</t>
    </rPh>
    <rPh sb="1" eb="2">
      <t>カン</t>
    </rPh>
    <rPh sb="2" eb="4">
      <t>スエツケ</t>
    </rPh>
    <phoneticPr fontId="2"/>
  </si>
  <si>
    <t>鋼管撤去</t>
    <rPh sb="0" eb="1">
      <t>コウ</t>
    </rPh>
    <rPh sb="1" eb="2">
      <t>カン</t>
    </rPh>
    <rPh sb="2" eb="4">
      <t>テッキョ</t>
    </rPh>
    <phoneticPr fontId="2"/>
  </si>
  <si>
    <t>φ75</t>
    <phoneticPr fontId="2"/>
  </si>
  <si>
    <t>φ100</t>
    <phoneticPr fontId="2"/>
  </si>
  <si>
    <t>φ150</t>
    <phoneticPr fontId="2"/>
  </si>
  <si>
    <t>φ200</t>
    <phoneticPr fontId="2"/>
  </si>
  <si>
    <t>メカニカル継手</t>
    <rPh sb="5" eb="7">
      <t>ツギテ</t>
    </rPh>
    <phoneticPr fontId="2"/>
  </si>
  <si>
    <t>φ75</t>
    <phoneticPr fontId="2"/>
  </si>
  <si>
    <t>φ100</t>
    <phoneticPr fontId="2"/>
  </si>
  <si>
    <t>φ150</t>
    <phoneticPr fontId="2"/>
  </si>
  <si>
    <t>φ200</t>
    <phoneticPr fontId="2"/>
  </si>
  <si>
    <t>φ75</t>
    <phoneticPr fontId="2"/>
  </si>
  <si>
    <t>φ100</t>
    <phoneticPr fontId="2"/>
  </si>
  <si>
    <t>φ150</t>
    <phoneticPr fontId="2"/>
  </si>
  <si>
    <t>φ200</t>
    <phoneticPr fontId="2"/>
  </si>
  <si>
    <t>φ300</t>
    <phoneticPr fontId="2"/>
  </si>
  <si>
    <t>φ400</t>
    <phoneticPr fontId="2"/>
  </si>
  <si>
    <t>鋳鉄管切断
（新　管）</t>
    <rPh sb="0" eb="2">
      <t>チュウテツ</t>
    </rPh>
    <rPh sb="2" eb="3">
      <t>カン</t>
    </rPh>
    <rPh sb="3" eb="5">
      <t>セツダン</t>
    </rPh>
    <rPh sb="7" eb="8">
      <t>シン</t>
    </rPh>
    <rPh sb="9" eb="10">
      <t>カン</t>
    </rPh>
    <phoneticPr fontId="2"/>
  </si>
  <si>
    <t>φ75</t>
    <phoneticPr fontId="2"/>
  </si>
  <si>
    <t>仕切弁据付
（車道部）</t>
    <rPh sb="0" eb="2">
      <t>シキ</t>
    </rPh>
    <rPh sb="2" eb="3">
      <t>ベン</t>
    </rPh>
    <rPh sb="3" eb="5">
      <t>スエツケ</t>
    </rPh>
    <rPh sb="7" eb="9">
      <t>シャドウ</t>
    </rPh>
    <rPh sb="9" eb="10">
      <t>ブ</t>
    </rPh>
    <phoneticPr fontId="2"/>
  </si>
  <si>
    <t>仕切弁据付
（歩道部）</t>
    <rPh sb="0" eb="2">
      <t>シキ</t>
    </rPh>
    <rPh sb="2" eb="3">
      <t>ベン</t>
    </rPh>
    <rPh sb="3" eb="5">
      <t>スエツケ</t>
    </rPh>
    <rPh sb="7" eb="9">
      <t>ホドウ</t>
    </rPh>
    <rPh sb="9" eb="10">
      <t>ブ</t>
    </rPh>
    <phoneticPr fontId="2"/>
  </si>
  <si>
    <t>バタフライ弁</t>
    <rPh sb="5" eb="6">
      <t>ベン</t>
    </rPh>
    <phoneticPr fontId="2"/>
  </si>
  <si>
    <t>緊急栓据付</t>
    <rPh sb="0" eb="2">
      <t>キンキュウ</t>
    </rPh>
    <rPh sb="2" eb="3">
      <t>セン</t>
    </rPh>
    <rPh sb="3" eb="5">
      <t>スエツケ</t>
    </rPh>
    <phoneticPr fontId="2"/>
  </si>
  <si>
    <t>Ⅰ型</t>
    <rPh sb="1" eb="2">
      <t>カタ</t>
    </rPh>
    <phoneticPr fontId="2"/>
  </si>
  <si>
    <t>Ⅱ型</t>
    <rPh sb="1" eb="2">
      <t>カタ</t>
    </rPh>
    <phoneticPr fontId="2"/>
  </si>
  <si>
    <t>Ⅲ型</t>
    <rPh sb="1" eb="2">
      <t>カタ</t>
    </rPh>
    <phoneticPr fontId="2"/>
  </si>
  <si>
    <t>合　　計 （ｔ）</t>
    <rPh sb="0" eb="1">
      <t>ゴウ</t>
    </rPh>
    <rPh sb="3" eb="4">
      <t>ケイ</t>
    </rPh>
    <phoneticPr fontId="2"/>
  </si>
  <si>
    <t>給水2度</t>
    <rPh sb="0" eb="2">
      <t>キュウスイ</t>
    </rPh>
    <rPh sb="3" eb="4">
      <t>ド</t>
    </rPh>
    <phoneticPr fontId="2"/>
  </si>
  <si>
    <t>名　称</t>
    <rPh sb="0" eb="1">
      <t>ナ</t>
    </rPh>
    <rPh sb="2" eb="3">
      <t>ショウ</t>
    </rPh>
    <phoneticPr fontId="2"/>
  </si>
  <si>
    <t>摘　要</t>
    <rPh sb="0" eb="1">
      <t>テキ</t>
    </rPh>
    <rPh sb="2" eb="3">
      <t>ヨウ</t>
    </rPh>
    <phoneticPr fontId="2"/>
  </si>
  <si>
    <t>舗　装</t>
    <rPh sb="0" eb="1">
      <t>ホ</t>
    </rPh>
    <rPh sb="2" eb="3">
      <t>ソウ</t>
    </rPh>
    <phoneticPr fontId="2"/>
  </si>
  <si>
    <t>数量総括表（土工事-2）</t>
    <rPh sb="0" eb="2">
      <t>スウリョウ</t>
    </rPh>
    <rPh sb="2" eb="4">
      <t>ソウカツ</t>
    </rPh>
    <rPh sb="4" eb="5">
      <t>ヒョウ</t>
    </rPh>
    <rPh sb="6" eb="7">
      <t>ド</t>
    </rPh>
    <rPh sb="7" eb="9">
      <t>コウジ</t>
    </rPh>
    <phoneticPr fontId="2"/>
  </si>
  <si>
    <t>先行路盤
　（発生土）</t>
    <rPh sb="0" eb="2">
      <t>センコウ</t>
    </rPh>
    <rPh sb="2" eb="4">
      <t>ロバン</t>
    </rPh>
    <rPh sb="7" eb="9">
      <t>ハッセイ</t>
    </rPh>
    <rPh sb="9" eb="10">
      <t>ド</t>
    </rPh>
    <phoneticPr fontId="2"/>
  </si>
  <si>
    <t>鋳鉄管据付</t>
    <rPh sb="0" eb="3">
      <t>チュウテツカン</t>
    </rPh>
    <rPh sb="3" eb="5">
      <t>スエツケ</t>
    </rPh>
    <phoneticPr fontId="2"/>
  </si>
  <si>
    <t>鋳鉄管撤去</t>
    <rPh sb="0" eb="3">
      <t>チュウテツカン</t>
    </rPh>
    <rPh sb="3" eb="5">
      <t>テッキョ</t>
    </rPh>
    <phoneticPr fontId="2"/>
  </si>
  <si>
    <t>空気弁撤去</t>
    <rPh sb="0" eb="2">
      <t>クウキ</t>
    </rPh>
    <rPh sb="2" eb="3">
      <t>ベン</t>
    </rPh>
    <rPh sb="3" eb="5">
      <t>テッキョ</t>
    </rPh>
    <phoneticPr fontId="2"/>
  </si>
  <si>
    <t>単口</t>
    <rPh sb="0" eb="1">
      <t>タン</t>
    </rPh>
    <rPh sb="1" eb="2">
      <t>コウ</t>
    </rPh>
    <phoneticPr fontId="2"/>
  </si>
  <si>
    <t>特殊メカニカル継手</t>
    <rPh sb="0" eb="2">
      <t>トクシュ</t>
    </rPh>
    <rPh sb="7" eb="9">
      <t>ツギテ</t>
    </rPh>
    <phoneticPr fontId="2"/>
  </si>
  <si>
    <t>フランジ継手</t>
    <rPh sb="4" eb="6">
      <t>ツギテ</t>
    </rPh>
    <phoneticPr fontId="2"/>
  </si>
  <si>
    <t>備　考</t>
    <rPh sb="0" eb="1">
      <t>ソナエ</t>
    </rPh>
    <rPh sb="2" eb="3">
      <t>コウ</t>
    </rPh>
    <phoneticPr fontId="2"/>
  </si>
  <si>
    <t>数量総括表（管工事-1）</t>
    <rPh sb="0" eb="2">
      <t>スウリョウ</t>
    </rPh>
    <rPh sb="2" eb="4">
      <t>ソウカツ</t>
    </rPh>
    <rPh sb="4" eb="5">
      <t>ヒョウ</t>
    </rPh>
    <rPh sb="6" eb="7">
      <t>カン</t>
    </rPh>
    <rPh sb="7" eb="9">
      <t>コウジ</t>
    </rPh>
    <phoneticPr fontId="2"/>
  </si>
  <si>
    <t>配　水　管　管　工　事</t>
    <rPh sb="0" eb="1">
      <t>クバ</t>
    </rPh>
    <rPh sb="2" eb="3">
      <t>ミズ</t>
    </rPh>
    <rPh sb="4" eb="5">
      <t>カン</t>
    </rPh>
    <rPh sb="6" eb="7">
      <t>カン</t>
    </rPh>
    <rPh sb="8" eb="9">
      <t>コウ</t>
    </rPh>
    <rPh sb="10" eb="11">
      <t>コト</t>
    </rPh>
    <phoneticPr fontId="2"/>
  </si>
  <si>
    <t>数量総括表（管工事-2）</t>
    <rPh sb="0" eb="2">
      <t>スウリョウ</t>
    </rPh>
    <rPh sb="2" eb="4">
      <t>ソウカツ</t>
    </rPh>
    <rPh sb="4" eb="5">
      <t>ヒョウ</t>
    </rPh>
    <rPh sb="6" eb="7">
      <t>カン</t>
    </rPh>
    <rPh sb="7" eb="9">
      <t>コウジ</t>
    </rPh>
    <phoneticPr fontId="2"/>
  </si>
  <si>
    <t>鋳鉄管切断
（新管Ｔ・Ｋ）</t>
    <rPh sb="0" eb="3">
      <t>チュウテツカン</t>
    </rPh>
    <rPh sb="3" eb="5">
      <t>セツダン</t>
    </rPh>
    <rPh sb="7" eb="8">
      <t>シン</t>
    </rPh>
    <rPh sb="8" eb="9">
      <t>カン</t>
    </rPh>
    <phoneticPr fontId="2"/>
  </si>
  <si>
    <t>舗装復旧</t>
    <rPh sb="0" eb="2">
      <t>ホソウ</t>
    </rPh>
    <rPh sb="2" eb="4">
      <t>フッキュウ</t>
    </rPh>
    <phoneticPr fontId="2"/>
  </si>
  <si>
    <t>舗装復旧工事・舗装工事</t>
    <rPh sb="0" eb="2">
      <t>ホソウ</t>
    </rPh>
    <rPh sb="2" eb="4">
      <t>フッキュウ</t>
    </rPh>
    <rPh sb="4" eb="6">
      <t>コウジ</t>
    </rPh>
    <rPh sb="7" eb="9">
      <t>ホソウ</t>
    </rPh>
    <rPh sb="9" eb="11">
      <t>コウジ</t>
    </rPh>
    <phoneticPr fontId="2"/>
  </si>
  <si>
    <t>特殊タイトン
取外し</t>
    <rPh sb="0" eb="2">
      <t>トクシュ</t>
    </rPh>
    <rPh sb="7" eb="9">
      <t>トリハズ</t>
    </rPh>
    <phoneticPr fontId="2"/>
  </si>
  <si>
    <t>タイトン
取外し</t>
    <rPh sb="5" eb="7">
      <t>トリハズ</t>
    </rPh>
    <phoneticPr fontId="2"/>
  </si>
  <si>
    <t>メカニカル継手
取外し</t>
    <rPh sb="5" eb="7">
      <t>ツギテ</t>
    </rPh>
    <rPh sb="8" eb="10">
      <t>トリハズ</t>
    </rPh>
    <phoneticPr fontId="2"/>
  </si>
  <si>
    <t>SⅡ継手
取外し</t>
    <rPh sb="2" eb="4">
      <t>ツギテ</t>
    </rPh>
    <rPh sb="5" eb="7">
      <t>トリハズ</t>
    </rPh>
    <phoneticPr fontId="2"/>
  </si>
  <si>
    <t>フランジ継手
取外し</t>
    <rPh sb="4" eb="6">
      <t>ツギテ</t>
    </rPh>
    <rPh sb="7" eb="9">
      <t>トリハズ</t>
    </rPh>
    <phoneticPr fontId="2"/>
  </si>
  <si>
    <t>数量総括表（管工事-3）</t>
    <rPh sb="0" eb="2">
      <t>スウリョウ</t>
    </rPh>
    <rPh sb="2" eb="4">
      <t>ソウカツ</t>
    </rPh>
    <rPh sb="4" eb="5">
      <t>ヒョウ</t>
    </rPh>
    <rPh sb="6" eb="7">
      <t>カン</t>
    </rPh>
    <rPh sb="7" eb="9">
      <t>コウジ</t>
    </rPh>
    <phoneticPr fontId="2"/>
  </si>
  <si>
    <t>その他</t>
    <rPh sb="2" eb="3">
      <t>タ</t>
    </rPh>
    <phoneticPr fontId="2"/>
  </si>
  <si>
    <t>管工事</t>
    <rPh sb="0" eb="1">
      <t>カン</t>
    </rPh>
    <rPh sb="1" eb="3">
      <t>コウジ</t>
    </rPh>
    <phoneticPr fontId="2"/>
  </si>
  <si>
    <t>=この表内でﾘﾝｸ入力されてるセル</t>
    <rPh sb="3" eb="5">
      <t>ヒョウナイ</t>
    </rPh>
    <rPh sb="9" eb="11">
      <t>ニュウリョク</t>
    </rPh>
    <phoneticPr fontId="2"/>
  </si>
  <si>
    <t>仮配管</t>
    <rPh sb="0" eb="1">
      <t>カリ</t>
    </rPh>
    <rPh sb="1" eb="2">
      <t>ハイ</t>
    </rPh>
    <rPh sb="2" eb="3">
      <t>カン</t>
    </rPh>
    <phoneticPr fontId="2"/>
  </si>
  <si>
    <t>設計書</t>
    <rPh sb="0" eb="3">
      <t>セッケイショ</t>
    </rPh>
    <phoneticPr fontId="2"/>
  </si>
  <si>
    <t>摘　　　要</t>
    <rPh sb="0" eb="1">
      <t>チャク</t>
    </rPh>
    <rPh sb="4" eb="5">
      <t>ヨウ</t>
    </rPh>
    <phoneticPr fontId="2"/>
  </si>
  <si>
    <t>名　　　称</t>
    <rPh sb="0" eb="1">
      <t>メイ</t>
    </rPh>
    <rPh sb="4" eb="5">
      <t>ショウ</t>
    </rPh>
    <phoneticPr fontId="2"/>
  </si>
  <si>
    <t>数量</t>
    <rPh sb="0" eb="2">
      <t>スウリョウ</t>
    </rPh>
    <phoneticPr fontId="2"/>
  </si>
  <si>
    <t>水替工</t>
    <rPh sb="0" eb="1">
      <t>ミズ</t>
    </rPh>
    <rPh sb="1" eb="2">
      <t>カ</t>
    </rPh>
    <rPh sb="2" eb="3">
      <t>コウ</t>
    </rPh>
    <phoneticPr fontId="2"/>
  </si>
  <si>
    <t>仮復旧</t>
    <rPh sb="0" eb="1">
      <t>カリ</t>
    </rPh>
    <rPh sb="1" eb="3">
      <t>フッキュウ</t>
    </rPh>
    <phoneticPr fontId="2"/>
  </si>
  <si>
    <t>消火栓撤去</t>
    <rPh sb="0" eb="3">
      <t>ショウカセン</t>
    </rPh>
    <rPh sb="3" eb="5">
      <t>テッキョ</t>
    </rPh>
    <phoneticPr fontId="2"/>
  </si>
  <si>
    <t>特殊タイトン</t>
    <rPh sb="0" eb="2">
      <t>トクシュ</t>
    </rPh>
    <phoneticPr fontId="2"/>
  </si>
  <si>
    <t>設計書</t>
    <rPh sb="0" eb="2">
      <t>セッケイ</t>
    </rPh>
    <rPh sb="2" eb="3">
      <t>ショ</t>
    </rPh>
    <phoneticPr fontId="2"/>
  </si>
  <si>
    <t>道路区画線復旧</t>
    <rPh sb="0" eb="2">
      <t>ドウロ</t>
    </rPh>
    <rPh sb="2" eb="4">
      <t>クカク</t>
    </rPh>
    <rPh sb="4" eb="5">
      <t>セン</t>
    </rPh>
    <rPh sb="5" eb="7">
      <t>フッキュウ</t>
    </rPh>
    <phoneticPr fontId="2"/>
  </si>
  <si>
    <t>仕切弁撤去</t>
    <rPh sb="0" eb="3">
      <t>シキリベン</t>
    </rPh>
    <rPh sb="3" eb="5">
      <t>テッキョ</t>
    </rPh>
    <phoneticPr fontId="2"/>
  </si>
  <si>
    <t>㎞</t>
    <phoneticPr fontId="2"/>
  </si>
  <si>
    <t>軽量鋼矢板
設置・撤去工</t>
    <rPh sb="0" eb="2">
      <t>ケイリョウ</t>
    </rPh>
    <rPh sb="2" eb="3">
      <t>コウ</t>
    </rPh>
    <rPh sb="3" eb="5">
      <t>ヤイタ</t>
    </rPh>
    <rPh sb="6" eb="8">
      <t>セッチ</t>
    </rPh>
    <rPh sb="9" eb="11">
      <t>テッキョ</t>
    </rPh>
    <rPh sb="11" eb="12">
      <t>コウ</t>
    </rPh>
    <phoneticPr fontId="2"/>
  </si>
  <si>
    <t>仮設材運搬工</t>
    <rPh sb="0" eb="2">
      <t>カセツ</t>
    </rPh>
    <rPh sb="2" eb="3">
      <t>ザイ</t>
    </rPh>
    <rPh sb="3" eb="5">
      <t>ウンパン</t>
    </rPh>
    <rPh sb="5" eb="6">
      <t>コウ</t>
    </rPh>
    <phoneticPr fontId="2"/>
  </si>
  <si>
    <t>延長計</t>
    <rPh sb="0" eb="2">
      <t>エンチョウ</t>
    </rPh>
    <rPh sb="2" eb="3">
      <t>ケイ</t>
    </rPh>
    <phoneticPr fontId="2"/>
  </si>
  <si>
    <t>摘要</t>
    <rPh sb="0" eb="2">
      <t>テキヨウ</t>
    </rPh>
    <phoneticPr fontId="2"/>
  </si>
  <si>
    <t>自転車専用道</t>
    <rPh sb="0" eb="3">
      <t>ジテンシャ</t>
    </rPh>
    <rPh sb="3" eb="5">
      <t>センヨウ</t>
    </rPh>
    <rPh sb="5" eb="6">
      <t>ドウ</t>
    </rPh>
    <phoneticPr fontId="2"/>
  </si>
  <si>
    <t>横断歩道予告記号</t>
    <rPh sb="0" eb="2">
      <t>オウダン</t>
    </rPh>
    <rPh sb="2" eb="4">
      <t>ホドウ</t>
    </rPh>
    <rPh sb="4" eb="6">
      <t>ヨコク</t>
    </rPh>
    <rPh sb="6" eb="8">
      <t>キゴウ</t>
    </rPh>
    <phoneticPr fontId="2"/>
  </si>
  <si>
    <t>直進</t>
    <rPh sb="0" eb="2">
      <t>チョクシン</t>
    </rPh>
    <phoneticPr fontId="2"/>
  </si>
  <si>
    <t>右折・左折</t>
    <rPh sb="0" eb="2">
      <t>ウセツ</t>
    </rPh>
    <rPh sb="3" eb="5">
      <t>サセツ</t>
    </rPh>
    <phoneticPr fontId="2"/>
  </si>
  <si>
    <t>直右・直左</t>
    <rPh sb="0" eb="1">
      <t>チョク</t>
    </rPh>
    <rPh sb="1" eb="2">
      <t>ウ</t>
    </rPh>
    <rPh sb="3" eb="4">
      <t>チョク</t>
    </rPh>
    <rPh sb="4" eb="5">
      <t>サ</t>
    </rPh>
    <phoneticPr fontId="2"/>
  </si>
  <si>
    <t>右左折</t>
    <rPh sb="1" eb="3">
      <t>サセツ</t>
    </rPh>
    <phoneticPr fontId="2"/>
  </si>
  <si>
    <t>5mもの</t>
    <phoneticPr fontId="2"/>
  </si>
  <si>
    <t>3mもの</t>
    <phoneticPr fontId="2"/>
  </si>
  <si>
    <t>4mもの</t>
    <phoneticPr fontId="2"/>
  </si>
  <si>
    <t>2mもの</t>
    <phoneticPr fontId="2"/>
  </si>
  <si>
    <t>1mもの</t>
    <phoneticPr fontId="2"/>
  </si>
  <si>
    <t>搬出土量</t>
    <rPh sb="0" eb="2">
      <t>ハンシュツ</t>
    </rPh>
    <rPh sb="2" eb="4">
      <t>ドリョウ</t>
    </rPh>
    <phoneticPr fontId="2"/>
  </si>
  <si>
    <t>搬入土量</t>
    <rPh sb="0" eb="2">
      <t>ハンニュウ</t>
    </rPh>
    <rPh sb="2" eb="4">
      <t>ドリョウ</t>
    </rPh>
    <phoneticPr fontId="2"/>
  </si>
  <si>
    <t>収支</t>
    <rPh sb="0" eb="2">
      <t>シュウシ</t>
    </rPh>
    <phoneticPr fontId="2"/>
  </si>
  <si>
    <t>土砂</t>
    <rPh sb="0" eb="2">
      <t>ドシャ</t>
    </rPh>
    <phoneticPr fontId="2"/>
  </si>
  <si>
    <t>止</t>
    <rPh sb="0" eb="1">
      <t>ト</t>
    </rPh>
    <phoneticPr fontId="2"/>
  </si>
  <si>
    <t>数値基準</t>
    <rPh sb="0" eb="2">
      <t>スウチ</t>
    </rPh>
    <rPh sb="2" eb="4">
      <t>キジュン</t>
    </rPh>
    <phoneticPr fontId="2"/>
  </si>
  <si>
    <t>無筋Co</t>
    <rPh sb="0" eb="1">
      <t>ム</t>
    </rPh>
    <rPh sb="1" eb="2">
      <t>キン</t>
    </rPh>
    <phoneticPr fontId="2"/>
  </si>
  <si>
    <t>鉄筋Co</t>
    <rPh sb="0" eb="2">
      <t>テッキン</t>
    </rPh>
    <phoneticPr fontId="2"/>
  </si>
  <si>
    <t>付帯工</t>
    <rPh sb="0" eb="2">
      <t>フタイ</t>
    </rPh>
    <rPh sb="2" eb="3">
      <t>コウ</t>
    </rPh>
    <phoneticPr fontId="2"/>
  </si>
  <si>
    <t>管端閉塞工</t>
    <rPh sb="0" eb="1">
      <t>カン</t>
    </rPh>
    <rPh sb="1" eb="2">
      <t>タン</t>
    </rPh>
    <rPh sb="2" eb="4">
      <t>ヘイソク</t>
    </rPh>
    <rPh sb="4" eb="5">
      <t>コウ</t>
    </rPh>
    <phoneticPr fontId="2"/>
  </si>
  <si>
    <t>昼間</t>
    <rPh sb="0" eb="2">
      <t>ヒルマ</t>
    </rPh>
    <phoneticPr fontId="2"/>
  </si>
  <si>
    <t>計</t>
    <rPh sb="0" eb="1">
      <t>ケイ</t>
    </rPh>
    <phoneticPr fontId="2"/>
  </si>
  <si>
    <t>砂質土</t>
    <rPh sb="0" eb="1">
      <t>スナ</t>
    </rPh>
    <rPh sb="1" eb="2">
      <t>シツ</t>
    </rPh>
    <rPh sb="2" eb="3">
      <t>ツチ</t>
    </rPh>
    <phoneticPr fontId="2"/>
  </si>
  <si>
    <t>人力</t>
    <rPh sb="0" eb="2">
      <t>ジンリキ</t>
    </rPh>
    <phoneticPr fontId="2"/>
  </si>
  <si>
    <t>砂質土</t>
    <rPh sb="0" eb="1">
      <t>サ</t>
    </rPh>
    <rPh sb="1" eb="2">
      <t>シツ</t>
    </rPh>
    <rPh sb="2" eb="3">
      <t>ド</t>
    </rPh>
    <phoneticPr fontId="2"/>
  </si>
  <si>
    <t>機械</t>
    <rPh sb="0" eb="2">
      <t>キカイ</t>
    </rPh>
    <phoneticPr fontId="2"/>
  </si>
  <si>
    <t>Co</t>
    <phoneticPr fontId="2"/>
  </si>
  <si>
    <t>発生土</t>
    <rPh sb="0" eb="2">
      <t>ハッセイ</t>
    </rPh>
    <rPh sb="2" eb="3">
      <t>ド</t>
    </rPh>
    <phoneticPr fontId="2"/>
  </si>
  <si>
    <t>購入土（粒調）</t>
    <rPh sb="0" eb="2">
      <t>コウニュウ</t>
    </rPh>
    <rPh sb="2" eb="3">
      <t>ド</t>
    </rPh>
    <rPh sb="4" eb="5">
      <t>リュウ</t>
    </rPh>
    <rPh sb="5" eb="6">
      <t>チョウ</t>
    </rPh>
    <phoneticPr fontId="2"/>
  </si>
  <si>
    <t>購入土（再生）</t>
    <rPh sb="0" eb="2">
      <t>コウニュウ</t>
    </rPh>
    <rPh sb="2" eb="3">
      <t>ド</t>
    </rPh>
    <rPh sb="4" eb="6">
      <t>サイセイ</t>
    </rPh>
    <phoneticPr fontId="2"/>
  </si>
  <si>
    <t>特殊メカニカル
継手取外し</t>
    <rPh sb="0" eb="2">
      <t>トクシュ</t>
    </rPh>
    <rPh sb="8" eb="10">
      <t>ツギテ</t>
    </rPh>
    <rPh sb="10" eb="12">
      <t>トリハズ</t>
    </rPh>
    <phoneticPr fontId="2"/>
  </si>
  <si>
    <t>掘削部</t>
  </si>
  <si>
    <t>影響部</t>
  </si>
  <si>
    <t>破 線</t>
    <rPh sb="0" eb="1">
      <t>ヤブ</t>
    </rPh>
    <rPh sb="2" eb="3">
      <t>セン</t>
    </rPh>
    <phoneticPr fontId="2"/>
  </si>
  <si>
    <t>数量総括表（舗装工事-1）</t>
    <rPh sb="0" eb="2">
      <t>スウリョウ</t>
    </rPh>
    <rPh sb="2" eb="4">
      <t>ソウカツ</t>
    </rPh>
    <rPh sb="4" eb="5">
      <t>ヒョウ</t>
    </rPh>
    <rPh sb="6" eb="8">
      <t>ホソウ</t>
    </rPh>
    <rPh sb="8" eb="10">
      <t>コウジ</t>
    </rPh>
    <phoneticPr fontId="2"/>
  </si>
  <si>
    <t>購入土</t>
    <rPh sb="0" eb="2">
      <t>コウニュウ</t>
    </rPh>
    <rPh sb="2" eb="3">
      <t>ド</t>
    </rPh>
    <phoneticPr fontId="2"/>
  </si>
  <si>
    <t>数量総括表（土工事-3）</t>
    <rPh sb="0" eb="2">
      <t>スウリョウ</t>
    </rPh>
    <rPh sb="2" eb="4">
      <t>ソウカツ</t>
    </rPh>
    <rPh sb="4" eb="5">
      <t>ヒョウ</t>
    </rPh>
    <rPh sb="6" eb="7">
      <t>ド</t>
    </rPh>
    <rPh sb="7" eb="9">
      <t>コウジ</t>
    </rPh>
    <phoneticPr fontId="2"/>
  </si>
  <si>
    <t>工事名：</t>
    <rPh sb="0" eb="2">
      <t>コウジ</t>
    </rPh>
    <rPh sb="2" eb="3">
      <t>メイ</t>
    </rPh>
    <phoneticPr fontId="2"/>
  </si>
  <si>
    <t>事業名：</t>
    <rPh sb="0" eb="2">
      <t>ジギョウ</t>
    </rPh>
    <rPh sb="2" eb="3">
      <t>メイ</t>
    </rPh>
    <phoneticPr fontId="2"/>
  </si>
  <si>
    <t>工事番号：</t>
    <rPh sb="0" eb="2">
      <t>コウジ</t>
    </rPh>
    <rPh sb="2" eb="4">
      <t>バンゴウ</t>
    </rPh>
    <phoneticPr fontId="2"/>
  </si>
  <si>
    <t>　数　量　計　算　書　</t>
    <rPh sb="1" eb="2">
      <t>カズ</t>
    </rPh>
    <rPh sb="3" eb="4">
      <t>リョウ</t>
    </rPh>
    <rPh sb="5" eb="6">
      <t>ケイ</t>
    </rPh>
    <rPh sb="7" eb="8">
      <t>ザン</t>
    </rPh>
    <rPh sb="9" eb="10">
      <t>ショ</t>
    </rPh>
    <phoneticPr fontId="2"/>
  </si>
  <si>
    <t>工事場所：</t>
    <rPh sb="0" eb="2">
      <t>コウジ</t>
    </rPh>
    <rPh sb="2" eb="4">
      <t>バショ</t>
    </rPh>
    <phoneticPr fontId="2"/>
  </si>
  <si>
    <t>標　示</t>
    <rPh sb="0" eb="1">
      <t>シルベ</t>
    </rPh>
    <rPh sb="2" eb="3">
      <t>シ</t>
    </rPh>
    <phoneticPr fontId="2"/>
  </si>
  <si>
    <t>×</t>
    <phoneticPr fontId="2"/>
  </si>
  <si>
    <t>ダイヤ</t>
    <phoneticPr fontId="2"/>
  </si>
  <si>
    <t>内容</t>
    <rPh sb="0" eb="2">
      <t>ナイヨウ</t>
    </rPh>
    <phoneticPr fontId="2"/>
  </si>
  <si>
    <t>回転禁止</t>
    <rPh sb="0" eb="2">
      <t>カイテン</t>
    </rPh>
    <rPh sb="2" eb="4">
      <t>キンシ</t>
    </rPh>
    <phoneticPr fontId="2"/>
  </si>
  <si>
    <t>　〃</t>
    <phoneticPr fontId="2"/>
  </si>
  <si>
    <t>↷</t>
    <phoneticPr fontId="2"/>
  </si>
  <si>
    <t>速度文字</t>
    <rPh sb="0" eb="2">
      <t>ソクド</t>
    </rPh>
    <rPh sb="2" eb="4">
      <t>モジ</t>
    </rPh>
    <phoneticPr fontId="2"/>
  </si>
  <si>
    <t>バス専用(優先)進行帯文字</t>
    <rPh sb="2" eb="4">
      <t>センヨウ</t>
    </rPh>
    <rPh sb="5" eb="7">
      <t>ユウセン</t>
    </rPh>
    <rPh sb="8" eb="10">
      <t>シンコウ</t>
    </rPh>
    <rPh sb="10" eb="11">
      <t>タイ</t>
    </rPh>
    <rPh sb="11" eb="13">
      <t>モジ</t>
    </rPh>
    <phoneticPr fontId="2"/>
  </si>
  <si>
    <t>バス専用(優先)進行帯用時間文字</t>
    <rPh sb="2" eb="4">
      <t>センヨウ</t>
    </rPh>
    <rPh sb="5" eb="7">
      <t>ユウセン</t>
    </rPh>
    <rPh sb="8" eb="10">
      <t>シンコウ</t>
    </rPh>
    <rPh sb="10" eb="11">
      <t>タイ</t>
    </rPh>
    <rPh sb="11" eb="12">
      <t>ヨウ</t>
    </rPh>
    <rPh sb="12" eb="14">
      <t>ジカン</t>
    </rPh>
    <rPh sb="14" eb="16">
      <t>モジ</t>
    </rPh>
    <phoneticPr fontId="2"/>
  </si>
  <si>
    <t>バ</t>
    <phoneticPr fontId="2"/>
  </si>
  <si>
    <t>ス</t>
    <phoneticPr fontId="2"/>
  </si>
  <si>
    <t>専</t>
    <rPh sb="0" eb="1">
      <t>アツム</t>
    </rPh>
    <phoneticPr fontId="2"/>
  </si>
  <si>
    <t>用</t>
    <rPh sb="0" eb="1">
      <t>ヨウ</t>
    </rPh>
    <phoneticPr fontId="2"/>
  </si>
  <si>
    <t>優</t>
    <rPh sb="0" eb="1">
      <t>ユウ</t>
    </rPh>
    <phoneticPr fontId="2"/>
  </si>
  <si>
    <t>先</t>
    <rPh sb="0" eb="1">
      <t>サキ</t>
    </rPh>
    <phoneticPr fontId="2"/>
  </si>
  <si>
    <t>自転車・自二輪専用通行帯用時間文字</t>
    <rPh sb="0" eb="3">
      <t>ジテンシャ</t>
    </rPh>
    <rPh sb="4" eb="5">
      <t>ジ</t>
    </rPh>
    <rPh sb="5" eb="6">
      <t>ニ</t>
    </rPh>
    <rPh sb="6" eb="7">
      <t>ワ</t>
    </rPh>
    <rPh sb="7" eb="9">
      <t>センヨウ</t>
    </rPh>
    <rPh sb="9" eb="12">
      <t>ツウコウタイ</t>
    </rPh>
    <rPh sb="11" eb="12">
      <t>タイ</t>
    </rPh>
    <rPh sb="12" eb="13">
      <t>ヨウ</t>
    </rPh>
    <rPh sb="13" eb="15">
      <t>ジカン</t>
    </rPh>
    <rPh sb="15" eb="17">
      <t>モジ</t>
    </rPh>
    <phoneticPr fontId="2"/>
  </si>
  <si>
    <t>自転車・自二輪専用通行帯文字</t>
    <rPh sb="0" eb="3">
      <t>ジテンシャ</t>
    </rPh>
    <rPh sb="4" eb="5">
      <t>ジ</t>
    </rPh>
    <rPh sb="5" eb="6">
      <t>ニ</t>
    </rPh>
    <rPh sb="6" eb="7">
      <t>ワ</t>
    </rPh>
    <rPh sb="7" eb="9">
      <t>センヨウ</t>
    </rPh>
    <rPh sb="9" eb="12">
      <t>ツウコウタイ</t>
    </rPh>
    <rPh sb="11" eb="12">
      <t>タイ</t>
    </rPh>
    <rPh sb="12" eb="14">
      <t>モジ</t>
    </rPh>
    <phoneticPr fontId="2"/>
  </si>
  <si>
    <t>自</t>
    <rPh sb="0" eb="1">
      <t>ジ</t>
    </rPh>
    <phoneticPr fontId="2"/>
  </si>
  <si>
    <t>転</t>
    <rPh sb="0" eb="1">
      <t>テン</t>
    </rPh>
    <phoneticPr fontId="2"/>
  </si>
  <si>
    <t>車</t>
    <rPh sb="0" eb="1">
      <t>クルマ</t>
    </rPh>
    <phoneticPr fontId="2"/>
  </si>
  <si>
    <t>二</t>
    <rPh sb="0" eb="1">
      <t>ニ</t>
    </rPh>
    <phoneticPr fontId="2"/>
  </si>
  <si>
    <t>輪</t>
    <rPh sb="0" eb="1">
      <t>ワ</t>
    </rPh>
    <phoneticPr fontId="2"/>
  </si>
  <si>
    <t>⊘</t>
    <phoneticPr fontId="2"/>
  </si>
  <si>
    <t>終り記号(幅0.9m)</t>
    <rPh sb="0" eb="1">
      <t>オ</t>
    </rPh>
    <rPh sb="2" eb="4">
      <t>キゴウ</t>
    </rPh>
    <rPh sb="5" eb="6">
      <t>ハバ</t>
    </rPh>
    <phoneticPr fontId="2"/>
  </si>
  <si>
    <t>終り記号(幅1.2m)</t>
    <rPh sb="0" eb="1">
      <t>オ</t>
    </rPh>
    <rPh sb="2" eb="4">
      <t>キゴウ</t>
    </rPh>
    <rPh sb="5" eb="6">
      <t>ハバ</t>
    </rPh>
    <phoneticPr fontId="2"/>
  </si>
  <si>
    <t>ま</t>
  </si>
  <si>
    <t>れ</t>
  </si>
  <si>
    <t>止(と)まれ記号</t>
    <rPh sb="0" eb="1">
      <t>ト</t>
    </rPh>
    <rPh sb="6" eb="8">
      <t>キゴウ</t>
    </rPh>
    <phoneticPr fontId="2"/>
  </si>
  <si>
    <t>二段停止線文字</t>
    <rPh sb="0" eb="2">
      <t>ニダン</t>
    </rPh>
    <rPh sb="2" eb="4">
      <t>テイシ</t>
    </rPh>
    <rPh sb="4" eb="5">
      <t>セン</t>
    </rPh>
    <rPh sb="5" eb="7">
      <t>モジ</t>
    </rPh>
    <phoneticPr fontId="2"/>
  </si>
  <si>
    <t>二輪</t>
    <rPh sb="0" eb="2">
      <t>ニリン</t>
    </rPh>
    <phoneticPr fontId="2"/>
  </si>
  <si>
    <t>輪</t>
    <rPh sb="0" eb="1">
      <t>リン</t>
    </rPh>
    <phoneticPr fontId="2"/>
  </si>
  <si>
    <t>四</t>
    <rPh sb="0" eb="1">
      <t>４</t>
    </rPh>
    <phoneticPr fontId="2"/>
  </si>
  <si>
    <t>5mもの(予告)</t>
    <rPh sb="5" eb="7">
      <t>ヨコク</t>
    </rPh>
    <phoneticPr fontId="2"/>
  </si>
  <si>
    <t>減速記号</t>
    <rPh sb="0" eb="2">
      <t>ゲンソク</t>
    </rPh>
    <rPh sb="2" eb="4">
      <t>キゴウ</t>
    </rPh>
    <phoneticPr fontId="2"/>
  </si>
  <si>
    <t>速</t>
    <rPh sb="0" eb="1">
      <t>ソク</t>
    </rPh>
    <phoneticPr fontId="2"/>
  </si>
  <si>
    <t>度</t>
    <rPh sb="0" eb="1">
      <t>ド</t>
    </rPh>
    <phoneticPr fontId="2"/>
  </si>
  <si>
    <t>落</t>
    <rPh sb="0" eb="1">
      <t>オ</t>
    </rPh>
    <phoneticPr fontId="2"/>
  </si>
  <si>
    <t>↑</t>
    <phoneticPr fontId="2"/>
  </si>
  <si>
    <t>↰ ↱</t>
    <phoneticPr fontId="2"/>
  </si>
  <si>
    <t>⇡</t>
    <phoneticPr fontId="2"/>
  </si>
  <si>
    <t>せ</t>
    <phoneticPr fontId="2"/>
  </si>
  <si>
    <t>カ</t>
    <phoneticPr fontId="2"/>
  </si>
  <si>
    <t>ー</t>
    <phoneticPr fontId="2"/>
  </si>
  <si>
    <t>ブ</t>
    <phoneticPr fontId="2"/>
  </si>
  <si>
    <t>⋄</t>
    <phoneticPr fontId="2"/>
  </si>
  <si>
    <t>実延長幅15cm</t>
    <rPh sb="0" eb="1">
      <t>ジツ</t>
    </rPh>
    <rPh sb="1" eb="3">
      <t>エンチョウ</t>
    </rPh>
    <rPh sb="3" eb="4">
      <t>ハバ</t>
    </rPh>
    <phoneticPr fontId="2"/>
  </si>
  <si>
    <t>実延長　合計：</t>
    <rPh sb="0" eb="1">
      <t>ジツ</t>
    </rPh>
    <rPh sb="1" eb="3">
      <t>エンチョウ</t>
    </rPh>
    <rPh sb="4" eb="6">
      <t>ゴウケイ</t>
    </rPh>
    <phoneticPr fontId="2"/>
  </si>
  <si>
    <t>Co構造物取壊し工</t>
    <phoneticPr fontId="2"/>
  </si>
  <si>
    <t>積込み</t>
    <rPh sb="0" eb="1">
      <t>ツ</t>
    </rPh>
    <rPh sb="1" eb="2">
      <t>コ</t>
    </rPh>
    <phoneticPr fontId="2"/>
  </si>
  <si>
    <t>床　掘</t>
    <phoneticPr fontId="2"/>
  </si>
  <si>
    <t>埋戻し工</t>
    <rPh sb="3" eb="4">
      <t>コウ</t>
    </rPh>
    <phoneticPr fontId="2"/>
  </si>
  <si>
    <t>弁栓室工</t>
    <rPh sb="0" eb="1">
      <t>ベン</t>
    </rPh>
    <rPh sb="1" eb="2">
      <t>セン</t>
    </rPh>
    <rPh sb="2" eb="3">
      <t>シツ</t>
    </rPh>
    <rPh sb="3" eb="4">
      <t>コウ</t>
    </rPh>
    <phoneticPr fontId="2"/>
  </si>
  <si>
    <t>中詰工</t>
    <rPh sb="0" eb="1">
      <t>ナカ</t>
    </rPh>
    <rPh sb="1" eb="2">
      <t>ヅメ</t>
    </rPh>
    <rPh sb="2" eb="3">
      <t>コウ</t>
    </rPh>
    <phoneticPr fontId="2"/>
  </si>
  <si>
    <t>開削水替</t>
    <rPh sb="0" eb="2">
      <t>カイサク</t>
    </rPh>
    <rPh sb="2" eb="3">
      <t>ミズ</t>
    </rPh>
    <rPh sb="3" eb="4">
      <t>カ</t>
    </rPh>
    <phoneticPr fontId="2"/>
  </si>
  <si>
    <t>路面切削工</t>
    <rPh sb="0" eb="2">
      <t>ロメン</t>
    </rPh>
    <rPh sb="2" eb="4">
      <t>セッサク</t>
    </rPh>
    <rPh sb="4" eb="5">
      <t>コウ</t>
    </rPh>
    <phoneticPr fontId="2"/>
  </si>
  <si>
    <t>切削ｵｰﾊﾞｰﾚｲ</t>
    <rPh sb="0" eb="2">
      <t>セッサク</t>
    </rPh>
    <phoneticPr fontId="2"/>
  </si>
  <si>
    <t>切削廃材処分</t>
    <rPh sb="0" eb="2">
      <t>セッサク</t>
    </rPh>
    <rPh sb="2" eb="4">
      <t>ハイザイ</t>
    </rPh>
    <rPh sb="4" eb="6">
      <t>ショブン</t>
    </rPh>
    <phoneticPr fontId="2"/>
  </si>
  <si>
    <t>すき取り・積込み</t>
    <phoneticPr fontId="2"/>
  </si>
  <si>
    <t>ｴｱｰﾐﾙｸ1.0N/mm2</t>
    <phoneticPr fontId="2"/>
  </si>
  <si>
    <t>舗装本復旧</t>
    <rPh sb="0" eb="2">
      <t>ホソウ</t>
    </rPh>
    <rPh sb="2" eb="3">
      <t>ホン</t>
    </rPh>
    <rPh sb="3" eb="5">
      <t>フッキュウ</t>
    </rPh>
    <phoneticPr fontId="2"/>
  </si>
  <si>
    <t>t≦15㎝</t>
    <phoneticPr fontId="2"/>
  </si>
  <si>
    <t>15㎝&lt;t≦30㎝</t>
    <phoneticPr fontId="2"/>
  </si>
  <si>
    <t>箇所</t>
    <rPh sb="0" eb="2">
      <t>カショ</t>
    </rPh>
    <phoneticPr fontId="2"/>
  </si>
  <si>
    <t>積込み</t>
    <rPh sb="0" eb="1">
      <t>セキ</t>
    </rPh>
    <rPh sb="1" eb="2">
      <t>コ</t>
    </rPh>
    <phoneticPr fontId="2"/>
  </si>
  <si>
    <t>土砂運搬
　（現場～仮置場）</t>
    <phoneticPr fontId="2"/>
  </si>
  <si>
    <t>鋳鉄管切断
（撤去管）
FC</t>
    <rPh sb="0" eb="3">
      <t>チュウテツカン</t>
    </rPh>
    <rPh sb="3" eb="5">
      <t>セツダン</t>
    </rPh>
    <rPh sb="7" eb="9">
      <t>テッキョ</t>
    </rPh>
    <rPh sb="9" eb="10">
      <t>カン</t>
    </rPh>
    <phoneticPr fontId="2"/>
  </si>
  <si>
    <t>鋳鉄管切断
（撤去管）
FCD</t>
    <rPh sb="0" eb="3">
      <t>チュウテツカン</t>
    </rPh>
    <rPh sb="3" eb="5">
      <t>セツダン</t>
    </rPh>
    <rPh sb="7" eb="9">
      <t>テッキョ</t>
    </rPh>
    <rPh sb="9" eb="10">
      <t>カン</t>
    </rPh>
    <phoneticPr fontId="2"/>
  </si>
  <si>
    <t>15㎝以下</t>
    <rPh sb="3" eb="5">
      <t>イカ</t>
    </rPh>
    <phoneticPr fontId="2"/>
  </si>
  <si>
    <t>15㎝超</t>
    <rPh sb="3" eb="4">
      <t>コ</t>
    </rPh>
    <phoneticPr fontId="2"/>
  </si>
  <si>
    <t>舗装版破砕</t>
    <rPh sb="0" eb="2">
      <t>ホソウ</t>
    </rPh>
    <rPh sb="2" eb="3">
      <t>バン</t>
    </rPh>
    <rPh sb="3" eb="5">
      <t>ハサイ</t>
    </rPh>
    <phoneticPr fontId="2"/>
  </si>
  <si>
    <t>数量総括表（舗装工事-2）</t>
    <rPh sb="0" eb="2">
      <t>スウリョウ</t>
    </rPh>
    <rPh sb="2" eb="4">
      <t>ソウカツ</t>
    </rPh>
    <rPh sb="4" eb="5">
      <t>ヒョウ</t>
    </rPh>
    <rPh sb="6" eb="8">
      <t>ホソウ</t>
    </rPh>
    <rPh sb="8" eb="10">
      <t>コウジ</t>
    </rPh>
    <phoneticPr fontId="2"/>
  </si>
  <si>
    <t>Co</t>
    <phoneticPr fontId="2"/>
  </si>
  <si>
    <t>As</t>
    <phoneticPr fontId="2"/>
  </si>
  <si>
    <t>Ａｓ</t>
    <phoneticPr fontId="2"/>
  </si>
  <si>
    <t>Ｃｏ</t>
    <phoneticPr fontId="2"/>
  </si>
  <si>
    <t>4cm以下</t>
  </si>
  <si>
    <t>10㎝以下</t>
    <rPh sb="3" eb="5">
      <t>イカ</t>
    </rPh>
    <phoneticPr fontId="2"/>
  </si>
  <si>
    <t>10cm以下</t>
    <phoneticPr fontId="2"/>
  </si>
  <si>
    <t>15cm以下</t>
    <phoneticPr fontId="2"/>
  </si>
  <si>
    <t>4cm以下</t>
    <phoneticPr fontId="2"/>
  </si>
  <si>
    <t>As
・
Co</t>
    <phoneticPr fontId="2"/>
  </si>
  <si>
    <t>15㎝超</t>
    <phoneticPr fontId="2"/>
  </si>
  <si>
    <t>構造物取り壊し</t>
    <phoneticPr fontId="2"/>
  </si>
  <si>
    <t>積込</t>
    <rPh sb="0" eb="2">
      <t>ツミコミ</t>
    </rPh>
    <phoneticPr fontId="2"/>
  </si>
  <si>
    <t>泥水処分</t>
    <rPh sb="0" eb="2">
      <t>デイスイ</t>
    </rPh>
    <rPh sb="2" eb="4">
      <t>ショブン</t>
    </rPh>
    <phoneticPr fontId="2"/>
  </si>
  <si>
    <t>泥水</t>
    <rPh sb="0" eb="2">
      <t>デイスイ</t>
    </rPh>
    <phoneticPr fontId="2"/>
  </si>
  <si>
    <t>㎞</t>
    <phoneticPr fontId="2"/>
  </si>
  <si>
    <t>泥水運搬処理</t>
    <rPh sb="0" eb="2">
      <t>ドロミズ</t>
    </rPh>
    <rPh sb="2" eb="3">
      <t>ウン</t>
    </rPh>
    <rPh sb="3" eb="4">
      <t>ハン</t>
    </rPh>
    <rPh sb="4" eb="6">
      <t>ショリ</t>
    </rPh>
    <phoneticPr fontId="2"/>
  </si>
  <si>
    <t>　土砂運搬
（現場～
　　仮置場）</t>
    <rPh sb="1" eb="3">
      <t>ドシャ</t>
    </rPh>
    <phoneticPr fontId="2"/>
  </si>
  <si>
    <t>管　路　掘　削</t>
    <rPh sb="0" eb="1">
      <t>カン</t>
    </rPh>
    <rPh sb="2" eb="3">
      <t>ミチ</t>
    </rPh>
    <rPh sb="4" eb="5">
      <t>クツ</t>
    </rPh>
    <rPh sb="6" eb="7">
      <t>サク</t>
    </rPh>
    <phoneticPr fontId="2"/>
  </si>
  <si>
    <t>仮置土積込</t>
    <rPh sb="0" eb="1">
      <t>カリ</t>
    </rPh>
    <rPh sb="1" eb="2">
      <t>オ</t>
    </rPh>
    <rPh sb="2" eb="3">
      <t>ド</t>
    </rPh>
    <rPh sb="3" eb="4">
      <t>ツ</t>
    </rPh>
    <rPh sb="4" eb="5">
      <t>コ</t>
    </rPh>
    <phoneticPr fontId="2"/>
  </si>
  <si>
    <t>発　生　土　処　理</t>
    <rPh sb="0" eb="1">
      <t>ハッ</t>
    </rPh>
    <rPh sb="2" eb="3">
      <t>セイ</t>
    </rPh>
    <rPh sb="4" eb="5">
      <t>ド</t>
    </rPh>
    <rPh sb="6" eb="7">
      <t>ショ</t>
    </rPh>
    <rPh sb="8" eb="9">
      <t>リ</t>
    </rPh>
    <phoneticPr fontId="2"/>
  </si>
  <si>
    <t>管　路　埋　戻</t>
    <rPh sb="0" eb="1">
      <t>カン</t>
    </rPh>
    <rPh sb="2" eb="3">
      <t>ミチ</t>
    </rPh>
    <rPh sb="4" eb="5">
      <t>マイ</t>
    </rPh>
    <rPh sb="6" eb="7">
      <t>モド</t>
    </rPh>
    <phoneticPr fontId="2"/>
  </si>
  <si>
    <t>　土砂運搬
（現場～
　　処分地）</t>
    <rPh sb="1" eb="3">
      <t>ドシャ</t>
    </rPh>
    <rPh sb="13" eb="15">
      <t>ショブン</t>
    </rPh>
    <rPh sb="15" eb="16">
      <t>チ</t>
    </rPh>
    <phoneticPr fontId="2"/>
  </si>
  <si>
    <t>　土砂運搬
（仮置場～
　　処分地）</t>
    <rPh sb="1" eb="3">
      <t>ドシャ</t>
    </rPh>
    <rPh sb="7" eb="8">
      <t>カリ</t>
    </rPh>
    <rPh sb="8" eb="10">
      <t>オキバ</t>
    </rPh>
    <rPh sb="14" eb="16">
      <t>ショブン</t>
    </rPh>
    <rPh sb="16" eb="17">
      <t>チ</t>
    </rPh>
    <phoneticPr fontId="2"/>
  </si>
  <si>
    <t>舗 装 仮 復 旧</t>
    <rPh sb="0" eb="1">
      <t>ホ</t>
    </rPh>
    <rPh sb="2" eb="3">
      <t>ソウ</t>
    </rPh>
    <rPh sb="4" eb="5">
      <t>カリ</t>
    </rPh>
    <rPh sb="6" eb="7">
      <t>フク</t>
    </rPh>
    <rPh sb="8" eb="9">
      <t>キュウ</t>
    </rPh>
    <phoneticPr fontId="2"/>
  </si>
  <si>
    <t>転用</t>
    <rPh sb="0" eb="2">
      <t>テンヨウ</t>
    </rPh>
    <phoneticPr fontId="2"/>
  </si>
  <si>
    <t>残置管
 空隙充填</t>
    <phoneticPr fontId="2"/>
  </si>
  <si>
    <t>殻運搬
（仮置場～
　　処分地）</t>
    <rPh sb="0" eb="1">
      <t>ガラ</t>
    </rPh>
    <rPh sb="1" eb="3">
      <t>ウンパン</t>
    </rPh>
    <rPh sb="5" eb="6">
      <t>カリ</t>
    </rPh>
    <rPh sb="6" eb="8">
      <t>オキバ</t>
    </rPh>
    <rPh sb="12" eb="14">
      <t>ショブン</t>
    </rPh>
    <rPh sb="14" eb="15">
      <t>チ</t>
    </rPh>
    <phoneticPr fontId="2"/>
  </si>
  <si>
    <t>As</t>
    <phoneticPr fontId="2"/>
  </si>
  <si>
    <t>Co</t>
    <phoneticPr fontId="2"/>
  </si>
  <si>
    <t>舗装版切断
(舗装工事)</t>
    <rPh sb="0" eb="1">
      <t>ホ</t>
    </rPh>
    <rPh sb="1" eb="2">
      <t>ソウ</t>
    </rPh>
    <rPh sb="2" eb="3">
      <t>バン</t>
    </rPh>
    <rPh sb="3" eb="4">
      <t>キリ</t>
    </rPh>
    <rPh sb="4" eb="5">
      <t>ダン</t>
    </rPh>
    <rPh sb="7" eb="9">
      <t>ホソウ</t>
    </rPh>
    <rPh sb="9" eb="11">
      <t>コウジ</t>
    </rPh>
    <phoneticPr fontId="2"/>
  </si>
  <si>
    <t>4㎝以下</t>
    <rPh sb="2" eb="4">
      <t>イカ</t>
    </rPh>
    <phoneticPr fontId="2"/>
  </si>
  <si>
    <t>As（仮置土）</t>
    <rPh sb="3" eb="5">
      <t>カリオ</t>
    </rPh>
    <rPh sb="5" eb="6">
      <t>ド</t>
    </rPh>
    <phoneticPr fontId="2"/>
  </si>
  <si>
    <t>Co（仮置土）</t>
    <rPh sb="3" eb="5">
      <t>カリオ</t>
    </rPh>
    <rPh sb="5" eb="6">
      <t>ド</t>
    </rPh>
    <phoneticPr fontId="2"/>
  </si>
  <si>
    <t>鉄筋Co（仮置土）</t>
    <rPh sb="0" eb="2">
      <t>テッキン</t>
    </rPh>
    <rPh sb="5" eb="7">
      <t>カリオ</t>
    </rPh>
    <rPh sb="7" eb="8">
      <t>ド</t>
    </rPh>
    <phoneticPr fontId="2"/>
  </si>
  <si>
    <t>　土砂運搬
（仮置場～
　　　現場）</t>
    <phoneticPr fontId="2"/>
  </si>
  <si>
    <t>As</t>
  </si>
  <si>
    <t>舗　装　版　破　砕　（　管　工　事　）</t>
    <rPh sb="0" eb="1">
      <t>ホ</t>
    </rPh>
    <rPh sb="2" eb="3">
      <t>ソウ</t>
    </rPh>
    <rPh sb="4" eb="5">
      <t>バン</t>
    </rPh>
    <rPh sb="6" eb="7">
      <t>ハ</t>
    </rPh>
    <rPh sb="8" eb="9">
      <t>サイ</t>
    </rPh>
    <rPh sb="12" eb="13">
      <t>カン</t>
    </rPh>
    <rPh sb="14" eb="15">
      <t>コウ</t>
    </rPh>
    <rPh sb="16" eb="17">
      <t>コト</t>
    </rPh>
    <phoneticPr fontId="2"/>
  </si>
  <si>
    <t>舗　装　版　破　砕　（　舗　装　工　事　）</t>
    <rPh sb="0" eb="1">
      <t>ホ</t>
    </rPh>
    <rPh sb="2" eb="3">
      <t>ソウ</t>
    </rPh>
    <rPh sb="4" eb="5">
      <t>バン</t>
    </rPh>
    <rPh sb="6" eb="7">
      <t>ハ</t>
    </rPh>
    <rPh sb="8" eb="9">
      <t>サイ</t>
    </rPh>
    <rPh sb="12" eb="13">
      <t>ホ</t>
    </rPh>
    <rPh sb="14" eb="15">
      <t>ソウ</t>
    </rPh>
    <rPh sb="16" eb="17">
      <t>コウ</t>
    </rPh>
    <rPh sb="18" eb="19">
      <t>コト</t>
    </rPh>
    <phoneticPr fontId="2"/>
  </si>
  <si>
    <t>殻運搬
（仮置場～処分地）</t>
    <rPh sb="5" eb="7">
      <t>カリオ</t>
    </rPh>
    <rPh sb="9" eb="11">
      <t>ショブン</t>
    </rPh>
    <rPh sb="11" eb="12">
      <t>チ</t>
    </rPh>
    <phoneticPr fontId="2"/>
  </si>
  <si>
    <t>積込</t>
    <rPh sb="0" eb="1">
      <t>ツ</t>
    </rPh>
    <rPh sb="1" eb="2">
      <t>コ</t>
    </rPh>
    <phoneticPr fontId="2"/>
  </si>
  <si>
    <t>切削廃材処理</t>
    <rPh sb="0" eb="2">
      <t>セッサク</t>
    </rPh>
    <rPh sb="2" eb="4">
      <t>ハイザイ</t>
    </rPh>
    <rPh sb="4" eb="6">
      <t>ショリ</t>
    </rPh>
    <phoneticPr fontId="2"/>
  </si>
  <si>
    <t>土砂運搬
　（現場～処分地）</t>
    <rPh sb="0" eb="2">
      <t>ドシャ</t>
    </rPh>
    <rPh sb="2" eb="4">
      <t>ウンパン</t>
    </rPh>
    <rPh sb="10" eb="12">
      <t>ショブン</t>
    </rPh>
    <rPh sb="12" eb="13">
      <t>チ</t>
    </rPh>
    <phoneticPr fontId="2"/>
  </si>
  <si>
    <t>土砂運搬
　（仮置場～処分地）</t>
    <rPh sb="0" eb="2">
      <t>ドシャ</t>
    </rPh>
    <rPh sb="2" eb="4">
      <t>ウンパン</t>
    </rPh>
    <rPh sb="7" eb="8">
      <t>カリ</t>
    </rPh>
    <rPh sb="8" eb="10">
      <t>オキバ</t>
    </rPh>
    <rPh sb="11" eb="13">
      <t>ショブン</t>
    </rPh>
    <rPh sb="13" eb="14">
      <t>チ</t>
    </rPh>
    <phoneticPr fontId="2"/>
  </si>
  <si>
    <t>タンパ</t>
    <phoneticPr fontId="2"/>
  </si>
  <si>
    <t>（緊急栓）</t>
    <rPh sb="1" eb="3">
      <t>キンキュウ</t>
    </rPh>
    <rPh sb="3" eb="4">
      <t>セン</t>
    </rPh>
    <phoneticPr fontId="2"/>
  </si>
  <si>
    <t>Ⅰ型</t>
    <phoneticPr fontId="2"/>
  </si>
  <si>
    <t>Ⅰ型</t>
    <phoneticPr fontId="2"/>
  </si>
  <si>
    <t>舗装切断工
（管工事）</t>
    <rPh sb="0" eb="2">
      <t>ホソウ</t>
    </rPh>
    <rPh sb="2" eb="4">
      <t>セツダン</t>
    </rPh>
    <rPh sb="4" eb="5">
      <t>コウ</t>
    </rPh>
    <rPh sb="7" eb="10">
      <t>カンコウジ</t>
    </rPh>
    <phoneticPr fontId="2"/>
  </si>
  <si>
    <t>t≦15㎝</t>
  </si>
  <si>
    <t>15㎝&lt;t≦30㎝</t>
  </si>
  <si>
    <t>As舗装</t>
    <rPh sb="2" eb="4">
      <t>ホソウ</t>
    </rPh>
    <phoneticPr fontId="2"/>
  </si>
  <si>
    <t>Co舗装</t>
    <rPh sb="2" eb="4">
      <t>ホソウ</t>
    </rPh>
    <phoneticPr fontId="2"/>
  </si>
  <si>
    <t>As（車道）</t>
    <rPh sb="3" eb="5">
      <t>シャドウ</t>
    </rPh>
    <phoneticPr fontId="2"/>
  </si>
  <si>
    <t>As（歩道）</t>
    <rPh sb="3" eb="5">
      <t>ホドウ</t>
    </rPh>
    <phoneticPr fontId="2"/>
  </si>
  <si>
    <t>Co（舗装）</t>
    <rPh sb="3" eb="5">
      <t>ホソウ</t>
    </rPh>
    <phoneticPr fontId="2"/>
  </si>
  <si>
    <t>Co（構造物）</t>
    <rPh sb="3" eb="6">
      <t>コウゾウブツ</t>
    </rPh>
    <phoneticPr fontId="2"/>
  </si>
  <si>
    <t>φ150</t>
  </si>
  <si>
    <t>φ200</t>
  </si>
  <si>
    <t>φ300</t>
  </si>
  <si>
    <t>φ75</t>
  </si>
  <si>
    <t>3</t>
    <phoneticPr fontId="2"/>
  </si>
  <si>
    <t>経年配水管更新事業</t>
    <rPh sb="0" eb="2">
      <t>ケイネン</t>
    </rPh>
    <rPh sb="2" eb="5">
      <t>ハイスイカン</t>
    </rPh>
    <rPh sb="5" eb="7">
      <t>コウシン</t>
    </rPh>
    <rPh sb="7" eb="9">
      <t>ジギョウ</t>
    </rPh>
    <phoneticPr fontId="2"/>
  </si>
  <si>
    <t>専</t>
    <rPh sb="0" eb="1">
      <t>セン</t>
    </rPh>
    <phoneticPr fontId="2"/>
  </si>
  <si>
    <t>ポリエチレン管据付</t>
    <rPh sb="6" eb="7">
      <t>カン</t>
    </rPh>
    <rPh sb="7" eb="9">
      <t>スエツケ</t>
    </rPh>
    <phoneticPr fontId="2"/>
  </si>
  <si>
    <t>ポリエチレン管
EF継手(1口)</t>
    <rPh sb="6" eb="7">
      <t>カン</t>
    </rPh>
    <rPh sb="10" eb="11">
      <t>ツ</t>
    </rPh>
    <rPh sb="11" eb="12">
      <t>テ</t>
    </rPh>
    <rPh sb="14" eb="15">
      <t>クチ</t>
    </rPh>
    <phoneticPr fontId="2"/>
  </si>
  <si>
    <t>ポリエチレン管
EF継手(2口)</t>
    <rPh sb="6" eb="7">
      <t>カン</t>
    </rPh>
    <rPh sb="10" eb="11">
      <t>ツ</t>
    </rPh>
    <rPh sb="11" eb="12">
      <t>テ</t>
    </rPh>
    <rPh sb="14" eb="15">
      <t>クチ</t>
    </rPh>
    <phoneticPr fontId="2"/>
  </si>
  <si>
    <t>撤去延長/6</t>
    <rPh sb="0" eb="2">
      <t>テッキョ</t>
    </rPh>
    <rPh sb="2" eb="4">
      <t>エンチョウ</t>
    </rPh>
    <phoneticPr fontId="2"/>
  </si>
  <si>
    <t>街渠工（NG-L-LB）（再生砕石10cm）</t>
  </si>
  <si>
    <t>塩化ビニル管据付</t>
    <rPh sb="0" eb="2">
      <t>エンカ</t>
    </rPh>
    <rPh sb="5" eb="6">
      <t>カン</t>
    </rPh>
    <rPh sb="6" eb="7">
      <t>ス</t>
    </rPh>
    <rPh sb="7" eb="8">
      <t>ツ</t>
    </rPh>
    <phoneticPr fontId="2"/>
  </si>
  <si>
    <t>φ75</t>
    <phoneticPr fontId="2"/>
  </si>
  <si>
    <t>塩化ビニル管継手</t>
    <rPh sb="5" eb="6">
      <t>カン</t>
    </rPh>
    <rPh sb="6" eb="8">
      <t>ツギテ</t>
    </rPh>
    <phoneticPr fontId="2"/>
  </si>
  <si>
    <t>ポリエチレン管切断</t>
    <rPh sb="6" eb="7">
      <t>カン</t>
    </rPh>
    <rPh sb="7" eb="9">
      <t>セツダン</t>
    </rPh>
    <phoneticPr fontId="2"/>
  </si>
  <si>
    <t>砕石・フィルタ-</t>
    <rPh sb="0" eb="2">
      <t>サイセキ</t>
    </rPh>
    <phoneticPr fontId="2"/>
  </si>
  <si>
    <t>発生土・フィルタｰ</t>
    <rPh sb="0" eb="2">
      <t>ハッセイ</t>
    </rPh>
    <rPh sb="2" eb="3">
      <t>ド</t>
    </rPh>
    <phoneticPr fontId="2"/>
  </si>
  <si>
    <t>φ100</t>
    <phoneticPr fontId="2"/>
  </si>
  <si>
    <t>実線</t>
    <rPh sb="0" eb="2">
      <t>ジッセン</t>
    </rPh>
    <phoneticPr fontId="2"/>
  </si>
  <si>
    <t>白色</t>
    <rPh sb="0" eb="1">
      <t>シロ</t>
    </rPh>
    <rPh sb="1" eb="2">
      <t>イロ</t>
    </rPh>
    <phoneticPr fontId="2"/>
  </si>
  <si>
    <t>15㎝</t>
    <phoneticPr fontId="2"/>
  </si>
  <si>
    <t>20㎝</t>
    <phoneticPr fontId="2"/>
  </si>
  <si>
    <t>30㎝</t>
    <phoneticPr fontId="2"/>
  </si>
  <si>
    <t>45㎝</t>
    <phoneticPr fontId="2"/>
  </si>
  <si>
    <t>15㎝</t>
  </si>
  <si>
    <t>ゼブラ</t>
    <phoneticPr fontId="2"/>
  </si>
  <si>
    <t>15㎝換算</t>
    <phoneticPr fontId="2"/>
  </si>
  <si>
    <t>黄色</t>
    <rPh sb="0" eb="2">
      <t>キイロ</t>
    </rPh>
    <phoneticPr fontId="2"/>
  </si>
  <si>
    <t>黄色(鉛・ｸﾛﾑﾌﾘｰ)</t>
    <rPh sb="0" eb="2">
      <t>キイロ</t>
    </rPh>
    <rPh sb="3" eb="4">
      <t>ナマリ</t>
    </rPh>
    <phoneticPr fontId="2"/>
  </si>
  <si>
    <t>各種</t>
    <rPh sb="0" eb="2">
      <t>カクシュ</t>
    </rPh>
    <phoneticPr fontId="2"/>
  </si>
  <si>
    <t>色</t>
    <rPh sb="0" eb="1">
      <t>イロ</t>
    </rPh>
    <phoneticPr fontId="2"/>
  </si>
  <si>
    <t>線種</t>
    <rPh sb="0" eb="1">
      <t>セン</t>
    </rPh>
    <phoneticPr fontId="2"/>
  </si>
  <si>
    <t>矢印・記
号・文字</t>
    <rPh sb="0" eb="2">
      <t>ヤジルシ</t>
    </rPh>
    <rPh sb="3" eb="4">
      <t>シル</t>
    </rPh>
    <rPh sb="5" eb="6">
      <t>ゴウ</t>
    </rPh>
    <rPh sb="7" eb="9">
      <t>モジ</t>
    </rPh>
    <phoneticPr fontId="2"/>
  </si>
  <si>
    <t>自転車
記号</t>
    <rPh sb="0" eb="3">
      <t>ジテンシャ</t>
    </rPh>
    <rPh sb="4" eb="6">
      <t>キゴウ</t>
    </rPh>
    <phoneticPr fontId="2"/>
  </si>
  <si>
    <t>排水性舗装への施工の有無</t>
    <rPh sb="0" eb="3">
      <t>ハイスイセイ</t>
    </rPh>
    <rPh sb="3" eb="5">
      <t>ホソウ</t>
    </rPh>
    <rPh sb="7" eb="9">
      <t>セコウ</t>
    </rPh>
    <rPh sb="10" eb="12">
      <t>ウム</t>
    </rPh>
    <phoneticPr fontId="2"/>
  </si>
  <si>
    <t>無</t>
    <rPh sb="0" eb="1">
      <t>ナ</t>
    </rPh>
    <phoneticPr fontId="2"/>
  </si>
  <si>
    <t>有</t>
    <rPh sb="0" eb="1">
      <t>ア</t>
    </rPh>
    <phoneticPr fontId="2"/>
  </si>
  <si>
    <t>岩</t>
    <rPh sb="0" eb="1">
      <t>ガン</t>
    </rPh>
    <phoneticPr fontId="2"/>
  </si>
  <si>
    <t>GX継手
（直部）</t>
    <rPh sb="2" eb="4">
      <t>ツギテ</t>
    </rPh>
    <rPh sb="6" eb="7">
      <t>チョク</t>
    </rPh>
    <rPh sb="7" eb="8">
      <t>ブ</t>
    </rPh>
    <phoneticPr fontId="2"/>
  </si>
  <si>
    <t>GX継手
（異形部）</t>
    <rPh sb="2" eb="4">
      <t>ツギテ</t>
    </rPh>
    <rPh sb="6" eb="8">
      <t>イケイ</t>
    </rPh>
    <rPh sb="8" eb="9">
      <t>ブ</t>
    </rPh>
    <phoneticPr fontId="2"/>
  </si>
  <si>
    <t>GX継手
取外し
（直部）</t>
    <rPh sb="2" eb="4">
      <t>ツギテ</t>
    </rPh>
    <rPh sb="5" eb="7">
      <t>トリハズ</t>
    </rPh>
    <rPh sb="10" eb="11">
      <t>チョク</t>
    </rPh>
    <rPh sb="11" eb="12">
      <t>ブ</t>
    </rPh>
    <phoneticPr fontId="2"/>
  </si>
  <si>
    <t>GX継手
取外し
（異形部）</t>
    <rPh sb="2" eb="4">
      <t>ツギテ</t>
    </rPh>
    <rPh sb="5" eb="7">
      <t>トリハズ</t>
    </rPh>
    <rPh sb="10" eb="12">
      <t>イケイ</t>
    </rPh>
    <rPh sb="12" eb="13">
      <t>ブ</t>
    </rPh>
    <phoneticPr fontId="2"/>
  </si>
  <si>
    <t>GX継手
取外し
（継輪部）</t>
    <rPh sb="2" eb="4">
      <t>ツギテ</t>
    </rPh>
    <rPh sb="5" eb="7">
      <t>トリハズ</t>
    </rPh>
    <rPh sb="10" eb="11">
      <t>ツ</t>
    </rPh>
    <rPh sb="11" eb="12">
      <t>ワ</t>
    </rPh>
    <rPh sb="12" eb="13">
      <t>ブ</t>
    </rPh>
    <phoneticPr fontId="2"/>
  </si>
  <si>
    <t>GX継手
取外し
（帽）</t>
    <rPh sb="2" eb="4">
      <t>ツギテ</t>
    </rPh>
    <rPh sb="5" eb="7">
      <t>トリハズ</t>
    </rPh>
    <rPh sb="10" eb="11">
      <t>ボウ</t>
    </rPh>
    <phoneticPr fontId="2"/>
  </si>
  <si>
    <t>挿口加工費
（GX形）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phoneticPr fontId="2"/>
  </si>
  <si>
    <t>挿口加工費
（GX形）
溝切加工のみ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2" eb="13">
      <t>ミゾ</t>
    </rPh>
    <rPh sb="13" eb="14">
      <t>キリ</t>
    </rPh>
    <rPh sb="14" eb="16">
      <t>カコウ</t>
    </rPh>
    <phoneticPr fontId="2"/>
  </si>
  <si>
    <t>挿口加工費
（GX形）
リング取付のみ</t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5" eb="17">
      <t>トリツケ</t>
    </rPh>
    <phoneticPr fontId="2"/>
  </si>
  <si>
    <t>夜間</t>
    <rPh sb="0" eb="2">
      <t>ヤカン</t>
    </rPh>
    <phoneticPr fontId="2"/>
  </si>
  <si>
    <r>
      <t xml:space="preserve">試　掘
</t>
    </r>
    <r>
      <rPr>
        <sz val="6"/>
        <rFont val="ＭＳ Ｐゴシック"/>
        <family val="3"/>
        <charset val="128"/>
      </rPr>
      <t>（75-300）
取替・撤去</t>
    </r>
    <rPh sb="13" eb="15">
      <t>トリカ</t>
    </rPh>
    <rPh sb="16" eb="18">
      <t>テッキョ</t>
    </rPh>
    <phoneticPr fontId="2"/>
  </si>
  <si>
    <r>
      <t xml:space="preserve">試　掘
</t>
    </r>
    <r>
      <rPr>
        <sz val="6"/>
        <rFont val="ＭＳ Ｐゴシック"/>
        <family val="3"/>
        <charset val="128"/>
      </rPr>
      <t>（400-500）</t>
    </r>
    <phoneticPr fontId="2"/>
  </si>
  <si>
    <r>
      <t xml:space="preserve">試　掘
</t>
    </r>
    <r>
      <rPr>
        <sz val="6"/>
        <rFont val="ＭＳ Ｐゴシック"/>
        <family val="3"/>
        <charset val="128"/>
      </rPr>
      <t>（600以上）</t>
    </r>
    <rPh sb="8" eb="10">
      <t>イジョウ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</si>
  <si>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（400-500）</t>
    </r>
    <r>
      <rPr>
        <sz val="11"/>
        <rFont val="ＭＳ Ｐゴシック"/>
        <family val="3"/>
        <charset val="128"/>
      </rPr>
      <t/>
    </r>
    <rPh sb="0" eb="1">
      <t>カン</t>
    </rPh>
    <rPh sb="1" eb="3">
      <t>コウジ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</si>
  <si>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（600以上）</t>
    </r>
    <r>
      <rPr>
        <sz val="11"/>
        <rFont val="ＭＳ Ｐゴシック"/>
        <family val="3"/>
        <charset val="128"/>
      </rPr>
      <t/>
    </r>
    <rPh sb="0" eb="1">
      <t>カン</t>
    </rPh>
    <rPh sb="1" eb="3">
      <t>コウジ</t>
    </rPh>
    <rPh sb="8" eb="10">
      <t>イジョウ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</si>
  <si>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（75-300）
取替・撤去</t>
    </r>
    <rPh sb="0" eb="1">
      <t>カン</t>
    </rPh>
    <rPh sb="1" eb="3">
      <t>コウジ</t>
    </rPh>
    <phoneticPr fontId="2"/>
  </si>
  <si>
    <t>ゾ</t>
    <phoneticPr fontId="2"/>
  </si>
  <si>
    <t>ー</t>
    <phoneticPr fontId="2"/>
  </si>
  <si>
    <t>ン</t>
    <phoneticPr fontId="2"/>
  </si>
  <si>
    <t>0</t>
    <phoneticPr fontId="2"/>
  </si>
  <si>
    <t>ゾーン30</t>
    <phoneticPr fontId="2"/>
  </si>
  <si>
    <t>×</t>
  </si>
  <si>
    <t>不断水式
管路遮断弁設置</t>
    <rPh sb="0" eb="3">
      <t>フダンスイ</t>
    </rPh>
    <rPh sb="3" eb="4">
      <t>シキ</t>
    </rPh>
    <rPh sb="5" eb="7">
      <t>カンロ</t>
    </rPh>
    <rPh sb="7" eb="9">
      <t>シャダン</t>
    </rPh>
    <rPh sb="9" eb="10">
      <t>ベン</t>
    </rPh>
    <rPh sb="10" eb="12">
      <t>セッチ</t>
    </rPh>
    <phoneticPr fontId="2"/>
  </si>
  <si>
    <t>割丁字管設置
(管工事用)</t>
    <rPh sb="0" eb="1">
      <t>ワリ</t>
    </rPh>
    <rPh sb="1" eb="3">
      <t>テイジ</t>
    </rPh>
    <rPh sb="3" eb="4">
      <t>カン</t>
    </rPh>
    <rPh sb="4" eb="6">
      <t>セッチ</t>
    </rPh>
    <rPh sb="8" eb="11">
      <t>カンコウジ</t>
    </rPh>
    <rPh sb="11" eb="12">
      <t>ヨウ</t>
    </rPh>
    <phoneticPr fontId="2"/>
  </si>
  <si>
    <t>1.4≦W&lt;2.4</t>
  </si>
  <si>
    <t>3.0&lt;W</t>
  </si>
  <si>
    <t>廃路盤材</t>
    <rPh sb="0" eb="1">
      <t>ハイ</t>
    </rPh>
    <rPh sb="1" eb="4">
      <t>ロバンザイ</t>
    </rPh>
    <phoneticPr fontId="2"/>
  </si>
  <si>
    <t>廃路盤材</t>
    <rPh sb="0" eb="4">
      <t>ハイロバンザイ</t>
    </rPh>
    <phoneticPr fontId="2"/>
  </si>
  <si>
    <t>廃路盤材</t>
    <phoneticPr fontId="2"/>
  </si>
  <si>
    <t>砂質土</t>
    <rPh sb="0" eb="3">
      <t>サシツド</t>
    </rPh>
    <phoneticPr fontId="2"/>
  </si>
  <si>
    <t xml:space="preserve">
(廃路盤材)
発生土処理</t>
    <phoneticPr fontId="2"/>
  </si>
  <si>
    <t>(土砂)
発生土処理</t>
    <rPh sb="1" eb="3">
      <t>ドシャ</t>
    </rPh>
    <phoneticPr fontId="2"/>
  </si>
  <si>
    <t>土砂</t>
    <phoneticPr fontId="2"/>
  </si>
  <si>
    <t>(廃路盤材)
路盤掘削</t>
    <rPh sb="7" eb="9">
      <t>ロバン</t>
    </rPh>
    <rPh sb="9" eb="11">
      <t>クッサク</t>
    </rPh>
    <phoneticPr fontId="2"/>
  </si>
  <si>
    <t>(土砂)
路盤掘削</t>
    <rPh sb="5" eb="7">
      <t>ロバン</t>
    </rPh>
    <rPh sb="7" eb="9">
      <t>クッサク</t>
    </rPh>
    <phoneticPr fontId="2"/>
  </si>
  <si>
    <t>GX継手
（特殊押輪部）</t>
    <rPh sb="2" eb="4">
      <t>ツギテ</t>
    </rPh>
    <rPh sb="6" eb="8">
      <t>トクシュ</t>
    </rPh>
    <rPh sb="8" eb="10">
      <t>オシワ</t>
    </rPh>
    <rPh sb="10" eb="11">
      <t>ブ</t>
    </rPh>
    <phoneticPr fontId="2"/>
  </si>
  <si>
    <t>バタフライ弁室築造工</t>
    <rPh sb="5" eb="6">
      <t>ベン</t>
    </rPh>
    <rPh sb="6" eb="7">
      <t>シツ</t>
    </rPh>
    <rPh sb="7" eb="9">
      <t>チクゾウ</t>
    </rPh>
    <rPh sb="9" eb="10">
      <t>コウ</t>
    </rPh>
    <phoneticPr fontId="2"/>
  </si>
  <si>
    <t>丸型
消火栓室
築造工</t>
    <rPh sb="0" eb="2">
      <t>マルガタ</t>
    </rPh>
    <rPh sb="3" eb="6">
      <t>ショウカセン</t>
    </rPh>
    <rPh sb="6" eb="7">
      <t>シツ</t>
    </rPh>
    <rPh sb="8" eb="10">
      <t>チクゾウ</t>
    </rPh>
    <rPh sb="10" eb="11">
      <t>コウ</t>
    </rPh>
    <phoneticPr fontId="2"/>
  </si>
  <si>
    <t>丸型
空気弁室
築造工</t>
    <rPh sb="0" eb="2">
      <t>マルガタ</t>
    </rPh>
    <phoneticPr fontId="2"/>
  </si>
  <si>
    <t>殻運搬
（現場～
　　仮置場）</t>
    <phoneticPr fontId="2"/>
  </si>
  <si>
    <t>舗装版破砕</t>
    <phoneticPr fontId="2"/>
  </si>
  <si>
    <t>殻 運 搬</t>
    <phoneticPr fontId="2"/>
  </si>
  <si>
    <t>As
・
車道</t>
    <phoneticPr fontId="2"/>
  </si>
  <si>
    <t>As
・
歩道</t>
    <phoneticPr fontId="2"/>
  </si>
  <si>
    <t>Co
・
舗装</t>
    <phoneticPr fontId="2"/>
  </si>
  <si>
    <t>Co構造物取壊し</t>
    <phoneticPr fontId="2"/>
  </si>
  <si>
    <t>殻　　運　　搬</t>
    <phoneticPr fontId="2"/>
  </si>
  <si>
    <t>殻運搬
（現場～仮置場）</t>
    <phoneticPr fontId="2"/>
  </si>
  <si>
    <t xml:space="preserve"> 舗装版
   破砕</t>
    <phoneticPr fontId="2"/>
  </si>
  <si>
    <t>舗装版破砕工</t>
    <phoneticPr fontId="2"/>
  </si>
  <si>
    <t>Co取壊</t>
    <phoneticPr fontId="2"/>
  </si>
  <si>
    <t>殻運搬
（現場～処分地）</t>
    <phoneticPr fontId="2"/>
  </si>
  <si>
    <t>舗装版破砕工
（As・車道）</t>
    <phoneticPr fontId="2"/>
  </si>
  <si>
    <t>舗装版破砕工
（As・歩道）</t>
    <phoneticPr fontId="2"/>
  </si>
  <si>
    <t>舗装版破砕工
（Co）</t>
    <phoneticPr fontId="2"/>
  </si>
  <si>
    <t>無筋</t>
    <rPh sb="0" eb="2">
      <t>ムキン</t>
    </rPh>
    <phoneticPr fontId="2"/>
  </si>
  <si>
    <t>鉄筋</t>
    <rPh sb="0" eb="2">
      <t>テッキン</t>
    </rPh>
    <phoneticPr fontId="2"/>
  </si>
  <si>
    <t>km</t>
    <phoneticPr fontId="2"/>
  </si>
  <si>
    <t>鉄筋</t>
    <rPh sb="0" eb="2">
      <t>テッキン</t>
    </rPh>
    <phoneticPr fontId="2"/>
  </si>
  <si>
    <t>無筋</t>
    <rPh sb="0" eb="2">
      <t>ムキン</t>
    </rPh>
    <phoneticPr fontId="2"/>
  </si>
  <si>
    <t>Co
・
取壊</t>
    <phoneticPr fontId="2"/>
  </si>
  <si>
    <t>Co
取壊</t>
    <phoneticPr fontId="2"/>
  </si>
  <si>
    <t>As
・
車道</t>
    <rPh sb="5" eb="7">
      <t>シャドウ</t>
    </rPh>
    <phoneticPr fontId="2"/>
  </si>
  <si>
    <t>舗装版破砕
As（車道）</t>
    <rPh sb="0" eb="2">
      <t>ホソウ</t>
    </rPh>
    <rPh sb="2" eb="3">
      <t>バン</t>
    </rPh>
    <rPh sb="3" eb="5">
      <t>ハサイ</t>
    </rPh>
    <rPh sb="9" eb="11">
      <t>シャドウ</t>
    </rPh>
    <phoneticPr fontId="2"/>
  </si>
  <si>
    <t>As
・
歩道</t>
    <rPh sb="5" eb="7">
      <t>ホドウ</t>
    </rPh>
    <phoneticPr fontId="2"/>
  </si>
  <si>
    <t>舗装版破砕
As（歩道）</t>
    <rPh sb="0" eb="2">
      <t>ホソウ</t>
    </rPh>
    <rPh sb="2" eb="3">
      <t>バン</t>
    </rPh>
    <rPh sb="3" eb="5">
      <t>ハサイ</t>
    </rPh>
    <rPh sb="9" eb="11">
      <t>ホドウ</t>
    </rPh>
    <phoneticPr fontId="2"/>
  </si>
  <si>
    <t>Co
・
舗装</t>
    <rPh sb="5" eb="7">
      <t>ホソウ</t>
    </rPh>
    <phoneticPr fontId="2"/>
  </si>
  <si>
    <t>舗装版破砕
Co</t>
    <rPh sb="0" eb="2">
      <t>ホソウ</t>
    </rPh>
    <rPh sb="2" eb="3">
      <t>バン</t>
    </rPh>
    <rPh sb="3" eb="5">
      <t>ハサイ</t>
    </rPh>
    <phoneticPr fontId="2"/>
  </si>
  <si>
    <t>殻運搬
（現場～
　　処分地）</t>
    <rPh sb="0" eb="1">
      <t>ガラ</t>
    </rPh>
    <rPh sb="1" eb="3">
      <t>ウンパン</t>
    </rPh>
    <rPh sb="11" eb="13">
      <t>ショブン</t>
    </rPh>
    <rPh sb="13" eb="14">
      <t>チ</t>
    </rPh>
    <phoneticPr fontId="2"/>
  </si>
  <si>
    <r>
      <rPr>
        <sz val="9"/>
        <color rgb="FFFF0000"/>
        <rFont val="ＭＳ Ｐゴシック"/>
        <family val="3"/>
        <charset val="128"/>
      </rPr>
      <t>管工事</t>
    </r>
    <r>
      <rPr>
        <sz val="10"/>
        <color rgb="FFFF0000"/>
        <rFont val="ＭＳ Ｐゴシック"/>
        <family val="3"/>
        <charset val="128"/>
      </rPr>
      <t xml:space="preserve">
</t>
    </r>
    <r>
      <rPr>
        <sz val="6"/>
        <color rgb="FFFF0000"/>
        <rFont val="ＭＳ Ｐゴシック"/>
        <family val="3"/>
        <charset val="128"/>
      </rPr>
      <t>（200-300）
新設</t>
    </r>
    <rPh sb="0" eb="1">
      <t>カン</t>
    </rPh>
    <rPh sb="1" eb="3">
      <t>コウジ</t>
    </rPh>
    <rPh sb="14" eb="16">
      <t>シンセツ</t>
    </rPh>
    <phoneticPr fontId="2"/>
  </si>
  <si>
    <r>
      <t xml:space="preserve">試　掘
</t>
    </r>
    <r>
      <rPr>
        <sz val="6"/>
        <rFont val="ＭＳ Ｐゴシック"/>
        <family val="3"/>
        <charset val="128"/>
      </rPr>
      <t>（200-300）
新設</t>
    </r>
    <rPh sb="14" eb="16">
      <t>シンセツ</t>
    </rPh>
    <phoneticPr fontId="2"/>
  </si>
  <si>
    <r>
      <rPr>
        <sz val="9"/>
        <rFont val="ＭＳ Ｐゴシック"/>
        <family val="3"/>
        <charset val="128"/>
      </rPr>
      <t>試　掘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（PE50-300)</t>
    </r>
    <r>
      <rPr>
        <sz val="5"/>
        <rFont val="ＭＳ Ｐゴシック"/>
        <family val="3"/>
        <charset val="128"/>
      </rPr>
      <t>新設</t>
    </r>
    <r>
      <rPr>
        <sz val="6"/>
        <rFont val="ＭＳ Ｐゴシック"/>
        <family val="3"/>
        <charset val="128"/>
      </rPr>
      <t xml:space="preserve">
（PE50-PE75）取替</t>
    </r>
    <rPh sb="14" eb="16">
      <t>シンセツ</t>
    </rPh>
    <rPh sb="28" eb="30">
      <t>トリカエ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</si>
  <si>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（PE50-300)</t>
    </r>
    <r>
      <rPr>
        <sz val="5"/>
        <rFont val="ＭＳ Ｐゴシック"/>
        <family val="3"/>
        <charset val="128"/>
      </rPr>
      <t>新設</t>
    </r>
    <r>
      <rPr>
        <sz val="6"/>
        <rFont val="ＭＳ Ｐゴシック"/>
        <family val="3"/>
        <charset val="128"/>
      </rPr>
      <t xml:space="preserve">
（PE50-PE75）取替</t>
    </r>
    <rPh sb="0" eb="3">
      <t>カンコウジ</t>
    </rPh>
    <rPh sb="14" eb="16">
      <t>シンセツ</t>
    </rPh>
    <rPh sb="28" eb="30">
      <t>トリカエ</t>
    </rPh>
    <phoneticPr fontId="2"/>
  </si>
  <si>
    <t>G-Link</t>
    <phoneticPr fontId="2"/>
  </si>
  <si>
    <r>
      <rPr>
        <sz val="9"/>
        <rFont val="ＭＳ Ｐゴシック"/>
        <family val="3"/>
        <charset val="128"/>
      </rPr>
      <t>試　掘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（PE50-300)</t>
    </r>
    <r>
      <rPr>
        <sz val="5"/>
        <rFont val="ＭＳ Ｐゴシック"/>
        <family val="3"/>
        <charset val="128"/>
      </rPr>
      <t xml:space="preserve">新設
</t>
    </r>
    <r>
      <rPr>
        <sz val="6"/>
        <rFont val="ＭＳ Ｐゴシック"/>
        <family val="3"/>
        <charset val="128"/>
      </rPr>
      <t>（PE50-PE75）
取替</t>
    </r>
    <rPh sb="14" eb="16">
      <t>シンセツ</t>
    </rPh>
    <rPh sb="29" eb="31">
      <t>トリカエ</t>
    </rPh>
    <phoneticPr fontId="2"/>
  </si>
  <si>
    <t>注；各収支は各計算及び入力間違いがなければ、各列0～0.02以下程度。</t>
    <rPh sb="0" eb="1">
      <t>チュウ</t>
    </rPh>
    <rPh sb="2" eb="3">
      <t>カク</t>
    </rPh>
    <rPh sb="3" eb="5">
      <t>シュウシ</t>
    </rPh>
    <rPh sb="6" eb="7">
      <t>カク</t>
    </rPh>
    <rPh sb="7" eb="9">
      <t>ケイサン</t>
    </rPh>
    <rPh sb="9" eb="10">
      <t>オヨ</t>
    </rPh>
    <rPh sb="11" eb="13">
      <t>ニュウリョク</t>
    </rPh>
    <rPh sb="13" eb="15">
      <t>マチガ</t>
    </rPh>
    <rPh sb="22" eb="23">
      <t>カク</t>
    </rPh>
    <rPh sb="23" eb="24">
      <t>レツ</t>
    </rPh>
    <rPh sb="30" eb="32">
      <t>イカ</t>
    </rPh>
    <rPh sb="32" eb="34">
      <t>テイド</t>
    </rPh>
    <phoneticPr fontId="2"/>
  </si>
  <si>
    <r>
      <t>挿口加工費
（</t>
    </r>
    <r>
      <rPr>
        <sz val="10"/>
        <color rgb="FFFF0000"/>
        <rFont val="ＭＳ Ｐゴシック"/>
        <family val="3"/>
        <charset val="128"/>
      </rPr>
      <t>NS</t>
    </r>
    <r>
      <rPr>
        <sz val="10"/>
        <rFont val="ＭＳ Ｐゴシック"/>
        <family val="3"/>
        <charset val="128"/>
      </rPr>
      <t>形）</t>
    </r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phoneticPr fontId="2"/>
  </si>
  <si>
    <r>
      <t>挿口加工費
（</t>
    </r>
    <r>
      <rPr>
        <sz val="10"/>
        <color rgb="FFFF0000"/>
        <rFont val="ＭＳ Ｐゴシック"/>
        <family val="3"/>
        <charset val="128"/>
      </rPr>
      <t>NS</t>
    </r>
    <r>
      <rPr>
        <sz val="10"/>
        <rFont val="ＭＳ Ｐゴシック"/>
        <family val="3"/>
        <charset val="128"/>
      </rPr>
      <t>形）
溝切加工のみ</t>
    </r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2" eb="13">
      <t>ミゾ</t>
    </rPh>
    <rPh sb="13" eb="14">
      <t>キリ</t>
    </rPh>
    <rPh sb="14" eb="16">
      <t>カコウ</t>
    </rPh>
    <phoneticPr fontId="2"/>
  </si>
  <si>
    <r>
      <t>挿口加工費
（</t>
    </r>
    <r>
      <rPr>
        <sz val="10"/>
        <color rgb="FFFF0000"/>
        <rFont val="ＭＳ Ｐゴシック"/>
        <family val="3"/>
        <charset val="128"/>
      </rPr>
      <t>NS</t>
    </r>
    <r>
      <rPr>
        <sz val="10"/>
        <rFont val="ＭＳ Ｐゴシック"/>
        <family val="3"/>
        <charset val="128"/>
      </rPr>
      <t>形）
リング取付のみ</t>
    </r>
    <rPh sb="0" eb="1">
      <t>サ</t>
    </rPh>
    <rPh sb="1" eb="2">
      <t>クチ</t>
    </rPh>
    <rPh sb="2" eb="4">
      <t>カコウ</t>
    </rPh>
    <rPh sb="4" eb="5">
      <t>ヒ</t>
    </rPh>
    <rPh sb="9" eb="10">
      <t>カタチ</t>
    </rPh>
    <rPh sb="15" eb="17">
      <t>トリツケ</t>
    </rPh>
    <phoneticPr fontId="2"/>
  </si>
  <si>
    <t>長田(花山町2丁目他)配水管取替工事</t>
    <rPh sb="0" eb="2">
      <t>ナガタ</t>
    </rPh>
    <rPh sb="3" eb="6">
      <t>ハナヤマチョウ</t>
    </rPh>
    <rPh sb="7" eb="9">
      <t>チョウメ</t>
    </rPh>
    <rPh sb="9" eb="10">
      <t>ホカ</t>
    </rPh>
    <phoneticPr fontId="2"/>
  </si>
  <si>
    <t>神戸市長田区花山町2丁目他</t>
    <rPh sb="0" eb="3">
      <t>コウベシ</t>
    </rPh>
    <rPh sb="3" eb="6">
      <t>ナガタク</t>
    </rPh>
    <rPh sb="6" eb="9">
      <t>ハナヤマチョウ</t>
    </rPh>
    <rPh sb="10" eb="12">
      <t>チョウメ</t>
    </rPh>
    <rPh sb="12" eb="13">
      <t>ホカ</t>
    </rPh>
    <phoneticPr fontId="2"/>
  </si>
  <si>
    <t>2号工</t>
    <rPh sb="1" eb="3">
      <t>ゴウコウ</t>
    </rPh>
    <phoneticPr fontId="2"/>
  </si>
  <si>
    <t>10→10-1</t>
    <phoneticPr fontId="2"/>
  </si>
  <si>
    <t>10乗→10-1乗</t>
    <rPh sb="2" eb="3">
      <t>ノリ</t>
    </rPh>
    <rPh sb="8" eb="9">
      <t>ノリ</t>
    </rPh>
    <phoneticPr fontId="2"/>
  </si>
  <si>
    <t>10乗→10-1乗</t>
    <phoneticPr fontId="2"/>
  </si>
  <si>
    <t>新設部</t>
  </si>
  <si>
    <t>8</t>
    <phoneticPr fontId="2"/>
  </si>
  <si>
    <t>街渠工（NG-L-B）（再生砕石10cm）</t>
    <phoneticPr fontId="2"/>
  </si>
  <si>
    <t>文</t>
    <rPh sb="0" eb="1">
      <t>ブン</t>
    </rPh>
    <phoneticPr fontId="2"/>
  </si>
  <si>
    <t>既設管連絡部</t>
    <rPh sb="0" eb="3">
      <t>キセツカン</t>
    </rPh>
    <rPh sb="3" eb="6">
      <t>レンラクブ</t>
    </rPh>
    <phoneticPr fontId="2"/>
  </si>
  <si>
    <t>補修弁 有</t>
  </si>
  <si>
    <t>補修弁 無</t>
    <rPh sb="4" eb="5">
      <t>ナ</t>
    </rPh>
    <phoneticPr fontId="2"/>
  </si>
  <si>
    <t>F短管　有</t>
    <rPh sb="1" eb="3">
      <t>タンカン</t>
    </rPh>
    <rPh sb="4" eb="5">
      <t>アリ</t>
    </rPh>
    <phoneticPr fontId="2"/>
  </si>
  <si>
    <t>既設管連絡部・割丁字管部</t>
    <rPh sb="0" eb="3">
      <t>キセツカン</t>
    </rPh>
    <rPh sb="3" eb="6">
      <t>レンラクブ</t>
    </rPh>
    <rPh sb="7" eb="8">
      <t>ワリ</t>
    </rPh>
    <rPh sb="8" eb="10">
      <t>チョウジ</t>
    </rPh>
    <rPh sb="10" eb="11">
      <t>カン</t>
    </rPh>
    <rPh sb="11" eb="12">
      <t>ブ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</si>
  <si>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（75-300)</t>
    </r>
    <r>
      <rPr>
        <sz val="5"/>
        <rFont val="ＭＳ Ｐゴシック"/>
        <family val="3"/>
        <charset val="128"/>
      </rPr>
      <t>新設</t>
    </r>
    <rPh sb="0" eb="3">
      <t>カンコウジ</t>
    </rPh>
    <rPh sb="12" eb="14">
      <t>シンセツ</t>
    </rPh>
    <phoneticPr fontId="2"/>
  </si>
  <si>
    <t>給水</t>
    <rPh sb="0" eb="2">
      <t>キュウスイ</t>
    </rPh>
    <phoneticPr fontId="2"/>
  </si>
  <si>
    <t>F短管 無</t>
  </si>
  <si>
    <t>2.4≦W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</si>
</sst>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176" formatCode="0.00_);[Red]\(0.00\)"/>
    <numFmt numFmtId="177" formatCode="0.00_ "/>
    <numFmt numFmtId="178" formatCode="0_);[Red]\(0\)"/>
    <numFmt numFmtId="179" formatCode="0.0&quot;m&quot;"/>
    <numFmt numFmtId="180" formatCode="#,##0.0_ "/>
    <numFmt numFmtId="181" formatCode="#,##0.0_);[Red]\(#,##0.0\)"/>
    <numFmt numFmtId="182" formatCode="#,##0_);[Red]\(#,##0\)"/>
    <numFmt numFmtId="183" formatCode="#,##0.00_ "/>
    <numFmt numFmtId="184" formatCode="#,##0_ "/>
    <numFmt numFmtId="185" formatCode="#,##0.00_);[Red]\(#,##0.00\)"/>
    <numFmt numFmtId="186" formatCode="#,##0&quot;㎝&quot;"/>
    <numFmt numFmtId="187" formatCode="#,##0.00&quot;kg/　㎡&quot;"/>
    <numFmt numFmtId="188" formatCode="0&quot;回&quot;"/>
    <numFmt numFmtId="189" formatCode="&quot;φ&quot;0"/>
    <numFmt numFmtId="190" formatCode="0&quot;㎝&quot;"/>
    <numFmt numFmtId="191" formatCode="0.0&quot;㎞&quot;"/>
    <numFmt numFmtId="192" formatCode="0&quot;ｔ&quot;"/>
    <numFmt numFmtId="193" formatCode="@&quot; 号工&quot;"/>
    <numFmt numFmtId="194" formatCode="0&quot;t車：&quot;"/>
    <numFmt numFmtId="195" formatCode="0.0_ "/>
    <numFmt numFmtId="196" formatCode="0.000"/>
    <numFmt numFmtId="197" formatCode="&quot;T&quot;0000"/>
    <numFmt numFmtId="198" formatCode="&quot;令和　&quot;#,##0&quot;　年度&quot;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20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5"/>
      <name val="ＭＳ Ｐゴシック"/>
      <family val="3"/>
      <charset val="128"/>
    </font>
    <font>
      <b/>
      <sz val="9"/>
      <color indexed="10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1343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183" fontId="5" fillId="0" borderId="0" xfId="0" applyNumberFormat="1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82" fontId="5" fillId="0" borderId="0" xfId="0" applyNumberFormat="1" applyFont="1" applyAlignment="1">
      <alignment vertical="center"/>
    </xf>
    <xf numFmtId="185" fontId="5" fillId="0" borderId="0" xfId="0" applyNumberFormat="1" applyFont="1" applyAlignment="1">
      <alignment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183" fontId="5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183" fontId="9" fillId="0" borderId="0" xfId="0" applyNumberFormat="1" applyFont="1" applyAlignment="1">
      <alignment horizontal="center" vertical="center" shrinkToFit="1"/>
    </xf>
    <xf numFmtId="0" fontId="11" fillId="0" borderId="0" xfId="0" applyFont="1" applyFill="1" applyBorder="1" applyAlignment="1">
      <alignment horizontal="left" vertical="center" shrinkToFi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85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3" fontId="5" fillId="0" borderId="4" xfId="0" applyNumberFormat="1" applyFont="1" applyFill="1" applyBorder="1" applyAlignment="1">
      <alignment vertical="center" shrinkToFit="1"/>
    </xf>
    <xf numFmtId="183" fontId="5" fillId="2" borderId="5" xfId="0" applyNumberFormat="1" applyFont="1" applyFill="1" applyBorder="1" applyAlignment="1">
      <alignment vertical="center" shrinkToFit="1"/>
    </xf>
    <xf numFmtId="183" fontId="10" fillId="0" borderId="6" xfId="0" applyNumberFormat="1" applyFont="1" applyFill="1" applyBorder="1" applyAlignment="1">
      <alignment vertical="center" shrinkToFit="1"/>
    </xf>
    <xf numFmtId="183" fontId="11" fillId="0" borderId="7" xfId="0" applyNumberFormat="1" applyFont="1" applyFill="1" applyBorder="1" applyAlignment="1">
      <alignment vertical="center" shrinkToFit="1"/>
    </xf>
    <xf numFmtId="183" fontId="9" fillId="0" borderId="6" xfId="0" applyNumberFormat="1" applyFont="1" applyFill="1" applyBorder="1" applyAlignment="1">
      <alignment vertical="center" shrinkToFit="1"/>
    </xf>
    <xf numFmtId="183" fontId="5" fillId="2" borderId="8" xfId="0" applyNumberFormat="1" applyFont="1" applyFill="1" applyBorder="1" applyAlignment="1">
      <alignment vertical="center" shrinkToFit="1"/>
    </xf>
    <xf numFmtId="183" fontId="5" fillId="0" borderId="9" xfId="0" applyNumberFormat="1" applyFont="1" applyFill="1" applyBorder="1" applyAlignment="1">
      <alignment vertical="center" shrinkToFit="1"/>
    </xf>
    <xf numFmtId="183" fontId="5" fillId="0" borderId="9" xfId="0" applyNumberFormat="1" applyFont="1" applyBorder="1" applyAlignment="1">
      <alignment vertical="center" shrinkToFit="1"/>
    </xf>
    <xf numFmtId="183" fontId="5" fillId="0" borderId="4" xfId="0" applyNumberFormat="1" applyFont="1" applyBorder="1" applyAlignment="1">
      <alignment vertical="center" shrinkToFit="1"/>
    </xf>
    <xf numFmtId="183" fontId="5" fillId="0" borderId="5" xfId="0" applyNumberFormat="1" applyFont="1" applyBorder="1" applyAlignment="1">
      <alignment vertical="center" shrinkToFit="1"/>
    </xf>
    <xf numFmtId="183" fontId="5" fillId="0" borderId="6" xfId="0" applyNumberFormat="1" applyFont="1" applyBorder="1" applyAlignment="1">
      <alignment vertical="center" shrinkToFit="1"/>
    </xf>
    <xf numFmtId="180" fontId="12" fillId="3" borderId="10" xfId="0" applyNumberFormat="1" applyFont="1" applyFill="1" applyBorder="1" applyAlignment="1">
      <alignment vertical="center"/>
    </xf>
    <xf numFmtId="180" fontId="12" fillId="3" borderId="1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83" fontId="5" fillId="2" borderId="12" xfId="0" applyNumberFormat="1" applyFont="1" applyFill="1" applyBorder="1" applyAlignment="1">
      <alignment vertical="center" shrinkToFit="1"/>
    </xf>
    <xf numFmtId="185" fontId="5" fillId="0" borderId="12" xfId="0" applyNumberFormat="1" applyFont="1" applyBorder="1" applyAlignment="1">
      <alignment vertical="center" shrinkToFit="1"/>
    </xf>
    <xf numFmtId="176" fontId="5" fillId="0" borderId="5" xfId="0" applyNumberFormat="1" applyFont="1" applyBorder="1" applyAlignment="1">
      <alignment vertical="center" shrinkToFit="1"/>
    </xf>
    <xf numFmtId="183" fontId="5" fillId="2" borderId="13" xfId="0" applyNumberFormat="1" applyFont="1" applyFill="1" applyBorder="1" applyAlignment="1">
      <alignment vertical="center" shrinkToFit="1"/>
    </xf>
    <xf numFmtId="183" fontId="5" fillId="2" borderId="14" xfId="0" applyNumberFormat="1" applyFont="1" applyFill="1" applyBorder="1" applyAlignment="1">
      <alignment vertical="center" shrinkToFit="1"/>
    </xf>
    <xf numFmtId="183" fontId="5" fillId="2" borderId="6" xfId="0" applyNumberFormat="1" applyFont="1" applyFill="1" applyBorder="1" applyAlignment="1">
      <alignment vertical="center" shrinkToFit="1"/>
    </xf>
    <xf numFmtId="176" fontId="5" fillId="0" borderId="6" xfId="0" applyNumberFormat="1" applyFont="1" applyBorder="1" applyAlignment="1">
      <alignment vertical="center" shrinkToFit="1"/>
    </xf>
    <xf numFmtId="0" fontId="5" fillId="0" borderId="15" xfId="1" applyFont="1" applyBorder="1" applyAlignment="1">
      <alignment vertical="center" shrinkToFit="1"/>
    </xf>
    <xf numFmtId="0" fontId="5" fillId="0" borderId="16" xfId="1" applyFont="1" applyBorder="1" applyAlignment="1">
      <alignment vertical="center" shrinkToFit="1"/>
    </xf>
    <xf numFmtId="0" fontId="5" fillId="0" borderId="17" xfId="1" applyFont="1" applyBorder="1" applyAlignment="1">
      <alignment vertical="center" shrinkToFit="1"/>
    </xf>
    <xf numFmtId="0" fontId="5" fillId="0" borderId="19" xfId="1" applyFont="1" applyBorder="1" applyAlignment="1">
      <alignment vertical="center" shrinkToFit="1"/>
    </xf>
    <xf numFmtId="183" fontId="5" fillId="0" borderId="14" xfId="0" applyNumberFormat="1" applyFont="1" applyFill="1" applyBorder="1" applyAlignment="1">
      <alignment vertical="center" shrinkToFit="1"/>
    </xf>
    <xf numFmtId="183" fontId="5" fillId="0" borderId="5" xfId="0" applyNumberFormat="1" applyFont="1" applyFill="1" applyBorder="1" applyAlignment="1">
      <alignment vertical="center" shrinkToFit="1"/>
    </xf>
    <xf numFmtId="183" fontId="5" fillId="0" borderId="13" xfId="0" applyNumberFormat="1" applyFont="1" applyFill="1" applyBorder="1" applyAlignment="1">
      <alignment vertical="center" shrinkToFit="1"/>
    </xf>
    <xf numFmtId="183" fontId="5" fillId="0" borderId="12" xfId="0" applyNumberFormat="1" applyFont="1" applyFill="1" applyBorder="1" applyAlignment="1">
      <alignment vertical="center" shrinkToFit="1"/>
    </xf>
    <xf numFmtId="183" fontId="5" fillId="0" borderId="6" xfId="0" applyNumberFormat="1" applyFont="1" applyFill="1" applyBorder="1" applyAlignment="1">
      <alignment vertical="center" shrinkToFit="1"/>
    </xf>
    <xf numFmtId="183" fontId="5" fillId="2" borderId="12" xfId="1" applyNumberFormat="1" applyFont="1" applyFill="1" applyBorder="1" applyAlignment="1">
      <alignment vertical="center" shrinkToFit="1"/>
    </xf>
    <xf numFmtId="183" fontId="5" fillId="2" borderId="5" xfId="1" applyNumberFormat="1" applyFont="1" applyFill="1" applyBorder="1" applyAlignment="1">
      <alignment vertical="center" shrinkToFit="1"/>
    </xf>
    <xf numFmtId="183" fontId="5" fillId="0" borderId="5" xfId="1" applyNumberFormat="1" applyFont="1" applyFill="1" applyBorder="1" applyAlignment="1">
      <alignment vertical="center" shrinkToFit="1"/>
    </xf>
    <xf numFmtId="183" fontId="5" fillId="0" borderId="5" xfId="1" applyNumberFormat="1" applyFont="1" applyBorder="1" applyAlignment="1">
      <alignment vertical="center" shrinkToFit="1"/>
    </xf>
    <xf numFmtId="183" fontId="5" fillId="2" borderId="8" xfId="1" applyNumberFormat="1" applyFont="1" applyFill="1" applyBorder="1" applyAlignment="1">
      <alignment vertical="center" shrinkToFit="1"/>
    </xf>
    <xf numFmtId="183" fontId="5" fillId="2" borderId="6" xfId="1" applyNumberFormat="1" applyFont="1" applyFill="1" applyBorder="1" applyAlignment="1">
      <alignment vertical="center" shrinkToFit="1"/>
    </xf>
    <xf numFmtId="183" fontId="5" fillId="2" borderId="20" xfId="1" applyNumberFormat="1" applyFont="1" applyFill="1" applyBorder="1" applyAlignment="1">
      <alignment vertical="center" shrinkToFit="1"/>
    </xf>
    <xf numFmtId="183" fontId="5" fillId="0" borderId="6" xfId="1" applyNumberFormat="1" applyFont="1" applyBorder="1" applyAlignment="1">
      <alignment vertical="center" shrinkToFit="1"/>
    </xf>
    <xf numFmtId="183" fontId="5" fillId="0" borderId="14" xfId="1" applyNumberFormat="1" applyFont="1" applyFill="1" applyBorder="1" applyAlignment="1">
      <alignment vertical="center" shrinkToFit="1"/>
    </xf>
    <xf numFmtId="183" fontId="5" fillId="2" borderId="14" xfId="1" applyNumberFormat="1" applyFont="1" applyFill="1" applyBorder="1" applyAlignment="1">
      <alignment vertical="center" shrinkToFit="1"/>
    </xf>
    <xf numFmtId="183" fontId="5" fillId="0" borderId="14" xfId="1" applyNumberFormat="1" applyFont="1" applyBorder="1" applyAlignment="1">
      <alignment vertical="center" shrinkToFit="1"/>
    </xf>
    <xf numFmtId="183" fontId="5" fillId="0" borderId="12" xfId="0" applyNumberFormat="1" applyFont="1" applyBorder="1" applyAlignment="1">
      <alignment vertical="center" shrinkToFit="1"/>
    </xf>
    <xf numFmtId="183" fontId="5" fillId="0" borderId="13" xfId="0" applyNumberFormat="1" applyFont="1" applyBorder="1" applyAlignment="1">
      <alignment vertical="center" shrinkToFit="1"/>
    </xf>
    <xf numFmtId="183" fontId="5" fillId="0" borderId="15" xfId="0" applyNumberFormat="1" applyFont="1" applyFill="1" applyBorder="1" applyAlignment="1">
      <alignment vertical="center" shrinkToFit="1"/>
    </xf>
    <xf numFmtId="183" fontId="5" fillId="0" borderId="8" xfId="0" applyNumberFormat="1" applyFont="1" applyFill="1" applyBorder="1" applyAlignment="1">
      <alignment vertical="center" shrinkToFit="1"/>
    </xf>
    <xf numFmtId="183" fontId="5" fillId="0" borderId="18" xfId="0" applyNumberFormat="1" applyFont="1" applyFill="1" applyBorder="1" applyAlignment="1">
      <alignment vertical="center" shrinkToFit="1"/>
    </xf>
    <xf numFmtId="183" fontId="5" fillId="2" borderId="18" xfId="0" applyNumberFormat="1" applyFont="1" applyFill="1" applyBorder="1" applyAlignment="1">
      <alignment vertical="center" shrinkToFit="1"/>
    </xf>
    <xf numFmtId="177" fontId="5" fillId="0" borderId="16" xfId="1" applyNumberFormat="1" applyFont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shrinkToFit="1"/>
    </xf>
    <xf numFmtId="183" fontId="5" fillId="2" borderId="15" xfId="0" applyNumberFormat="1" applyFont="1" applyFill="1" applyBorder="1" applyAlignment="1">
      <alignment vertical="center" shrinkToFit="1"/>
    </xf>
    <xf numFmtId="183" fontId="5" fillId="4" borderId="12" xfId="0" applyNumberFormat="1" applyFont="1" applyFill="1" applyBorder="1" applyAlignment="1">
      <alignment vertical="center" shrinkToFit="1"/>
    </xf>
    <xf numFmtId="183" fontId="5" fillId="4" borderId="5" xfId="0" applyNumberFormat="1" applyFont="1" applyFill="1" applyBorder="1" applyAlignment="1">
      <alignment vertical="center" shrinkToFit="1"/>
    </xf>
    <xf numFmtId="183" fontId="5" fillId="4" borderId="8" xfId="0" applyNumberFormat="1" applyFont="1" applyFill="1" applyBorder="1" applyAlignment="1">
      <alignment vertical="center" shrinkToFit="1"/>
    </xf>
    <xf numFmtId="0" fontId="5" fillId="0" borderId="19" xfId="0" applyFont="1" applyBorder="1" applyAlignment="1">
      <alignment vertical="center" shrinkToFit="1"/>
    </xf>
    <xf numFmtId="0" fontId="5" fillId="0" borderId="23" xfId="0" applyFont="1" applyBorder="1" applyAlignment="1">
      <alignment vertical="center" shrinkToFit="1"/>
    </xf>
    <xf numFmtId="0" fontId="5" fillId="0" borderId="15" xfId="0" applyFont="1" applyBorder="1" applyAlignment="1">
      <alignment vertical="center" shrinkToFit="1"/>
    </xf>
    <xf numFmtId="0" fontId="5" fillId="0" borderId="16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17" xfId="0" applyFont="1" applyBorder="1" applyAlignment="1">
      <alignment vertical="center" shrinkToFit="1"/>
    </xf>
    <xf numFmtId="0" fontId="5" fillId="0" borderId="18" xfId="0" applyFont="1" applyBorder="1" applyAlignment="1">
      <alignment vertical="center" shrinkToFit="1"/>
    </xf>
    <xf numFmtId="189" fontId="5" fillId="0" borderId="16" xfId="0" applyNumberFormat="1" applyFont="1" applyBorder="1" applyAlignment="1">
      <alignment vertical="center" shrinkToFit="1"/>
    </xf>
    <xf numFmtId="189" fontId="5" fillId="0" borderId="17" xfId="0" applyNumberFormat="1" applyFont="1" applyBorder="1" applyAlignment="1">
      <alignment vertical="center" shrinkToFit="1"/>
    </xf>
    <xf numFmtId="189" fontId="5" fillId="0" borderId="19" xfId="0" applyNumberFormat="1" applyFont="1" applyBorder="1" applyAlignment="1">
      <alignment vertical="center" shrinkToFit="1"/>
    </xf>
    <xf numFmtId="0" fontId="5" fillId="0" borderId="15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179" fontId="5" fillId="0" borderId="16" xfId="0" applyNumberFormat="1" applyFont="1" applyFill="1" applyBorder="1" applyAlignment="1">
      <alignment horizontal="center" vertical="center" shrinkToFit="1"/>
    </xf>
    <xf numFmtId="0" fontId="5" fillId="0" borderId="16" xfId="0" applyFont="1" applyBorder="1" applyAlignment="1">
      <alignment vertical="center"/>
    </xf>
    <xf numFmtId="179" fontId="5" fillId="0" borderId="17" xfId="0" applyNumberFormat="1" applyFont="1" applyFill="1" applyBorder="1" applyAlignment="1">
      <alignment horizontal="center" vertical="center" shrinkToFit="1"/>
    </xf>
    <xf numFmtId="0" fontId="5" fillId="0" borderId="17" xfId="0" applyFont="1" applyBorder="1" applyAlignment="1">
      <alignment vertical="center"/>
    </xf>
    <xf numFmtId="179" fontId="5" fillId="2" borderId="17" xfId="0" applyNumberFormat="1" applyFont="1" applyFill="1" applyBorder="1" applyAlignment="1">
      <alignment horizontal="center" vertical="center" shrinkToFit="1"/>
    </xf>
    <xf numFmtId="179" fontId="5" fillId="2" borderId="19" xfId="0" applyNumberFormat="1" applyFont="1" applyFill="1" applyBorder="1" applyAlignment="1">
      <alignment horizontal="center" vertical="center" shrinkToFit="1"/>
    </xf>
    <xf numFmtId="183" fontId="5" fillId="0" borderId="25" xfId="0" applyNumberFormat="1" applyFont="1" applyFill="1" applyBorder="1" applyAlignment="1">
      <alignment vertical="center" shrinkToFit="1"/>
    </xf>
    <xf numFmtId="183" fontId="5" fillId="0" borderId="26" xfId="0" applyNumberFormat="1" applyFont="1" applyFill="1" applyBorder="1" applyAlignment="1">
      <alignment vertical="center" shrinkToFit="1"/>
    </xf>
    <xf numFmtId="183" fontId="5" fillId="0" borderId="25" xfId="0" applyNumberFormat="1" applyFont="1" applyBorder="1" applyAlignment="1">
      <alignment vertical="center" shrinkToFit="1"/>
    </xf>
    <xf numFmtId="191" fontId="5" fillId="0" borderId="16" xfId="1" applyNumberFormat="1" applyFont="1" applyBorder="1" applyAlignment="1">
      <alignment vertical="center" shrinkToFit="1"/>
    </xf>
    <xf numFmtId="191" fontId="5" fillId="0" borderId="17" xfId="1" applyNumberFormat="1" applyFont="1" applyBorder="1" applyAlignment="1">
      <alignment vertical="center" shrinkToFit="1"/>
    </xf>
    <xf numFmtId="191" fontId="5" fillId="0" borderId="19" xfId="1" applyNumberFormat="1" applyFont="1" applyBorder="1" applyAlignment="1">
      <alignment vertical="center" shrinkToFit="1"/>
    </xf>
    <xf numFmtId="0" fontId="7" fillId="0" borderId="0" xfId="0" applyNumberFormat="1" applyFont="1" applyAlignment="1">
      <alignment vertical="center"/>
    </xf>
    <xf numFmtId="183" fontId="5" fillId="0" borderId="8" xfId="1" applyNumberFormat="1" applyFont="1" applyFill="1" applyBorder="1" applyAlignment="1">
      <alignment vertical="center" shrinkToFit="1"/>
    </xf>
    <xf numFmtId="183" fontId="5" fillId="0" borderId="0" xfId="0" applyNumberFormat="1" applyFont="1" applyFill="1" applyBorder="1" applyAlignment="1">
      <alignment horizontal="center" vertical="center" shrinkToFit="1"/>
    </xf>
    <xf numFmtId="183" fontId="5" fillId="0" borderId="0" xfId="0" applyNumberFormat="1" applyFont="1" applyFill="1" applyAlignment="1">
      <alignment horizontal="center" vertical="center"/>
    </xf>
    <xf numFmtId="183" fontId="5" fillId="0" borderId="0" xfId="0" applyNumberFormat="1" applyFont="1" applyFill="1" applyBorder="1" applyAlignment="1">
      <alignment vertical="center" shrinkToFit="1"/>
    </xf>
    <xf numFmtId="183" fontId="5" fillId="0" borderId="0" xfId="0" applyNumberFormat="1" applyFont="1" applyFill="1" applyAlignment="1">
      <alignment horizontal="center" vertical="center" shrinkToFit="1"/>
    </xf>
    <xf numFmtId="178" fontId="5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right" vertical="center" shrinkToFit="1"/>
    </xf>
    <xf numFmtId="0" fontId="5" fillId="0" borderId="27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181" fontId="5" fillId="0" borderId="0" xfId="0" applyNumberFormat="1" applyFont="1" applyFill="1" applyAlignment="1">
      <alignment vertical="center" shrinkToFit="1"/>
    </xf>
    <xf numFmtId="183" fontId="5" fillId="0" borderId="28" xfId="0" applyNumberFormat="1" applyFont="1" applyFill="1" applyBorder="1" applyAlignment="1">
      <alignment vertical="center" shrinkToFit="1"/>
    </xf>
    <xf numFmtId="183" fontId="5" fillId="0" borderId="29" xfId="0" applyNumberFormat="1" applyFont="1" applyFill="1" applyBorder="1" applyAlignment="1">
      <alignment vertical="center" shrinkToFit="1"/>
    </xf>
    <xf numFmtId="177" fontId="5" fillId="0" borderId="1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 wrapText="1"/>
    </xf>
    <xf numFmtId="183" fontId="5" fillId="0" borderId="13" xfId="1" applyNumberFormat="1" applyFont="1" applyFill="1" applyBorder="1" applyAlignment="1">
      <alignment vertical="center" shrinkToFit="1"/>
    </xf>
    <xf numFmtId="183" fontId="5" fillId="2" borderId="18" xfId="1" applyNumberFormat="1" applyFont="1" applyFill="1" applyBorder="1" applyAlignment="1">
      <alignment vertical="center" shrinkToFit="1"/>
    </xf>
    <xf numFmtId="0" fontId="4" fillId="0" borderId="0" xfId="0" applyFont="1" applyFill="1" applyAlignment="1">
      <alignment vertical="center"/>
    </xf>
    <xf numFmtId="0" fontId="5" fillId="0" borderId="30" xfId="0" applyFont="1" applyFill="1" applyBorder="1" applyAlignment="1">
      <alignment horizontal="center" vertical="center" shrinkToFit="1"/>
    </xf>
    <xf numFmtId="0" fontId="5" fillId="0" borderId="31" xfId="0" applyFont="1" applyFill="1" applyBorder="1" applyAlignment="1">
      <alignment horizontal="center" vertical="center" shrinkToFit="1"/>
    </xf>
    <xf numFmtId="0" fontId="5" fillId="0" borderId="32" xfId="0" applyFont="1" applyFill="1" applyBorder="1" applyAlignment="1">
      <alignment horizontal="center" vertical="center" shrinkToFit="1"/>
    </xf>
    <xf numFmtId="183" fontId="5" fillId="0" borderId="33" xfId="0" applyNumberFormat="1" applyFont="1" applyFill="1" applyBorder="1" applyAlignment="1">
      <alignment horizontal="center" vertical="center" shrinkToFit="1"/>
    </xf>
    <xf numFmtId="183" fontId="5" fillId="0" borderId="34" xfId="0" applyNumberFormat="1" applyFont="1" applyFill="1" applyBorder="1" applyAlignment="1">
      <alignment horizontal="center" vertical="center" shrinkToFit="1"/>
    </xf>
    <xf numFmtId="183" fontId="5" fillId="0" borderId="35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vertical="center" shrinkToFit="1"/>
    </xf>
    <xf numFmtId="0" fontId="5" fillId="0" borderId="5" xfId="0" applyFont="1" applyFill="1" applyBorder="1" applyAlignment="1">
      <alignment vertical="center" shrinkToFit="1"/>
    </xf>
    <xf numFmtId="0" fontId="5" fillId="0" borderId="36" xfId="0" applyFont="1" applyFill="1" applyBorder="1" applyAlignment="1">
      <alignment vertical="center" shrinkToFit="1"/>
    </xf>
    <xf numFmtId="0" fontId="5" fillId="0" borderId="13" xfId="0" applyFont="1" applyFill="1" applyBorder="1" applyAlignment="1">
      <alignment vertical="center" shrinkToFit="1"/>
    </xf>
    <xf numFmtId="0" fontId="5" fillId="0" borderId="37" xfId="0" applyFont="1" applyFill="1" applyBorder="1" applyAlignment="1">
      <alignment vertical="center" shrinkToFit="1"/>
    </xf>
    <xf numFmtId="180" fontId="5" fillId="0" borderId="33" xfId="0" applyNumberFormat="1" applyFont="1" applyFill="1" applyBorder="1" applyAlignment="1">
      <alignment horizontal="center" vertical="center" shrinkToFit="1"/>
    </xf>
    <xf numFmtId="180" fontId="5" fillId="0" borderId="34" xfId="0" applyNumberFormat="1" applyFont="1" applyFill="1" applyBorder="1" applyAlignment="1">
      <alignment horizontal="center" vertical="center" shrinkToFit="1"/>
    </xf>
    <xf numFmtId="0" fontId="5" fillId="2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83" fontId="5" fillId="0" borderId="5" xfId="0" applyNumberFormat="1" applyFont="1" applyBorder="1" applyAlignment="1">
      <alignment vertical="center"/>
    </xf>
    <xf numFmtId="182" fontId="5" fillId="0" borderId="36" xfId="0" applyNumberFormat="1" applyFont="1" applyBorder="1" applyAlignment="1">
      <alignment vertical="center"/>
    </xf>
    <xf numFmtId="49" fontId="5" fillId="2" borderId="16" xfId="0" applyNumberFormat="1" applyFont="1" applyFill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3" borderId="22" xfId="0" applyNumberFormat="1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49" fontId="5" fillId="2" borderId="22" xfId="0" applyNumberFormat="1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/>
    </xf>
    <xf numFmtId="183" fontId="5" fillId="0" borderId="12" xfId="0" applyNumberFormat="1" applyFont="1" applyBorder="1" applyAlignment="1">
      <alignment vertical="center"/>
    </xf>
    <xf numFmtId="182" fontId="5" fillId="0" borderId="28" xfId="0" applyNumberFormat="1" applyFont="1" applyBorder="1" applyAlignment="1">
      <alignment vertical="center"/>
    </xf>
    <xf numFmtId="186" fontId="5" fillId="0" borderId="0" xfId="0" applyNumberFormat="1" applyFont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86" fontId="5" fillId="2" borderId="0" xfId="0" applyNumberFormat="1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9" fontId="5" fillId="0" borderId="5" xfId="0" applyNumberFormat="1" applyFont="1" applyFill="1" applyBorder="1" applyAlignment="1">
      <alignment horizontal="left" vertical="center" shrinkToFit="1"/>
    </xf>
    <xf numFmtId="181" fontId="5" fillId="3" borderId="5" xfId="0" applyNumberFormat="1" applyFont="1" applyFill="1" applyBorder="1" applyAlignment="1">
      <alignment vertical="center" shrinkToFit="1"/>
    </xf>
    <xf numFmtId="183" fontId="5" fillId="0" borderId="36" xfId="0" applyNumberFormat="1" applyFont="1" applyFill="1" applyBorder="1" applyAlignment="1">
      <alignment vertical="center" shrinkToFit="1"/>
    </xf>
    <xf numFmtId="0" fontId="5" fillId="0" borderId="34" xfId="0" applyFont="1" applyFill="1" applyBorder="1" applyAlignment="1">
      <alignment vertical="center" shrinkToFit="1"/>
    </xf>
    <xf numFmtId="0" fontId="8" fillId="0" borderId="35" xfId="0" applyFont="1" applyFill="1" applyBorder="1" applyAlignment="1">
      <alignment vertical="center" shrinkToFit="1"/>
    </xf>
    <xf numFmtId="0" fontId="8" fillId="0" borderId="13" xfId="0" applyFont="1" applyFill="1" applyBorder="1" applyAlignment="1">
      <alignment vertical="center" shrinkToFit="1"/>
    </xf>
    <xf numFmtId="0" fontId="8" fillId="3" borderId="13" xfId="0" applyFont="1" applyFill="1" applyBorder="1" applyAlignment="1">
      <alignment vertical="center" shrinkToFit="1"/>
    </xf>
    <xf numFmtId="189" fontId="5" fillId="0" borderId="13" xfId="0" applyNumberFormat="1" applyFont="1" applyFill="1" applyBorder="1" applyAlignment="1">
      <alignment horizontal="left" vertical="center" shrinkToFit="1"/>
    </xf>
    <xf numFmtId="181" fontId="5" fillId="3" borderId="13" xfId="0" applyNumberFormat="1" applyFont="1" applyFill="1" applyBorder="1" applyAlignment="1">
      <alignment vertical="center" shrinkToFit="1"/>
    </xf>
    <xf numFmtId="183" fontId="5" fillId="0" borderId="37" xfId="0" applyNumberFormat="1" applyFont="1" applyFill="1" applyBorder="1" applyAlignment="1">
      <alignment vertical="center" shrinkToFit="1"/>
    </xf>
    <xf numFmtId="189" fontId="5" fillId="0" borderId="14" xfId="0" applyNumberFormat="1" applyFont="1" applyFill="1" applyBorder="1" applyAlignment="1">
      <alignment horizontal="left" vertical="center" shrinkToFit="1"/>
    </xf>
    <xf numFmtId="181" fontId="5" fillId="3" borderId="14" xfId="0" applyNumberFormat="1" applyFont="1" applyFill="1" applyBorder="1" applyAlignment="1">
      <alignment vertical="center" shrinkToFit="1"/>
    </xf>
    <xf numFmtId="0" fontId="5" fillId="0" borderId="14" xfId="0" applyFont="1" applyFill="1" applyBorder="1" applyAlignment="1">
      <alignment vertical="center" shrinkToFit="1"/>
    </xf>
    <xf numFmtId="0" fontId="5" fillId="0" borderId="38" xfId="0" applyFont="1" applyFill="1" applyBorder="1" applyAlignment="1">
      <alignment horizontal="center" vertical="center" shrinkToFit="1"/>
    </xf>
    <xf numFmtId="0" fontId="5" fillId="0" borderId="39" xfId="0" applyFont="1" applyFill="1" applyBorder="1" applyAlignment="1">
      <alignment horizontal="center" vertical="center" shrinkToFit="1"/>
    </xf>
    <xf numFmtId="181" fontId="5" fillId="0" borderId="39" xfId="0" applyNumberFormat="1" applyFont="1" applyFill="1" applyBorder="1" applyAlignment="1">
      <alignment horizontal="center" vertical="center" shrinkToFit="1"/>
    </xf>
    <xf numFmtId="183" fontId="5" fillId="0" borderId="40" xfId="0" applyNumberFormat="1" applyFont="1" applyFill="1" applyBorder="1" applyAlignment="1">
      <alignment vertical="center" shrinkToFit="1"/>
    </xf>
    <xf numFmtId="0" fontId="8" fillId="0" borderId="18" xfId="0" applyFont="1" applyFill="1" applyBorder="1" applyAlignment="1">
      <alignment vertical="center" shrinkToFit="1"/>
    </xf>
    <xf numFmtId="189" fontId="5" fillId="0" borderId="12" xfId="0" applyNumberFormat="1" applyFont="1" applyFill="1" applyBorder="1" applyAlignment="1">
      <alignment horizontal="left" vertical="center" shrinkToFit="1"/>
    </xf>
    <xf numFmtId="181" fontId="5" fillId="3" borderId="12" xfId="0" applyNumberFormat="1" applyFont="1" applyFill="1" applyBorder="1" applyAlignment="1">
      <alignment vertical="center" shrinkToFit="1"/>
    </xf>
    <xf numFmtId="0" fontId="5" fillId="0" borderId="41" xfId="0" applyFont="1" applyFill="1" applyBorder="1" applyAlignment="1">
      <alignment vertical="center" shrinkToFit="1"/>
    </xf>
    <xf numFmtId="0" fontId="5" fillId="0" borderId="42" xfId="0" applyFont="1" applyFill="1" applyBorder="1" applyAlignment="1">
      <alignment vertical="center" shrinkToFit="1"/>
    </xf>
    <xf numFmtId="181" fontId="5" fillId="3" borderId="42" xfId="0" applyNumberFormat="1" applyFont="1" applyFill="1" applyBorder="1" applyAlignment="1">
      <alignment vertical="center" shrinkToFit="1"/>
    </xf>
    <xf numFmtId="183" fontId="5" fillId="0" borderId="43" xfId="0" applyNumberFormat="1" applyFont="1" applyFill="1" applyBorder="1" applyAlignment="1">
      <alignment vertical="center" shrinkToFit="1"/>
    </xf>
    <xf numFmtId="189" fontId="5" fillId="0" borderId="42" xfId="0" applyNumberFormat="1" applyFont="1" applyFill="1" applyBorder="1" applyAlignment="1">
      <alignment horizontal="left" vertical="center" shrinkToFit="1"/>
    </xf>
    <xf numFmtId="0" fontId="5" fillId="0" borderId="35" xfId="0" applyFont="1" applyFill="1" applyBorder="1" applyAlignment="1">
      <alignment vertical="center" shrinkToFit="1"/>
    </xf>
    <xf numFmtId="183" fontId="5" fillId="0" borderId="44" xfId="0" applyNumberFormat="1" applyFont="1" applyFill="1" applyBorder="1" applyAlignment="1">
      <alignment vertical="center" shrinkToFit="1"/>
    </xf>
    <xf numFmtId="0" fontId="5" fillId="0" borderId="3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shrinkToFit="1"/>
    </xf>
    <xf numFmtId="0" fontId="5" fillId="3" borderId="13" xfId="0" applyFont="1" applyFill="1" applyBorder="1" applyAlignment="1">
      <alignment vertical="center" shrinkToFit="1"/>
    </xf>
    <xf numFmtId="0" fontId="5" fillId="0" borderId="45" xfId="0" applyFont="1" applyFill="1" applyBorder="1" applyAlignment="1">
      <alignment vertical="center" shrinkToFit="1"/>
    </xf>
    <xf numFmtId="0" fontId="5" fillId="0" borderId="43" xfId="0" applyFont="1" applyFill="1" applyBorder="1" applyAlignment="1">
      <alignment vertical="center"/>
    </xf>
    <xf numFmtId="0" fontId="5" fillId="0" borderId="37" xfId="0" applyFont="1" applyFill="1" applyBorder="1" applyAlignment="1">
      <alignment vertical="center"/>
    </xf>
    <xf numFmtId="185" fontId="5" fillId="2" borderId="12" xfId="0" applyNumberFormat="1" applyFont="1" applyFill="1" applyBorder="1" applyAlignment="1">
      <alignment vertical="center"/>
    </xf>
    <xf numFmtId="185" fontId="5" fillId="0" borderId="12" xfId="0" applyNumberFormat="1" applyFont="1" applyFill="1" applyBorder="1" applyAlignment="1">
      <alignment vertical="center"/>
    </xf>
    <xf numFmtId="185" fontId="5" fillId="3" borderId="5" xfId="0" applyNumberFormat="1" applyFont="1" applyFill="1" applyBorder="1" applyAlignment="1">
      <alignment vertical="center"/>
    </xf>
    <xf numFmtId="185" fontId="5" fillId="0" borderId="5" xfId="0" applyNumberFormat="1" applyFont="1" applyFill="1" applyBorder="1" applyAlignment="1">
      <alignment vertical="center"/>
    </xf>
    <xf numFmtId="185" fontId="5" fillId="2" borderId="5" xfId="0" applyNumberFormat="1" applyFont="1" applyFill="1" applyBorder="1" applyAlignment="1">
      <alignment vertical="center"/>
    </xf>
    <xf numFmtId="185" fontId="5" fillId="3" borderId="13" xfId="0" applyNumberFormat="1" applyFont="1" applyFill="1" applyBorder="1" applyAlignment="1">
      <alignment vertical="center"/>
    </xf>
    <xf numFmtId="185" fontId="5" fillId="0" borderId="13" xfId="0" applyNumberFormat="1" applyFont="1" applyFill="1" applyBorder="1" applyAlignment="1">
      <alignment vertical="center"/>
    </xf>
    <xf numFmtId="183" fontId="5" fillId="0" borderId="41" xfId="0" applyNumberFormat="1" applyFont="1" applyFill="1" applyBorder="1" applyAlignment="1">
      <alignment horizontal="center" vertical="center" shrinkToFit="1"/>
    </xf>
    <xf numFmtId="183" fontId="5" fillId="2" borderId="42" xfId="1" applyNumberFormat="1" applyFont="1" applyFill="1" applyBorder="1" applyAlignment="1">
      <alignment vertical="center" shrinkToFit="1"/>
    </xf>
    <xf numFmtId="183" fontId="5" fillId="0" borderId="42" xfId="1" applyNumberFormat="1" applyFont="1" applyBorder="1" applyAlignment="1">
      <alignment vertical="center" shrinkToFit="1"/>
    </xf>
    <xf numFmtId="183" fontId="5" fillId="2" borderId="4" xfId="1" applyNumberFormat="1" applyFont="1" applyFill="1" applyBorder="1" applyAlignment="1">
      <alignment vertical="center" shrinkToFit="1"/>
    </xf>
    <xf numFmtId="183" fontId="5" fillId="0" borderId="4" xfId="1" applyNumberFormat="1" applyFont="1" applyFill="1" applyBorder="1" applyAlignment="1">
      <alignment vertical="center" shrinkToFit="1"/>
    </xf>
    <xf numFmtId="183" fontId="5" fillId="0" borderId="4" xfId="1" applyNumberFormat="1" applyFont="1" applyBorder="1" applyAlignment="1">
      <alignment vertical="center" shrinkToFit="1"/>
    </xf>
    <xf numFmtId="183" fontId="5" fillId="0" borderId="42" xfId="1" applyNumberFormat="1" applyFont="1" applyFill="1" applyBorder="1" applyAlignment="1">
      <alignment vertical="center" shrinkToFit="1"/>
    </xf>
    <xf numFmtId="183" fontId="5" fillId="0" borderId="44" xfId="1" applyNumberFormat="1" applyFont="1" applyFill="1" applyBorder="1" applyAlignment="1">
      <alignment vertical="center" shrinkToFit="1"/>
    </xf>
    <xf numFmtId="183" fontId="5" fillId="0" borderId="6" xfId="1" applyNumberFormat="1" applyFont="1" applyFill="1" applyBorder="1" applyAlignment="1">
      <alignment vertical="center" shrinkToFit="1"/>
    </xf>
    <xf numFmtId="183" fontId="5" fillId="0" borderId="20" xfId="1" applyNumberFormat="1" applyFont="1" applyFill="1" applyBorder="1" applyAlignment="1">
      <alignment vertical="center" shrinkToFit="1"/>
    </xf>
    <xf numFmtId="183" fontId="5" fillId="0" borderId="48" xfId="0" applyNumberFormat="1" applyFont="1" applyFill="1" applyBorder="1" applyAlignment="1">
      <alignment vertical="center" shrinkToFit="1"/>
    </xf>
    <xf numFmtId="185" fontId="5" fillId="0" borderId="50" xfId="0" applyNumberFormat="1" applyFont="1" applyBorder="1" applyAlignment="1">
      <alignment horizontal="right" vertical="center" shrinkToFit="1"/>
    </xf>
    <xf numFmtId="185" fontId="5" fillId="0" borderId="51" xfId="0" applyNumberFormat="1" applyFont="1" applyBorder="1" applyAlignment="1">
      <alignment horizontal="right" vertical="center" shrinkToFit="1"/>
    </xf>
    <xf numFmtId="185" fontId="5" fillId="0" borderId="52" xfId="0" applyNumberFormat="1" applyFont="1" applyBorder="1" applyAlignment="1">
      <alignment horizontal="right" vertical="center" shrinkToFit="1"/>
    </xf>
    <xf numFmtId="0" fontId="1" fillId="0" borderId="0" xfId="2" applyAlignment="1"/>
    <xf numFmtId="0" fontId="1" fillId="0" borderId="0" xfId="2">
      <alignment vertical="center"/>
    </xf>
    <xf numFmtId="0" fontId="13" fillId="0" borderId="53" xfId="2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0" xfId="2" applyAlignment="1">
      <alignment horizontal="center" vertical="center"/>
    </xf>
    <xf numFmtId="0" fontId="13" fillId="0" borderId="54" xfId="2" applyFont="1" applyBorder="1" applyAlignment="1">
      <alignment horizontal="center"/>
    </xf>
    <xf numFmtId="0" fontId="5" fillId="0" borderId="55" xfId="0" applyFont="1" applyBorder="1" applyAlignment="1">
      <alignment horizontal="center" vertical="center"/>
    </xf>
    <xf numFmtId="186" fontId="5" fillId="0" borderId="56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shrinkToFit="1"/>
    </xf>
    <xf numFmtId="186" fontId="5" fillId="0" borderId="57" xfId="0" applyNumberFormat="1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 shrinkToFit="1"/>
    </xf>
    <xf numFmtId="0" fontId="5" fillId="0" borderId="57" xfId="0" applyNumberFormat="1" applyFont="1" applyBorder="1" applyAlignment="1">
      <alignment horizontal="center" vertical="center"/>
    </xf>
    <xf numFmtId="0" fontId="5" fillId="0" borderId="57" xfId="0" applyNumberFormat="1" applyFont="1" applyBorder="1" applyAlignment="1">
      <alignment horizontal="center" vertical="center" wrapText="1"/>
    </xf>
    <xf numFmtId="0" fontId="5" fillId="0" borderId="58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shrinkToFit="1"/>
    </xf>
    <xf numFmtId="0" fontId="4" fillId="0" borderId="57" xfId="0" applyNumberFormat="1" applyFont="1" applyBorder="1" applyAlignment="1">
      <alignment horizontal="center" vertical="center"/>
    </xf>
    <xf numFmtId="0" fontId="5" fillId="0" borderId="57" xfId="0" applyNumberFormat="1" applyFont="1" applyFill="1" applyBorder="1" applyAlignment="1">
      <alignment horizontal="center" vertical="center"/>
    </xf>
    <xf numFmtId="0" fontId="16" fillId="0" borderId="57" xfId="0" applyNumberFormat="1" applyFont="1" applyBorder="1" applyAlignment="1">
      <alignment horizontal="center" vertical="center"/>
    </xf>
    <xf numFmtId="0" fontId="15" fillId="0" borderId="57" xfId="0" applyNumberFormat="1" applyFont="1" applyBorder="1" applyAlignment="1">
      <alignment horizontal="center" vertical="center"/>
    </xf>
    <xf numFmtId="0" fontId="17" fillId="0" borderId="57" xfId="0" applyNumberFormat="1" applyFont="1" applyBorder="1" applyAlignment="1">
      <alignment horizontal="center" vertical="center"/>
    </xf>
    <xf numFmtId="0" fontId="18" fillId="0" borderId="57" xfId="0" applyNumberFormat="1" applyFont="1" applyBorder="1" applyAlignment="1">
      <alignment horizontal="center" vertical="center"/>
    </xf>
    <xf numFmtId="177" fontId="5" fillId="0" borderId="5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shrinkToFit="1"/>
    </xf>
    <xf numFmtId="177" fontId="5" fillId="0" borderId="11" xfId="0" applyNumberFormat="1" applyFont="1" applyBorder="1" applyAlignment="1">
      <alignment horizontal="center" vertical="center"/>
    </xf>
    <xf numFmtId="195" fontId="5" fillId="0" borderId="7" xfId="0" applyNumberFormat="1" applyFont="1" applyBorder="1" applyAlignment="1">
      <alignment horizontal="right" vertical="center"/>
    </xf>
    <xf numFmtId="195" fontId="5" fillId="0" borderId="11" xfId="0" applyNumberFormat="1" applyFont="1" applyBorder="1" applyAlignment="1">
      <alignment horizontal="right" vertical="center"/>
    </xf>
    <xf numFmtId="0" fontId="5" fillId="0" borderId="60" xfId="1" applyFont="1" applyBorder="1" applyAlignment="1">
      <alignment vertical="center" shrinkToFit="1"/>
    </xf>
    <xf numFmtId="0" fontId="5" fillId="0" borderId="20" xfId="1" applyFont="1" applyBorder="1" applyAlignment="1">
      <alignment vertical="center" shrinkToFit="1"/>
    </xf>
    <xf numFmtId="0" fontId="5" fillId="0" borderId="61" xfId="1" applyFont="1" applyBorder="1" applyAlignment="1">
      <alignment vertical="center" shrinkToFit="1"/>
    </xf>
    <xf numFmtId="0" fontId="5" fillId="0" borderId="63" xfId="1" applyFont="1" applyBorder="1" applyAlignment="1">
      <alignment vertical="center" shrinkToFit="1"/>
    </xf>
    <xf numFmtId="183" fontId="5" fillId="2" borderId="13" xfId="1" applyNumberFormat="1" applyFont="1" applyFill="1" applyBorder="1" applyAlignment="1">
      <alignment vertical="center" shrinkToFit="1"/>
    </xf>
    <xf numFmtId="183" fontId="5" fillId="0" borderId="40" xfId="1" applyNumberFormat="1" applyFont="1" applyFill="1" applyBorder="1" applyAlignment="1">
      <alignment vertical="center" shrinkToFit="1"/>
    </xf>
    <xf numFmtId="183" fontId="5" fillId="0" borderId="14" xfId="0" applyNumberFormat="1" applyFont="1" applyBorder="1" applyAlignment="1">
      <alignment vertical="center" shrinkToFit="1"/>
    </xf>
    <xf numFmtId="183" fontId="5" fillId="0" borderId="42" xfId="0" applyNumberFormat="1" applyFont="1" applyFill="1" applyBorder="1" applyAlignment="1">
      <alignment vertical="center" shrinkToFit="1"/>
    </xf>
    <xf numFmtId="183" fontId="5" fillId="0" borderId="42" xfId="0" applyNumberFormat="1" applyFont="1" applyBorder="1" applyAlignment="1">
      <alignment vertical="center" shrinkToFit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183" fontId="5" fillId="2" borderId="40" xfId="0" applyNumberFormat="1" applyFont="1" applyFill="1" applyBorder="1" applyAlignment="1">
      <alignment vertical="center" shrinkToFit="1"/>
    </xf>
    <xf numFmtId="177" fontId="5" fillId="0" borderId="61" xfId="1" applyNumberFormat="1" applyFont="1" applyBorder="1" applyAlignment="1">
      <alignment vertical="center" shrinkToFit="1"/>
    </xf>
    <xf numFmtId="183" fontId="5" fillId="0" borderId="20" xfId="0" applyNumberFormat="1" applyFont="1" applyFill="1" applyBorder="1" applyAlignment="1">
      <alignment vertical="center" shrinkToFit="1"/>
    </xf>
    <xf numFmtId="183" fontId="5" fillId="2" borderId="20" xfId="0" applyNumberFormat="1" applyFont="1" applyFill="1" applyBorder="1" applyAlignment="1">
      <alignment vertical="center" shrinkToFit="1"/>
    </xf>
    <xf numFmtId="0" fontId="5" fillId="0" borderId="66" xfId="0" applyFont="1" applyBorder="1" applyAlignment="1">
      <alignment horizontal="center" vertical="center" wrapText="1"/>
    </xf>
    <xf numFmtId="183" fontId="5" fillId="2" borderId="40" xfId="1" applyNumberFormat="1" applyFont="1" applyFill="1" applyBorder="1" applyAlignment="1">
      <alignment vertical="center" shrinkToFit="1"/>
    </xf>
    <xf numFmtId="191" fontId="5" fillId="0" borderId="63" xfId="1" applyNumberFormat="1" applyFont="1" applyBorder="1" applyAlignment="1">
      <alignment vertical="center" shrinkToFit="1"/>
    </xf>
    <xf numFmtId="183" fontId="5" fillId="0" borderId="0" xfId="0" applyNumberFormat="1" applyFont="1" applyBorder="1" applyAlignment="1">
      <alignment horizontal="center" vertical="center" shrinkToFit="1"/>
    </xf>
    <xf numFmtId="191" fontId="5" fillId="0" borderId="61" xfId="1" applyNumberFormat="1" applyFont="1" applyBorder="1" applyAlignment="1">
      <alignment vertical="center" shrinkToFit="1"/>
    </xf>
    <xf numFmtId="191" fontId="5" fillId="0" borderId="60" xfId="1" applyNumberFormat="1" applyFont="1" applyBorder="1" applyAlignment="1">
      <alignment vertical="center" shrinkToFit="1"/>
    </xf>
    <xf numFmtId="183" fontId="5" fillId="2" borderId="44" xfId="0" applyNumberFormat="1" applyFont="1" applyFill="1" applyBorder="1" applyAlignment="1">
      <alignment vertical="center" shrinkToFit="1"/>
    </xf>
    <xf numFmtId="183" fontId="5" fillId="2" borderId="42" xfId="0" applyNumberFormat="1" applyFont="1" applyFill="1" applyBorder="1" applyAlignment="1">
      <alignment vertical="center" shrinkToFit="1"/>
    </xf>
    <xf numFmtId="183" fontId="5" fillId="2" borderId="4" xfId="0" applyNumberFormat="1" applyFont="1" applyFill="1" applyBorder="1" applyAlignment="1">
      <alignment vertical="center" shrinkToFit="1"/>
    </xf>
    <xf numFmtId="0" fontId="5" fillId="0" borderId="0" xfId="0" applyFont="1" applyBorder="1" applyAlignment="1">
      <alignment vertical="center" wrapText="1"/>
    </xf>
    <xf numFmtId="183" fontId="5" fillId="2" borderId="0" xfId="0" applyNumberFormat="1" applyFont="1" applyFill="1" applyBorder="1" applyAlignment="1">
      <alignment vertical="center" shrinkToFit="1"/>
    </xf>
    <xf numFmtId="183" fontId="5" fillId="0" borderId="0" xfId="0" applyNumberFormat="1" applyFont="1" applyBorder="1" applyAlignment="1">
      <alignment vertical="center" shrinkToFit="1"/>
    </xf>
    <xf numFmtId="184" fontId="7" fillId="4" borderId="0" xfId="0" applyNumberFormat="1" applyFont="1" applyFill="1" applyBorder="1" applyAlignment="1">
      <alignment vertical="center" shrinkToFit="1"/>
    </xf>
    <xf numFmtId="189" fontId="5" fillId="2" borderId="0" xfId="0" applyNumberFormat="1" applyFont="1" applyFill="1" applyBorder="1" applyAlignment="1">
      <alignment vertical="center" shrinkToFit="1"/>
    </xf>
    <xf numFmtId="0" fontId="5" fillId="0" borderId="0" xfId="1" applyFont="1" applyBorder="1" applyAlignment="1">
      <alignment vertical="center" shrinkToFit="1"/>
    </xf>
    <xf numFmtId="191" fontId="5" fillId="0" borderId="0" xfId="1" applyNumberFormat="1" applyFont="1" applyBorder="1" applyAlignment="1">
      <alignment vertical="center" shrinkToFit="1"/>
    </xf>
    <xf numFmtId="192" fontId="5" fillId="0" borderId="0" xfId="1" applyNumberFormat="1" applyFont="1" applyBorder="1" applyAlignment="1">
      <alignment vertical="center" shrinkToFit="1"/>
    </xf>
    <xf numFmtId="185" fontId="5" fillId="0" borderId="0" xfId="0" applyNumberFormat="1" applyFont="1" applyBorder="1" applyAlignment="1">
      <alignment horizontal="right" vertical="center" shrinkToFit="1"/>
    </xf>
    <xf numFmtId="194" fontId="5" fillId="0" borderId="0" xfId="0" applyNumberFormat="1" applyFont="1" applyBorder="1" applyAlignment="1">
      <alignment horizontal="right" vertical="center" shrinkToFit="1"/>
    </xf>
    <xf numFmtId="180" fontId="12" fillId="3" borderId="0" xfId="0" applyNumberFormat="1" applyFont="1" applyFill="1" applyBorder="1" applyAlignment="1">
      <alignment vertical="center"/>
    </xf>
    <xf numFmtId="183" fontId="5" fillId="4" borderId="0" xfId="0" applyNumberFormat="1" applyFont="1" applyFill="1" applyBorder="1" applyAlignment="1">
      <alignment vertical="center" shrinkToFit="1"/>
    </xf>
    <xf numFmtId="178" fontId="5" fillId="0" borderId="0" xfId="0" applyNumberFormat="1" applyFont="1" applyFill="1" applyBorder="1" applyAlignment="1">
      <alignment horizontal="center" vertical="center" shrinkToFit="1"/>
    </xf>
    <xf numFmtId="177" fontId="5" fillId="0" borderId="5" xfId="0" applyNumberFormat="1" applyFont="1" applyFill="1" applyBorder="1" applyAlignment="1">
      <alignment vertical="center"/>
    </xf>
    <xf numFmtId="185" fontId="5" fillId="0" borderId="14" xfId="0" applyNumberFormat="1" applyFont="1" applyFill="1" applyBorder="1" applyAlignment="1">
      <alignment vertical="center"/>
    </xf>
    <xf numFmtId="185" fontId="5" fillId="0" borderId="6" xfId="0" applyNumberFormat="1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195" fontId="5" fillId="0" borderId="67" xfId="0" applyNumberFormat="1" applyFont="1" applyBorder="1" applyAlignment="1">
      <alignment horizontal="right" vertical="center"/>
    </xf>
    <xf numFmtId="0" fontId="5" fillId="0" borderId="68" xfId="0" applyFont="1" applyBorder="1" applyAlignment="1">
      <alignment vertical="center"/>
    </xf>
    <xf numFmtId="0" fontId="7" fillId="0" borderId="69" xfId="0" applyNumberFormat="1" applyFont="1" applyFill="1" applyBorder="1" applyAlignment="1">
      <alignment vertical="center" shrinkToFit="1"/>
    </xf>
    <xf numFmtId="0" fontId="7" fillId="0" borderId="36" xfId="0" applyNumberFormat="1" applyFont="1" applyFill="1" applyBorder="1" applyAlignment="1">
      <alignment vertical="center" shrinkToFit="1"/>
    </xf>
    <xf numFmtId="0" fontId="7" fillId="0" borderId="70" xfId="0" applyNumberFormat="1" applyFont="1" applyFill="1" applyBorder="1" applyAlignment="1">
      <alignment vertical="center" shrinkToFit="1"/>
    </xf>
    <xf numFmtId="0" fontId="7" fillId="0" borderId="71" xfId="0" applyNumberFormat="1" applyFont="1" applyFill="1" applyBorder="1" applyAlignment="1">
      <alignment vertical="center" shrinkToFit="1"/>
    </xf>
    <xf numFmtId="0" fontId="5" fillId="0" borderId="17" xfId="0" applyFont="1" applyBorder="1" applyAlignment="1">
      <alignment horizontal="left" vertical="center" shrinkToFit="1"/>
    </xf>
    <xf numFmtId="183" fontId="5" fillId="0" borderId="46" xfId="0" applyNumberFormat="1" applyFont="1" applyBorder="1" applyAlignment="1">
      <alignment vertical="center" shrinkToFit="1"/>
    </xf>
    <xf numFmtId="186" fontId="5" fillId="3" borderId="72" xfId="0" applyNumberFormat="1" applyFont="1" applyFill="1" applyBorder="1" applyAlignment="1">
      <alignment vertical="center"/>
    </xf>
    <xf numFmtId="186" fontId="5" fillId="3" borderId="73" xfId="0" applyNumberFormat="1" applyFont="1" applyFill="1" applyBorder="1" applyAlignment="1">
      <alignment vertical="center"/>
    </xf>
    <xf numFmtId="186" fontId="5" fillId="0" borderId="66" xfId="0" applyNumberFormat="1" applyFont="1" applyFill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183" fontId="5" fillId="0" borderId="18" xfId="1" applyNumberFormat="1" applyFont="1" applyFill="1" applyBorder="1" applyAlignment="1">
      <alignment vertical="center" shrinkToFit="1"/>
    </xf>
    <xf numFmtId="185" fontId="5" fillId="0" borderId="4" xfId="0" applyNumberFormat="1" applyFont="1" applyFill="1" applyBorder="1" applyAlignment="1">
      <alignment vertical="center"/>
    </xf>
    <xf numFmtId="183" fontId="5" fillId="0" borderId="45" xfId="0" applyNumberFormat="1" applyFont="1" applyFill="1" applyBorder="1" applyAlignment="1">
      <alignment horizontal="center" vertical="center" shrinkToFit="1"/>
    </xf>
    <xf numFmtId="183" fontId="5" fillId="0" borderId="77" xfId="0" applyNumberFormat="1" applyFont="1" applyFill="1" applyBorder="1" applyAlignment="1">
      <alignment horizontal="center" vertical="center" shrinkToFit="1"/>
    </xf>
    <xf numFmtId="0" fontId="5" fillId="0" borderId="44" xfId="1" applyFont="1" applyBorder="1" applyAlignment="1">
      <alignment vertical="center" shrinkToFit="1"/>
    </xf>
    <xf numFmtId="0" fontId="5" fillId="0" borderId="78" xfId="1" applyFont="1" applyBorder="1" applyAlignment="1">
      <alignment vertical="center" shrinkToFit="1"/>
    </xf>
    <xf numFmtId="191" fontId="5" fillId="0" borderId="78" xfId="1" applyNumberFormat="1" applyFont="1" applyBorder="1" applyAlignment="1">
      <alignment vertical="center" shrinkToFit="1"/>
    </xf>
    <xf numFmtId="0" fontId="7" fillId="4" borderId="28" xfId="0" applyNumberFormat="1" applyFont="1" applyFill="1" applyBorder="1" applyAlignment="1">
      <alignment vertical="center" shrinkToFit="1"/>
    </xf>
    <xf numFmtId="0" fontId="7" fillId="4" borderId="36" xfId="0" applyNumberFormat="1" applyFont="1" applyFill="1" applyBorder="1" applyAlignment="1">
      <alignment vertical="center" shrinkToFit="1"/>
    </xf>
    <xf numFmtId="0" fontId="7" fillId="4" borderId="81" xfId="0" applyNumberFormat="1" applyFont="1" applyFill="1" applyBorder="1" applyAlignment="1">
      <alignment vertical="center" shrinkToFit="1"/>
    </xf>
    <xf numFmtId="182" fontId="7" fillId="4" borderId="28" xfId="0" applyNumberFormat="1" applyFont="1" applyFill="1" applyBorder="1" applyAlignment="1">
      <alignment vertical="center" shrinkToFit="1"/>
    </xf>
    <xf numFmtId="182" fontId="7" fillId="4" borderId="36" xfId="0" applyNumberFormat="1" applyFont="1" applyFill="1" applyBorder="1" applyAlignment="1">
      <alignment vertical="center" shrinkToFit="1"/>
    </xf>
    <xf numFmtId="182" fontId="7" fillId="4" borderId="70" xfId="0" applyNumberFormat="1" applyFont="1" applyFill="1" applyBorder="1" applyAlignment="1">
      <alignment vertical="center" shrinkToFit="1"/>
    </xf>
    <xf numFmtId="182" fontId="7" fillId="4" borderId="37" xfId="0" applyNumberFormat="1" applyFont="1" applyFill="1" applyBorder="1" applyAlignment="1">
      <alignment vertical="center" shrinkToFit="1"/>
    </xf>
    <xf numFmtId="182" fontId="7" fillId="4" borderId="29" xfId="0" applyNumberFormat="1" applyFont="1" applyFill="1" applyBorder="1" applyAlignment="1">
      <alignment vertical="center" shrinkToFit="1"/>
    </xf>
    <xf numFmtId="181" fontId="7" fillId="4" borderId="28" xfId="0" applyNumberFormat="1" applyFont="1" applyFill="1" applyBorder="1" applyAlignment="1">
      <alignment vertical="center" shrinkToFit="1"/>
    </xf>
    <xf numFmtId="181" fontId="7" fillId="4" borderId="36" xfId="0" applyNumberFormat="1" applyFont="1" applyFill="1" applyBorder="1" applyAlignment="1">
      <alignment vertical="center" shrinkToFit="1"/>
    </xf>
    <xf numFmtId="181" fontId="7" fillId="4" borderId="37" xfId="0" applyNumberFormat="1" applyFont="1" applyFill="1" applyBorder="1" applyAlignment="1">
      <alignment vertical="center" shrinkToFit="1"/>
    </xf>
    <xf numFmtId="180" fontId="5" fillId="0" borderId="33" xfId="0" applyNumberFormat="1" applyFont="1" applyFill="1" applyBorder="1" applyAlignment="1">
      <alignment vertical="center" shrinkToFit="1"/>
    </xf>
    <xf numFmtId="180" fontId="5" fillId="0" borderId="34" xfId="0" applyNumberFormat="1" applyFont="1" applyFill="1" applyBorder="1" applyAlignment="1">
      <alignment vertical="center" shrinkToFit="1"/>
    </xf>
    <xf numFmtId="180" fontId="5" fillId="0" borderId="35" xfId="0" applyNumberFormat="1" applyFont="1" applyFill="1" applyBorder="1" applyAlignment="1">
      <alignment vertical="center" shrinkToFit="1"/>
    </xf>
    <xf numFmtId="0" fontId="5" fillId="0" borderId="59" xfId="0" applyFont="1" applyBorder="1" applyAlignment="1">
      <alignment horizontal="center" vertical="center"/>
    </xf>
    <xf numFmtId="0" fontId="5" fillId="0" borderId="82" xfId="1" applyFont="1" applyBorder="1" applyAlignment="1">
      <alignment vertical="center" shrinkToFit="1"/>
    </xf>
    <xf numFmtId="183" fontId="5" fillId="5" borderId="4" xfId="1" applyNumberFormat="1" applyFont="1" applyFill="1" applyBorder="1" applyAlignment="1">
      <alignment vertical="center" shrinkToFit="1"/>
    </xf>
    <xf numFmtId="183" fontId="5" fillId="5" borderId="5" xfId="1" applyNumberFormat="1" applyFont="1" applyFill="1" applyBorder="1" applyAlignment="1">
      <alignment vertical="center" shrinkToFit="1"/>
    </xf>
    <xf numFmtId="183" fontId="5" fillId="6" borderId="4" xfId="1" applyNumberFormat="1" applyFont="1" applyFill="1" applyBorder="1" applyAlignment="1">
      <alignment vertical="center" shrinkToFit="1"/>
    </xf>
    <xf numFmtId="183" fontId="5" fillId="6" borderId="5" xfId="1" applyNumberFormat="1" applyFont="1" applyFill="1" applyBorder="1" applyAlignment="1">
      <alignment vertical="center" shrinkToFit="1"/>
    </xf>
    <xf numFmtId="183" fontId="5" fillId="5" borderId="14" xfId="1" applyNumberFormat="1" applyFont="1" applyFill="1" applyBorder="1" applyAlignment="1">
      <alignment vertical="center" shrinkToFit="1"/>
    </xf>
    <xf numFmtId="183" fontId="5" fillId="5" borderId="40" xfId="1" applyNumberFormat="1" applyFont="1" applyFill="1" applyBorder="1" applyAlignment="1">
      <alignment vertical="center" shrinkToFit="1"/>
    </xf>
    <xf numFmtId="183" fontId="5" fillId="5" borderId="8" xfId="1" applyNumberFormat="1" applyFont="1" applyFill="1" applyBorder="1" applyAlignment="1">
      <alignment vertical="center" shrinkToFit="1"/>
    </xf>
    <xf numFmtId="183" fontId="5" fillId="5" borderId="13" xfId="1" applyNumberFormat="1" applyFont="1" applyFill="1" applyBorder="1" applyAlignment="1">
      <alignment vertical="center" shrinkToFit="1"/>
    </xf>
    <xf numFmtId="183" fontId="5" fillId="6" borderId="14" xfId="1" applyNumberFormat="1" applyFont="1" applyFill="1" applyBorder="1" applyAlignment="1">
      <alignment vertical="center" shrinkToFit="1"/>
    </xf>
    <xf numFmtId="183" fontId="5" fillId="0" borderId="13" xfId="1" applyNumberFormat="1" applyFont="1" applyBorder="1" applyAlignment="1">
      <alignment vertical="center" shrinkToFit="1"/>
    </xf>
    <xf numFmtId="0" fontId="5" fillId="0" borderId="83" xfId="1" applyFont="1" applyBorder="1" applyAlignment="1">
      <alignment vertical="center" shrinkToFit="1"/>
    </xf>
    <xf numFmtId="183" fontId="5" fillId="5" borderId="44" xfId="0" applyNumberFormat="1" applyFont="1" applyFill="1" applyBorder="1" applyAlignment="1">
      <alignment vertical="center" shrinkToFit="1"/>
    </xf>
    <xf numFmtId="183" fontId="5" fillId="5" borderId="42" xfId="0" applyNumberFormat="1" applyFont="1" applyFill="1" applyBorder="1" applyAlignment="1">
      <alignment vertical="center" shrinkToFit="1"/>
    </xf>
    <xf numFmtId="0" fontId="5" fillId="0" borderId="53" xfId="1" applyFont="1" applyBorder="1" applyAlignment="1">
      <alignment vertical="center" shrinkToFit="1"/>
    </xf>
    <xf numFmtId="183" fontId="5" fillId="0" borderId="59" xfId="0" applyNumberFormat="1" applyFont="1" applyBorder="1" applyAlignment="1">
      <alignment vertical="center" shrinkToFit="1"/>
    </xf>
    <xf numFmtId="183" fontId="5" fillId="5" borderId="5" xfId="0" applyNumberFormat="1" applyFont="1" applyFill="1" applyBorder="1" applyAlignment="1">
      <alignment vertical="center" shrinkToFit="1"/>
    </xf>
    <xf numFmtId="183" fontId="5" fillId="5" borderId="8" xfId="0" applyNumberFormat="1" applyFont="1" applyFill="1" applyBorder="1" applyAlignment="1">
      <alignment vertical="center" shrinkToFit="1"/>
    </xf>
    <xf numFmtId="183" fontId="5" fillId="5" borderId="14" xfId="0" applyNumberFormat="1" applyFont="1" applyFill="1" applyBorder="1" applyAlignment="1">
      <alignment vertical="center" shrinkToFit="1"/>
    </xf>
    <xf numFmtId="183" fontId="5" fillId="5" borderId="40" xfId="0" applyNumberFormat="1" applyFont="1" applyFill="1" applyBorder="1" applyAlignment="1">
      <alignment vertical="center" shrinkToFit="1"/>
    </xf>
    <xf numFmtId="183" fontId="5" fillId="0" borderId="64" xfId="1" applyNumberFormat="1" applyFont="1" applyFill="1" applyBorder="1" applyAlignment="1">
      <alignment vertical="center" shrinkToFit="1"/>
    </xf>
    <xf numFmtId="183" fontId="5" fillId="0" borderId="22" xfId="1" applyNumberFormat="1" applyFont="1" applyFill="1" applyBorder="1" applyAlignment="1">
      <alignment vertical="center" shrinkToFit="1"/>
    </xf>
    <xf numFmtId="0" fontId="5" fillId="0" borderId="10" xfId="1" applyFont="1" applyBorder="1" applyAlignment="1">
      <alignment vertical="center" shrinkToFit="1"/>
    </xf>
    <xf numFmtId="0" fontId="5" fillId="0" borderId="11" xfId="1" applyFont="1" applyBorder="1" applyAlignment="1">
      <alignment vertical="center" shrinkToFit="1"/>
    </xf>
    <xf numFmtId="0" fontId="5" fillId="0" borderId="31" xfId="1" applyFont="1" applyBorder="1" applyAlignment="1">
      <alignment vertical="center" shrinkToFit="1"/>
    </xf>
    <xf numFmtId="183" fontId="5" fillId="5" borderId="20" xfId="0" applyNumberFormat="1" applyFont="1" applyFill="1" applyBorder="1" applyAlignment="1">
      <alignment vertical="center" shrinkToFit="1"/>
    </xf>
    <xf numFmtId="183" fontId="5" fillId="5" borderId="6" xfId="0" applyNumberFormat="1" applyFont="1" applyFill="1" applyBorder="1" applyAlignment="1">
      <alignment vertical="center" shrinkToFit="1"/>
    </xf>
    <xf numFmtId="183" fontId="5" fillId="6" borderId="5" xfId="0" applyNumberFormat="1" applyFont="1" applyFill="1" applyBorder="1" applyAlignment="1">
      <alignment vertical="center" shrinkToFit="1"/>
    </xf>
    <xf numFmtId="183" fontId="5" fillId="5" borderId="6" xfId="1" applyNumberFormat="1" applyFont="1" applyFill="1" applyBorder="1" applyAlignment="1">
      <alignment vertical="center" shrinkToFit="1"/>
    </xf>
    <xf numFmtId="183" fontId="5" fillId="4" borderId="59" xfId="0" applyNumberFormat="1" applyFont="1" applyFill="1" applyBorder="1" applyAlignment="1">
      <alignment vertical="center" shrinkToFit="1"/>
    </xf>
    <xf numFmtId="177" fontId="5" fillId="0" borderId="86" xfId="0" applyNumberFormat="1" applyFont="1" applyBorder="1" applyAlignment="1">
      <alignment horizontal="right" vertical="center" shrinkToFit="1"/>
    </xf>
    <xf numFmtId="177" fontId="5" fillId="0" borderId="87" xfId="0" applyNumberFormat="1" applyFont="1" applyBorder="1" applyAlignment="1">
      <alignment horizontal="right" vertical="center" shrinkToFit="1"/>
    </xf>
    <xf numFmtId="0" fontId="5" fillId="0" borderId="7" xfId="1" applyFont="1" applyBorder="1" applyAlignment="1">
      <alignment vertical="center" shrinkToFit="1"/>
    </xf>
    <xf numFmtId="180" fontId="12" fillId="3" borderId="39" xfId="0" applyNumberFormat="1" applyFont="1" applyFill="1" applyBorder="1" applyAlignment="1">
      <alignment vertical="center"/>
    </xf>
    <xf numFmtId="0" fontId="5" fillId="0" borderId="27" xfId="0" applyFont="1" applyBorder="1" applyAlignment="1">
      <alignment vertical="center"/>
    </xf>
    <xf numFmtId="185" fontId="5" fillId="0" borderId="42" xfId="0" applyNumberFormat="1" applyFont="1" applyFill="1" applyBorder="1" applyAlignment="1">
      <alignment vertical="center"/>
    </xf>
    <xf numFmtId="185" fontId="5" fillId="0" borderId="88" xfId="0" applyNumberFormat="1" applyFont="1" applyBorder="1" applyAlignment="1">
      <alignment horizontal="right" vertical="center" shrinkToFit="1"/>
    </xf>
    <xf numFmtId="0" fontId="5" fillId="0" borderId="55" xfId="0" applyFont="1" applyBorder="1" applyAlignment="1">
      <alignment vertical="center"/>
    </xf>
    <xf numFmtId="177" fontId="5" fillId="0" borderId="78" xfId="1" applyNumberFormat="1" applyFont="1" applyBorder="1" applyAlignment="1">
      <alignment vertical="center" shrinkToFit="1"/>
    </xf>
    <xf numFmtId="183" fontId="5" fillId="4" borderId="59" xfId="1" applyNumberFormat="1" applyFont="1" applyFill="1" applyBorder="1" applyAlignment="1">
      <alignment vertical="center" shrinkToFit="1"/>
    </xf>
    <xf numFmtId="185" fontId="5" fillId="0" borderId="59" xfId="0" applyNumberFormat="1" applyFont="1" applyFill="1" applyBorder="1" applyAlignment="1">
      <alignment vertical="center"/>
    </xf>
    <xf numFmtId="0" fontId="5" fillId="5" borderId="19" xfId="1" applyFont="1" applyFill="1" applyBorder="1" applyAlignment="1">
      <alignment vertical="center" shrinkToFit="1"/>
    </xf>
    <xf numFmtId="0" fontId="5" fillId="3" borderId="42" xfId="0" applyFont="1" applyFill="1" applyBorder="1" applyAlignment="1">
      <alignment vertical="center"/>
    </xf>
    <xf numFmtId="183" fontId="5" fillId="0" borderId="42" xfId="0" applyNumberFormat="1" applyFont="1" applyBorder="1" applyAlignment="1">
      <alignment vertical="center"/>
    </xf>
    <xf numFmtId="182" fontId="5" fillId="0" borderId="43" xfId="0" applyNumberFormat="1" applyFont="1" applyBorder="1" applyAlignment="1">
      <alignment vertical="center"/>
    </xf>
    <xf numFmtId="0" fontId="5" fillId="5" borderId="61" xfId="1" applyFont="1" applyFill="1" applyBorder="1" applyAlignment="1">
      <alignment vertical="center" shrinkToFit="1"/>
    </xf>
    <xf numFmtId="0" fontId="5" fillId="5" borderId="62" xfId="1" applyFont="1" applyFill="1" applyBorder="1" applyAlignment="1">
      <alignment vertical="center" shrinkToFit="1"/>
    </xf>
    <xf numFmtId="0" fontId="5" fillId="5" borderId="20" xfId="1" applyFont="1" applyFill="1" applyBorder="1" applyAlignment="1">
      <alignment vertical="center" shrinkToFit="1"/>
    </xf>
    <xf numFmtId="183" fontId="5" fillId="5" borderId="42" xfId="1" applyNumberFormat="1" applyFont="1" applyFill="1" applyBorder="1" applyAlignment="1">
      <alignment vertical="center" shrinkToFit="1"/>
    </xf>
    <xf numFmtId="183" fontId="5" fillId="5" borderId="12" xfId="1" applyNumberFormat="1" applyFont="1" applyFill="1" applyBorder="1" applyAlignment="1">
      <alignment vertical="center" shrinkToFit="1"/>
    </xf>
    <xf numFmtId="183" fontId="5" fillId="6" borderId="44" xfId="0" applyNumberFormat="1" applyFont="1" applyFill="1" applyBorder="1" applyAlignment="1">
      <alignment vertical="center" shrinkToFit="1"/>
    </xf>
    <xf numFmtId="0" fontId="5" fillId="0" borderId="40" xfId="0" applyFont="1" applyBorder="1" applyAlignment="1">
      <alignment vertical="center" shrinkToFit="1"/>
    </xf>
    <xf numFmtId="189" fontId="5" fillId="0" borderId="60" xfId="0" applyNumberFormat="1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5" fillId="0" borderId="83" xfId="0" applyFont="1" applyBorder="1" applyAlignment="1">
      <alignment vertical="center" shrinkToFit="1"/>
    </xf>
    <xf numFmtId="189" fontId="5" fillId="0" borderId="53" xfId="0" applyNumberFormat="1" applyFont="1" applyBorder="1" applyAlignment="1">
      <alignment vertical="center" shrinkToFit="1"/>
    </xf>
    <xf numFmtId="0" fontId="5" fillId="0" borderId="53" xfId="0" applyFont="1" applyBorder="1" applyAlignment="1">
      <alignment vertical="center" shrinkToFit="1"/>
    </xf>
    <xf numFmtId="0" fontId="5" fillId="0" borderId="16" xfId="0" applyFont="1" applyBorder="1" applyAlignment="1">
      <alignment horizontal="left" vertical="center" shrinkToFit="1"/>
    </xf>
    <xf numFmtId="183" fontId="5" fillId="2" borderId="85" xfId="0" applyNumberFormat="1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horizontal="left" vertical="center" shrinkToFit="1"/>
    </xf>
    <xf numFmtId="0" fontId="5" fillId="0" borderId="89" xfId="0" applyFont="1" applyBorder="1" applyAlignment="1">
      <alignment vertical="center"/>
    </xf>
    <xf numFmtId="190" fontId="5" fillId="6" borderId="22" xfId="1" applyNumberFormat="1" applyFont="1" applyFill="1" applyBorder="1" applyAlignment="1">
      <alignment vertical="center" shrinkToFit="1"/>
    </xf>
    <xf numFmtId="190" fontId="5" fillId="0" borderId="80" xfId="1" applyNumberFormat="1" applyFont="1" applyBorder="1" applyAlignment="1">
      <alignment vertical="center" shrinkToFit="1"/>
    </xf>
    <xf numFmtId="190" fontId="5" fillId="0" borderId="22" xfId="1" applyNumberFormat="1" applyFont="1" applyBorder="1" applyAlignment="1">
      <alignment vertical="center" shrinkToFit="1"/>
    </xf>
    <xf numFmtId="0" fontId="5" fillId="0" borderId="62" xfId="1" applyFont="1" applyBorder="1" applyAlignment="1">
      <alignment horizontal="right" vertical="center" shrinkToFit="1"/>
    </xf>
    <xf numFmtId="190" fontId="5" fillId="0" borderId="80" xfId="1" applyNumberFormat="1" applyFont="1" applyBorder="1" applyAlignment="1">
      <alignment horizontal="right" vertical="center" shrinkToFit="1"/>
    </xf>
    <xf numFmtId="190" fontId="5" fillId="0" borderId="22" xfId="1" applyNumberFormat="1" applyFont="1" applyBorder="1" applyAlignment="1">
      <alignment horizontal="right" vertical="center" shrinkToFit="1"/>
    </xf>
    <xf numFmtId="0" fontId="5" fillId="0" borderId="90" xfId="1" applyNumberFormat="1" applyFont="1" applyBorder="1" applyAlignment="1">
      <alignment vertical="center" shrinkToFit="1"/>
    </xf>
    <xf numFmtId="190" fontId="5" fillId="2" borderId="85" xfId="1" applyNumberFormat="1" applyFont="1" applyFill="1" applyBorder="1" applyAlignment="1">
      <alignment horizontal="right" vertical="center" shrinkToFit="1"/>
    </xf>
    <xf numFmtId="183" fontId="5" fillId="2" borderId="10" xfId="1" applyNumberFormat="1" applyFont="1" applyFill="1" applyBorder="1" applyAlignment="1">
      <alignment vertical="center" shrinkToFit="1"/>
    </xf>
    <xf numFmtId="183" fontId="5" fillId="0" borderId="10" xfId="1" applyNumberFormat="1" applyFont="1" applyFill="1" applyBorder="1" applyAlignment="1">
      <alignment vertical="center" shrinkToFit="1"/>
    </xf>
    <xf numFmtId="183" fontId="5" fillId="0" borderId="10" xfId="1" applyNumberFormat="1" applyFont="1" applyBorder="1" applyAlignment="1">
      <alignment vertical="center" shrinkToFit="1"/>
    </xf>
    <xf numFmtId="0" fontId="5" fillId="0" borderId="91" xfId="1" applyFont="1" applyBorder="1" applyAlignment="1">
      <alignment horizontal="center" vertical="center" shrinkToFit="1"/>
    </xf>
    <xf numFmtId="0" fontId="5" fillId="0" borderId="92" xfId="1" applyFont="1" applyBorder="1" applyAlignment="1">
      <alignment horizontal="center" vertical="center" shrinkToFit="1"/>
    </xf>
    <xf numFmtId="0" fontId="5" fillId="0" borderId="95" xfId="1" applyNumberFormat="1" applyFont="1" applyBorder="1" applyAlignment="1">
      <alignment vertical="center" shrinkToFit="1"/>
    </xf>
    <xf numFmtId="0" fontId="5" fillId="5" borderId="95" xfId="1" applyNumberFormat="1" applyFont="1" applyFill="1" applyBorder="1" applyAlignment="1">
      <alignment vertical="center" shrinkToFit="1"/>
    </xf>
    <xf numFmtId="0" fontId="5" fillId="5" borderId="96" xfId="1" applyNumberFormat="1" applyFont="1" applyFill="1" applyBorder="1" applyAlignment="1">
      <alignment vertical="center" shrinkToFit="1"/>
    </xf>
    <xf numFmtId="0" fontId="5" fillId="5" borderId="93" xfId="1" applyNumberFormat="1" applyFont="1" applyFill="1" applyBorder="1" applyAlignment="1">
      <alignment vertical="center" shrinkToFit="1"/>
    </xf>
    <xf numFmtId="190" fontId="5" fillId="6" borderId="49" xfId="1" applyNumberFormat="1" applyFont="1" applyFill="1" applyBorder="1" applyAlignment="1">
      <alignment horizontal="right" vertical="center" shrinkToFit="1"/>
    </xf>
    <xf numFmtId="190" fontId="5" fillId="2" borderId="86" xfId="1" applyNumberFormat="1" applyFont="1" applyFill="1" applyBorder="1" applyAlignment="1">
      <alignment horizontal="right" vertical="center" shrinkToFit="1"/>
    </xf>
    <xf numFmtId="190" fontId="5" fillId="0" borderId="22" xfId="0" applyNumberFormat="1" applyFont="1" applyBorder="1" applyAlignment="1">
      <alignment horizontal="right" vertical="center" shrinkToFit="1"/>
    </xf>
    <xf numFmtId="190" fontId="5" fillId="6" borderId="22" xfId="1" applyNumberFormat="1" applyFont="1" applyFill="1" applyBorder="1" applyAlignment="1">
      <alignment horizontal="right" vertical="center" shrinkToFit="1"/>
    </xf>
    <xf numFmtId="190" fontId="5" fillId="5" borderId="22" xfId="1" applyNumberFormat="1" applyFont="1" applyFill="1" applyBorder="1" applyAlignment="1">
      <alignment horizontal="right" vertical="center" shrinkToFit="1"/>
    </xf>
    <xf numFmtId="190" fontId="5" fillId="0" borderId="97" xfId="1" applyNumberFormat="1" applyFont="1" applyBorder="1" applyAlignment="1">
      <alignment horizontal="right" vertical="center" shrinkToFit="1"/>
    </xf>
    <xf numFmtId="190" fontId="5" fillId="6" borderId="98" xfId="1" applyNumberFormat="1" applyFont="1" applyFill="1" applyBorder="1" applyAlignment="1">
      <alignment horizontal="right" vertical="center" shrinkToFit="1"/>
    </xf>
    <xf numFmtId="0" fontId="5" fillId="5" borderId="90" xfId="1" applyNumberFormat="1" applyFont="1" applyFill="1" applyBorder="1" applyAlignment="1">
      <alignment vertical="center" shrinkToFit="1"/>
    </xf>
    <xf numFmtId="190" fontId="5" fillId="6" borderId="80" xfId="1" applyNumberFormat="1" applyFont="1" applyFill="1" applyBorder="1" applyAlignment="1">
      <alignment horizontal="right" vertical="center" shrinkToFit="1"/>
    </xf>
    <xf numFmtId="0" fontId="5" fillId="5" borderId="99" xfId="1" applyNumberFormat="1" applyFont="1" applyFill="1" applyBorder="1" applyAlignment="1">
      <alignment vertical="center" shrinkToFit="1"/>
    </xf>
    <xf numFmtId="190" fontId="5" fillId="2" borderId="62" xfId="1" applyNumberFormat="1" applyFont="1" applyFill="1" applyBorder="1" applyAlignment="1">
      <alignment horizontal="right" vertical="center" shrinkToFit="1"/>
    </xf>
    <xf numFmtId="191" fontId="5" fillId="0" borderId="100" xfId="1" applyNumberFormat="1" applyFont="1" applyBorder="1" applyAlignment="1">
      <alignment vertical="center" shrinkToFit="1"/>
    </xf>
    <xf numFmtId="183" fontId="5" fillId="5" borderId="39" xfId="1" applyNumberFormat="1" applyFont="1" applyFill="1" applyBorder="1" applyAlignment="1">
      <alignment vertical="center" shrinkToFit="1"/>
    </xf>
    <xf numFmtId="185" fontId="5" fillId="5" borderId="39" xfId="0" applyNumberFormat="1" applyFont="1" applyFill="1" applyBorder="1" applyAlignment="1">
      <alignment vertical="center"/>
    </xf>
    <xf numFmtId="0" fontId="5" fillId="5" borderId="39" xfId="0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6" borderId="39" xfId="0" applyFont="1" applyFill="1" applyBorder="1" applyAlignment="1">
      <alignment vertical="center"/>
    </xf>
    <xf numFmtId="183" fontId="5" fillId="0" borderId="39" xfId="0" applyNumberFormat="1" applyFont="1" applyBorder="1" applyAlignment="1">
      <alignment vertical="center"/>
    </xf>
    <xf numFmtId="183" fontId="5" fillId="5" borderId="15" xfId="1" applyNumberFormat="1" applyFont="1" applyFill="1" applyBorder="1" applyAlignment="1">
      <alignment vertical="center" shrinkToFit="1"/>
    </xf>
    <xf numFmtId="183" fontId="5" fillId="0" borderId="102" xfId="0" applyNumberFormat="1" applyFont="1" applyBorder="1" applyAlignment="1">
      <alignment vertical="center" shrinkToFit="1"/>
    </xf>
    <xf numFmtId="183" fontId="5" fillId="5" borderId="46" xfId="1" applyNumberFormat="1" applyFont="1" applyFill="1" applyBorder="1" applyAlignment="1">
      <alignment vertical="center" shrinkToFit="1"/>
    </xf>
    <xf numFmtId="183" fontId="5" fillId="7" borderId="14" xfId="1" applyNumberFormat="1" applyFont="1" applyFill="1" applyBorder="1" applyAlignment="1">
      <alignment vertical="center" shrinkToFit="1"/>
    </xf>
    <xf numFmtId="180" fontId="12" fillId="3" borderId="46" xfId="0" applyNumberFormat="1" applyFont="1" applyFill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5" fillId="0" borderId="61" xfId="1" applyNumberFormat="1" applyFont="1" applyBorder="1" applyAlignment="1">
      <alignment vertical="center" shrinkToFit="1"/>
    </xf>
    <xf numFmtId="190" fontId="5" fillId="0" borderId="16" xfId="0" applyNumberFormat="1" applyFont="1" applyBorder="1" applyAlignment="1">
      <alignment vertical="center" shrinkToFit="1"/>
    </xf>
    <xf numFmtId="190" fontId="5" fillId="0" borderId="21" xfId="0" applyNumberFormat="1" applyFont="1" applyBorder="1" applyAlignment="1">
      <alignment vertical="center" shrinkToFit="1"/>
    </xf>
    <xf numFmtId="190" fontId="5" fillId="0" borderId="17" xfId="0" applyNumberFormat="1" applyFont="1" applyBorder="1" applyAlignment="1">
      <alignment vertical="center" shrinkToFit="1"/>
    </xf>
    <xf numFmtId="190" fontId="5" fillId="0" borderId="22" xfId="0" applyNumberFormat="1" applyFont="1" applyBorder="1" applyAlignment="1">
      <alignment vertical="center" shrinkToFit="1"/>
    </xf>
    <xf numFmtId="190" fontId="5" fillId="0" borderId="61" xfId="0" applyNumberFormat="1" applyFont="1" applyBorder="1" applyAlignment="1">
      <alignment vertical="center" shrinkToFit="1"/>
    </xf>
    <xf numFmtId="190" fontId="5" fillId="0" borderId="62" xfId="0" applyNumberFormat="1" applyFont="1" applyBorder="1" applyAlignment="1">
      <alignment vertical="center" shrinkToFit="1"/>
    </xf>
    <xf numFmtId="190" fontId="5" fillId="0" borderId="63" xfId="0" applyNumberFormat="1" applyFont="1" applyBorder="1" applyAlignment="1">
      <alignment vertical="center" shrinkToFit="1"/>
    </xf>
    <xf numFmtId="190" fontId="5" fillId="0" borderId="80" xfId="0" applyNumberFormat="1" applyFont="1" applyBorder="1" applyAlignment="1">
      <alignment vertical="center" shrinkToFit="1"/>
    </xf>
    <xf numFmtId="190" fontId="5" fillId="0" borderId="19" xfId="0" applyNumberFormat="1" applyFont="1" applyBorder="1" applyAlignment="1">
      <alignment vertical="center" shrinkToFit="1"/>
    </xf>
    <xf numFmtId="190" fontId="5" fillId="0" borderId="23" xfId="0" applyNumberFormat="1" applyFont="1" applyBorder="1" applyAlignment="1">
      <alignment vertical="center" shrinkToFit="1"/>
    </xf>
    <xf numFmtId="183" fontId="5" fillId="0" borderId="38" xfId="0" applyNumberFormat="1" applyFont="1" applyFill="1" applyBorder="1" applyAlignment="1">
      <alignment horizontal="center" vertical="center" shrinkToFit="1"/>
    </xf>
    <xf numFmtId="185" fontId="5" fillId="0" borderId="105" xfId="0" applyNumberFormat="1" applyFont="1" applyBorder="1" applyAlignment="1">
      <alignment horizontal="right" vertical="center" shrinkToFit="1"/>
    </xf>
    <xf numFmtId="183" fontId="5" fillId="0" borderId="59" xfId="0" applyNumberFormat="1" applyFont="1" applyFill="1" applyBorder="1" applyAlignment="1">
      <alignment vertical="center" shrinkToFit="1"/>
    </xf>
    <xf numFmtId="190" fontId="5" fillId="0" borderId="90" xfId="1" applyNumberFormat="1" applyFont="1" applyBorder="1" applyAlignment="1">
      <alignment vertical="center" shrinkToFit="1"/>
    </xf>
    <xf numFmtId="190" fontId="5" fillId="0" borderId="95" xfId="1" applyNumberFormat="1" applyFont="1" applyBorder="1" applyAlignment="1">
      <alignment vertical="center" shrinkToFit="1"/>
    </xf>
    <xf numFmtId="190" fontId="5" fillId="0" borderId="63" xfId="1" applyNumberFormat="1" applyFont="1" applyBorder="1" applyAlignment="1">
      <alignment vertical="center" shrinkToFit="1"/>
    </xf>
    <xf numFmtId="183" fontId="5" fillId="6" borderId="14" xfId="0" applyNumberFormat="1" applyFont="1" applyFill="1" applyBorder="1" applyAlignment="1">
      <alignment vertical="center" shrinkToFit="1"/>
    </xf>
    <xf numFmtId="190" fontId="5" fillId="6" borderId="16" xfId="1" applyNumberFormat="1" applyFont="1" applyFill="1" applyBorder="1" applyAlignment="1">
      <alignment vertical="center" shrinkToFit="1"/>
    </xf>
    <xf numFmtId="0" fontId="5" fillId="0" borderId="107" xfId="1" applyFont="1" applyBorder="1" applyAlignment="1">
      <alignment vertical="center" shrinkToFit="1"/>
    </xf>
    <xf numFmtId="190" fontId="5" fillId="0" borderId="17" xfId="1" applyNumberFormat="1" applyFont="1" applyBorder="1" applyAlignment="1">
      <alignment vertical="center" shrinkToFit="1"/>
    </xf>
    <xf numFmtId="190" fontId="5" fillId="2" borderId="17" xfId="1" applyNumberFormat="1" applyFont="1" applyFill="1" applyBorder="1" applyAlignment="1">
      <alignment vertical="center" shrinkToFit="1"/>
    </xf>
    <xf numFmtId="190" fontId="5" fillId="0" borderId="60" xfId="1" applyNumberFormat="1" applyFont="1" applyBorder="1" applyAlignment="1">
      <alignment vertical="center" shrinkToFit="1"/>
    </xf>
    <xf numFmtId="190" fontId="5" fillId="5" borderId="17" xfId="1" applyNumberFormat="1" applyFont="1" applyFill="1" applyBorder="1" applyAlignment="1">
      <alignment vertical="center" shrinkToFit="1"/>
    </xf>
    <xf numFmtId="190" fontId="5" fillId="5" borderId="95" xfId="1" applyNumberFormat="1" applyFont="1" applyFill="1" applyBorder="1" applyAlignment="1">
      <alignment vertical="center" shrinkToFit="1"/>
    </xf>
    <xf numFmtId="183" fontId="5" fillId="5" borderId="108" xfId="1" applyNumberFormat="1" applyFont="1" applyFill="1" applyBorder="1" applyAlignment="1">
      <alignment vertical="center" shrinkToFit="1"/>
    </xf>
    <xf numFmtId="185" fontId="5" fillId="0" borderId="108" xfId="0" applyNumberFormat="1" applyFont="1" applyFill="1" applyBorder="1" applyAlignment="1">
      <alignment vertical="center"/>
    </xf>
    <xf numFmtId="184" fontId="7" fillId="5" borderId="29" xfId="1" applyNumberFormat="1" applyFont="1" applyFill="1" applyBorder="1" applyAlignment="1">
      <alignment vertical="center" shrinkToFit="1"/>
    </xf>
    <xf numFmtId="184" fontId="7" fillId="5" borderId="36" xfId="1" applyNumberFormat="1" applyFont="1" applyFill="1" applyBorder="1" applyAlignment="1">
      <alignment vertical="center" shrinkToFit="1"/>
    </xf>
    <xf numFmtId="190" fontId="5" fillId="0" borderId="93" xfId="1" applyNumberFormat="1" applyFont="1" applyBorder="1" applyAlignment="1">
      <alignment vertical="center" shrinkToFit="1"/>
    </xf>
    <xf numFmtId="190" fontId="5" fillId="0" borderId="109" xfId="1" applyNumberFormat="1" applyFont="1" applyBorder="1" applyAlignment="1">
      <alignment vertical="center" shrinkToFit="1"/>
    </xf>
    <xf numFmtId="190" fontId="5" fillId="6" borderId="63" xfId="1" applyNumberFormat="1" applyFont="1" applyFill="1" applyBorder="1" applyAlignment="1">
      <alignment vertical="center" shrinkToFit="1"/>
    </xf>
    <xf numFmtId="190" fontId="5" fillId="6" borderId="17" xfId="1" applyNumberFormat="1" applyFont="1" applyFill="1" applyBorder="1" applyAlignment="1">
      <alignment vertical="center" shrinkToFit="1"/>
    </xf>
    <xf numFmtId="190" fontId="5" fillId="6" borderId="61" xfId="1" applyNumberFormat="1" applyFont="1" applyFill="1" applyBorder="1" applyAlignment="1">
      <alignment vertical="center" shrinkToFit="1"/>
    </xf>
    <xf numFmtId="190" fontId="5" fillId="6" borderId="85" xfId="1" applyNumberFormat="1" applyFont="1" applyFill="1" applyBorder="1" applyAlignment="1">
      <alignment vertical="center" shrinkToFit="1"/>
    </xf>
    <xf numFmtId="190" fontId="5" fillId="6" borderId="110" xfId="1" applyNumberFormat="1" applyFont="1" applyFill="1" applyBorder="1" applyAlignment="1">
      <alignment vertical="center" shrinkToFit="1"/>
    </xf>
    <xf numFmtId="190" fontId="5" fillId="6" borderId="19" xfId="1" applyNumberFormat="1" applyFont="1" applyFill="1" applyBorder="1" applyAlignment="1">
      <alignment vertical="center" shrinkToFit="1"/>
    </xf>
    <xf numFmtId="183" fontId="5" fillId="6" borderId="59" xfId="1" applyNumberFormat="1" applyFont="1" applyFill="1" applyBorder="1" applyAlignment="1">
      <alignment vertical="center" shrinkToFit="1"/>
    </xf>
    <xf numFmtId="183" fontId="5" fillId="6" borderId="13" xfId="1" applyNumberFormat="1" applyFont="1" applyFill="1" applyBorder="1" applyAlignment="1">
      <alignment vertical="center" shrinkToFit="1"/>
    </xf>
    <xf numFmtId="0" fontId="5" fillId="0" borderId="32" xfId="0" applyFont="1" applyBorder="1" applyAlignment="1">
      <alignment vertical="center"/>
    </xf>
    <xf numFmtId="191" fontId="5" fillId="0" borderId="63" xfId="1" applyNumberFormat="1" applyFont="1" applyBorder="1" applyAlignment="1">
      <alignment horizontal="center" vertical="center" shrinkToFit="1"/>
    </xf>
    <xf numFmtId="191" fontId="5" fillId="0" borderId="78" xfId="1" applyNumberFormat="1" applyFont="1" applyBorder="1" applyAlignment="1">
      <alignment horizontal="center" vertical="center" shrinkToFit="1"/>
    </xf>
    <xf numFmtId="191" fontId="5" fillId="0" borderId="61" xfId="1" applyNumberFormat="1" applyFont="1" applyBorder="1" applyAlignment="1">
      <alignment horizontal="center" vertical="center" shrinkToFit="1"/>
    </xf>
    <xf numFmtId="0" fontId="5" fillId="0" borderId="78" xfId="1" applyFont="1" applyBorder="1" applyAlignment="1">
      <alignment horizontal="right" vertical="center" shrinkToFit="1"/>
    </xf>
    <xf numFmtId="0" fontId="5" fillId="0" borderId="19" xfId="1" applyFont="1" applyBorder="1" applyAlignment="1">
      <alignment horizontal="right" vertical="center" shrinkToFit="1"/>
    </xf>
    <xf numFmtId="0" fontId="5" fillId="0" borderId="111" xfId="1" applyFont="1" applyBorder="1" applyAlignment="1">
      <alignment horizontal="right" vertical="center" shrinkToFit="1"/>
    </xf>
    <xf numFmtId="0" fontId="5" fillId="0" borderId="17" xfId="1" applyFont="1" applyBorder="1" applyAlignment="1">
      <alignment horizontal="right" vertical="center" shrinkToFit="1"/>
    </xf>
    <xf numFmtId="183" fontId="5" fillId="8" borderId="4" xfId="0" applyNumberFormat="1" applyFont="1" applyFill="1" applyBorder="1" applyAlignment="1">
      <alignment vertical="center" shrinkToFit="1"/>
    </xf>
    <xf numFmtId="183" fontId="5" fillId="8" borderId="5" xfId="0" applyNumberFormat="1" applyFont="1" applyFill="1" applyBorder="1" applyAlignment="1">
      <alignment vertical="center" shrinkToFit="1"/>
    </xf>
    <xf numFmtId="183" fontId="5" fillId="8" borderId="8" xfId="0" applyNumberFormat="1" applyFont="1" applyFill="1" applyBorder="1" applyAlignment="1">
      <alignment vertical="center" shrinkToFit="1"/>
    </xf>
    <xf numFmtId="183" fontId="5" fillId="8" borderId="14" xfId="0" applyNumberFormat="1" applyFont="1" applyFill="1" applyBorder="1" applyAlignment="1">
      <alignment vertical="center" shrinkToFit="1"/>
    </xf>
    <xf numFmtId="183" fontId="5" fillId="8" borderId="44" xfId="0" applyNumberFormat="1" applyFont="1" applyFill="1" applyBorder="1" applyAlignment="1">
      <alignment vertical="center" shrinkToFit="1"/>
    </xf>
    <xf numFmtId="183" fontId="5" fillId="8" borderId="20" xfId="0" applyNumberFormat="1" applyFont="1" applyFill="1" applyBorder="1" applyAlignment="1">
      <alignment vertical="center" shrinkToFit="1"/>
    </xf>
    <xf numFmtId="183" fontId="5" fillId="8" borderId="6" xfId="0" applyNumberFormat="1" applyFont="1" applyFill="1" applyBorder="1" applyAlignment="1">
      <alignment vertical="center" shrinkToFit="1"/>
    </xf>
    <xf numFmtId="0" fontId="5" fillId="0" borderId="57" xfId="1" applyFont="1" applyBorder="1" applyAlignment="1">
      <alignment horizontal="center" vertical="center" shrinkToFit="1"/>
    </xf>
    <xf numFmtId="0" fontId="5" fillId="0" borderId="58" xfId="1" applyFont="1" applyBorder="1" applyAlignment="1">
      <alignment horizontal="center" vertical="center" shrinkToFit="1"/>
    </xf>
    <xf numFmtId="0" fontId="5" fillId="0" borderId="30" xfId="1" applyFont="1" applyBorder="1" applyAlignment="1">
      <alignment horizontal="center" vertical="center" shrinkToFit="1"/>
    </xf>
    <xf numFmtId="0" fontId="5" fillId="0" borderId="56" xfId="1" applyFont="1" applyBorder="1" applyAlignment="1">
      <alignment horizontal="center" vertical="center" shrinkToFit="1"/>
    </xf>
    <xf numFmtId="183" fontId="5" fillId="8" borderId="4" xfId="1" applyNumberFormat="1" applyFont="1" applyFill="1" applyBorder="1" applyAlignment="1">
      <alignment vertical="center" shrinkToFit="1"/>
    </xf>
    <xf numFmtId="183" fontId="5" fillId="8" borderId="42" xfId="1" applyNumberFormat="1" applyFont="1" applyFill="1" applyBorder="1" applyAlignment="1">
      <alignment vertical="center" shrinkToFit="1"/>
    </xf>
    <xf numFmtId="183" fontId="5" fillId="8" borderId="6" xfId="1" applyNumberFormat="1" applyFont="1" applyFill="1" applyBorder="1" applyAlignment="1">
      <alignment vertical="center" shrinkToFit="1"/>
    </xf>
    <xf numFmtId="183" fontId="5" fillId="8" borderId="5" xfId="1" applyNumberFormat="1" applyFont="1" applyFill="1" applyBorder="1" applyAlignment="1">
      <alignment vertical="center" shrinkToFit="1"/>
    </xf>
    <xf numFmtId="183" fontId="5" fillId="8" borderId="13" xfId="1" applyNumberFormat="1" applyFont="1" applyFill="1" applyBorder="1" applyAlignment="1">
      <alignment vertical="center" shrinkToFit="1"/>
    </xf>
    <xf numFmtId="190" fontId="5" fillId="0" borderId="100" xfId="0" applyNumberFormat="1" applyFont="1" applyBorder="1" applyAlignment="1">
      <alignment vertical="center" shrinkToFit="1"/>
    </xf>
    <xf numFmtId="190" fontId="5" fillId="0" borderId="101" xfId="0" applyNumberFormat="1" applyFont="1" applyBorder="1" applyAlignment="1">
      <alignment vertical="center" shrinkToFit="1"/>
    </xf>
    <xf numFmtId="183" fontId="5" fillId="9" borderId="5" xfId="1" applyNumberFormat="1" applyFont="1" applyFill="1" applyBorder="1" applyAlignment="1">
      <alignment vertical="center" shrinkToFit="1"/>
    </xf>
    <xf numFmtId="183" fontId="5" fillId="9" borderId="8" xfId="1" applyNumberFormat="1" applyFont="1" applyFill="1" applyBorder="1" applyAlignment="1">
      <alignment vertical="center" shrinkToFit="1"/>
    </xf>
    <xf numFmtId="183" fontId="5" fillId="9" borderId="12" xfId="1" applyNumberFormat="1" applyFont="1" applyFill="1" applyBorder="1" applyAlignment="1">
      <alignment vertical="center" shrinkToFit="1"/>
    </xf>
    <xf numFmtId="183" fontId="5" fillId="9" borderId="6" xfId="1" applyNumberFormat="1" applyFont="1" applyFill="1" applyBorder="1" applyAlignment="1">
      <alignment vertical="center" shrinkToFit="1"/>
    </xf>
    <xf numFmtId="189" fontId="5" fillId="0" borderId="102" xfId="0" applyNumberFormat="1" applyFont="1" applyFill="1" applyBorder="1" applyAlignment="1">
      <alignment horizontal="left" vertical="center" shrinkToFit="1"/>
    </xf>
    <xf numFmtId="181" fontId="5" fillId="3" borderId="102" xfId="0" applyNumberFormat="1" applyFont="1" applyFill="1" applyBorder="1" applyAlignment="1">
      <alignment vertical="center" shrinkToFit="1"/>
    </xf>
    <xf numFmtId="183" fontId="5" fillId="0" borderId="106" xfId="0" applyNumberFormat="1" applyFont="1" applyFill="1" applyBorder="1" applyAlignment="1">
      <alignment vertical="center" shrinkToFit="1"/>
    </xf>
    <xf numFmtId="196" fontId="7" fillId="0" borderId="3" xfId="0" applyNumberFormat="1" applyFont="1" applyFill="1" applyBorder="1" applyAlignment="1">
      <alignment vertical="center" shrinkToFit="1"/>
    </xf>
    <xf numFmtId="2" fontId="7" fillId="0" borderId="70" xfId="0" applyNumberFormat="1" applyFont="1" applyFill="1" applyBorder="1" applyAlignment="1">
      <alignment vertical="center" shrinkToFit="1"/>
    </xf>
    <xf numFmtId="2" fontId="7" fillId="0" borderId="3" xfId="0" applyNumberFormat="1" applyFont="1" applyFill="1" applyBorder="1" applyAlignment="1">
      <alignment vertical="center" shrinkToFit="1"/>
    </xf>
    <xf numFmtId="180" fontId="7" fillId="3" borderId="10" xfId="0" applyNumberFormat="1" applyFont="1" applyFill="1" applyBorder="1" applyAlignment="1">
      <alignment vertical="center"/>
    </xf>
    <xf numFmtId="180" fontId="7" fillId="3" borderId="11" xfId="0" applyNumberFormat="1" applyFont="1" applyFill="1" applyBorder="1" applyAlignment="1">
      <alignment vertical="center"/>
    </xf>
    <xf numFmtId="180" fontId="7" fillId="3" borderId="7" xfId="0" applyNumberFormat="1" applyFont="1" applyFill="1" applyBorder="1" applyAlignment="1">
      <alignment vertical="center"/>
    </xf>
    <xf numFmtId="183" fontId="5" fillId="2" borderId="46" xfId="1" applyNumberFormat="1" applyFont="1" applyFill="1" applyBorder="1" applyAlignment="1">
      <alignment vertical="center" shrinkToFit="1"/>
    </xf>
    <xf numFmtId="185" fontId="5" fillId="0" borderId="46" xfId="0" applyNumberFormat="1" applyFont="1" applyFill="1" applyBorder="1" applyAlignment="1">
      <alignment vertical="center"/>
    </xf>
    <xf numFmtId="180" fontId="7" fillId="3" borderId="59" xfId="0" applyNumberFormat="1" applyFont="1" applyFill="1" applyBorder="1" applyAlignment="1">
      <alignment vertical="center"/>
    </xf>
    <xf numFmtId="183" fontId="5" fillId="0" borderId="7" xfId="0" applyNumberFormat="1" applyFont="1" applyFill="1" applyBorder="1" applyAlignment="1">
      <alignment vertical="center" shrinkToFit="1"/>
    </xf>
    <xf numFmtId="177" fontId="5" fillId="0" borderId="59" xfId="0" applyNumberFormat="1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95" xfId="0" applyFont="1" applyBorder="1" applyAlignment="1">
      <alignment horizontal="right" vertical="center"/>
    </xf>
    <xf numFmtId="0" fontId="0" fillId="0" borderId="22" xfId="0" applyFont="1" applyBorder="1" applyAlignment="1">
      <alignment horizontal="right" vertical="center"/>
    </xf>
    <xf numFmtId="0" fontId="5" fillId="3" borderId="95" xfId="0" applyFont="1" applyFill="1" applyBorder="1" applyAlignment="1">
      <alignment vertical="center" shrinkToFit="1"/>
    </xf>
    <xf numFmtId="0" fontId="5" fillId="0" borderId="22" xfId="0" applyFont="1" applyBorder="1" applyAlignment="1">
      <alignment horizontal="right" vertical="center"/>
    </xf>
    <xf numFmtId="0" fontId="5" fillId="2" borderId="95" xfId="0" applyFont="1" applyFill="1" applyBorder="1" applyAlignment="1">
      <alignment vertical="center" shrinkToFit="1"/>
    </xf>
    <xf numFmtId="49" fontId="5" fillId="0" borderId="22" xfId="0" applyNumberFormat="1" applyFont="1" applyBorder="1" applyAlignment="1">
      <alignment horizontal="right" vertical="center"/>
    </xf>
    <xf numFmtId="0" fontId="20" fillId="0" borderId="22" xfId="0" applyFont="1" applyBorder="1" applyAlignment="1">
      <alignment horizontal="right" vertical="center"/>
    </xf>
    <xf numFmtId="0" fontId="5" fillId="2" borderId="112" xfId="0" applyFont="1" applyFill="1" applyBorder="1" applyAlignment="1">
      <alignment vertical="center" shrinkToFit="1"/>
    </xf>
    <xf numFmtId="0" fontId="5" fillId="0" borderId="113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0" fillId="0" borderId="8" xfId="0" applyFont="1" applyBorder="1" applyAlignment="1">
      <alignment vertical="center" wrapText="1"/>
    </xf>
    <xf numFmtId="178" fontId="5" fillId="0" borderId="21" xfId="0" applyNumberFormat="1" applyFont="1" applyFill="1" applyBorder="1" applyAlignment="1">
      <alignment vertical="center" shrinkToFit="1"/>
    </xf>
    <xf numFmtId="178" fontId="5" fillId="0" borderId="114" xfId="0" applyNumberFormat="1" applyFont="1" applyFill="1" applyBorder="1" applyAlignment="1">
      <alignment horizontal="center" vertical="center" shrinkToFit="1"/>
    </xf>
    <xf numFmtId="178" fontId="5" fillId="0" borderId="22" xfId="0" applyNumberFormat="1" applyFont="1" applyFill="1" applyBorder="1" applyAlignment="1">
      <alignment vertical="center" shrinkToFit="1"/>
    </xf>
    <xf numFmtId="178" fontId="5" fillId="0" borderId="115" xfId="0" applyNumberFormat="1" applyFont="1" applyFill="1" applyBorder="1" applyAlignment="1">
      <alignment horizontal="center" vertical="center" shrinkToFit="1"/>
    </xf>
    <xf numFmtId="178" fontId="5" fillId="0" borderId="23" xfId="0" applyNumberFormat="1" applyFont="1" applyFill="1" applyBorder="1" applyAlignment="1">
      <alignment vertical="center" shrinkToFit="1"/>
    </xf>
    <xf numFmtId="178" fontId="5" fillId="0" borderId="116" xfId="0" applyNumberFormat="1" applyFont="1" applyFill="1" applyBorder="1" applyAlignment="1">
      <alignment horizontal="center" vertical="center" shrinkToFit="1"/>
    </xf>
    <xf numFmtId="183" fontId="5" fillId="0" borderId="56" xfId="0" applyNumberFormat="1" applyFont="1" applyFill="1" applyBorder="1" applyAlignment="1">
      <alignment horizontal="center" vertical="center" shrinkToFit="1"/>
    </xf>
    <xf numFmtId="178" fontId="5" fillId="0" borderId="49" xfId="0" applyNumberFormat="1" applyFont="1" applyFill="1" applyBorder="1" applyAlignment="1">
      <alignment vertical="center" shrinkToFit="1"/>
    </xf>
    <xf numFmtId="178" fontId="5" fillId="0" borderId="117" xfId="0" applyNumberFormat="1" applyFont="1" applyFill="1" applyBorder="1" applyAlignment="1">
      <alignment horizontal="center" vertical="center" shrinkToFit="1"/>
    </xf>
    <xf numFmtId="178" fontId="5" fillId="0" borderId="64" xfId="0" applyNumberFormat="1" applyFont="1" applyFill="1" applyBorder="1" applyAlignment="1">
      <alignment vertical="center" shrinkToFit="1"/>
    </xf>
    <xf numFmtId="178" fontId="5" fillId="0" borderId="118" xfId="0" applyNumberFormat="1" applyFont="1" applyFill="1" applyBorder="1" applyAlignment="1">
      <alignment horizontal="center" vertical="center" shrinkToFit="1"/>
    </xf>
    <xf numFmtId="178" fontId="5" fillId="0" borderId="62" xfId="0" applyNumberFormat="1" applyFont="1" applyFill="1" applyBorder="1" applyAlignment="1">
      <alignment vertical="center" shrinkToFit="1"/>
    </xf>
    <xf numFmtId="178" fontId="5" fillId="0" borderId="119" xfId="0" applyNumberFormat="1" applyFont="1" applyFill="1" applyBorder="1" applyAlignment="1">
      <alignment horizontal="center" vertical="center" shrinkToFit="1"/>
    </xf>
    <xf numFmtId="183" fontId="5" fillId="0" borderId="57" xfId="0" applyNumberFormat="1" applyFont="1" applyFill="1" applyBorder="1" applyAlignment="1">
      <alignment horizontal="center" vertical="center" shrinkToFit="1"/>
    </xf>
    <xf numFmtId="178" fontId="5" fillId="0" borderId="85" xfId="0" applyNumberFormat="1" applyFont="1" applyFill="1" applyBorder="1" applyAlignment="1">
      <alignment vertical="center" shrinkToFit="1"/>
    </xf>
    <xf numFmtId="178" fontId="5" fillId="0" borderId="120" xfId="0" applyNumberFormat="1" applyFont="1" applyFill="1" applyBorder="1" applyAlignment="1">
      <alignment horizontal="center" vertical="center" shrinkToFit="1"/>
    </xf>
    <xf numFmtId="178" fontId="5" fillId="0" borderId="103" xfId="0" applyNumberFormat="1" applyFont="1" applyFill="1" applyBorder="1" applyAlignment="1">
      <alignment vertical="center" shrinkToFit="1"/>
    </xf>
    <xf numFmtId="178" fontId="5" fillId="0" borderId="121" xfId="0" applyNumberFormat="1" applyFont="1" applyFill="1" applyBorder="1" applyAlignment="1">
      <alignment horizontal="center" vertical="center" shrinkToFit="1"/>
    </xf>
    <xf numFmtId="178" fontId="5" fillId="0" borderId="114" xfId="0" applyNumberFormat="1" applyFont="1" applyFill="1" applyBorder="1" applyAlignment="1">
      <alignment vertical="center" shrinkToFit="1"/>
    </xf>
    <xf numFmtId="178" fontId="5" fillId="0" borderId="115" xfId="0" applyNumberFormat="1" applyFont="1" applyFill="1" applyBorder="1" applyAlignment="1">
      <alignment vertical="center" shrinkToFit="1"/>
    </xf>
    <xf numFmtId="178" fontId="5" fillId="0" borderId="116" xfId="0" applyNumberFormat="1" applyFont="1" applyFill="1" applyBorder="1" applyAlignment="1">
      <alignment vertical="center" shrinkToFit="1"/>
    </xf>
    <xf numFmtId="181" fontId="7" fillId="4" borderId="70" xfId="0" applyNumberFormat="1" applyFont="1" applyFill="1" applyBorder="1" applyAlignment="1">
      <alignment vertical="center" shrinkToFit="1"/>
    </xf>
    <xf numFmtId="181" fontId="7" fillId="4" borderId="1" xfId="1" applyNumberFormat="1" applyFont="1" applyFill="1" applyBorder="1" applyAlignment="1">
      <alignment vertical="center" shrinkToFit="1"/>
    </xf>
    <xf numFmtId="181" fontId="7" fillId="5" borderId="29" xfId="1" applyNumberFormat="1" applyFont="1" applyFill="1" applyBorder="1" applyAlignment="1">
      <alignment vertical="center" shrinkToFit="1"/>
    </xf>
    <xf numFmtId="181" fontId="7" fillId="5" borderId="36" xfId="1" applyNumberFormat="1" applyFont="1" applyFill="1" applyBorder="1" applyAlignment="1">
      <alignment vertical="center" shrinkToFit="1"/>
    </xf>
    <xf numFmtId="181" fontId="7" fillId="4" borderId="70" xfId="1" applyNumberFormat="1" applyFont="1" applyFill="1" applyBorder="1" applyAlignment="1">
      <alignment vertical="center" shrinkToFit="1"/>
    </xf>
    <xf numFmtId="181" fontId="7" fillId="4" borderId="43" xfId="1" applyNumberFormat="1" applyFont="1" applyFill="1" applyBorder="1" applyAlignment="1">
      <alignment vertical="center" shrinkToFit="1"/>
    </xf>
    <xf numFmtId="181" fontId="7" fillId="4" borderId="71" xfId="1" applyNumberFormat="1" applyFont="1" applyFill="1" applyBorder="1" applyAlignment="1">
      <alignment vertical="center" shrinkToFit="1"/>
    </xf>
    <xf numFmtId="181" fontId="7" fillId="4" borderId="36" xfId="1" applyNumberFormat="1" applyFont="1" applyFill="1" applyBorder="1" applyAlignment="1">
      <alignment vertical="center" shrinkToFit="1"/>
    </xf>
    <xf numFmtId="181" fontId="7" fillId="5" borderId="71" xfId="1" applyNumberFormat="1" applyFont="1" applyFill="1" applyBorder="1" applyAlignment="1">
      <alignment vertical="center" shrinkToFit="1"/>
    </xf>
    <xf numFmtId="181" fontId="7" fillId="4" borderId="37" xfId="1" applyNumberFormat="1" applyFont="1" applyFill="1" applyBorder="1" applyAlignment="1">
      <alignment vertical="center" shrinkToFit="1"/>
    </xf>
    <xf numFmtId="181" fontId="7" fillId="4" borderId="122" xfId="0" applyNumberFormat="1" applyFont="1" applyFill="1" applyBorder="1" applyAlignment="1">
      <alignment vertical="center" shrinkToFit="1"/>
    </xf>
    <xf numFmtId="181" fontId="7" fillId="4" borderId="123" xfId="0" applyNumberFormat="1" applyFont="1" applyFill="1" applyBorder="1" applyAlignment="1">
      <alignment vertical="center" shrinkToFit="1"/>
    </xf>
    <xf numFmtId="181" fontId="7" fillId="4" borderId="124" xfId="0" applyNumberFormat="1" applyFont="1" applyFill="1" applyBorder="1" applyAlignment="1">
      <alignment vertical="center" shrinkToFit="1"/>
    </xf>
    <xf numFmtId="178" fontId="5" fillId="0" borderId="119" xfId="0" applyNumberFormat="1" applyFont="1" applyFill="1" applyBorder="1" applyAlignment="1">
      <alignment vertical="center" shrinkToFit="1"/>
    </xf>
    <xf numFmtId="181" fontId="7" fillId="4" borderId="125" xfId="0" applyNumberFormat="1" applyFont="1" applyFill="1" applyBorder="1" applyAlignment="1">
      <alignment vertical="center" shrinkToFit="1"/>
    </xf>
    <xf numFmtId="178" fontId="5" fillId="0" borderId="118" xfId="0" applyNumberFormat="1" applyFont="1" applyFill="1" applyBorder="1" applyAlignment="1">
      <alignment vertical="center" shrinkToFit="1"/>
    </xf>
    <xf numFmtId="181" fontId="7" fillId="4" borderId="126" xfId="0" applyNumberFormat="1" applyFont="1" applyFill="1" applyBorder="1" applyAlignment="1">
      <alignment vertical="center" shrinkToFit="1"/>
    </xf>
    <xf numFmtId="181" fontId="7" fillId="4" borderId="127" xfId="0" applyNumberFormat="1" applyFont="1" applyFill="1" applyBorder="1" applyAlignment="1">
      <alignment vertical="center" shrinkToFit="1"/>
    </xf>
    <xf numFmtId="178" fontId="5" fillId="0" borderId="101" xfId="0" applyNumberFormat="1" applyFont="1" applyFill="1" applyBorder="1" applyAlignment="1">
      <alignment vertical="center" shrinkToFit="1"/>
    </xf>
    <xf numFmtId="178" fontId="5" fillId="0" borderId="128" xfId="0" applyNumberFormat="1" applyFont="1" applyFill="1" applyBorder="1" applyAlignment="1">
      <alignment horizontal="center" vertical="center" shrinkToFit="1"/>
    </xf>
    <xf numFmtId="181" fontId="7" fillId="4" borderId="129" xfId="0" applyNumberFormat="1" applyFont="1" applyFill="1" applyBorder="1" applyAlignment="1">
      <alignment vertical="center" shrinkToFit="1"/>
    </xf>
    <xf numFmtId="178" fontId="5" fillId="0" borderId="120" xfId="0" applyNumberFormat="1" applyFont="1" applyFill="1" applyBorder="1" applyAlignment="1">
      <alignment vertical="center" shrinkToFit="1"/>
    </xf>
    <xf numFmtId="181" fontId="7" fillId="4" borderId="29" xfId="0" applyNumberFormat="1" applyFont="1" applyFill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189" fontId="5" fillId="0" borderId="61" xfId="0" applyNumberFormat="1" applyFont="1" applyBorder="1" applyAlignment="1">
      <alignment vertical="center" shrinkToFit="1"/>
    </xf>
    <xf numFmtId="183" fontId="5" fillId="6" borderId="8" xfId="0" applyNumberFormat="1" applyFont="1" applyFill="1" applyBorder="1" applyAlignment="1">
      <alignment vertical="center" shrinkToFit="1"/>
    </xf>
    <xf numFmtId="183" fontId="5" fillId="0" borderId="22" xfId="0" applyNumberFormat="1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horizontal="center" vertical="center" shrinkToFit="1"/>
    </xf>
    <xf numFmtId="183" fontId="5" fillId="0" borderId="21" xfId="0" applyNumberFormat="1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114" xfId="0" applyFont="1" applyFill="1" applyBorder="1" applyAlignment="1">
      <alignment vertical="center" shrinkToFit="1"/>
    </xf>
    <xf numFmtId="0" fontId="5" fillId="0" borderId="115" xfId="0" applyFont="1" applyFill="1" applyBorder="1" applyAlignment="1">
      <alignment vertical="center" shrinkToFit="1"/>
    </xf>
    <xf numFmtId="183" fontId="5" fillId="0" borderId="23" xfId="0" applyNumberFormat="1" applyFont="1" applyFill="1" applyBorder="1" applyAlignment="1">
      <alignment vertical="center" shrinkToFit="1"/>
    </xf>
    <xf numFmtId="0" fontId="5" fillId="0" borderId="23" xfId="0" applyFont="1" applyFill="1" applyBorder="1" applyAlignment="1">
      <alignment vertical="center" shrinkToFit="1"/>
    </xf>
    <xf numFmtId="0" fontId="5" fillId="0" borderId="116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horizontal="center" vertical="center" shrinkToFit="1"/>
    </xf>
    <xf numFmtId="0" fontId="5" fillId="0" borderId="114" xfId="0" applyFont="1" applyFill="1" applyBorder="1" applyAlignment="1">
      <alignment horizontal="center" vertical="center" shrinkToFit="1"/>
    </xf>
    <xf numFmtId="0" fontId="5" fillId="0" borderId="115" xfId="0" applyFont="1" applyFill="1" applyBorder="1" applyAlignment="1">
      <alignment horizontal="center" vertical="center" shrinkToFit="1"/>
    </xf>
    <xf numFmtId="0" fontId="5" fillId="0" borderId="23" xfId="0" applyFont="1" applyFill="1" applyBorder="1" applyAlignment="1">
      <alignment horizontal="center" vertical="center" shrinkToFit="1"/>
    </xf>
    <xf numFmtId="0" fontId="5" fillId="0" borderId="116" xfId="0" applyFont="1" applyFill="1" applyBorder="1" applyAlignment="1">
      <alignment horizontal="center" vertical="center" shrinkToFit="1"/>
    </xf>
    <xf numFmtId="180" fontId="7" fillId="4" borderId="28" xfId="1" applyNumberFormat="1" applyFont="1" applyFill="1" applyBorder="1" applyAlignment="1">
      <alignment vertical="center" shrinkToFit="1"/>
    </xf>
    <xf numFmtId="180" fontId="7" fillId="4" borderId="36" xfId="1" applyNumberFormat="1" applyFont="1" applyFill="1" applyBorder="1" applyAlignment="1">
      <alignment vertical="center" shrinkToFit="1"/>
    </xf>
    <xf numFmtId="180" fontId="7" fillId="4" borderId="37" xfId="1" applyNumberFormat="1" applyFont="1" applyFill="1" applyBorder="1" applyAlignment="1">
      <alignment vertical="center" shrinkToFit="1"/>
    </xf>
    <xf numFmtId="180" fontId="7" fillId="4" borderId="1" xfId="1" applyNumberFormat="1" applyFont="1" applyFill="1" applyBorder="1" applyAlignment="1">
      <alignment vertical="center" shrinkToFit="1"/>
    </xf>
    <xf numFmtId="180" fontId="7" fillId="4" borderId="70" xfId="1" applyNumberFormat="1" applyFont="1" applyFill="1" applyBorder="1" applyAlignment="1">
      <alignment vertical="center" shrinkToFit="1"/>
    </xf>
    <xf numFmtId="180" fontId="7" fillId="4" borderId="2" xfId="1" applyNumberFormat="1" applyFont="1" applyFill="1" applyBorder="1" applyAlignment="1">
      <alignment vertical="center" shrinkToFit="1"/>
    </xf>
    <xf numFmtId="180" fontId="7" fillId="4" borderId="29" xfId="1" applyNumberFormat="1" applyFont="1" applyFill="1" applyBorder="1" applyAlignment="1">
      <alignment vertical="center" shrinkToFit="1"/>
    </xf>
    <xf numFmtId="180" fontId="7" fillId="4" borderId="27" xfId="1" applyNumberFormat="1" applyFont="1" applyFill="1" applyBorder="1" applyAlignment="1">
      <alignment vertical="center" shrinkToFit="1"/>
    </xf>
    <xf numFmtId="0" fontId="5" fillId="0" borderId="12" xfId="0" applyFont="1" applyFill="1" applyBorder="1" applyAlignment="1">
      <alignment vertical="center"/>
    </xf>
    <xf numFmtId="183" fontId="5" fillId="0" borderId="12" xfId="0" applyNumberFormat="1" applyFont="1" applyFill="1" applyBorder="1" applyAlignment="1">
      <alignment vertical="center"/>
    </xf>
    <xf numFmtId="181" fontId="5" fillId="0" borderId="28" xfId="0" applyNumberFormat="1" applyFont="1" applyFill="1" applyBorder="1" applyAlignment="1">
      <alignment vertical="center"/>
    </xf>
    <xf numFmtId="181" fontId="5" fillId="0" borderId="36" xfId="0" applyNumberFormat="1" applyFont="1" applyFill="1" applyBorder="1" applyAlignment="1">
      <alignment vertical="center"/>
    </xf>
    <xf numFmtId="181" fontId="5" fillId="0" borderId="37" xfId="0" applyNumberFormat="1" applyFont="1" applyFill="1" applyBorder="1" applyAlignment="1">
      <alignment vertical="center"/>
    </xf>
    <xf numFmtId="0" fontId="5" fillId="0" borderId="58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3" xfId="0" applyFont="1" applyFill="1" applyBorder="1" applyAlignment="1">
      <alignment horizontal="center" vertical="center" shrinkToFit="1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30" xfId="0" applyFont="1" applyBorder="1" applyAlignment="1">
      <alignment vertical="center"/>
    </xf>
    <xf numFmtId="0" fontId="5" fillId="0" borderId="131" xfId="0" applyFont="1" applyBorder="1" applyAlignment="1">
      <alignment horizontal="right" vertical="center"/>
    </xf>
    <xf numFmtId="0" fontId="0" fillId="0" borderId="23" xfId="0" applyFont="1" applyBorder="1" applyAlignment="1">
      <alignment horizontal="right" vertical="center"/>
    </xf>
    <xf numFmtId="0" fontId="5" fillId="3" borderId="13" xfId="0" applyFont="1" applyFill="1" applyBorder="1" applyAlignment="1">
      <alignment vertical="center"/>
    </xf>
    <xf numFmtId="183" fontId="5" fillId="0" borderId="13" xfId="0" applyNumberFormat="1" applyFont="1" applyBorder="1" applyAlignment="1">
      <alignment vertical="center"/>
    </xf>
    <xf numFmtId="0" fontId="5" fillId="0" borderId="132" xfId="0" applyFont="1" applyFill="1" applyBorder="1" applyAlignment="1">
      <alignment vertical="center" shrinkToFit="1"/>
    </xf>
    <xf numFmtId="0" fontId="5" fillId="0" borderId="40" xfId="0" applyFont="1" applyFill="1" applyBorder="1" applyAlignment="1">
      <alignment vertical="center" shrinkToFit="1"/>
    </xf>
    <xf numFmtId="189" fontId="5" fillId="0" borderId="39" xfId="0" applyNumberFormat="1" applyFont="1" applyFill="1" applyBorder="1" applyAlignment="1">
      <alignment horizontal="left" vertical="center" shrinkToFit="1"/>
    </xf>
    <xf numFmtId="181" fontId="5" fillId="3" borderId="39" xfId="0" applyNumberFormat="1" applyFont="1" applyFill="1" applyBorder="1" applyAlignment="1">
      <alignment vertical="center" shrinkToFit="1"/>
    </xf>
    <xf numFmtId="183" fontId="5" fillId="0" borderId="27" xfId="0" applyNumberFormat="1" applyFont="1" applyFill="1" applyBorder="1" applyAlignment="1">
      <alignment vertical="center" shrinkToFit="1"/>
    </xf>
    <xf numFmtId="183" fontId="5" fillId="8" borderId="40" xfId="0" applyNumberFormat="1" applyFont="1" applyFill="1" applyBorder="1" applyAlignment="1">
      <alignment vertical="center" shrinkToFit="1"/>
    </xf>
    <xf numFmtId="0" fontId="5" fillId="0" borderId="39" xfId="0" applyFont="1" applyFill="1" applyBorder="1" applyAlignment="1">
      <alignment vertical="center"/>
    </xf>
    <xf numFmtId="191" fontId="5" fillId="0" borderId="53" xfId="1" applyNumberFormat="1" applyFont="1" applyBorder="1" applyAlignment="1">
      <alignment vertical="center" shrinkToFit="1"/>
    </xf>
    <xf numFmtId="183" fontId="5" fillId="7" borderId="14" xfId="0" applyNumberFormat="1" applyFont="1" applyFill="1" applyBorder="1" applyAlignment="1">
      <alignment vertical="center" shrinkToFit="1"/>
    </xf>
    <xf numFmtId="183" fontId="5" fillId="7" borderId="8" xfId="0" applyNumberFormat="1" applyFont="1" applyFill="1" applyBorder="1" applyAlignment="1">
      <alignment vertical="center" shrinkToFit="1"/>
    </xf>
    <xf numFmtId="183" fontId="5" fillId="6" borderId="15" xfId="0" applyNumberFormat="1" applyFont="1" applyFill="1" applyBorder="1" applyAlignment="1">
      <alignment vertical="center" shrinkToFit="1"/>
    </xf>
    <xf numFmtId="183" fontId="5" fillId="6" borderId="40" xfId="0" applyNumberFormat="1" applyFont="1" applyFill="1" applyBorder="1" applyAlignment="1">
      <alignment vertical="center" shrinkToFit="1"/>
    </xf>
    <xf numFmtId="0" fontId="5" fillId="0" borderId="44" xfId="1" applyFont="1" applyBorder="1" applyAlignment="1">
      <alignment vertical="center" shrinkToFit="1"/>
    </xf>
    <xf numFmtId="0" fontId="5" fillId="0" borderId="78" xfId="1" applyFont="1" applyBorder="1" applyAlignment="1">
      <alignment vertical="center" shrinkToFit="1"/>
    </xf>
    <xf numFmtId="183" fontId="5" fillId="6" borderId="6" xfId="1" applyNumberFormat="1" applyFont="1" applyFill="1" applyBorder="1" applyAlignment="1">
      <alignment vertical="center" shrinkToFit="1"/>
    </xf>
    <xf numFmtId="181" fontId="7" fillId="0" borderId="122" xfId="0" applyNumberFormat="1" applyFont="1" applyFill="1" applyBorder="1" applyAlignment="1">
      <alignment vertical="center" shrinkToFit="1"/>
    </xf>
    <xf numFmtId="181" fontId="7" fillId="0" borderId="123" xfId="0" applyNumberFormat="1" applyFont="1" applyFill="1" applyBorder="1" applyAlignment="1">
      <alignment vertical="center" shrinkToFit="1"/>
    </xf>
    <xf numFmtId="181" fontId="7" fillId="0" borderId="125" xfId="0" applyNumberFormat="1" applyFont="1" applyFill="1" applyBorder="1" applyAlignment="1">
      <alignment vertical="center" shrinkToFit="1"/>
    </xf>
    <xf numFmtId="0" fontId="0" fillId="0" borderId="61" xfId="0" applyBorder="1" applyAlignment="1">
      <alignment horizontal="left" vertical="center" shrinkToFit="1"/>
    </xf>
    <xf numFmtId="0" fontId="5" fillId="0" borderId="83" xfId="1" applyFont="1" applyBorder="1" applyAlignment="1">
      <alignment horizontal="left" vertical="center" shrinkToFit="1"/>
    </xf>
    <xf numFmtId="0" fontId="0" fillId="0" borderId="53" xfId="0" applyBorder="1" applyAlignment="1">
      <alignment horizontal="left" vertical="center" shrinkToFit="1"/>
    </xf>
    <xf numFmtId="0" fontId="5" fillId="0" borderId="17" xfId="1" applyFont="1" applyBorder="1" applyAlignment="1">
      <alignment vertical="center" shrinkToFit="1"/>
    </xf>
    <xf numFmtId="0" fontId="5" fillId="0" borderId="78" xfId="1" applyFont="1" applyBorder="1" applyAlignment="1">
      <alignment vertical="center" shrinkToFit="1"/>
    </xf>
    <xf numFmtId="0" fontId="5" fillId="0" borderId="20" xfId="1" applyFont="1" applyBorder="1" applyAlignment="1">
      <alignment horizontal="left" vertical="center" shrinkToFit="1"/>
    </xf>
    <xf numFmtId="0" fontId="5" fillId="0" borderId="60" xfId="1" applyFont="1" applyBorder="1" applyAlignment="1">
      <alignment vertical="center" shrinkToFit="1"/>
    </xf>
    <xf numFmtId="183" fontId="5" fillId="0" borderId="108" xfId="0" applyNumberFormat="1" applyFont="1" applyBorder="1" applyAlignment="1">
      <alignment vertical="center" shrinkToFit="1"/>
    </xf>
    <xf numFmtId="181" fontId="7" fillId="0" borderId="198" xfId="0" applyNumberFormat="1" applyFont="1" applyFill="1" applyBorder="1" applyAlignment="1">
      <alignment vertical="center" shrinkToFit="1"/>
    </xf>
    <xf numFmtId="183" fontId="5" fillId="0" borderId="59" xfId="1" applyNumberFormat="1" applyFont="1" applyBorder="1" applyAlignment="1">
      <alignment vertical="center" shrinkToFit="1"/>
    </xf>
    <xf numFmtId="178" fontId="5" fillId="0" borderId="121" xfId="0" applyNumberFormat="1" applyFont="1" applyFill="1" applyBorder="1" applyAlignment="1">
      <alignment vertical="center" shrinkToFit="1"/>
    </xf>
    <xf numFmtId="181" fontId="7" fillId="0" borderId="36" xfId="0" applyNumberFormat="1" applyFont="1" applyFill="1" applyBorder="1" applyAlignment="1">
      <alignment vertical="center" shrinkToFit="1"/>
    </xf>
    <xf numFmtId="183" fontId="5" fillId="7" borderId="40" xfId="0" applyNumberFormat="1" applyFont="1" applyFill="1" applyBorder="1" applyAlignment="1">
      <alignment vertical="center" shrinkToFit="1"/>
    </xf>
    <xf numFmtId="183" fontId="5" fillId="5" borderId="44" xfId="1" applyNumberFormat="1" applyFont="1" applyFill="1" applyBorder="1" applyAlignment="1">
      <alignment vertical="center" shrinkToFit="1"/>
    </xf>
    <xf numFmtId="183" fontId="5" fillId="9" borderId="44" xfId="1" applyNumberFormat="1" applyFont="1" applyFill="1" applyBorder="1" applyAlignment="1">
      <alignment vertical="center" shrinkToFit="1"/>
    </xf>
    <xf numFmtId="181" fontId="7" fillId="4" borderId="55" xfId="1" applyNumberFormat="1" applyFont="1" applyFill="1" applyBorder="1" applyAlignment="1">
      <alignment vertical="center" shrinkToFit="1"/>
    </xf>
    <xf numFmtId="183" fontId="5" fillId="0" borderId="190" xfId="0" applyNumberFormat="1" applyFont="1" applyFill="1" applyBorder="1" applyAlignment="1">
      <alignment horizontal="center" vertical="center" shrinkToFit="1"/>
    </xf>
    <xf numFmtId="178" fontId="5" fillId="0" borderId="79" xfId="0" applyNumberFormat="1" applyFont="1" applyFill="1" applyBorder="1" applyAlignment="1">
      <alignment vertical="center" shrinkToFit="1"/>
    </xf>
    <xf numFmtId="178" fontId="5" fillId="0" borderId="199" xfId="0" applyNumberFormat="1" applyFont="1" applyFill="1" applyBorder="1" applyAlignment="1">
      <alignment vertical="center" shrinkToFit="1"/>
    </xf>
    <xf numFmtId="183" fontId="5" fillId="0" borderId="12" xfId="1" applyNumberFormat="1" applyFont="1" applyFill="1" applyBorder="1" applyAlignment="1">
      <alignment vertical="center" shrinkToFit="1"/>
    </xf>
    <xf numFmtId="181" fontId="5" fillId="3" borderId="5" xfId="0" applyNumberFormat="1" applyFont="1" applyFill="1" applyBorder="1" applyAlignment="1">
      <alignment vertical="center" shrinkToFit="1"/>
    </xf>
    <xf numFmtId="181" fontId="5" fillId="3" borderId="13" xfId="0" applyNumberFormat="1" applyFont="1" applyFill="1" applyBorder="1" applyAlignment="1">
      <alignment vertical="center" shrinkToFit="1"/>
    </xf>
    <xf numFmtId="181" fontId="5" fillId="3" borderId="12" xfId="0" applyNumberFormat="1" applyFont="1" applyFill="1" applyBorder="1" applyAlignment="1">
      <alignment vertical="center" shrinkToFit="1"/>
    </xf>
    <xf numFmtId="180" fontId="7" fillId="7" borderId="2" xfId="1" applyNumberFormat="1" applyFont="1" applyFill="1" applyBorder="1" applyAlignment="1">
      <alignment vertical="center" shrinkToFit="1"/>
    </xf>
    <xf numFmtId="180" fontId="7" fillId="7" borderId="70" xfId="1" applyNumberFormat="1" applyFont="1" applyFill="1" applyBorder="1" applyAlignment="1">
      <alignment vertical="center" shrinkToFit="1"/>
    </xf>
    <xf numFmtId="0" fontId="5" fillId="3" borderId="12" xfId="0" applyFont="1" applyFill="1" applyBorder="1" applyAlignment="1">
      <alignment vertical="center" shrinkToFit="1"/>
    </xf>
    <xf numFmtId="0" fontId="5" fillId="0" borderId="28" xfId="0" applyFont="1" applyFill="1" applyBorder="1" applyAlignment="1">
      <alignment vertical="center" shrinkToFit="1"/>
    </xf>
    <xf numFmtId="189" fontId="5" fillId="0" borderId="15" xfId="0" applyNumberFormat="1" applyFont="1" applyFill="1" applyBorder="1" applyAlignment="1">
      <alignment vertical="center" shrinkToFit="1"/>
    </xf>
    <xf numFmtId="189" fontId="5" fillId="0" borderId="21" xfId="0" applyNumberFormat="1" applyFont="1" applyFill="1" applyBorder="1" applyAlignment="1">
      <alignment vertical="center" shrinkToFit="1"/>
    </xf>
    <xf numFmtId="189" fontId="5" fillId="0" borderId="8" xfId="0" applyNumberFormat="1" applyFont="1" applyFill="1" applyBorder="1" applyAlignment="1">
      <alignment vertical="center" shrinkToFit="1"/>
    </xf>
    <xf numFmtId="189" fontId="5" fillId="0" borderId="22" xfId="0" applyNumberFormat="1" applyFont="1" applyFill="1" applyBorder="1" applyAlignment="1">
      <alignment vertical="center" shrinkToFit="1"/>
    </xf>
    <xf numFmtId="189" fontId="5" fillId="0" borderId="18" xfId="0" applyNumberFormat="1" applyFont="1" applyFill="1" applyBorder="1" applyAlignment="1">
      <alignment vertical="center" shrinkToFit="1"/>
    </xf>
    <xf numFmtId="189" fontId="5" fillId="0" borderId="23" xfId="0" applyNumberFormat="1" applyFont="1" applyFill="1" applyBorder="1" applyAlignment="1">
      <alignment vertical="center" shrinkToFit="1"/>
    </xf>
    <xf numFmtId="189" fontId="5" fillId="0" borderId="16" xfId="0" applyNumberFormat="1" applyFont="1" applyFill="1" applyBorder="1" applyAlignment="1">
      <alignment horizontal="center" vertical="center" shrinkToFit="1"/>
    </xf>
    <xf numFmtId="189" fontId="5" fillId="0" borderId="17" xfId="0" applyNumberFormat="1" applyFont="1" applyFill="1" applyBorder="1" applyAlignment="1">
      <alignment horizontal="center" vertical="center" shrinkToFit="1"/>
    </xf>
    <xf numFmtId="189" fontId="5" fillId="0" borderId="19" xfId="0" applyNumberFormat="1" applyFont="1" applyFill="1" applyBorder="1" applyAlignment="1">
      <alignment horizontal="center" vertical="center" shrinkToFit="1"/>
    </xf>
    <xf numFmtId="0" fontId="5" fillId="0" borderId="132" xfId="0" applyFont="1" applyFill="1" applyBorder="1" applyAlignment="1">
      <alignment horizontal="center" vertical="center" shrinkToFit="1"/>
    </xf>
    <xf numFmtId="181" fontId="5" fillId="3" borderId="5" xfId="0" applyNumberFormat="1" applyFont="1" applyFill="1" applyBorder="1" applyAlignment="1">
      <alignment vertical="center" shrinkToFit="1"/>
    </xf>
    <xf numFmtId="181" fontId="5" fillId="3" borderId="14" xfId="0" applyNumberFormat="1" applyFont="1" applyFill="1" applyBorder="1" applyAlignment="1">
      <alignment vertical="center" shrinkToFit="1"/>
    </xf>
    <xf numFmtId="181" fontId="5" fillId="3" borderId="13" xfId="0" applyNumberFormat="1" applyFont="1" applyFill="1" applyBorder="1" applyAlignment="1">
      <alignment vertical="center" shrinkToFit="1"/>
    </xf>
    <xf numFmtId="181" fontId="5" fillId="3" borderId="12" xfId="0" applyNumberFormat="1" applyFont="1" applyFill="1" applyBorder="1" applyAlignment="1">
      <alignment vertical="center" shrinkToFit="1"/>
    </xf>
    <xf numFmtId="185" fontId="5" fillId="0" borderId="40" xfId="1" applyNumberFormat="1" applyFont="1" applyBorder="1" applyAlignment="1">
      <alignment vertical="center" shrinkToFit="1"/>
    </xf>
    <xf numFmtId="185" fontId="5" fillId="0" borderId="44" xfId="1" applyNumberFormat="1" applyFont="1" applyBorder="1" applyAlignment="1">
      <alignment vertical="center" shrinkToFit="1"/>
    </xf>
    <xf numFmtId="185" fontId="5" fillId="0" borderId="18" xfId="1" applyNumberFormat="1" applyFont="1" applyBorder="1" applyAlignment="1">
      <alignment vertical="center" shrinkToFit="1"/>
    </xf>
    <xf numFmtId="185" fontId="5" fillId="0" borderId="15" xfId="1" applyNumberFormat="1" applyFont="1" applyBorder="1" applyAlignment="1">
      <alignment vertical="center" shrinkToFit="1"/>
    </xf>
    <xf numFmtId="185" fontId="5" fillId="0" borderId="20" xfId="1" applyNumberFormat="1" applyFont="1" applyBorder="1" applyAlignment="1">
      <alignment vertical="center" shrinkToFit="1"/>
    </xf>
    <xf numFmtId="185" fontId="5" fillId="5" borderId="18" xfId="1" applyNumberFormat="1" applyFont="1" applyFill="1" applyBorder="1" applyAlignment="1">
      <alignment vertical="center" shrinkToFit="1"/>
    </xf>
    <xf numFmtId="0" fontId="5" fillId="0" borderId="19" xfId="1" applyFont="1" applyBorder="1" applyAlignment="1">
      <alignment vertical="center" shrinkToFit="1"/>
    </xf>
    <xf numFmtId="0" fontId="5" fillId="0" borderId="44" xfId="1" applyFont="1" applyBorder="1" applyAlignment="1">
      <alignment vertical="center" shrinkToFit="1"/>
    </xf>
    <xf numFmtId="0" fontId="5" fillId="0" borderId="78" xfId="1" applyFont="1" applyBorder="1" applyAlignment="1">
      <alignment vertical="center" shrinkToFit="1"/>
    </xf>
    <xf numFmtId="0" fontId="5" fillId="0" borderId="60" xfId="1" applyFont="1" applyBorder="1" applyAlignment="1">
      <alignment vertical="center" shrinkToFit="1"/>
    </xf>
    <xf numFmtId="186" fontId="5" fillId="3" borderId="200" xfId="0" applyNumberFormat="1" applyFont="1" applyFill="1" applyBorder="1" applyAlignment="1">
      <alignment vertical="center"/>
    </xf>
    <xf numFmtId="0" fontId="5" fillId="0" borderId="201" xfId="0" applyFont="1" applyBorder="1" applyAlignment="1">
      <alignment vertical="center"/>
    </xf>
    <xf numFmtId="0" fontId="5" fillId="0" borderId="19" xfId="1" applyFont="1" applyBorder="1" applyAlignment="1">
      <alignment vertical="center" shrinkToFit="1"/>
    </xf>
    <xf numFmtId="0" fontId="5" fillId="0" borderId="78" xfId="1" applyFont="1" applyBorder="1" applyAlignment="1">
      <alignment vertical="center" shrinkToFit="1"/>
    </xf>
    <xf numFmtId="0" fontId="5" fillId="0" borderId="60" xfId="1" applyFont="1" applyBorder="1" applyAlignment="1">
      <alignment vertical="center" shrinkToFit="1"/>
    </xf>
    <xf numFmtId="0" fontId="5" fillId="0" borderId="141" xfId="1" applyFont="1" applyBorder="1" applyAlignment="1">
      <alignment vertical="center" shrinkToFit="1"/>
    </xf>
    <xf numFmtId="180" fontId="7" fillId="0" borderId="36" xfId="1" applyNumberFormat="1" applyFont="1" applyFill="1" applyBorder="1" applyAlignment="1">
      <alignment vertical="center" shrinkToFit="1"/>
    </xf>
    <xf numFmtId="190" fontId="5" fillId="5" borderId="22" xfId="1" applyNumberFormat="1" applyFont="1" applyFill="1" applyBorder="1" applyAlignment="1">
      <alignment vertical="center" shrinkToFit="1"/>
    </xf>
    <xf numFmtId="183" fontId="5" fillId="6" borderId="18" xfId="0" applyNumberFormat="1" applyFont="1" applyFill="1" applyBorder="1" applyAlignment="1">
      <alignment vertical="center" shrinkToFit="1"/>
    </xf>
    <xf numFmtId="0" fontId="5" fillId="0" borderId="141" xfId="1" applyFont="1" applyBorder="1" applyAlignment="1">
      <alignment horizontal="left" vertical="center" shrinkToFit="1"/>
    </xf>
    <xf numFmtId="0" fontId="0" fillId="0" borderId="78" xfId="0" applyFont="1" applyBorder="1" applyAlignment="1">
      <alignment horizontal="left" vertical="center" shrinkToFit="1"/>
    </xf>
    <xf numFmtId="183" fontId="5" fillId="9" borderId="42" xfId="1" applyNumberFormat="1" applyFont="1" applyFill="1" applyBorder="1" applyAlignment="1">
      <alignment vertical="center" shrinkToFit="1"/>
    </xf>
    <xf numFmtId="180" fontId="7" fillId="4" borderId="43" xfId="1" applyNumberFormat="1" applyFont="1" applyFill="1" applyBorder="1" applyAlignment="1">
      <alignment vertical="center" shrinkToFit="1"/>
    </xf>
    <xf numFmtId="183" fontId="5" fillId="2" borderId="59" xfId="1" applyNumberFormat="1" applyFont="1" applyFill="1" applyBorder="1" applyAlignment="1">
      <alignment vertical="center" shrinkToFit="1"/>
    </xf>
    <xf numFmtId="178" fontId="5" fillId="0" borderId="6" xfId="0" applyNumberFormat="1" applyFont="1" applyFill="1" applyBorder="1" applyAlignment="1">
      <alignment vertical="center" shrinkToFit="1"/>
    </xf>
    <xf numFmtId="178" fontId="5" fillId="0" borderId="70" xfId="0" applyNumberFormat="1" applyFont="1" applyFill="1" applyBorder="1" applyAlignment="1">
      <alignment vertical="center" shrinkToFit="1"/>
    </xf>
    <xf numFmtId="180" fontId="7" fillId="3" borderId="108" xfId="0" applyNumberFormat="1" applyFont="1" applyFill="1" applyBorder="1" applyAlignment="1">
      <alignment vertical="center"/>
    </xf>
    <xf numFmtId="0" fontId="5" fillId="0" borderId="202" xfId="0" applyFont="1" applyBorder="1" applyAlignment="1">
      <alignment vertical="center"/>
    </xf>
    <xf numFmtId="178" fontId="5" fillId="0" borderId="203" xfId="0" applyNumberFormat="1" applyFont="1" applyFill="1" applyBorder="1" applyAlignment="1">
      <alignment vertical="center" shrinkToFit="1"/>
    </xf>
    <xf numFmtId="178" fontId="5" fillId="0" borderId="36" xfId="0" applyNumberFormat="1" applyFont="1" applyFill="1" applyBorder="1" applyAlignment="1">
      <alignment vertical="center" shrinkToFit="1"/>
    </xf>
    <xf numFmtId="0" fontId="5" fillId="0" borderId="46" xfId="1" applyFont="1" applyBorder="1" applyAlignment="1">
      <alignment vertical="center" shrinkToFit="1"/>
    </xf>
    <xf numFmtId="183" fontId="5" fillId="5" borderId="83" xfId="0" applyNumberFormat="1" applyFont="1" applyFill="1" applyBorder="1" applyAlignment="1">
      <alignment vertical="center" shrinkToFit="1"/>
    </xf>
    <xf numFmtId="183" fontId="5" fillId="5" borderId="59" xfId="0" applyNumberFormat="1" applyFont="1" applyFill="1" applyBorder="1" applyAlignment="1">
      <alignment vertical="center" shrinkToFit="1"/>
    </xf>
    <xf numFmtId="181" fontId="7" fillId="4" borderId="204" xfId="0" applyNumberFormat="1" applyFont="1" applyFill="1" applyBorder="1" applyAlignment="1">
      <alignment vertical="center" shrinkToFit="1"/>
    </xf>
    <xf numFmtId="178" fontId="5" fillId="0" borderId="84" xfId="0" applyNumberFormat="1" applyFont="1" applyFill="1" applyBorder="1" applyAlignment="1">
      <alignment vertical="center" shrinkToFit="1"/>
    </xf>
    <xf numFmtId="178" fontId="5" fillId="0" borderId="5" xfId="0" applyNumberFormat="1" applyFont="1" applyFill="1" applyBorder="1" applyAlignment="1">
      <alignment vertical="center" shrinkToFit="1"/>
    </xf>
    <xf numFmtId="0" fontId="5" fillId="0" borderId="111" xfId="0" applyFont="1" applyFill="1" applyBorder="1" applyAlignment="1">
      <alignment vertical="center" shrinkToFit="1"/>
    </xf>
    <xf numFmtId="0" fontId="5" fillId="3" borderId="111" xfId="0" applyFont="1" applyFill="1" applyBorder="1" applyAlignment="1">
      <alignment vertical="center" shrinkToFit="1"/>
    </xf>
    <xf numFmtId="183" fontId="5" fillId="6" borderId="4" xfId="0" applyNumberFormat="1" applyFont="1" applyFill="1" applyBorder="1" applyAlignment="1">
      <alignment vertical="center" shrinkToFit="1"/>
    </xf>
    <xf numFmtId="183" fontId="5" fillId="5" borderId="4" xfId="0" applyNumberFormat="1" applyFont="1" applyFill="1" applyBorder="1" applyAlignment="1">
      <alignment vertical="center" shrinkToFit="1"/>
    </xf>
    <xf numFmtId="183" fontId="5" fillId="5" borderId="48" xfId="0" applyNumberFormat="1" applyFont="1" applyFill="1" applyBorder="1" applyAlignment="1">
      <alignment vertical="center" shrinkToFit="1"/>
    </xf>
    <xf numFmtId="183" fontId="21" fillId="2" borderId="12" xfId="0" applyNumberFormat="1" applyFont="1" applyFill="1" applyBorder="1" applyAlignment="1">
      <alignment vertical="center" shrinkToFit="1"/>
    </xf>
    <xf numFmtId="183" fontId="21" fillId="2" borderId="5" xfId="0" applyNumberFormat="1" applyFont="1" applyFill="1" applyBorder="1" applyAlignment="1">
      <alignment vertical="center" shrinkToFit="1"/>
    </xf>
    <xf numFmtId="183" fontId="21" fillId="2" borderId="6" xfId="0" applyNumberFormat="1" applyFont="1" applyFill="1" applyBorder="1" applyAlignment="1">
      <alignment vertical="center" shrinkToFit="1"/>
    </xf>
    <xf numFmtId="183" fontId="21" fillId="2" borderId="10" xfId="1" applyNumberFormat="1" applyFont="1" applyFill="1" applyBorder="1" applyAlignment="1">
      <alignment vertical="center" shrinkToFit="1"/>
    </xf>
    <xf numFmtId="183" fontId="21" fillId="2" borderId="14" xfId="1" applyNumberFormat="1" applyFont="1" applyFill="1" applyBorder="1" applyAlignment="1">
      <alignment vertical="center" shrinkToFit="1"/>
    </xf>
    <xf numFmtId="183" fontId="21" fillId="2" borderId="5" xfId="1" applyNumberFormat="1" applyFont="1" applyFill="1" applyBorder="1" applyAlignment="1">
      <alignment vertical="center" shrinkToFit="1"/>
    </xf>
    <xf numFmtId="183" fontId="21" fillId="2" borderId="42" xfId="1" applyNumberFormat="1" applyFont="1" applyFill="1" applyBorder="1" applyAlignment="1">
      <alignment vertical="center" shrinkToFit="1"/>
    </xf>
    <xf numFmtId="183" fontId="21" fillId="2" borderId="4" xfId="1" applyNumberFormat="1" applyFont="1" applyFill="1" applyBorder="1" applyAlignment="1">
      <alignment vertical="center" shrinkToFit="1"/>
    </xf>
    <xf numFmtId="183" fontId="21" fillId="2" borderId="6" xfId="1" applyNumberFormat="1" applyFont="1" applyFill="1" applyBorder="1" applyAlignment="1">
      <alignment vertical="center" shrinkToFit="1"/>
    </xf>
    <xf numFmtId="183" fontId="21" fillId="0" borderId="14" xfId="1" applyNumberFormat="1" applyFont="1" applyFill="1" applyBorder="1" applyAlignment="1">
      <alignment vertical="center" shrinkToFit="1"/>
    </xf>
    <xf numFmtId="183" fontId="21" fillId="0" borderId="5" xfId="1" applyNumberFormat="1" applyFont="1" applyFill="1" applyBorder="1" applyAlignment="1">
      <alignment vertical="center" shrinkToFit="1"/>
    </xf>
    <xf numFmtId="183" fontId="21" fillId="0" borderId="4" xfId="1" applyNumberFormat="1" applyFont="1" applyFill="1" applyBorder="1" applyAlignment="1">
      <alignment vertical="center" shrinkToFit="1"/>
    </xf>
    <xf numFmtId="183" fontId="21" fillId="0" borderId="6" xfId="1" applyNumberFormat="1" applyFont="1" applyFill="1" applyBorder="1" applyAlignment="1">
      <alignment vertical="center" shrinkToFit="1"/>
    </xf>
    <xf numFmtId="183" fontId="21" fillId="0" borderId="13" xfId="1" applyNumberFormat="1" applyFont="1" applyFill="1" applyBorder="1" applyAlignment="1">
      <alignment vertical="center" shrinkToFit="1"/>
    </xf>
    <xf numFmtId="183" fontId="21" fillId="0" borderId="12" xfId="0" applyNumberFormat="1" applyFont="1" applyFill="1" applyBorder="1" applyAlignment="1">
      <alignment vertical="center" shrinkToFit="1"/>
    </xf>
    <xf numFmtId="183" fontId="21" fillId="0" borderId="5" xfId="0" applyNumberFormat="1" applyFont="1" applyFill="1" applyBorder="1" applyAlignment="1">
      <alignment vertical="center" shrinkToFit="1"/>
    </xf>
    <xf numFmtId="183" fontId="21" fillId="0" borderId="13" xfId="0" applyNumberFormat="1" applyFont="1" applyFill="1" applyBorder="1" applyAlignment="1">
      <alignment vertical="center" shrinkToFit="1"/>
    </xf>
    <xf numFmtId="183" fontId="21" fillId="8" borderId="5" xfId="0" applyNumberFormat="1" applyFont="1" applyFill="1" applyBorder="1" applyAlignment="1">
      <alignment vertical="center" shrinkToFit="1"/>
    </xf>
    <xf numFmtId="183" fontId="21" fillId="5" borderId="5" xfId="0" applyNumberFormat="1" applyFont="1" applyFill="1" applyBorder="1" applyAlignment="1">
      <alignment vertical="center" shrinkToFit="1"/>
    </xf>
    <xf numFmtId="183" fontId="21" fillId="8" borderId="8" xfId="0" applyNumberFormat="1" applyFont="1" applyFill="1" applyBorder="1" applyAlignment="1">
      <alignment vertical="center" shrinkToFit="1"/>
    </xf>
    <xf numFmtId="183" fontId="21" fillId="5" borderId="44" xfId="0" applyNumberFormat="1" applyFont="1" applyFill="1" applyBorder="1" applyAlignment="1">
      <alignment vertical="center" shrinkToFit="1"/>
    </xf>
    <xf numFmtId="183" fontId="21" fillId="6" borderId="4" xfId="0" applyNumberFormat="1" applyFont="1" applyFill="1" applyBorder="1" applyAlignment="1">
      <alignment vertical="center" shrinkToFit="1"/>
    </xf>
    <xf numFmtId="183" fontId="21" fillId="5" borderId="8" xfId="0" applyNumberFormat="1" applyFont="1" applyFill="1" applyBorder="1" applyAlignment="1">
      <alignment vertical="center" shrinkToFit="1"/>
    </xf>
    <xf numFmtId="183" fontId="21" fillId="6" borderId="14" xfId="0" applyNumberFormat="1" applyFont="1" applyFill="1" applyBorder="1" applyAlignment="1">
      <alignment vertical="center" shrinkToFit="1"/>
    </xf>
    <xf numFmtId="183" fontId="21" fillId="5" borderId="83" xfId="0" applyNumberFormat="1" applyFont="1" applyFill="1" applyBorder="1" applyAlignment="1">
      <alignment vertical="center" shrinkToFit="1"/>
    </xf>
    <xf numFmtId="183" fontId="21" fillId="8" borderId="4" xfId="0" applyNumberFormat="1" applyFont="1" applyFill="1" applyBorder="1" applyAlignment="1">
      <alignment vertical="center" shrinkToFit="1"/>
    </xf>
    <xf numFmtId="183" fontId="21" fillId="8" borderId="14" xfId="0" applyNumberFormat="1" applyFont="1" applyFill="1" applyBorder="1" applyAlignment="1">
      <alignment vertical="center" shrinkToFit="1"/>
    </xf>
    <xf numFmtId="183" fontId="21" fillId="0" borderId="6" xfId="0" applyNumberFormat="1" applyFont="1" applyFill="1" applyBorder="1" applyAlignment="1">
      <alignment vertical="center" shrinkToFit="1"/>
    </xf>
    <xf numFmtId="183" fontId="21" fillId="5" borderId="20" xfId="0" applyNumberFormat="1" applyFont="1" applyFill="1" applyBorder="1" applyAlignment="1">
      <alignment vertical="center" shrinkToFit="1"/>
    </xf>
    <xf numFmtId="183" fontId="21" fillId="5" borderId="39" xfId="1" applyNumberFormat="1" applyFont="1" applyFill="1" applyBorder="1" applyAlignment="1">
      <alignment vertical="center" shrinkToFit="1"/>
    </xf>
    <xf numFmtId="183" fontId="21" fillId="0" borderId="42" xfId="0" applyNumberFormat="1" applyFont="1" applyFill="1" applyBorder="1" applyAlignment="1">
      <alignment vertical="center" shrinkToFit="1"/>
    </xf>
    <xf numFmtId="183" fontId="21" fillId="6" borderId="14" xfId="1" applyNumberFormat="1" applyFont="1" applyFill="1" applyBorder="1" applyAlignment="1">
      <alignment vertical="center" shrinkToFit="1"/>
    </xf>
    <xf numFmtId="183" fontId="21" fillId="5" borderId="5" xfId="1" applyNumberFormat="1" applyFont="1" applyFill="1" applyBorder="1" applyAlignment="1">
      <alignment vertical="center" shrinkToFit="1"/>
    </xf>
    <xf numFmtId="183" fontId="21" fillId="0" borderId="14" xfId="0" applyNumberFormat="1" applyFont="1" applyFill="1" applyBorder="1" applyAlignment="1">
      <alignment vertical="center" shrinkToFit="1"/>
    </xf>
    <xf numFmtId="183" fontId="21" fillId="9" borderId="5" xfId="1" applyNumberFormat="1" applyFont="1" applyFill="1" applyBorder="1" applyAlignment="1">
      <alignment vertical="center" shrinkToFit="1"/>
    </xf>
    <xf numFmtId="183" fontId="21" fillId="9" borderId="12" xfId="1" applyNumberFormat="1" applyFont="1" applyFill="1" applyBorder="1" applyAlignment="1">
      <alignment vertical="center" shrinkToFit="1"/>
    </xf>
    <xf numFmtId="183" fontId="21" fillId="5" borderId="42" xfId="1" applyNumberFormat="1" applyFont="1" applyFill="1" applyBorder="1" applyAlignment="1">
      <alignment vertical="center" shrinkToFit="1"/>
    </xf>
    <xf numFmtId="183" fontId="21" fillId="4" borderId="59" xfId="0" applyNumberFormat="1" applyFont="1" applyFill="1" applyBorder="1" applyAlignment="1">
      <alignment vertical="center" shrinkToFit="1"/>
    </xf>
    <xf numFmtId="183" fontId="21" fillId="7" borderId="14" xfId="1" applyNumberFormat="1" applyFont="1" applyFill="1" applyBorder="1" applyAlignment="1">
      <alignment vertical="center" shrinkToFit="1"/>
    </xf>
    <xf numFmtId="183" fontId="21" fillId="5" borderId="46" xfId="1" applyNumberFormat="1" applyFont="1" applyFill="1" applyBorder="1" applyAlignment="1">
      <alignment vertical="center" shrinkToFit="1"/>
    </xf>
    <xf numFmtId="183" fontId="21" fillId="2" borderId="4" xfId="0" applyNumberFormat="1" applyFont="1" applyFill="1" applyBorder="1" applyAlignment="1">
      <alignment vertical="center" shrinkToFit="1"/>
    </xf>
    <xf numFmtId="183" fontId="21" fillId="2" borderId="14" xfId="0" applyNumberFormat="1" applyFont="1" applyFill="1" applyBorder="1" applyAlignment="1">
      <alignment vertical="center" shrinkToFit="1"/>
    </xf>
    <xf numFmtId="183" fontId="21" fillId="2" borderId="42" xfId="0" applyNumberFormat="1" applyFont="1" applyFill="1" applyBorder="1" applyAlignment="1">
      <alignment vertical="center" shrinkToFit="1"/>
    </xf>
    <xf numFmtId="183" fontId="21" fillId="2" borderId="13" xfId="0" applyNumberFormat="1" applyFont="1" applyFill="1" applyBorder="1" applyAlignment="1">
      <alignment vertical="center" shrinkToFit="1"/>
    </xf>
    <xf numFmtId="183" fontId="21" fillId="0" borderId="25" xfId="0" applyNumberFormat="1" applyFont="1" applyFill="1" applyBorder="1" applyAlignment="1">
      <alignment vertical="center" shrinkToFit="1"/>
    </xf>
    <xf numFmtId="183" fontId="21" fillId="0" borderId="9" xfId="0" applyNumberFormat="1" applyFont="1" applyFill="1" applyBorder="1" applyAlignment="1">
      <alignment vertical="center" shrinkToFit="1"/>
    </xf>
    <xf numFmtId="183" fontId="21" fillId="0" borderId="4" xfId="0" applyNumberFormat="1" applyFont="1" applyFill="1" applyBorder="1" applyAlignment="1">
      <alignment vertical="center" shrinkToFit="1"/>
    </xf>
    <xf numFmtId="183" fontId="21" fillId="0" borderId="7" xfId="0" applyNumberFormat="1" applyFont="1" applyFill="1" applyBorder="1" applyAlignment="1">
      <alignment vertical="center" shrinkToFit="1"/>
    </xf>
    <xf numFmtId="0" fontId="21" fillId="0" borderId="0" xfId="0" applyFont="1" applyAlignment="1">
      <alignment vertical="center"/>
    </xf>
    <xf numFmtId="183" fontId="21" fillId="0" borderId="10" xfId="1" applyNumberFormat="1" applyFont="1" applyFill="1" applyBorder="1" applyAlignment="1">
      <alignment vertical="center" shrinkToFit="1"/>
    </xf>
    <xf numFmtId="183" fontId="21" fillId="0" borderId="42" xfId="1" applyNumberFormat="1" applyFont="1" applyFill="1" applyBorder="1" applyAlignment="1">
      <alignment vertical="center" shrinkToFit="1"/>
    </xf>
    <xf numFmtId="183" fontId="21" fillId="5" borderId="14" xfId="1" applyNumberFormat="1" applyFont="1" applyFill="1" applyBorder="1" applyAlignment="1">
      <alignment vertical="center" shrinkToFit="1"/>
    </xf>
    <xf numFmtId="183" fontId="21" fillId="6" borderId="5" xfId="1" applyNumberFormat="1" applyFont="1" applyFill="1" applyBorder="1" applyAlignment="1">
      <alignment vertical="center" shrinkToFit="1"/>
    </xf>
    <xf numFmtId="183" fontId="21" fillId="5" borderId="4" xfId="1" applyNumberFormat="1" applyFont="1" applyFill="1" applyBorder="1" applyAlignment="1">
      <alignment vertical="center" shrinkToFit="1"/>
    </xf>
    <xf numFmtId="183" fontId="21" fillId="2" borderId="13" xfId="1" applyNumberFormat="1" applyFont="1" applyFill="1" applyBorder="1" applyAlignment="1">
      <alignment vertical="center" shrinkToFit="1"/>
    </xf>
    <xf numFmtId="183" fontId="21" fillId="5" borderId="42" xfId="0" applyNumberFormat="1" applyFont="1" applyFill="1" applyBorder="1" applyAlignment="1">
      <alignment vertical="center" shrinkToFit="1"/>
    </xf>
    <xf numFmtId="183" fontId="21" fillId="5" borderId="4" xfId="0" applyNumberFormat="1" applyFont="1" applyFill="1" applyBorder="1" applyAlignment="1">
      <alignment vertical="center" shrinkToFit="1"/>
    </xf>
    <xf numFmtId="183" fontId="21" fillId="6" borderId="5" xfId="0" applyNumberFormat="1" applyFont="1" applyFill="1" applyBorder="1" applyAlignment="1">
      <alignment vertical="center" shrinkToFit="1"/>
    </xf>
    <xf numFmtId="183" fontId="21" fillId="5" borderId="14" xfId="0" applyNumberFormat="1" applyFont="1" applyFill="1" applyBorder="1" applyAlignment="1">
      <alignment vertical="center" shrinkToFit="1"/>
    </xf>
    <xf numFmtId="183" fontId="21" fillId="5" borderId="59" xfId="0" applyNumberFormat="1" applyFont="1" applyFill="1" applyBorder="1" applyAlignment="1">
      <alignment vertical="center" shrinkToFit="1"/>
    </xf>
    <xf numFmtId="183" fontId="21" fillId="5" borderId="6" xfId="0" applyNumberFormat="1" applyFont="1" applyFill="1" applyBorder="1" applyAlignment="1">
      <alignment vertical="center" shrinkToFit="1"/>
    </xf>
    <xf numFmtId="0" fontId="21" fillId="0" borderId="39" xfId="0" applyFont="1" applyBorder="1" applyAlignment="1">
      <alignment vertical="center"/>
    </xf>
    <xf numFmtId="183" fontId="21" fillId="7" borderId="14" xfId="0" applyNumberFormat="1" applyFont="1" applyFill="1" applyBorder="1" applyAlignment="1">
      <alignment vertical="center" shrinkToFit="1"/>
    </xf>
    <xf numFmtId="183" fontId="21" fillId="0" borderId="8" xfId="1" applyNumberFormat="1" applyFont="1" applyFill="1" applyBorder="1" applyAlignment="1">
      <alignment vertical="center" shrinkToFit="1"/>
    </xf>
    <xf numFmtId="183" fontId="21" fillId="9" borderId="8" xfId="1" applyNumberFormat="1" applyFont="1" applyFill="1" applyBorder="1" applyAlignment="1">
      <alignment vertical="center" shrinkToFit="1"/>
    </xf>
    <xf numFmtId="183" fontId="21" fillId="5" borderId="12" xfId="1" applyNumberFormat="1" applyFont="1" applyFill="1" applyBorder="1" applyAlignment="1">
      <alignment vertical="center" shrinkToFit="1"/>
    </xf>
    <xf numFmtId="183" fontId="21" fillId="5" borderId="8" xfId="1" applyNumberFormat="1" applyFont="1" applyFill="1" applyBorder="1" applyAlignment="1">
      <alignment vertical="center" shrinkToFit="1"/>
    </xf>
    <xf numFmtId="183" fontId="21" fillId="4" borderId="5" xfId="0" applyNumberFormat="1" applyFont="1" applyFill="1" applyBorder="1" applyAlignment="1">
      <alignment vertical="center" shrinkToFit="1"/>
    </xf>
    <xf numFmtId="183" fontId="21" fillId="6" borderId="6" xfId="1" applyNumberFormat="1" applyFont="1" applyFill="1" applyBorder="1" applyAlignment="1">
      <alignment vertical="center" shrinkToFit="1"/>
    </xf>
    <xf numFmtId="183" fontId="21" fillId="6" borderId="13" xfId="1" applyNumberFormat="1" applyFont="1" applyFill="1" applyBorder="1" applyAlignment="1">
      <alignment vertical="center" shrinkToFit="1"/>
    </xf>
    <xf numFmtId="184" fontId="24" fillId="5" borderId="24" xfId="1" applyNumberFormat="1" applyFont="1" applyFill="1" applyBorder="1" applyAlignment="1">
      <alignment vertical="center" shrinkToFit="1"/>
    </xf>
    <xf numFmtId="181" fontId="5" fillId="3" borderId="13" xfId="0" applyNumberFormat="1" applyFont="1" applyFill="1" applyBorder="1" applyAlignment="1">
      <alignment vertical="center" shrinkToFit="1"/>
    </xf>
    <xf numFmtId="197" fontId="5" fillId="0" borderId="0" xfId="0" applyNumberFormat="1" applyFont="1" applyBorder="1" applyAlignment="1">
      <alignment horizontal="left" vertical="center"/>
    </xf>
    <xf numFmtId="189" fontId="5" fillId="0" borderId="8" xfId="0" applyNumberFormat="1" applyFont="1" applyFill="1" applyBorder="1" applyAlignment="1">
      <alignment horizontal="left" vertical="center" shrinkToFit="1"/>
    </xf>
    <xf numFmtId="181" fontId="5" fillId="3" borderId="42" xfId="0" applyNumberFormat="1" applyFont="1" applyFill="1" applyBorder="1" applyAlignment="1">
      <alignment vertical="center" shrinkToFit="1"/>
    </xf>
    <xf numFmtId="181" fontId="5" fillId="3" borderId="14" xfId="0" applyNumberFormat="1" applyFont="1" applyFill="1" applyBorder="1" applyAlignment="1">
      <alignment vertical="center" shrinkToFit="1"/>
    </xf>
    <xf numFmtId="181" fontId="5" fillId="3" borderId="12" xfId="0" applyNumberFormat="1" applyFont="1" applyFill="1" applyBorder="1" applyAlignment="1">
      <alignment vertical="center" shrinkToFit="1"/>
    </xf>
    <xf numFmtId="190" fontId="21" fillId="5" borderId="93" xfId="1" applyNumberFormat="1" applyFont="1" applyFill="1" applyBorder="1" applyAlignment="1">
      <alignment vertical="center" shrinkToFit="1"/>
    </xf>
    <xf numFmtId="190" fontId="21" fillId="5" borderId="94" xfId="1" applyNumberFormat="1" applyFont="1" applyFill="1" applyBorder="1" applyAlignment="1">
      <alignment vertical="center" shrinkToFit="1"/>
    </xf>
    <xf numFmtId="192" fontId="21" fillId="0" borderId="22" xfId="1" applyNumberFormat="1" applyFont="1" applyBorder="1" applyAlignment="1">
      <alignment vertical="center" shrinkToFit="1"/>
    </xf>
    <xf numFmtId="192" fontId="21" fillId="0" borderId="79" xfId="1" applyNumberFormat="1" applyFont="1" applyBorder="1" applyAlignment="1">
      <alignment vertical="center" shrinkToFit="1"/>
    </xf>
    <xf numFmtId="192" fontId="21" fillId="0" borderId="80" xfId="1" applyNumberFormat="1" applyFont="1" applyBorder="1" applyAlignment="1">
      <alignment horizontal="right" vertical="center" shrinkToFit="1"/>
    </xf>
    <xf numFmtId="192" fontId="21" fillId="0" borderId="22" xfId="1" applyNumberFormat="1" applyFont="1" applyBorder="1" applyAlignment="1">
      <alignment horizontal="right" vertical="center" shrinkToFit="1"/>
    </xf>
    <xf numFmtId="183" fontId="21" fillId="0" borderId="80" xfId="1" applyNumberFormat="1" applyFont="1" applyBorder="1" applyAlignment="1">
      <alignment vertical="center" shrinkToFit="1"/>
    </xf>
    <xf numFmtId="183" fontId="21" fillId="0" borderId="64" xfId="1" applyNumberFormat="1" applyFont="1" applyBorder="1" applyAlignment="1">
      <alignment vertical="center" shrinkToFit="1"/>
    </xf>
    <xf numFmtId="183" fontId="21" fillId="0" borderId="62" xfId="1" applyNumberFormat="1" applyFont="1" applyBorder="1" applyAlignment="1">
      <alignment vertical="center" shrinkToFit="1"/>
    </xf>
    <xf numFmtId="192" fontId="21" fillId="0" borderId="23" xfId="1" applyNumberFormat="1" applyFont="1" applyBorder="1" applyAlignment="1">
      <alignment vertical="center" shrinkToFit="1"/>
    </xf>
    <xf numFmtId="192" fontId="21" fillId="0" borderId="101" xfId="1" applyNumberFormat="1" applyFont="1" applyBorder="1" applyAlignment="1">
      <alignment vertical="center" shrinkToFit="1"/>
    </xf>
    <xf numFmtId="183" fontId="21" fillId="0" borderId="21" xfId="1" applyNumberFormat="1" applyFont="1" applyBorder="1" applyAlignment="1">
      <alignment vertical="center" shrinkToFit="1"/>
    </xf>
    <xf numFmtId="183" fontId="21" fillId="0" borderId="22" xfId="1" applyNumberFormat="1" applyFont="1" applyBorder="1" applyAlignment="1">
      <alignment vertical="center" shrinkToFit="1"/>
    </xf>
    <xf numFmtId="192" fontId="21" fillId="0" borderId="80" xfId="1" applyNumberFormat="1" applyFont="1" applyBorder="1" applyAlignment="1">
      <alignment vertical="center" shrinkToFit="1"/>
    </xf>
    <xf numFmtId="192" fontId="21" fillId="0" borderId="144" xfId="1" applyNumberFormat="1" applyFont="1" applyBorder="1" applyAlignment="1">
      <alignment vertical="center" shrinkToFit="1"/>
    </xf>
    <xf numFmtId="0" fontId="21" fillId="0" borderId="84" xfId="1" applyFont="1" applyBorder="1" applyAlignment="1">
      <alignment horizontal="right" vertical="center" shrinkToFit="1"/>
    </xf>
    <xf numFmtId="177" fontId="21" fillId="0" borderId="110" xfId="1" applyNumberFormat="1" applyFont="1" applyBorder="1" applyAlignment="1">
      <alignment vertical="center" shrinkToFit="1"/>
    </xf>
    <xf numFmtId="177" fontId="21" fillId="0" borderId="79" xfId="1" applyNumberFormat="1" applyFont="1" applyBorder="1" applyAlignment="1">
      <alignment vertical="center" shrinkToFit="1"/>
    </xf>
    <xf numFmtId="177" fontId="21" fillId="0" borderId="98" xfId="1" applyNumberFormat="1" applyFont="1" applyBorder="1" applyAlignment="1">
      <alignment vertical="center" shrinkToFit="1"/>
    </xf>
    <xf numFmtId="177" fontId="21" fillId="0" borderId="110" xfId="1" applyNumberFormat="1" applyFont="1" applyBorder="1" applyAlignment="1">
      <alignment horizontal="right" vertical="center" shrinkToFit="1"/>
    </xf>
    <xf numFmtId="177" fontId="21" fillId="0" borderId="79" xfId="1" applyNumberFormat="1" applyFont="1" applyBorder="1" applyAlignment="1">
      <alignment horizontal="right" vertical="center" shrinkToFit="1"/>
    </xf>
    <xf numFmtId="177" fontId="21" fillId="0" borderId="22" xfId="1" applyNumberFormat="1" applyFont="1" applyBorder="1" applyAlignment="1">
      <alignment horizontal="right" vertical="center" shrinkToFit="1"/>
    </xf>
    <xf numFmtId="192" fontId="21" fillId="0" borderId="87" xfId="1" applyNumberFormat="1" applyFont="1" applyBorder="1" applyAlignment="1">
      <alignment vertical="center" shrinkToFit="1"/>
    </xf>
    <xf numFmtId="183" fontId="21" fillId="0" borderId="79" xfId="1" applyNumberFormat="1" applyFont="1" applyBorder="1" applyAlignment="1">
      <alignment vertical="center" shrinkToFit="1"/>
    </xf>
    <xf numFmtId="0" fontId="21" fillId="0" borderId="62" xfId="1" applyFont="1" applyBorder="1" applyAlignment="1">
      <alignment horizontal="right" vertical="center" shrinkToFit="1"/>
    </xf>
    <xf numFmtId="177" fontId="21" fillId="0" borderId="84" xfId="1" applyNumberFormat="1" applyFont="1" applyBorder="1" applyAlignment="1">
      <alignment vertical="center" shrinkToFit="1"/>
    </xf>
    <xf numFmtId="183" fontId="21" fillId="0" borderId="103" xfId="1" applyNumberFormat="1" applyFont="1" applyBorder="1" applyAlignment="1">
      <alignment vertical="center" shrinkToFit="1"/>
    </xf>
    <xf numFmtId="188" fontId="21" fillId="3" borderId="21" xfId="0" applyNumberFormat="1" applyFont="1" applyFill="1" applyBorder="1" applyAlignment="1">
      <alignment vertical="center" shrinkToFit="1"/>
    </xf>
    <xf numFmtId="188" fontId="21" fillId="3" borderId="22" xfId="0" applyNumberFormat="1" applyFont="1" applyFill="1" applyBorder="1" applyAlignment="1">
      <alignment vertical="center" shrinkToFit="1"/>
    </xf>
    <xf numFmtId="188" fontId="21" fillId="3" borderId="23" xfId="0" applyNumberFormat="1" applyFont="1" applyFill="1" applyBorder="1" applyAlignment="1">
      <alignment vertical="center" shrinkToFit="1"/>
    </xf>
    <xf numFmtId="179" fontId="21" fillId="0" borderId="16" xfId="0" applyNumberFormat="1" applyFont="1" applyFill="1" applyBorder="1" applyAlignment="1">
      <alignment horizontal="center" vertical="center" shrinkToFit="1"/>
    </xf>
    <xf numFmtId="179" fontId="21" fillId="0" borderId="17" xfId="0" applyNumberFormat="1" applyFont="1" applyFill="1" applyBorder="1" applyAlignment="1">
      <alignment horizontal="center" vertical="center" shrinkToFit="1"/>
    </xf>
    <xf numFmtId="179" fontId="21" fillId="5" borderId="19" xfId="0" applyNumberFormat="1" applyFont="1" applyFill="1" applyBorder="1" applyAlignment="1">
      <alignment horizontal="center" vertical="center" shrinkToFit="1"/>
    </xf>
    <xf numFmtId="185" fontId="21" fillId="0" borderId="50" xfId="0" applyNumberFormat="1" applyFont="1" applyBorder="1" applyAlignment="1">
      <alignment horizontal="right" vertical="center" shrinkToFit="1"/>
    </xf>
    <xf numFmtId="194" fontId="21" fillId="0" borderId="49" xfId="0" applyNumberFormat="1" applyFont="1" applyBorder="1" applyAlignment="1">
      <alignment horizontal="right" vertical="center" shrinkToFit="1"/>
    </xf>
    <xf numFmtId="180" fontId="24" fillId="3" borderId="10" xfId="0" applyNumberFormat="1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85" fontId="21" fillId="0" borderId="51" xfId="0" applyNumberFormat="1" applyFont="1" applyBorder="1" applyAlignment="1">
      <alignment horizontal="right" vertical="center" shrinkToFit="1"/>
    </xf>
    <xf numFmtId="177" fontId="21" fillId="0" borderId="85" xfId="0" applyNumberFormat="1" applyFont="1" applyBorder="1" applyAlignment="1">
      <alignment horizontal="right" vertical="center" shrinkToFit="1"/>
    </xf>
    <xf numFmtId="180" fontId="24" fillId="3" borderId="11" xfId="0" applyNumberFormat="1" applyFont="1" applyFill="1" applyBorder="1" applyAlignment="1">
      <alignment vertical="center"/>
    </xf>
    <xf numFmtId="0" fontId="21" fillId="0" borderId="2" xfId="0" applyFont="1" applyBorder="1" applyAlignment="1">
      <alignment vertical="center"/>
    </xf>
    <xf numFmtId="185" fontId="21" fillId="0" borderId="52" xfId="0" applyNumberFormat="1" applyFont="1" applyBorder="1" applyAlignment="1">
      <alignment horizontal="right" vertical="center" shrinkToFit="1"/>
    </xf>
    <xf numFmtId="177" fontId="21" fillId="0" borderId="86" xfId="0" applyNumberFormat="1" applyFont="1" applyBorder="1" applyAlignment="1">
      <alignment horizontal="right" vertical="center" shrinkToFit="1"/>
    </xf>
    <xf numFmtId="180" fontId="24" fillId="3" borderId="7" xfId="0" applyNumberFormat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177" fontId="21" fillId="0" borderId="49" xfId="0" applyNumberFormat="1" applyFont="1" applyBorder="1" applyAlignment="1">
      <alignment horizontal="right" vertical="center" shrinkToFit="1"/>
    </xf>
    <xf numFmtId="180" fontId="24" fillId="3" borderId="102" xfId="0" applyNumberFormat="1" applyFont="1" applyFill="1" applyBorder="1" applyAlignment="1">
      <alignment vertical="center"/>
    </xf>
    <xf numFmtId="0" fontId="21" fillId="0" borderId="106" xfId="0" applyFont="1" applyBorder="1" applyAlignment="1">
      <alignment vertical="center"/>
    </xf>
    <xf numFmtId="194" fontId="21" fillId="0" borderId="101" xfId="0" applyNumberFormat="1" applyFont="1" applyBorder="1" applyAlignment="1">
      <alignment horizontal="right" vertical="center" shrinkToFit="1"/>
    </xf>
    <xf numFmtId="0" fontId="5" fillId="0" borderId="133" xfId="0" applyFont="1" applyFill="1" applyBorder="1" applyAlignment="1">
      <alignment vertical="center" shrinkToFit="1"/>
    </xf>
    <xf numFmtId="189" fontId="5" fillId="0" borderId="40" xfId="0" applyNumberFormat="1" applyFont="1" applyFill="1" applyBorder="1" applyAlignment="1">
      <alignment horizontal="left" vertical="center" shrinkToFit="1"/>
    </xf>
    <xf numFmtId="192" fontId="21" fillId="0" borderId="62" xfId="1" applyNumberFormat="1" applyFont="1" applyBorder="1" applyAlignment="1">
      <alignment vertical="center" shrinkToFit="1"/>
    </xf>
    <xf numFmtId="183" fontId="21" fillId="0" borderId="80" xfId="1" applyNumberFormat="1" applyFont="1" applyBorder="1" applyAlignment="1">
      <alignment horizontal="right" vertical="center" shrinkToFit="1"/>
    </xf>
    <xf numFmtId="183" fontId="21" fillId="0" borderId="79" xfId="1" applyNumberFormat="1" applyFont="1" applyBorder="1" applyAlignment="1">
      <alignment horizontal="right" vertical="center" shrinkToFit="1"/>
    </xf>
    <xf numFmtId="183" fontId="21" fillId="0" borderId="62" xfId="1" applyNumberFormat="1" applyFont="1" applyBorder="1" applyAlignment="1">
      <alignment horizontal="right" vertical="center" shrinkToFit="1"/>
    </xf>
    <xf numFmtId="183" fontId="21" fillId="0" borderId="23" xfId="1" applyNumberFormat="1" applyFont="1" applyBorder="1" applyAlignment="1">
      <alignment vertical="center" shrinkToFit="1"/>
    </xf>
    <xf numFmtId="177" fontId="21" fillId="0" borderId="84" xfId="0" applyNumberFormat="1" applyFont="1" applyBorder="1" applyAlignment="1">
      <alignment horizontal="right" vertical="center" shrinkToFit="1"/>
    </xf>
    <xf numFmtId="49" fontId="5" fillId="2" borderId="21" xfId="0" applyNumberFormat="1" applyFont="1" applyFill="1" applyBorder="1" applyAlignment="1">
      <alignment horizontal="center" vertical="center"/>
    </xf>
    <xf numFmtId="0" fontId="13" fillId="3" borderId="53" xfId="2" applyFont="1" applyFill="1" applyBorder="1" applyAlignment="1">
      <alignment horizontal="center" shrinkToFit="1"/>
    </xf>
    <xf numFmtId="0" fontId="1" fillId="0" borderId="0" xfId="2" applyAlignment="1">
      <alignment horizontal="center" vertical="center"/>
    </xf>
    <xf numFmtId="198" fontId="4" fillId="3" borderId="0" xfId="2" applyNumberFormat="1" applyFont="1" applyFill="1" applyAlignment="1">
      <alignment horizontal="center"/>
    </xf>
    <xf numFmtId="0" fontId="13" fillId="3" borderId="54" xfId="2" applyFont="1" applyFill="1" applyBorder="1" applyAlignment="1">
      <alignment horizontal="center"/>
    </xf>
    <xf numFmtId="0" fontId="14" fillId="0" borderId="0" xfId="2" applyFont="1" applyAlignment="1">
      <alignment horizontal="center" vertical="center"/>
    </xf>
    <xf numFmtId="0" fontId="5" fillId="0" borderId="133" xfId="1" applyFont="1" applyBorder="1" applyAlignment="1">
      <alignment horizontal="center" vertical="center" shrinkToFit="1"/>
    </xf>
    <xf numFmtId="0" fontId="5" fillId="0" borderId="132" xfId="1" applyFont="1" applyBorder="1" applyAlignment="1">
      <alignment horizontal="center" vertical="center" shrinkToFit="1"/>
    </xf>
    <xf numFmtId="0" fontId="5" fillId="0" borderId="134" xfId="1" applyFont="1" applyBorder="1" applyAlignment="1">
      <alignment horizontal="center" vertical="center" shrinkToFit="1"/>
    </xf>
    <xf numFmtId="0" fontId="5" fillId="0" borderId="30" xfId="1" applyFont="1" applyBorder="1" applyAlignment="1">
      <alignment horizontal="center" vertical="center" shrinkToFit="1"/>
    </xf>
    <xf numFmtId="0" fontId="5" fillId="0" borderId="45" xfId="1" applyFont="1" applyBorder="1" applyAlignment="1">
      <alignment horizontal="center" vertical="center" shrinkToFit="1"/>
    </xf>
    <xf numFmtId="0" fontId="5" fillId="0" borderId="141" xfId="1" applyFont="1" applyBorder="1" applyAlignment="1">
      <alignment horizontal="left" vertical="center" shrinkToFit="1"/>
    </xf>
    <xf numFmtId="0" fontId="5" fillId="0" borderId="78" xfId="1" applyFont="1" applyBorder="1" applyAlignment="1">
      <alignment horizontal="left" vertical="center" shrinkToFit="1"/>
    </xf>
    <xf numFmtId="0" fontId="20" fillId="0" borderId="138" xfId="1" applyFont="1" applyBorder="1" applyAlignment="1">
      <alignment horizontal="center" vertical="center" wrapText="1" shrinkToFit="1"/>
    </xf>
    <xf numFmtId="0" fontId="20" fillId="0" borderId="157" xfId="1" applyFont="1" applyBorder="1" applyAlignment="1">
      <alignment horizontal="center" vertical="center" wrapText="1" shrinkToFit="1"/>
    </xf>
    <xf numFmtId="0" fontId="5" fillId="0" borderId="20" xfId="1" applyFont="1" applyBorder="1" applyAlignment="1">
      <alignment horizontal="left" vertical="center" shrinkToFit="1"/>
    </xf>
    <xf numFmtId="0" fontId="5" fillId="0" borderId="61" xfId="1" applyFont="1" applyBorder="1" applyAlignment="1">
      <alignment horizontal="left" vertical="center" shrinkToFit="1"/>
    </xf>
    <xf numFmtId="0" fontId="20" fillId="0" borderId="142" xfId="1" applyFont="1" applyBorder="1" applyAlignment="1">
      <alignment horizontal="left" vertical="center" shrinkToFit="1" readingOrder="1"/>
    </xf>
    <xf numFmtId="0" fontId="20" fillId="0" borderId="178" xfId="1" applyFont="1" applyBorder="1" applyAlignment="1">
      <alignment horizontal="left" vertical="center" shrinkToFit="1" readingOrder="1"/>
    </xf>
    <xf numFmtId="0" fontId="5" fillId="0" borderId="40" xfId="1" applyFont="1" applyBorder="1" applyAlignment="1">
      <alignment horizontal="left" vertical="center" shrinkToFit="1"/>
    </xf>
    <xf numFmtId="0" fontId="5" fillId="0" borderId="60" xfId="1" applyFont="1" applyBorder="1" applyAlignment="1">
      <alignment horizontal="left" vertical="center" shrinkToFit="1"/>
    </xf>
    <xf numFmtId="0" fontId="20" fillId="0" borderId="138" xfId="1" applyFont="1" applyBorder="1" applyAlignment="1">
      <alignment horizontal="center" vertical="center" wrapText="1" readingOrder="1"/>
    </xf>
    <xf numFmtId="0" fontId="20" fillId="0" borderId="136" xfId="1" applyFont="1" applyBorder="1" applyAlignment="1">
      <alignment horizontal="center" vertical="center" wrapText="1" readingOrder="1"/>
    </xf>
    <xf numFmtId="0" fontId="20" fillId="0" borderId="137" xfId="1" applyFont="1" applyBorder="1" applyAlignment="1">
      <alignment horizontal="center" vertical="center" wrapText="1" readingOrder="1"/>
    </xf>
    <xf numFmtId="0" fontId="5" fillId="0" borderId="95" xfId="1" applyFont="1" applyBorder="1" applyAlignment="1">
      <alignment horizontal="left" vertical="center" shrinkToFit="1"/>
    </xf>
    <xf numFmtId="0" fontId="5" fillId="0" borderId="17" xfId="1" applyFont="1" applyBorder="1" applyAlignment="1">
      <alignment horizontal="left" vertical="center" shrinkToFit="1"/>
    </xf>
    <xf numFmtId="0" fontId="19" fillId="0" borderId="133" xfId="1" applyFont="1" applyBorder="1" applyAlignment="1">
      <alignment horizontal="center" vertical="center" wrapText="1" shrinkToFit="1"/>
    </xf>
    <xf numFmtId="0" fontId="19" fillId="0" borderId="132" xfId="1" applyFont="1" applyBorder="1" applyAlignment="1">
      <alignment horizontal="center" vertical="center" wrapText="1" shrinkToFit="1"/>
    </xf>
    <xf numFmtId="0" fontId="19" fillId="0" borderId="45" xfId="1" applyFont="1" applyBorder="1" applyAlignment="1">
      <alignment horizontal="center" vertical="center" wrapText="1" shrinkToFit="1"/>
    </xf>
    <xf numFmtId="0" fontId="19" fillId="0" borderId="134" xfId="1" applyFont="1" applyBorder="1" applyAlignment="1">
      <alignment horizontal="center" vertical="center" wrapText="1" shrinkToFit="1"/>
    </xf>
    <xf numFmtId="0" fontId="21" fillId="0" borderId="139" xfId="0" applyFont="1" applyBorder="1" applyAlignment="1">
      <alignment horizontal="center" vertical="center" wrapText="1" shrinkToFit="1"/>
    </xf>
    <xf numFmtId="0" fontId="21" fillId="0" borderId="47" xfId="0" applyFont="1" applyBorder="1" applyAlignment="1">
      <alignment horizontal="center" vertical="center" shrinkToFit="1"/>
    </xf>
    <xf numFmtId="0" fontId="5" fillId="0" borderId="8" xfId="1" applyFont="1" applyBorder="1" applyAlignment="1">
      <alignment horizontal="left" vertical="center" shrinkToFit="1"/>
    </xf>
    <xf numFmtId="0" fontId="5" fillId="0" borderId="139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139" xfId="0" applyFont="1" applyBorder="1" applyAlignment="1">
      <alignment horizontal="center" vertical="center" wrapText="1" shrinkToFit="1"/>
    </xf>
    <xf numFmtId="0" fontId="5" fillId="0" borderId="46" xfId="0" applyFont="1" applyBorder="1" applyAlignment="1">
      <alignment horizontal="center" vertical="center" wrapText="1" shrinkToFit="1"/>
    </xf>
    <xf numFmtId="0" fontId="5" fillId="0" borderId="153" xfId="1" applyFont="1" applyBorder="1" applyAlignment="1">
      <alignment horizontal="left" vertical="center" shrinkToFit="1"/>
    </xf>
    <xf numFmtId="0" fontId="5" fillId="0" borderId="154" xfId="1" applyFont="1" applyBorder="1" applyAlignment="1">
      <alignment horizontal="left" vertical="center" shrinkToFit="1"/>
    </xf>
    <xf numFmtId="183" fontId="5" fillId="0" borderId="20" xfId="1" applyNumberFormat="1" applyFont="1" applyFill="1" applyBorder="1" applyAlignment="1">
      <alignment vertical="center" shrinkToFit="1"/>
    </xf>
    <xf numFmtId="183" fontId="5" fillId="0" borderId="61" xfId="1" applyNumberFormat="1" applyFont="1" applyFill="1" applyBorder="1" applyAlignment="1">
      <alignment vertical="center" shrinkToFit="1"/>
    </xf>
    <xf numFmtId="183" fontId="5" fillId="0" borderId="62" xfId="1" applyNumberFormat="1" applyFont="1" applyFill="1" applyBorder="1" applyAlignment="1">
      <alignment vertical="center" shrinkToFit="1"/>
    </xf>
    <xf numFmtId="177" fontId="21" fillId="0" borderId="149" xfId="1" applyNumberFormat="1" applyFont="1" applyBorder="1" applyAlignment="1">
      <alignment horizontal="center" vertical="center" shrinkToFit="1"/>
    </xf>
    <xf numFmtId="177" fontId="21" fillId="0" borderId="150" xfId="1" applyNumberFormat="1" applyFont="1" applyBorder="1" applyAlignment="1">
      <alignment horizontal="center" vertical="center" shrinkToFit="1"/>
    </xf>
    <xf numFmtId="177" fontId="21" fillId="0" borderId="151" xfId="1" applyNumberFormat="1" applyFont="1" applyBorder="1" applyAlignment="1">
      <alignment horizontal="center" vertical="center" shrinkToFit="1"/>
    </xf>
    <xf numFmtId="0" fontId="5" fillId="0" borderId="24" xfId="1" applyFont="1" applyBorder="1" applyAlignment="1">
      <alignment horizontal="left" vertical="center" shrinkToFit="1"/>
    </xf>
    <xf numFmtId="0" fontId="5" fillId="0" borderId="100" xfId="1" applyFont="1" applyBorder="1" applyAlignment="1">
      <alignment horizontal="left" vertical="center" shrinkToFit="1"/>
    </xf>
    <xf numFmtId="0" fontId="5" fillId="0" borderId="102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20" fillId="0" borderId="8" xfId="1" applyFont="1" applyBorder="1" applyAlignment="1">
      <alignment horizontal="left" vertical="center" shrinkToFit="1" readingOrder="1"/>
    </xf>
    <xf numFmtId="0" fontId="20" fillId="0" borderId="17" xfId="1" applyFont="1" applyBorder="1" applyAlignment="1">
      <alignment horizontal="left" vertical="center" shrinkToFit="1" readingOrder="1"/>
    </xf>
    <xf numFmtId="0" fontId="19" fillId="0" borderId="18" xfId="1" applyFont="1" applyBorder="1" applyAlignment="1">
      <alignment horizontal="left" vertical="center" shrinkToFit="1"/>
    </xf>
    <xf numFmtId="0" fontId="19" fillId="0" borderId="19" xfId="1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5" fillId="0" borderId="136" xfId="1" applyFont="1" applyBorder="1" applyAlignment="1">
      <alignment horizontal="center" vertical="center" textRotation="255" shrinkToFit="1"/>
    </xf>
    <xf numFmtId="0" fontId="5" fillId="0" borderId="137" xfId="1" applyFont="1" applyBorder="1" applyAlignment="1">
      <alignment horizontal="center" vertical="center" textRotation="255" shrinkToFit="1"/>
    </xf>
    <xf numFmtId="0" fontId="5" fillId="0" borderId="146" xfId="0" applyFont="1" applyBorder="1" applyAlignment="1">
      <alignment horizontal="center" vertical="center" shrinkToFit="1"/>
    </xf>
    <xf numFmtId="0" fontId="5" fillId="0" borderId="111" xfId="0" applyFont="1" applyBorder="1" applyAlignment="1">
      <alignment horizontal="center" vertical="center" shrinkToFit="1"/>
    </xf>
    <xf numFmtId="0" fontId="5" fillId="0" borderId="87" xfId="0" applyFont="1" applyBorder="1" applyAlignment="1">
      <alignment horizontal="center" vertical="center" shrinkToFit="1"/>
    </xf>
    <xf numFmtId="0" fontId="5" fillId="0" borderId="147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5" fillId="0" borderId="103" xfId="0" applyFont="1" applyBorder="1" applyAlignment="1">
      <alignment horizontal="center" vertical="center" shrinkToFit="1"/>
    </xf>
    <xf numFmtId="0" fontId="5" fillId="0" borderId="139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5" fillId="0" borderId="143" xfId="0" applyFont="1" applyBorder="1" applyAlignment="1">
      <alignment horizontal="center" vertical="center" wrapText="1"/>
    </xf>
    <xf numFmtId="0" fontId="5" fillId="0" borderId="144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0" fontId="5" fillId="0" borderId="133" xfId="0" applyFont="1" applyBorder="1" applyAlignment="1">
      <alignment horizontal="center" vertical="center" textRotation="255" wrapText="1"/>
    </xf>
    <xf numFmtId="0" fontId="5" fillId="0" borderId="132" xfId="0" applyFont="1" applyBorder="1" applyAlignment="1">
      <alignment horizontal="center" vertical="center" textRotation="255" wrapText="1"/>
    </xf>
    <xf numFmtId="0" fontId="5" fillId="0" borderId="45" xfId="0" applyFont="1" applyBorder="1" applyAlignment="1">
      <alignment horizontal="center" vertical="center" textRotation="255" wrapText="1"/>
    </xf>
    <xf numFmtId="0" fontId="20" fillId="0" borderId="135" xfId="1" applyFont="1" applyBorder="1" applyAlignment="1">
      <alignment horizontal="center" vertical="center" wrapText="1" readingOrder="1"/>
    </xf>
    <xf numFmtId="0" fontId="5" fillId="0" borderId="90" xfId="1" applyFont="1" applyBorder="1" applyAlignment="1">
      <alignment horizontal="left" vertical="center" shrinkToFit="1"/>
    </xf>
    <xf numFmtId="0" fontId="5" fillId="0" borderId="63" xfId="1" applyFont="1" applyBorder="1" applyAlignment="1">
      <alignment horizontal="left" vertical="center" shrinkToFit="1"/>
    </xf>
    <xf numFmtId="0" fontId="5" fillId="0" borderId="135" xfId="1" applyFont="1" applyBorder="1" applyAlignment="1">
      <alignment horizontal="center" vertical="center" wrapText="1" shrinkToFit="1"/>
    </xf>
    <xf numFmtId="0" fontId="5" fillId="0" borderId="136" xfId="1" applyFont="1" applyBorder="1" applyAlignment="1">
      <alignment horizontal="center" vertical="center" wrapText="1" shrinkToFit="1"/>
    </xf>
    <xf numFmtId="0" fontId="5" fillId="0" borderId="157" xfId="1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0" fontId="5" fillId="0" borderId="139" xfId="0" applyFont="1" applyBorder="1" applyAlignment="1">
      <alignment horizontal="left" vertical="center" wrapText="1" shrinkToFit="1"/>
    </xf>
    <xf numFmtId="0" fontId="5" fillId="0" borderId="87" xfId="0" applyFont="1" applyBorder="1" applyAlignment="1">
      <alignment horizontal="left" vertical="center" shrinkToFit="1"/>
    </xf>
    <xf numFmtId="0" fontId="5" fillId="0" borderId="47" xfId="0" applyFont="1" applyBorder="1" applyAlignment="1">
      <alignment horizontal="left" vertical="center" shrinkToFit="1"/>
    </xf>
    <xf numFmtId="0" fontId="5" fillId="0" borderId="103" xfId="0" applyFont="1" applyBorder="1" applyAlignment="1">
      <alignment horizontal="left" vertical="center" shrinkToFit="1"/>
    </xf>
    <xf numFmtId="0" fontId="5" fillId="0" borderId="139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5" fillId="0" borderId="144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shrinkToFit="1"/>
    </xf>
    <xf numFmtId="0" fontId="5" fillId="0" borderId="133" xfId="0" applyFont="1" applyBorder="1" applyAlignment="1">
      <alignment horizontal="center" vertical="center" textRotation="255"/>
    </xf>
    <xf numFmtId="0" fontId="5" fillId="0" borderId="132" xfId="0" applyFont="1" applyBorder="1" applyAlignment="1">
      <alignment horizontal="center" vertical="center" textRotation="255"/>
    </xf>
    <xf numFmtId="0" fontId="5" fillId="0" borderId="45" xfId="0" applyFont="1" applyBorder="1" applyAlignment="1">
      <alignment horizontal="center" vertical="center" textRotation="255"/>
    </xf>
    <xf numFmtId="0" fontId="5" fillId="0" borderId="20" xfId="0" applyFont="1" applyBorder="1" applyAlignment="1">
      <alignment horizontal="left" vertical="center" shrinkToFit="1"/>
    </xf>
    <xf numFmtId="0" fontId="5" fillId="0" borderId="61" xfId="0" applyFont="1" applyBorder="1" applyAlignment="1">
      <alignment horizontal="left" vertical="center" shrinkToFit="1"/>
    </xf>
    <xf numFmtId="0" fontId="5" fillId="0" borderId="48" xfId="0" applyFont="1" applyBorder="1" applyAlignment="1">
      <alignment horizontal="left" vertical="center" shrinkToFit="1"/>
    </xf>
    <xf numFmtId="0" fontId="0" fillId="0" borderId="63" xfId="0" applyBorder="1" applyAlignment="1">
      <alignment horizontal="left" vertical="center" shrinkToFit="1"/>
    </xf>
    <xf numFmtId="0" fontId="5" fillId="0" borderId="63" xfId="0" applyNumberFormat="1" applyFont="1" applyBorder="1" applyAlignment="1">
      <alignment horizontal="center" vertical="center" shrinkToFit="1"/>
    </xf>
    <xf numFmtId="0" fontId="5" fillId="0" borderId="80" xfId="0" applyNumberFormat="1" applyFont="1" applyBorder="1" applyAlignment="1">
      <alignment horizontal="center" vertical="center" shrinkToFit="1"/>
    </xf>
    <xf numFmtId="0" fontId="5" fillId="0" borderId="17" xfId="0" applyNumberFormat="1" applyFont="1" applyBorder="1" applyAlignment="1">
      <alignment horizontal="center" vertical="center" shrinkToFit="1"/>
    </xf>
    <xf numFmtId="0" fontId="5" fillId="0" borderId="22" xfId="0" applyNumberFormat="1" applyFont="1" applyBorder="1" applyAlignment="1">
      <alignment horizontal="center" vertical="center" shrinkToFit="1"/>
    </xf>
    <xf numFmtId="0" fontId="19" fillId="0" borderId="13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183" fontId="5" fillId="0" borderId="83" xfId="1" applyNumberFormat="1" applyFont="1" applyFill="1" applyBorder="1" applyAlignment="1">
      <alignment vertical="center" shrinkToFit="1"/>
    </xf>
    <xf numFmtId="183" fontId="5" fillId="0" borderId="53" xfId="1" applyNumberFormat="1" applyFont="1" applyFill="1" applyBorder="1" applyAlignment="1">
      <alignment vertical="center" shrinkToFit="1"/>
    </xf>
    <xf numFmtId="183" fontId="5" fillId="0" borderId="84" xfId="1" applyNumberFormat="1" applyFont="1" applyFill="1" applyBorder="1" applyAlignment="1">
      <alignment vertical="center" shrinkToFit="1"/>
    </xf>
    <xf numFmtId="0" fontId="9" fillId="0" borderId="111" xfId="0" applyFont="1" applyFill="1" applyBorder="1" applyAlignment="1">
      <alignment horizontal="left" vertical="center" shrinkToFit="1"/>
    </xf>
    <xf numFmtId="0" fontId="5" fillId="0" borderId="56" xfId="0" applyFont="1" applyFill="1" applyBorder="1" applyAlignment="1">
      <alignment horizontal="center" vertical="center" wrapText="1" shrinkToFit="1"/>
    </xf>
    <xf numFmtId="0" fontId="5" fillId="0" borderId="10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5" fillId="0" borderId="12" xfId="0" applyFont="1" applyBorder="1" applyAlignment="1">
      <alignment vertical="center" shrinkToFit="1"/>
    </xf>
    <xf numFmtId="0" fontId="5" fillId="0" borderId="13" xfId="0" applyFont="1" applyBorder="1" applyAlignment="1">
      <alignment vertical="center" shrinkToFit="1"/>
    </xf>
    <xf numFmtId="0" fontId="5" fillId="0" borderId="168" xfId="0" applyFont="1" applyBorder="1" applyAlignment="1">
      <alignment vertical="center" shrinkToFit="1"/>
    </xf>
    <xf numFmtId="0" fontId="5" fillId="0" borderId="98" xfId="0" applyFont="1" applyBorder="1" applyAlignment="1">
      <alignment vertical="center" shrinkToFit="1"/>
    </xf>
    <xf numFmtId="0" fontId="5" fillId="0" borderId="169" xfId="0" applyFont="1" applyBorder="1" applyAlignment="1">
      <alignment vertical="center" shrinkToFit="1"/>
    </xf>
    <xf numFmtId="0" fontId="5" fillId="0" borderId="170" xfId="0" applyFont="1" applyBorder="1" applyAlignment="1">
      <alignment vertical="center" shrinkToFit="1"/>
    </xf>
    <xf numFmtId="0" fontId="5" fillId="0" borderId="5" xfId="0" applyFont="1" applyBorder="1" applyAlignment="1">
      <alignment vertical="center" shrinkToFit="1"/>
    </xf>
    <xf numFmtId="0" fontId="5" fillId="0" borderId="17" xfId="0" applyFont="1" applyBorder="1" applyAlignment="1">
      <alignment horizontal="left" vertical="center" shrinkToFit="1"/>
    </xf>
    <xf numFmtId="0" fontId="5" fillId="0" borderId="109" xfId="1" applyFont="1" applyBorder="1" applyAlignment="1">
      <alignment horizontal="left" vertical="center" wrapText="1" shrinkToFit="1"/>
    </xf>
    <xf numFmtId="0" fontId="5" fillId="0" borderId="152" xfId="1" applyFont="1" applyBorder="1" applyAlignment="1">
      <alignment horizontal="left" vertical="center" wrapText="1" shrinkToFit="1"/>
    </xf>
    <xf numFmtId="0" fontId="5" fillId="0" borderId="153" xfId="1" applyFont="1" applyBorder="1" applyAlignment="1">
      <alignment horizontal="left" vertical="center" wrapText="1" shrinkToFit="1"/>
    </xf>
    <xf numFmtId="0" fontId="5" fillId="0" borderId="154" xfId="1" applyFont="1" applyBorder="1" applyAlignment="1">
      <alignment horizontal="left" vertical="center" wrapText="1" shrinkToFit="1"/>
    </xf>
    <xf numFmtId="0" fontId="5" fillId="0" borderId="155" xfId="1" applyFont="1" applyBorder="1" applyAlignment="1">
      <alignment horizontal="left" vertical="center" wrapText="1" shrinkToFit="1"/>
    </xf>
    <xf numFmtId="0" fontId="5" fillId="0" borderId="156" xfId="1" applyFont="1" applyBorder="1" applyAlignment="1">
      <alignment horizontal="left" vertical="center" wrapText="1" shrinkToFit="1"/>
    </xf>
    <xf numFmtId="0" fontId="5" fillId="0" borderId="188" xfId="1" applyFont="1" applyBorder="1" applyAlignment="1">
      <alignment horizontal="left" vertical="center" shrinkToFit="1"/>
    </xf>
    <xf numFmtId="0" fontId="5" fillId="0" borderId="189" xfId="1" applyFont="1" applyBorder="1" applyAlignment="1">
      <alignment horizontal="left" vertical="center" shrinkToFit="1"/>
    </xf>
    <xf numFmtId="0" fontId="5" fillId="0" borderId="171" xfId="1" applyFont="1" applyBorder="1" applyAlignment="1">
      <alignment horizontal="center" vertical="center" shrinkToFit="1"/>
    </xf>
    <xf numFmtId="0" fontId="5" fillId="0" borderId="137" xfId="1" applyFont="1" applyBorder="1" applyAlignment="1">
      <alignment horizontal="center" vertical="center" shrinkToFit="1"/>
    </xf>
    <xf numFmtId="0" fontId="5" fillId="0" borderId="164" xfId="1" applyFont="1" applyBorder="1" applyAlignment="1">
      <alignment horizontal="center" vertical="center" shrinkToFit="1"/>
    </xf>
    <xf numFmtId="177" fontId="21" fillId="0" borderId="152" xfId="1" applyNumberFormat="1" applyFont="1" applyBorder="1" applyAlignment="1">
      <alignment horizontal="center" vertical="center" shrinkToFit="1"/>
    </xf>
    <xf numFmtId="177" fontId="21" fillId="0" borderId="154" xfId="1" applyNumberFormat="1" applyFont="1" applyBorder="1" applyAlignment="1">
      <alignment horizontal="center" vertical="center" shrinkToFit="1"/>
    </xf>
    <xf numFmtId="177" fontId="21" fillId="0" borderId="156" xfId="1" applyNumberFormat="1" applyFont="1" applyBorder="1" applyAlignment="1">
      <alignment horizontal="center" vertical="center" shrinkToFit="1"/>
    </xf>
    <xf numFmtId="0" fontId="11" fillId="0" borderId="92" xfId="0" applyFont="1" applyFill="1" applyBorder="1" applyAlignment="1">
      <alignment vertical="center" shrinkToFit="1"/>
    </xf>
    <xf numFmtId="0" fontId="11" fillId="0" borderId="161" xfId="0" applyFont="1" applyFill="1" applyBorder="1" applyAlignment="1">
      <alignment vertical="center" shrinkToFit="1"/>
    </xf>
    <xf numFmtId="0" fontId="11" fillId="0" borderId="162" xfId="0" applyFont="1" applyFill="1" applyBorder="1" applyAlignment="1">
      <alignment vertical="center" shrinkToFit="1"/>
    </xf>
    <xf numFmtId="0" fontId="11" fillId="0" borderId="163" xfId="0" applyFont="1" applyFill="1" applyBorder="1" applyAlignment="1">
      <alignment vertical="center" shrinkToFit="1"/>
    </xf>
    <xf numFmtId="0" fontId="5" fillId="0" borderId="25" xfId="0" applyFont="1" applyBorder="1" applyAlignment="1">
      <alignment vertical="center" shrinkToFit="1"/>
    </xf>
    <xf numFmtId="49" fontId="1" fillId="0" borderId="143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0" fontId="7" fillId="0" borderId="106" xfId="0" applyNumberFormat="1" applyFont="1" applyBorder="1" applyAlignment="1">
      <alignment horizontal="center" vertical="center" shrinkToFit="1"/>
    </xf>
    <xf numFmtId="0" fontId="7" fillId="0" borderId="104" xfId="0" applyNumberFormat="1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/>
    </xf>
    <xf numFmtId="0" fontId="5" fillId="5" borderId="82" xfId="0" applyFont="1" applyFill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140" xfId="1" applyFont="1" applyBorder="1" applyAlignment="1">
      <alignment horizontal="center" vertical="center" shrinkToFit="1"/>
    </xf>
    <xf numFmtId="0" fontId="5" fillId="0" borderId="136" xfId="1" applyFont="1" applyBorder="1" applyAlignment="1">
      <alignment horizontal="center" vertical="center" shrinkToFit="1"/>
    </xf>
    <xf numFmtId="0" fontId="5" fillId="0" borderId="169" xfId="1" applyFont="1" applyBorder="1" applyAlignment="1">
      <alignment horizontal="left" vertical="center" shrinkToFit="1"/>
    </xf>
    <xf numFmtId="0" fontId="5" fillId="0" borderId="93" xfId="1" applyFont="1" applyBorder="1" applyAlignment="1">
      <alignment horizontal="left" vertical="center" shrinkToFit="1"/>
    </xf>
    <xf numFmtId="0" fontId="5" fillId="0" borderId="180" xfId="1" applyFont="1" applyBorder="1" applyAlignment="1">
      <alignment horizontal="left" vertical="center" shrinkToFit="1"/>
    </xf>
    <xf numFmtId="0" fontId="5" fillId="0" borderId="99" xfId="1" applyNumberFormat="1" applyFont="1" applyBorder="1" applyAlignment="1">
      <alignment horizontal="right" vertical="center" shrinkToFit="1"/>
    </xf>
    <xf numFmtId="0" fontId="5" fillId="0" borderId="62" xfId="1" applyNumberFormat="1" applyFont="1" applyBorder="1" applyAlignment="1">
      <alignment horizontal="right" vertical="center" shrinkToFit="1"/>
    </xf>
    <xf numFmtId="0" fontId="5" fillId="0" borderId="172" xfId="1" applyFont="1" applyBorder="1" applyAlignment="1">
      <alignment horizontal="left" vertical="center" shrinkToFit="1"/>
    </xf>
    <xf numFmtId="0" fontId="5" fillId="0" borderId="142" xfId="0" applyFont="1" applyBorder="1" applyAlignment="1">
      <alignment horizontal="center" vertical="center" wrapText="1"/>
    </xf>
    <xf numFmtId="0" fontId="5" fillId="0" borderId="110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wrapText="1"/>
    </xf>
    <xf numFmtId="0" fontId="5" fillId="0" borderId="166" xfId="1" applyFont="1" applyBorder="1" applyAlignment="1">
      <alignment horizontal="left" vertical="center" shrinkToFit="1"/>
    </xf>
    <xf numFmtId="0" fontId="5" fillId="0" borderId="109" xfId="0" applyFont="1" applyBorder="1" applyAlignment="1">
      <alignment horizontal="left" vertical="center"/>
    </xf>
    <xf numFmtId="0" fontId="5" fillId="0" borderId="152" xfId="0" applyFont="1" applyBorder="1" applyAlignment="1">
      <alignment horizontal="left" vertical="center"/>
    </xf>
    <xf numFmtId="0" fontId="5" fillId="0" borderId="153" xfId="0" applyFont="1" applyBorder="1" applyAlignment="1">
      <alignment horizontal="left" vertical="center"/>
    </xf>
    <xf numFmtId="0" fontId="5" fillId="0" borderId="154" xfId="0" applyFont="1" applyBorder="1" applyAlignment="1">
      <alignment horizontal="left" vertical="center"/>
    </xf>
    <xf numFmtId="0" fontId="5" fillId="0" borderId="155" xfId="0" applyFont="1" applyBorder="1" applyAlignment="1">
      <alignment horizontal="left" vertical="center"/>
    </xf>
    <xf numFmtId="0" fontId="5" fillId="0" borderId="156" xfId="0" applyFont="1" applyBorder="1" applyAlignment="1">
      <alignment horizontal="left" vertical="center"/>
    </xf>
    <xf numFmtId="0" fontId="5" fillId="0" borderId="159" xfId="1" applyFont="1" applyBorder="1" applyAlignment="1">
      <alignment horizontal="left" vertical="center" shrinkToFit="1"/>
    </xf>
    <xf numFmtId="0" fontId="5" fillId="0" borderId="160" xfId="1" applyFont="1" applyBorder="1" applyAlignment="1">
      <alignment horizontal="left" vertical="center" shrinkToFit="1"/>
    </xf>
    <xf numFmtId="0" fontId="5" fillId="0" borderId="109" xfId="1" applyFont="1" applyBorder="1" applyAlignment="1">
      <alignment horizontal="left" vertical="center" shrinkToFit="1"/>
    </xf>
    <xf numFmtId="0" fontId="5" fillId="0" borderId="152" xfId="1" applyFont="1" applyBorder="1" applyAlignment="1">
      <alignment horizontal="left" vertical="center" shrinkToFit="1"/>
    </xf>
    <xf numFmtId="0" fontId="5" fillId="0" borderId="155" xfId="1" applyFont="1" applyBorder="1" applyAlignment="1">
      <alignment horizontal="left" vertical="center" shrinkToFit="1"/>
    </xf>
    <xf numFmtId="0" fontId="5" fillId="0" borderId="156" xfId="1" applyFont="1" applyBorder="1" applyAlignment="1">
      <alignment horizontal="left" vertical="center" shrinkToFit="1"/>
    </xf>
    <xf numFmtId="0" fontId="10" fillId="0" borderId="164" xfId="0" applyFont="1" applyBorder="1" applyAlignment="1">
      <alignment vertical="center" shrinkToFit="1"/>
    </xf>
    <xf numFmtId="0" fontId="10" fillId="0" borderId="165" xfId="0" applyFont="1" applyBorder="1" applyAlignment="1">
      <alignment vertical="center" shrinkToFit="1"/>
    </xf>
    <xf numFmtId="0" fontId="10" fillId="0" borderId="166" xfId="0" applyFont="1" applyBorder="1" applyAlignment="1">
      <alignment vertical="center" shrinkToFit="1"/>
    </xf>
    <xf numFmtId="0" fontId="10" fillId="0" borderId="167" xfId="0" applyFont="1" applyBorder="1" applyAlignment="1">
      <alignment vertical="center" shrinkToFit="1"/>
    </xf>
    <xf numFmtId="0" fontId="5" fillId="0" borderId="171" xfId="0" applyFont="1" applyBorder="1" applyAlignment="1">
      <alignment vertical="center" shrinkToFit="1"/>
    </xf>
    <xf numFmtId="0" fontId="5" fillId="0" borderId="97" xfId="0" applyFont="1" applyBorder="1" applyAlignment="1">
      <alignment vertical="center" shrinkToFit="1"/>
    </xf>
    <xf numFmtId="0" fontId="5" fillId="0" borderId="172" xfId="0" applyFont="1" applyBorder="1" applyAlignment="1">
      <alignment vertical="center" shrinkToFit="1"/>
    </xf>
    <xf numFmtId="0" fontId="5" fillId="0" borderId="173" xfId="0" applyFont="1" applyBorder="1" applyAlignment="1">
      <alignment vertical="center" shrinkToFit="1"/>
    </xf>
    <xf numFmtId="0" fontId="5" fillId="0" borderId="174" xfId="0" applyFont="1" applyBorder="1" applyAlignment="1">
      <alignment horizontal="center" vertical="center"/>
    </xf>
    <xf numFmtId="0" fontId="5" fillId="0" borderId="175" xfId="0" applyFont="1" applyBorder="1" applyAlignment="1">
      <alignment horizontal="center" vertical="center"/>
    </xf>
    <xf numFmtId="0" fontId="5" fillId="0" borderId="176" xfId="0" applyFont="1" applyBorder="1" applyAlignment="1">
      <alignment horizontal="center" vertical="center"/>
    </xf>
    <xf numFmtId="0" fontId="5" fillId="0" borderId="177" xfId="0" applyFont="1" applyBorder="1" applyAlignment="1">
      <alignment horizontal="center" vertical="center"/>
    </xf>
    <xf numFmtId="0" fontId="5" fillId="0" borderId="178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183" fontId="5" fillId="0" borderId="52" xfId="0" applyNumberFormat="1" applyFont="1" applyBorder="1" applyAlignment="1">
      <alignment horizontal="center" vertical="center"/>
    </xf>
    <xf numFmtId="183" fontId="5" fillId="0" borderId="179" xfId="0" applyNumberFormat="1" applyFont="1" applyBorder="1" applyAlignment="1">
      <alignment horizontal="center" vertical="center"/>
    </xf>
    <xf numFmtId="183" fontId="5" fillId="0" borderId="86" xfId="0" applyNumberFormat="1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left" vertical="center" shrinkToFit="1"/>
    </xf>
    <xf numFmtId="187" fontId="5" fillId="0" borderId="17" xfId="0" applyNumberFormat="1" applyFont="1" applyBorder="1" applyAlignment="1">
      <alignment horizontal="center" vertical="center" shrinkToFit="1"/>
    </xf>
    <xf numFmtId="187" fontId="5" fillId="0" borderId="22" xfId="0" applyNumberFormat="1" applyFont="1" applyBorder="1" applyAlignment="1">
      <alignment horizontal="center" vertical="center" shrinkToFit="1"/>
    </xf>
    <xf numFmtId="0" fontId="5" fillId="0" borderId="111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47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0" borderId="146" xfId="0" applyFont="1" applyBorder="1" applyAlignment="1">
      <alignment horizontal="center" vertical="center"/>
    </xf>
    <xf numFmtId="0" fontId="5" fillId="0" borderId="185" xfId="0" applyFont="1" applyBorder="1" applyAlignment="1">
      <alignment horizontal="center" vertical="center"/>
    </xf>
    <xf numFmtId="0" fontId="5" fillId="0" borderId="186" xfId="0" applyFont="1" applyBorder="1" applyAlignment="1">
      <alignment horizontal="center" vertical="center"/>
    </xf>
    <xf numFmtId="0" fontId="5" fillId="0" borderId="187" xfId="0" applyFont="1" applyBorder="1" applyAlignment="1">
      <alignment horizontal="center" vertical="center"/>
    </xf>
    <xf numFmtId="0" fontId="9" fillId="0" borderId="164" xfId="0" applyFont="1" applyBorder="1" applyAlignment="1">
      <alignment vertical="center" shrinkToFit="1"/>
    </xf>
    <xf numFmtId="0" fontId="9" fillId="0" borderId="165" xfId="0" applyFont="1" applyBorder="1" applyAlignment="1">
      <alignment vertical="center" shrinkToFit="1"/>
    </xf>
    <xf numFmtId="0" fontId="9" fillId="0" borderId="166" xfId="0" applyFont="1" applyBorder="1" applyAlignment="1">
      <alignment vertical="center" shrinkToFit="1"/>
    </xf>
    <xf numFmtId="0" fontId="9" fillId="0" borderId="167" xfId="0" applyFont="1" applyBorder="1" applyAlignment="1">
      <alignment vertical="center" shrinkToFit="1"/>
    </xf>
    <xf numFmtId="0" fontId="5" fillId="0" borderId="4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81" xfId="0" applyFont="1" applyBorder="1" applyAlignment="1">
      <alignment vertical="center" shrinkToFit="1"/>
    </xf>
    <xf numFmtId="0" fontId="5" fillId="0" borderId="182" xfId="0" applyFont="1" applyBorder="1" applyAlignment="1">
      <alignment vertical="center" shrinkToFit="1"/>
    </xf>
    <xf numFmtId="0" fontId="5" fillId="0" borderId="183" xfId="0" applyFont="1" applyBorder="1" applyAlignment="1">
      <alignment vertical="center" shrinkToFit="1"/>
    </xf>
    <xf numFmtId="0" fontId="5" fillId="0" borderId="184" xfId="0" applyFont="1" applyBorder="1" applyAlignment="1">
      <alignment vertical="center" shrinkToFit="1"/>
    </xf>
    <xf numFmtId="187" fontId="5" fillId="0" borderId="16" xfId="0" applyNumberFormat="1" applyFont="1" applyBorder="1" applyAlignment="1">
      <alignment horizontal="center" vertical="center" shrinkToFit="1"/>
    </xf>
    <xf numFmtId="187" fontId="5" fillId="0" borderId="21" xfId="0" applyNumberFormat="1" applyFont="1" applyBorder="1" applyAlignment="1">
      <alignment horizontal="center" vertical="center" shrinkToFit="1"/>
    </xf>
    <xf numFmtId="0" fontId="5" fillId="0" borderId="18" xfId="1" applyFont="1" applyBorder="1" applyAlignment="1">
      <alignment horizontal="center" vertical="center" shrinkToFit="1"/>
    </xf>
    <xf numFmtId="0" fontId="5" fillId="0" borderId="19" xfId="1" applyFont="1" applyBorder="1" applyAlignment="1">
      <alignment horizontal="center" vertical="center" shrinkToFit="1"/>
    </xf>
    <xf numFmtId="0" fontId="5" fillId="0" borderId="23" xfId="1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wrapText="1" shrinkToFit="1"/>
    </xf>
    <xf numFmtId="0" fontId="5" fillId="0" borderId="100" xfId="0" applyFont="1" applyBorder="1" applyAlignment="1">
      <alignment horizontal="center" vertical="center" wrapText="1" shrinkToFit="1"/>
    </xf>
    <xf numFmtId="0" fontId="5" fillId="0" borderId="101" xfId="0" applyFont="1" applyBorder="1" applyAlignment="1">
      <alignment horizontal="center" vertical="center" wrapText="1" shrinkToFit="1"/>
    </xf>
    <xf numFmtId="0" fontId="5" fillId="0" borderId="142" xfId="0" applyFont="1" applyBorder="1" applyAlignment="1">
      <alignment horizontal="center" vertical="center" wrapText="1" shrinkToFit="1"/>
    </xf>
    <xf numFmtId="0" fontId="5" fillId="0" borderId="110" xfId="0" applyFont="1" applyBorder="1" applyAlignment="1">
      <alignment horizontal="center" vertical="center" shrinkToFit="1"/>
    </xf>
    <xf numFmtId="0" fontId="5" fillId="0" borderId="143" xfId="0" applyFont="1" applyBorder="1" applyAlignment="1">
      <alignment horizontal="center" vertical="center" shrinkToFit="1"/>
    </xf>
    <xf numFmtId="0" fontId="5" fillId="0" borderId="144" xfId="0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5" fillId="0" borderId="84" xfId="0" applyFont="1" applyBorder="1" applyAlignment="1">
      <alignment horizontal="center" vertical="center" shrinkToFit="1"/>
    </xf>
    <xf numFmtId="0" fontId="5" fillId="0" borderId="158" xfId="1" applyFont="1" applyBorder="1" applyAlignment="1">
      <alignment horizontal="center" vertical="center" shrinkToFit="1"/>
    </xf>
    <xf numFmtId="0" fontId="5" fillId="0" borderId="49" xfId="1" applyFont="1" applyBorder="1" applyAlignment="1">
      <alignment horizontal="center" vertical="center" shrinkToFit="1"/>
    </xf>
    <xf numFmtId="0" fontId="5" fillId="0" borderId="83" xfId="1" applyFont="1" applyBorder="1" applyAlignment="1">
      <alignment horizontal="center" vertical="center" shrinkToFit="1"/>
    </xf>
    <xf numFmtId="0" fontId="5" fillId="0" borderId="84" xfId="1" applyFont="1" applyBorder="1" applyAlignment="1">
      <alignment horizontal="center" vertical="center" shrinkToFit="1"/>
    </xf>
    <xf numFmtId="0" fontId="5" fillId="0" borderId="148" xfId="1" applyFont="1" applyBorder="1" applyAlignment="1">
      <alignment horizontal="center" vertical="center" shrinkToFit="1"/>
    </xf>
    <xf numFmtId="0" fontId="5" fillId="0" borderId="85" xfId="1" applyFont="1" applyBorder="1" applyAlignment="1">
      <alignment horizontal="center" vertical="center" shrinkToFit="1"/>
    </xf>
    <xf numFmtId="0" fontId="5" fillId="0" borderId="142" xfId="1" applyFont="1" applyBorder="1" applyAlignment="1">
      <alignment horizontal="center" vertical="center"/>
    </xf>
    <xf numFmtId="0" fontId="5" fillId="0" borderId="110" xfId="1" applyFont="1" applyBorder="1" applyAlignment="1">
      <alignment horizontal="center" vertical="center"/>
    </xf>
    <xf numFmtId="0" fontId="5" fillId="0" borderId="143" xfId="1" applyFont="1" applyBorder="1" applyAlignment="1">
      <alignment horizontal="center" vertical="center"/>
    </xf>
    <xf numFmtId="0" fontId="5" fillId="0" borderId="144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103" xfId="1" applyFont="1" applyBorder="1" applyAlignment="1">
      <alignment horizontal="center" vertical="center"/>
    </xf>
    <xf numFmtId="0" fontId="5" fillId="0" borderId="48" xfId="1" applyFont="1" applyBorder="1" applyAlignment="1">
      <alignment horizontal="left" vertical="center" shrinkToFit="1"/>
    </xf>
    <xf numFmtId="0" fontId="5" fillId="0" borderId="132" xfId="1" applyFont="1" applyBorder="1" applyAlignment="1">
      <alignment horizontal="center" vertical="center" textRotation="255" shrinkToFit="1"/>
    </xf>
    <xf numFmtId="0" fontId="5" fillId="0" borderId="142" xfId="0" applyFont="1" applyBorder="1" applyAlignment="1">
      <alignment vertical="center" wrapText="1" shrinkToFit="1"/>
    </xf>
    <xf numFmtId="0" fontId="5" fillId="0" borderId="110" xfId="0" applyFont="1" applyBorder="1" applyAlignment="1">
      <alignment vertical="center" wrapText="1" shrinkToFit="1"/>
    </xf>
    <xf numFmtId="0" fontId="5" fillId="0" borderId="143" xfId="0" applyFont="1" applyBorder="1" applyAlignment="1">
      <alignment vertical="center" wrapText="1" shrinkToFit="1"/>
    </xf>
    <xf numFmtId="0" fontId="5" fillId="0" borderId="144" xfId="0" applyFont="1" applyBorder="1" applyAlignment="1">
      <alignment vertical="center" wrapText="1" shrinkToFit="1"/>
    </xf>
    <xf numFmtId="0" fontId="5" fillId="0" borderId="83" xfId="0" applyFont="1" applyBorder="1" applyAlignment="1">
      <alignment vertical="center" wrapText="1" shrinkToFit="1"/>
    </xf>
    <xf numFmtId="0" fontId="5" fillId="0" borderId="84" xfId="0" applyFont="1" applyBorder="1" applyAlignment="1">
      <alignment vertical="center" wrapText="1" shrinkToFit="1"/>
    </xf>
    <xf numFmtId="0" fontId="5" fillId="0" borderId="133" xfId="1" applyFont="1" applyBorder="1" applyAlignment="1">
      <alignment horizontal="center" vertical="center" textRotation="255" shrinkToFit="1"/>
    </xf>
    <xf numFmtId="0" fontId="5" fillId="0" borderId="134" xfId="1" applyFont="1" applyBorder="1" applyAlignment="1">
      <alignment horizontal="center" vertical="center" textRotation="255" shrinkToFit="1"/>
    </xf>
    <xf numFmtId="0" fontId="5" fillId="0" borderId="142" xfId="1" applyFont="1" applyBorder="1" applyAlignment="1">
      <alignment horizontal="center" vertical="center" wrapText="1" shrinkToFit="1"/>
    </xf>
    <xf numFmtId="0" fontId="5" fillId="0" borderId="110" xfId="1" applyFont="1" applyBorder="1" applyAlignment="1">
      <alignment horizontal="center" vertical="center" wrapText="1" shrinkToFit="1"/>
    </xf>
    <xf numFmtId="0" fontId="5" fillId="0" borderId="143" xfId="1" applyFont="1" applyBorder="1" applyAlignment="1">
      <alignment horizontal="center" vertical="center" wrapText="1" shrinkToFit="1"/>
    </xf>
    <xf numFmtId="0" fontId="5" fillId="0" borderId="144" xfId="1" applyFont="1" applyBorder="1" applyAlignment="1">
      <alignment horizontal="center" vertical="center" wrapText="1" shrinkToFit="1"/>
    </xf>
    <xf numFmtId="0" fontId="5" fillId="0" borderId="83" xfId="1" applyFont="1" applyBorder="1" applyAlignment="1">
      <alignment horizontal="center" vertical="center" wrapText="1" shrinkToFit="1"/>
    </xf>
    <xf numFmtId="0" fontId="5" fillId="0" borderId="84" xfId="1" applyFont="1" applyBorder="1" applyAlignment="1">
      <alignment horizontal="center" vertical="center" wrapText="1" shrinkToFit="1"/>
    </xf>
    <xf numFmtId="0" fontId="5" fillId="0" borderId="138" xfId="1" applyFont="1" applyBorder="1" applyAlignment="1">
      <alignment horizontal="center" vertical="center" wrapText="1" shrinkToFit="1"/>
    </xf>
    <xf numFmtId="0" fontId="5" fillId="0" borderId="15" xfId="1" applyFont="1" applyBorder="1" applyAlignment="1">
      <alignment horizontal="left" vertical="center" shrinkToFit="1"/>
    </xf>
    <xf numFmtId="0" fontId="5" fillId="0" borderId="16" xfId="1" applyFont="1" applyBorder="1" applyAlignment="1">
      <alignment horizontal="left" vertical="center" shrinkToFit="1"/>
    </xf>
    <xf numFmtId="0" fontId="5" fillId="0" borderId="0" xfId="0" applyFont="1" applyBorder="1" applyAlignment="1">
      <alignment vertical="center" shrinkToFit="1"/>
    </xf>
    <xf numFmtId="0" fontId="5" fillId="0" borderId="148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44" xfId="1" applyFont="1" applyBorder="1" applyAlignment="1">
      <alignment horizontal="left" vertical="center" shrinkToFit="1"/>
    </xf>
    <xf numFmtId="0" fontId="0" fillId="0" borderId="78" xfId="0" applyBorder="1" applyAlignment="1">
      <alignment horizontal="left" vertical="center" shrinkToFit="1"/>
    </xf>
    <xf numFmtId="0" fontId="5" fillId="0" borderId="142" xfId="0" applyFont="1" applyBorder="1" applyAlignment="1">
      <alignment horizontal="center" vertical="center"/>
    </xf>
    <xf numFmtId="0" fontId="5" fillId="0" borderId="142" xfId="1" applyFont="1" applyBorder="1" applyAlignment="1">
      <alignment horizontal="center" vertical="center" wrapText="1"/>
    </xf>
    <xf numFmtId="0" fontId="5" fillId="0" borderId="110" xfId="1" applyFont="1" applyBorder="1" applyAlignment="1">
      <alignment horizontal="center" vertical="center" wrapText="1"/>
    </xf>
    <xf numFmtId="0" fontId="5" fillId="0" borderId="143" xfId="1" applyFont="1" applyBorder="1" applyAlignment="1">
      <alignment horizontal="center" vertical="center" wrapText="1"/>
    </xf>
    <xf numFmtId="0" fontId="5" fillId="0" borderId="144" xfId="1" applyFont="1" applyBorder="1" applyAlignment="1">
      <alignment horizontal="center" vertical="center" wrapText="1"/>
    </xf>
    <xf numFmtId="0" fontId="5" fillId="0" borderId="139" xfId="1" applyFont="1" applyBorder="1" applyAlignment="1">
      <alignment horizontal="center" vertical="center" wrapText="1" shrinkToFit="1"/>
    </xf>
    <xf numFmtId="0" fontId="5" fillId="0" borderId="87" xfId="1" applyFont="1" applyBorder="1" applyAlignment="1">
      <alignment horizontal="center" vertical="center" wrapText="1" shrinkToFit="1"/>
    </xf>
    <xf numFmtId="0" fontId="5" fillId="0" borderId="12" xfId="1" applyFont="1" applyBorder="1" applyAlignment="1">
      <alignment vertical="center" shrinkToFit="1"/>
    </xf>
    <xf numFmtId="0" fontId="5" fillId="0" borderId="5" xfId="1" applyFont="1" applyBorder="1" applyAlignment="1">
      <alignment vertical="center" shrinkToFit="1"/>
    </xf>
    <xf numFmtId="0" fontId="5" fillId="0" borderId="61" xfId="0" applyNumberFormat="1" applyFont="1" applyBorder="1" applyAlignment="1">
      <alignment horizontal="center" vertical="center" shrinkToFit="1"/>
    </xf>
    <xf numFmtId="0" fontId="5" fillId="0" borderId="62" xfId="0" applyNumberFormat="1" applyFont="1" applyBorder="1" applyAlignment="1">
      <alignment horizontal="center" vertical="center" shrinkToFit="1"/>
    </xf>
    <xf numFmtId="0" fontId="5" fillId="0" borderId="19" xfId="0" applyNumberFormat="1" applyFont="1" applyBorder="1" applyAlignment="1">
      <alignment horizontal="center" vertical="center" shrinkToFit="1"/>
    </xf>
    <xf numFmtId="0" fontId="5" fillId="0" borderId="23" xfId="0" applyNumberFormat="1" applyFont="1" applyBorder="1" applyAlignment="1">
      <alignment horizontal="center" vertical="center" shrinkToFit="1"/>
    </xf>
    <xf numFmtId="0" fontId="5" fillId="0" borderId="148" xfId="1" applyFont="1" applyBorder="1" applyAlignment="1">
      <alignment horizontal="left" vertical="center" shrinkToFit="1"/>
    </xf>
    <xf numFmtId="0" fontId="5" fillId="0" borderId="54" xfId="1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0" fillId="0" borderId="19" xfId="0" applyBorder="1" applyAlignment="1">
      <alignment horizontal="left" vertical="center" shrinkToFit="1"/>
    </xf>
    <xf numFmtId="0" fontId="5" fillId="0" borderId="133" xfId="0" applyFont="1" applyBorder="1" applyAlignment="1">
      <alignment horizontal="center" vertical="center" textRotation="255" shrinkToFit="1"/>
    </xf>
    <xf numFmtId="0" fontId="5" fillId="0" borderId="132" xfId="0" applyFont="1" applyBorder="1" applyAlignment="1">
      <alignment horizontal="center" vertical="center" textRotation="255" shrinkToFit="1"/>
    </xf>
    <xf numFmtId="0" fontId="5" fillId="0" borderId="45" xfId="0" applyFont="1" applyBorder="1" applyAlignment="1">
      <alignment horizontal="center" vertical="center" textRotation="255" shrinkToFit="1"/>
    </xf>
    <xf numFmtId="0" fontId="5" fillId="0" borderId="16" xfId="0" applyNumberFormat="1" applyFont="1" applyBorder="1" applyAlignment="1">
      <alignment horizontal="center" vertical="center" shrinkToFit="1"/>
    </xf>
    <xf numFmtId="0" fontId="5" fillId="0" borderId="21" xfId="0" applyNumberFormat="1" applyFont="1" applyBorder="1" applyAlignment="1">
      <alignment horizontal="center" vertical="center" shrinkToFit="1"/>
    </xf>
    <xf numFmtId="0" fontId="5" fillId="0" borderId="47" xfId="1" applyFont="1" applyBorder="1" applyAlignment="1">
      <alignment horizontal="center" vertical="center" wrapText="1" shrinkToFit="1"/>
    </xf>
    <xf numFmtId="0" fontId="5" fillId="0" borderId="103" xfId="1" applyFont="1" applyBorder="1" applyAlignment="1">
      <alignment horizontal="center" vertical="center" wrapText="1" shrinkToFit="1"/>
    </xf>
    <xf numFmtId="0" fontId="5" fillId="0" borderId="16" xfId="1" applyFont="1" applyBorder="1" applyAlignment="1">
      <alignment horizontal="right" vertical="center" shrinkToFit="1"/>
    </xf>
    <xf numFmtId="0" fontId="5" fillId="0" borderId="21" xfId="1" applyFont="1" applyBorder="1" applyAlignment="1">
      <alignment horizontal="right" vertical="center" shrinkToFit="1"/>
    </xf>
    <xf numFmtId="0" fontId="5" fillId="0" borderId="17" xfId="1" applyFont="1" applyBorder="1" applyAlignment="1">
      <alignment horizontal="right" vertical="center" shrinkToFit="1"/>
    </xf>
    <xf numFmtId="0" fontId="5" fillId="0" borderId="22" xfId="1" applyFont="1" applyBorder="1" applyAlignment="1">
      <alignment horizontal="right" vertical="center" shrinkToFit="1"/>
    </xf>
    <xf numFmtId="0" fontId="5" fillId="0" borderId="19" xfId="1" applyFont="1" applyBorder="1" applyAlignment="1">
      <alignment horizontal="right" vertical="center" shrinkToFit="1"/>
    </xf>
    <xf numFmtId="0" fontId="5" fillId="0" borderId="23" xfId="1" applyFont="1" applyBorder="1" applyAlignment="1">
      <alignment horizontal="right" vertical="center" shrinkToFit="1"/>
    </xf>
    <xf numFmtId="0" fontId="5" fillId="0" borderId="139" xfId="1" applyFont="1" applyBorder="1" applyAlignment="1">
      <alignment vertical="center" shrinkToFit="1"/>
    </xf>
    <xf numFmtId="0" fontId="5" fillId="0" borderId="111" xfId="1" applyFont="1" applyBorder="1" applyAlignment="1">
      <alignment vertical="center" shrinkToFit="1"/>
    </xf>
    <xf numFmtId="0" fontId="5" fillId="0" borderId="8" xfId="1" applyFont="1" applyBorder="1" applyAlignment="1">
      <alignment vertical="center" shrinkToFit="1"/>
    </xf>
    <xf numFmtId="0" fontId="5" fillId="0" borderId="17" xfId="1" applyFont="1" applyBorder="1" applyAlignment="1">
      <alignment vertical="center" shrinkToFit="1"/>
    </xf>
    <xf numFmtId="0" fontId="5" fillId="0" borderId="18" xfId="1" applyFont="1" applyBorder="1" applyAlignment="1">
      <alignment vertical="center" shrinkToFit="1"/>
    </xf>
    <xf numFmtId="0" fontId="5" fillId="0" borderId="19" xfId="1" applyFont="1" applyBorder="1" applyAlignment="1">
      <alignment vertical="center" shrinkToFit="1"/>
    </xf>
    <xf numFmtId="0" fontId="5" fillId="0" borderId="44" xfId="1" applyFont="1" applyBorder="1" applyAlignment="1">
      <alignment vertical="center" shrinkToFit="1"/>
    </xf>
    <xf numFmtId="0" fontId="5" fillId="0" borderId="78" xfId="1" applyFont="1" applyBorder="1" applyAlignment="1">
      <alignment vertical="center" shrinkToFit="1"/>
    </xf>
    <xf numFmtId="0" fontId="5" fillId="0" borderId="60" xfId="0" applyNumberFormat="1" applyFont="1" applyBorder="1" applyAlignment="1">
      <alignment horizontal="center" vertical="center" shrinkToFit="1"/>
    </xf>
    <xf numFmtId="0" fontId="5" fillId="0" borderId="64" xfId="0" applyNumberFormat="1" applyFont="1" applyBorder="1" applyAlignment="1">
      <alignment horizontal="center" vertical="center" shrinkToFit="1"/>
    </xf>
    <xf numFmtId="0" fontId="0" fillId="0" borderId="60" xfId="0" applyBorder="1" applyAlignment="1">
      <alignment horizontal="left" vertical="center" shrinkToFit="1"/>
    </xf>
    <xf numFmtId="0" fontId="5" fillId="5" borderId="18" xfId="1" applyFont="1" applyFill="1" applyBorder="1" applyAlignment="1">
      <alignment horizontal="left" vertical="center" shrinkToFit="1"/>
    </xf>
    <xf numFmtId="0" fontId="3" fillId="0" borderId="0" xfId="0" applyFont="1" applyFill="1" applyBorder="1" applyAlignment="1">
      <alignment horizontal="right" vertical="center" shrinkToFit="1"/>
    </xf>
    <xf numFmtId="0" fontId="3" fillId="0" borderId="82" xfId="0" applyFont="1" applyFill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center" vertical="center" shrinkToFit="1"/>
    </xf>
    <xf numFmtId="0" fontId="5" fillId="0" borderId="34" xfId="0" applyFont="1" applyFill="1" applyBorder="1" applyAlignment="1">
      <alignment horizontal="center" vertical="center" shrinkToFit="1"/>
    </xf>
    <xf numFmtId="0" fontId="5" fillId="0" borderId="35" xfId="0" applyFont="1" applyFill="1" applyBorder="1" applyAlignment="1">
      <alignment horizontal="center" vertical="center" shrinkToFit="1"/>
    </xf>
    <xf numFmtId="0" fontId="5" fillId="0" borderId="133" xfId="0" applyFont="1" applyFill="1" applyBorder="1" applyAlignment="1">
      <alignment horizontal="center" vertical="center" wrapText="1" shrinkToFit="1"/>
    </xf>
    <xf numFmtId="0" fontId="5" fillId="0" borderId="132" xfId="0" applyFont="1" applyFill="1" applyBorder="1" applyAlignment="1">
      <alignment horizontal="center" vertical="center" wrapText="1" shrinkToFit="1"/>
    </xf>
    <xf numFmtId="0" fontId="5" fillId="0" borderId="45" xfId="0" applyFont="1" applyFill="1" applyBorder="1" applyAlignment="1">
      <alignment horizontal="center" vertical="center" wrapText="1" shrinkToFit="1"/>
    </xf>
    <xf numFmtId="0" fontId="5" fillId="0" borderId="133" xfId="0" applyFont="1" applyFill="1" applyBorder="1" applyAlignment="1">
      <alignment horizontal="center" vertical="center" shrinkToFit="1"/>
    </xf>
    <xf numFmtId="0" fontId="5" fillId="0" borderId="132" xfId="0" applyFont="1" applyFill="1" applyBorder="1" applyAlignment="1">
      <alignment horizontal="center" vertical="center" shrinkToFit="1"/>
    </xf>
    <xf numFmtId="0" fontId="5" fillId="0" borderId="45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 shrinkToFit="1"/>
    </xf>
    <xf numFmtId="189" fontId="5" fillId="0" borderId="8" xfId="0" applyNumberFormat="1" applyFont="1" applyFill="1" applyBorder="1" applyAlignment="1">
      <alignment horizontal="left" vertical="center" shrinkToFit="1"/>
    </xf>
    <xf numFmtId="189" fontId="5" fillId="0" borderId="17" xfId="0" applyNumberFormat="1" applyFont="1" applyFill="1" applyBorder="1" applyAlignment="1">
      <alignment horizontal="left" vertical="center" shrinkToFit="1"/>
    </xf>
    <xf numFmtId="189" fontId="5" fillId="0" borderId="22" xfId="0" applyNumberFormat="1" applyFont="1" applyFill="1" applyBorder="1" applyAlignment="1">
      <alignment horizontal="left" vertical="center" shrinkToFit="1"/>
    </xf>
    <xf numFmtId="189" fontId="5" fillId="0" borderId="15" xfId="0" applyNumberFormat="1" applyFont="1" applyFill="1" applyBorder="1" applyAlignment="1">
      <alignment horizontal="left" vertical="center" shrinkToFit="1"/>
    </xf>
    <xf numFmtId="189" fontId="5" fillId="0" borderId="16" xfId="0" applyNumberFormat="1" applyFont="1" applyFill="1" applyBorder="1" applyAlignment="1">
      <alignment horizontal="left" vertical="center" shrinkToFit="1"/>
    </xf>
    <xf numFmtId="189" fontId="5" fillId="0" borderId="21" xfId="0" applyNumberFormat="1" applyFont="1" applyFill="1" applyBorder="1" applyAlignment="1">
      <alignment horizontal="left" vertical="center" shrinkToFit="1"/>
    </xf>
    <xf numFmtId="189" fontId="5" fillId="0" borderId="40" xfId="0" applyNumberFormat="1" applyFont="1" applyFill="1" applyBorder="1" applyAlignment="1">
      <alignment horizontal="left" vertical="center" shrinkToFit="1"/>
    </xf>
    <xf numFmtId="189" fontId="5" fillId="0" borderId="60" xfId="0" applyNumberFormat="1" applyFont="1" applyFill="1" applyBorder="1" applyAlignment="1">
      <alignment horizontal="left" vertical="center" shrinkToFit="1"/>
    </xf>
    <xf numFmtId="189" fontId="5" fillId="0" borderId="64" xfId="0" applyNumberFormat="1" applyFont="1" applyFill="1" applyBorder="1" applyAlignment="1">
      <alignment horizontal="left" vertical="center" shrinkToFit="1"/>
    </xf>
    <xf numFmtId="0" fontId="5" fillId="0" borderId="33" xfId="0" applyFont="1" applyFill="1" applyBorder="1" applyAlignment="1">
      <alignment horizontal="center" vertical="center" wrapText="1" shrinkToFit="1"/>
    </xf>
    <xf numFmtId="0" fontId="5" fillId="0" borderId="41" xfId="0" applyFont="1" applyFill="1" applyBorder="1" applyAlignment="1">
      <alignment horizontal="center" vertical="center" wrapText="1" shrinkToFit="1"/>
    </xf>
    <xf numFmtId="0" fontId="5" fillId="0" borderId="190" xfId="0" applyFont="1" applyFill="1" applyBorder="1" applyAlignment="1">
      <alignment horizontal="center" vertical="center" shrinkToFit="1"/>
    </xf>
    <xf numFmtId="189" fontId="5" fillId="0" borderId="18" xfId="0" applyNumberFormat="1" applyFont="1" applyFill="1" applyBorder="1" applyAlignment="1">
      <alignment horizontal="left" vertical="center" shrinkToFit="1"/>
    </xf>
    <xf numFmtId="189" fontId="5" fillId="0" borderId="19" xfId="0" applyNumberFormat="1" applyFont="1" applyFill="1" applyBorder="1" applyAlignment="1">
      <alignment horizontal="left" vertical="center" shrinkToFit="1"/>
    </xf>
    <xf numFmtId="189" fontId="5" fillId="0" borderId="23" xfId="0" applyNumberFormat="1" applyFont="1" applyFill="1" applyBorder="1" applyAlignment="1">
      <alignment horizontal="left" vertical="center" shrinkToFit="1"/>
    </xf>
    <xf numFmtId="0" fontId="5" fillId="0" borderId="41" xfId="0" applyFont="1" applyFill="1" applyBorder="1" applyAlignment="1">
      <alignment horizontal="center" vertical="center" shrinkToFit="1"/>
    </xf>
    <xf numFmtId="181" fontId="5" fillId="3" borderId="5" xfId="0" applyNumberFormat="1" applyFont="1" applyFill="1" applyBorder="1" applyAlignment="1">
      <alignment vertical="center" shrinkToFit="1"/>
    </xf>
    <xf numFmtId="181" fontId="5" fillId="3" borderId="13" xfId="0" applyNumberFormat="1" applyFont="1" applyFill="1" applyBorder="1" applyAlignment="1">
      <alignment vertical="center" shrinkToFit="1"/>
    </xf>
    <xf numFmtId="181" fontId="5" fillId="3" borderId="12" xfId="0" applyNumberFormat="1" applyFont="1" applyFill="1" applyBorder="1" applyAlignment="1">
      <alignment vertical="center" shrinkToFit="1"/>
    </xf>
    <xf numFmtId="181" fontId="5" fillId="3" borderId="42" xfId="0" applyNumberFormat="1" applyFont="1" applyFill="1" applyBorder="1" applyAlignment="1">
      <alignment vertical="center" shrinkToFit="1"/>
    </xf>
    <xf numFmtId="181" fontId="5" fillId="3" borderId="102" xfId="0" applyNumberFormat="1" applyFont="1" applyFill="1" applyBorder="1" applyAlignment="1">
      <alignment vertical="center" shrinkToFit="1"/>
    </xf>
    <xf numFmtId="181" fontId="5" fillId="3" borderId="14" xfId="0" applyNumberFormat="1" applyFont="1" applyFill="1" applyBorder="1" applyAlignment="1">
      <alignment vertical="center" shrinkToFit="1"/>
    </xf>
    <xf numFmtId="189" fontId="5" fillId="0" borderId="139" xfId="0" applyNumberFormat="1" applyFont="1" applyFill="1" applyBorder="1" applyAlignment="1">
      <alignment horizontal="center" vertical="center" shrinkToFit="1"/>
    </xf>
    <xf numFmtId="189" fontId="5" fillId="0" borderId="111" xfId="0" applyNumberFormat="1" applyFont="1" applyFill="1" applyBorder="1" applyAlignment="1">
      <alignment horizontal="center" vertical="center" shrinkToFit="1"/>
    </xf>
    <xf numFmtId="189" fontId="5" fillId="0" borderId="87" xfId="0" applyNumberFormat="1" applyFont="1" applyFill="1" applyBorder="1" applyAlignment="1">
      <alignment horizontal="center" vertical="center" shrinkToFit="1"/>
    </xf>
    <xf numFmtId="189" fontId="5" fillId="0" borderId="40" xfId="0" applyNumberFormat="1" applyFont="1" applyFill="1" applyBorder="1" applyAlignment="1">
      <alignment horizontal="center" vertical="center" shrinkToFit="1"/>
    </xf>
    <xf numFmtId="189" fontId="5" fillId="0" borderId="60" xfId="0" applyNumberFormat="1" applyFont="1" applyFill="1" applyBorder="1" applyAlignment="1">
      <alignment horizontal="center" vertical="center" shrinkToFit="1"/>
    </xf>
    <xf numFmtId="189" fontId="5" fillId="0" borderId="64" xfId="0" applyNumberFormat="1" applyFont="1" applyFill="1" applyBorder="1" applyAlignment="1">
      <alignment horizontal="center" vertical="center" shrinkToFit="1"/>
    </xf>
    <xf numFmtId="189" fontId="5" fillId="0" borderId="44" xfId="0" applyNumberFormat="1" applyFont="1" applyFill="1" applyBorder="1" applyAlignment="1">
      <alignment horizontal="center" vertical="center" shrinkToFit="1"/>
    </xf>
    <xf numFmtId="189" fontId="5" fillId="0" borderId="78" xfId="0" applyNumberFormat="1" applyFont="1" applyFill="1" applyBorder="1" applyAlignment="1">
      <alignment horizontal="center" vertical="center" shrinkToFit="1"/>
    </xf>
    <xf numFmtId="189" fontId="5" fillId="0" borderId="79" xfId="0" applyNumberFormat="1" applyFont="1" applyFill="1" applyBorder="1" applyAlignment="1">
      <alignment horizontal="center" vertical="center" shrinkToFit="1"/>
    </xf>
    <xf numFmtId="189" fontId="5" fillId="0" borderId="47" xfId="0" applyNumberFormat="1" applyFont="1" applyFill="1" applyBorder="1" applyAlignment="1">
      <alignment horizontal="center" vertical="center" shrinkToFit="1"/>
    </xf>
    <xf numFmtId="189" fontId="5" fillId="0" borderId="82" xfId="0" applyNumberFormat="1" applyFont="1" applyFill="1" applyBorder="1" applyAlignment="1">
      <alignment horizontal="center" vertical="center" shrinkToFit="1"/>
    </xf>
    <xf numFmtId="189" fontId="5" fillId="0" borderId="103" xfId="0" applyNumberFormat="1" applyFont="1" applyFill="1" applyBorder="1" applyAlignment="1">
      <alignment horizontal="center" vertical="center" shrinkToFit="1"/>
    </xf>
    <xf numFmtId="0" fontId="5" fillId="0" borderId="24" xfId="0" applyFont="1" applyFill="1" applyBorder="1" applyAlignment="1">
      <alignment horizontal="center" vertical="center" shrinkToFit="1"/>
    </xf>
    <xf numFmtId="0" fontId="5" fillId="0" borderId="100" xfId="0" applyFont="1" applyFill="1" applyBorder="1" applyAlignment="1">
      <alignment horizontal="center" vertical="center" shrinkToFit="1"/>
    </xf>
    <xf numFmtId="0" fontId="5" fillId="0" borderId="101" xfId="0" applyFont="1" applyFill="1" applyBorder="1" applyAlignment="1">
      <alignment horizontal="center" vertical="center" shrinkToFit="1"/>
    </xf>
    <xf numFmtId="0" fontId="5" fillId="0" borderId="139" xfId="0" applyFont="1" applyFill="1" applyBorder="1" applyAlignment="1">
      <alignment horizontal="center" vertical="center" shrinkToFit="1"/>
    </xf>
    <xf numFmtId="0" fontId="5" fillId="0" borderId="111" xfId="0" applyFont="1" applyFill="1" applyBorder="1" applyAlignment="1">
      <alignment horizontal="center" vertical="center" shrinkToFit="1"/>
    </xf>
    <xf numFmtId="0" fontId="5" fillId="0" borderId="87" xfId="0" applyFont="1" applyFill="1" applyBorder="1" applyAlignment="1">
      <alignment horizontal="center" vertical="center" shrinkToFit="1"/>
    </xf>
    <xf numFmtId="0" fontId="5" fillId="0" borderId="40" xfId="0" applyFont="1" applyFill="1" applyBorder="1" applyAlignment="1">
      <alignment horizontal="center" vertical="center" shrinkToFit="1"/>
    </xf>
    <xf numFmtId="0" fontId="5" fillId="0" borderId="60" xfId="0" applyFont="1" applyFill="1" applyBorder="1" applyAlignment="1">
      <alignment horizontal="center" vertical="center" shrinkToFit="1"/>
    </xf>
    <xf numFmtId="0" fontId="5" fillId="0" borderId="64" xfId="0" applyFont="1" applyFill="1" applyBorder="1" applyAlignment="1">
      <alignment horizontal="center" vertical="center" shrinkToFit="1"/>
    </xf>
    <xf numFmtId="0" fontId="5" fillId="0" borderId="44" xfId="0" applyFont="1" applyFill="1" applyBorder="1" applyAlignment="1">
      <alignment horizontal="center" vertical="center" shrinkToFit="1"/>
    </xf>
    <xf numFmtId="0" fontId="5" fillId="0" borderId="78" xfId="0" applyFont="1" applyFill="1" applyBorder="1" applyAlignment="1">
      <alignment horizontal="center" vertical="center" shrinkToFit="1"/>
    </xf>
    <xf numFmtId="0" fontId="5" fillId="0" borderId="79" xfId="0" applyFont="1" applyFill="1" applyBorder="1" applyAlignment="1">
      <alignment horizontal="center" vertical="center" shrinkToFit="1"/>
    </xf>
    <xf numFmtId="189" fontId="5" fillId="0" borderId="44" xfId="0" applyNumberFormat="1" applyFont="1" applyFill="1" applyBorder="1" applyAlignment="1">
      <alignment horizontal="left" vertical="center" shrinkToFit="1"/>
    </xf>
    <xf numFmtId="189" fontId="5" fillId="0" borderId="78" xfId="0" applyNumberFormat="1" applyFont="1" applyFill="1" applyBorder="1" applyAlignment="1">
      <alignment horizontal="left" vertical="center" shrinkToFit="1"/>
    </xf>
    <xf numFmtId="189" fontId="5" fillId="0" borderId="79" xfId="0" applyNumberFormat="1" applyFont="1" applyFill="1" applyBorder="1" applyAlignment="1">
      <alignment horizontal="left" vertical="center" shrinkToFit="1"/>
    </xf>
    <xf numFmtId="0" fontId="21" fillId="0" borderId="133" xfId="0" applyFont="1" applyFill="1" applyBorder="1" applyAlignment="1">
      <alignment horizontal="center" vertical="center" shrinkToFit="1"/>
    </xf>
    <xf numFmtId="0" fontId="21" fillId="0" borderId="132" xfId="0" applyFont="1" applyFill="1" applyBorder="1" applyAlignment="1">
      <alignment horizontal="center" vertical="center" shrinkToFit="1"/>
    </xf>
    <xf numFmtId="0" fontId="5" fillId="0" borderId="47" xfId="0" applyFont="1" applyFill="1" applyBorder="1" applyAlignment="1">
      <alignment horizontal="center" vertical="center" shrinkToFit="1"/>
    </xf>
    <xf numFmtId="0" fontId="5" fillId="0" borderId="82" xfId="0" applyFont="1" applyFill="1" applyBorder="1" applyAlignment="1">
      <alignment horizontal="center" vertical="center" shrinkToFit="1"/>
    </xf>
    <xf numFmtId="0" fontId="5" fillId="0" borderId="103" xfId="0" applyFont="1" applyFill="1" applyBorder="1" applyAlignment="1">
      <alignment horizontal="center" vertical="center" shrinkToFit="1"/>
    </xf>
    <xf numFmtId="0" fontId="19" fillId="0" borderId="135" xfId="1" applyFont="1" applyBorder="1" applyAlignment="1">
      <alignment horizontal="center" vertical="center" wrapText="1" readingOrder="1"/>
    </xf>
    <xf numFmtId="0" fontId="19" fillId="0" borderId="137" xfId="1" applyFont="1" applyBorder="1" applyAlignment="1">
      <alignment horizontal="center" vertical="center" wrapText="1" readingOrder="1"/>
    </xf>
    <xf numFmtId="0" fontId="5" fillId="0" borderId="133" xfId="1" applyFont="1" applyBorder="1" applyAlignment="1">
      <alignment horizontal="center" vertical="center" wrapText="1" shrinkToFit="1"/>
    </xf>
    <xf numFmtId="0" fontId="5" fillId="0" borderId="134" xfId="1" applyFont="1" applyBorder="1" applyAlignment="1">
      <alignment horizontal="center" vertical="center" wrapText="1" shrinkToFit="1"/>
    </xf>
    <xf numFmtId="0" fontId="19" fillId="0" borderId="138" xfId="1" applyFont="1" applyBorder="1" applyAlignment="1">
      <alignment horizontal="center" vertical="center" wrapText="1" readingOrder="1"/>
    </xf>
    <xf numFmtId="0" fontId="5" fillId="0" borderId="30" xfId="1" applyFont="1" applyBorder="1" applyAlignment="1">
      <alignment horizontal="center" vertical="center" wrapText="1" shrinkToFit="1"/>
    </xf>
    <xf numFmtId="0" fontId="5" fillId="0" borderId="31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shrinkToFit="1"/>
    </xf>
    <xf numFmtId="0" fontId="5" fillId="0" borderId="99" xfId="1" applyFont="1" applyBorder="1" applyAlignment="1">
      <alignment horizontal="left" vertical="center" shrinkToFit="1"/>
    </xf>
    <xf numFmtId="0" fontId="0" fillId="0" borderId="61" xfId="0" applyFont="1" applyBorder="1" applyAlignment="1">
      <alignment horizontal="left" vertical="center" shrinkToFit="1"/>
    </xf>
    <xf numFmtId="0" fontId="19" fillId="0" borderId="140" xfId="1" applyFont="1" applyBorder="1" applyAlignment="1">
      <alignment horizontal="center" vertical="center" wrapText="1" shrinkToFit="1"/>
    </xf>
    <xf numFmtId="0" fontId="19" fillId="0" borderId="137" xfId="1" applyFont="1" applyBorder="1" applyAlignment="1">
      <alignment horizontal="center" vertical="center" wrapText="1" shrinkToFit="1"/>
    </xf>
    <xf numFmtId="0" fontId="5" fillId="0" borderId="138" xfId="1" applyFont="1" applyBorder="1" applyAlignment="1">
      <alignment horizontal="center" vertical="center" shrinkToFit="1"/>
    </xf>
    <xf numFmtId="0" fontId="5" fillId="0" borderId="157" xfId="1" applyFont="1" applyBorder="1" applyAlignment="1">
      <alignment horizontal="center" vertical="center" shrinkToFit="1"/>
    </xf>
    <xf numFmtId="0" fontId="0" fillId="0" borderId="78" xfId="0" applyFont="1" applyBorder="1" applyAlignment="1">
      <alignment horizontal="left" vertical="center" shrinkToFit="1"/>
    </xf>
    <xf numFmtId="0" fontId="5" fillId="0" borderId="92" xfId="0" applyFont="1" applyFill="1" applyBorder="1" applyAlignment="1">
      <alignment vertical="center" shrinkToFit="1"/>
    </xf>
    <xf numFmtId="0" fontId="5" fillId="0" borderId="161" xfId="0" applyFont="1" applyFill="1" applyBorder="1" applyAlignment="1">
      <alignment vertical="center" shrinkToFit="1"/>
    </xf>
    <xf numFmtId="0" fontId="5" fillId="0" borderId="162" xfId="0" applyFont="1" applyFill="1" applyBorder="1" applyAlignment="1">
      <alignment vertical="center" shrinkToFit="1"/>
    </xf>
    <xf numFmtId="0" fontId="5" fillId="0" borderId="163" xfId="0" applyFont="1" applyFill="1" applyBorder="1" applyAlignment="1">
      <alignment vertical="center" shrinkToFit="1"/>
    </xf>
    <xf numFmtId="0" fontId="5" fillId="0" borderId="97" xfId="1" applyFont="1" applyBorder="1" applyAlignment="1">
      <alignment horizontal="left" vertical="center" shrinkToFit="1"/>
    </xf>
    <xf numFmtId="0" fontId="5" fillId="0" borderId="102" xfId="0" applyFont="1" applyBorder="1" applyAlignment="1">
      <alignment horizontal="center" vertical="center" wrapText="1"/>
    </xf>
    <xf numFmtId="0" fontId="5" fillId="0" borderId="168" xfId="1" applyFont="1" applyBorder="1" applyAlignment="1">
      <alignment horizontal="center" vertical="center" shrinkToFit="1"/>
    </xf>
    <xf numFmtId="0" fontId="5" fillId="0" borderId="192" xfId="1" applyFont="1" applyBorder="1" applyAlignment="1">
      <alignment horizontal="center" vertical="center" shrinkToFit="1"/>
    </xf>
    <xf numFmtId="0" fontId="5" fillId="0" borderId="40" xfId="1" applyFont="1" applyBorder="1" applyAlignment="1">
      <alignment vertical="center" shrinkToFit="1"/>
    </xf>
    <xf numFmtId="0" fontId="5" fillId="0" borderId="60" xfId="1" applyFont="1" applyBorder="1" applyAlignment="1">
      <alignment vertical="center" shrinkToFit="1"/>
    </xf>
    <xf numFmtId="0" fontId="5" fillId="0" borderId="98" xfId="1" applyFont="1" applyBorder="1" applyAlignment="1">
      <alignment horizontal="left" vertical="center" shrinkToFit="1"/>
    </xf>
    <xf numFmtId="186" fontId="5" fillId="0" borderId="19" xfId="0" applyNumberFormat="1" applyFont="1" applyBorder="1" applyAlignment="1">
      <alignment horizontal="left" vertical="center" shrinkToFit="1"/>
    </xf>
    <xf numFmtId="186" fontId="5" fillId="0" borderId="23" xfId="0" applyNumberFormat="1" applyFont="1" applyBorder="1" applyAlignment="1">
      <alignment horizontal="left" vertical="center" shrinkToFit="1"/>
    </xf>
    <xf numFmtId="0" fontId="5" fillId="0" borderId="165" xfId="1" applyFont="1" applyBorder="1" applyAlignment="1">
      <alignment horizontal="left" vertical="center" shrinkToFit="1"/>
    </xf>
    <xf numFmtId="0" fontId="5" fillId="0" borderId="96" xfId="1" applyFont="1" applyBorder="1" applyAlignment="1">
      <alignment horizontal="left" vertical="center" shrinkToFit="1"/>
    </xf>
    <xf numFmtId="0" fontId="5" fillId="0" borderId="193" xfId="1" applyFont="1" applyBorder="1" applyAlignment="1">
      <alignment horizontal="left" vertical="center" shrinkToFit="1"/>
    </xf>
    <xf numFmtId="0" fontId="5" fillId="0" borderId="146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/>
    </xf>
    <xf numFmtId="0" fontId="5" fillId="0" borderId="147" xfId="1" applyFont="1" applyBorder="1" applyAlignment="1">
      <alignment horizontal="center" vertical="center"/>
    </xf>
    <xf numFmtId="0" fontId="5" fillId="0" borderId="133" xfId="1" applyFont="1" applyBorder="1" applyAlignment="1">
      <alignment horizontal="center" vertical="center" textRotation="255" wrapText="1"/>
    </xf>
    <xf numFmtId="0" fontId="5" fillId="0" borderId="132" xfId="1" applyFont="1" applyBorder="1" applyAlignment="1">
      <alignment horizontal="center" vertical="center" textRotation="255"/>
    </xf>
    <xf numFmtId="0" fontId="5" fillId="0" borderId="45" xfId="1" applyFont="1" applyBorder="1" applyAlignment="1">
      <alignment horizontal="center" vertical="center" textRotation="255"/>
    </xf>
    <xf numFmtId="0" fontId="5" fillId="0" borderId="102" xfId="1" applyFont="1" applyBorder="1" applyAlignment="1">
      <alignment horizontal="center" vertical="center"/>
    </xf>
    <xf numFmtId="0" fontId="5" fillId="0" borderId="108" xfId="1" applyFont="1" applyBorder="1" applyAlignment="1">
      <alignment horizontal="center" vertical="center"/>
    </xf>
    <xf numFmtId="0" fontId="5" fillId="0" borderId="59" xfId="1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 wrapText="1"/>
    </xf>
    <xf numFmtId="0" fontId="5" fillId="0" borderId="101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vertical="center"/>
    </xf>
    <xf numFmtId="183" fontId="5" fillId="0" borderId="12" xfId="0" applyNumberFormat="1" applyFont="1" applyBorder="1" applyAlignment="1">
      <alignment horizontal="center" vertical="center"/>
    </xf>
    <xf numFmtId="183" fontId="5" fillId="0" borderId="13" xfId="0" applyNumberFormat="1" applyFont="1" applyBorder="1" applyAlignment="1">
      <alignment horizontal="center" vertical="center"/>
    </xf>
    <xf numFmtId="193" fontId="5" fillId="3" borderId="18" xfId="0" applyNumberFormat="1" applyFont="1" applyFill="1" applyBorder="1" applyAlignment="1">
      <alignment horizontal="left" vertical="center"/>
    </xf>
    <xf numFmtId="193" fontId="5" fillId="3" borderId="19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133" xfId="0" applyFont="1" applyBorder="1" applyAlignment="1">
      <alignment horizontal="center" vertical="center" wrapText="1"/>
    </xf>
    <xf numFmtId="0" fontId="5" fillId="0" borderId="132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182" fontId="5" fillId="0" borderId="28" xfId="0" applyNumberFormat="1" applyFont="1" applyBorder="1" applyAlignment="1">
      <alignment horizontal="center" vertical="center"/>
    </xf>
    <xf numFmtId="182" fontId="5" fillId="0" borderId="37" xfId="0" applyNumberFormat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 shrinkToFit="1"/>
    </xf>
    <xf numFmtId="0" fontId="5" fillId="0" borderId="47" xfId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5" xfId="1" applyFont="1" applyBorder="1" applyAlignment="1">
      <alignment horizontal="center" vertical="center" shrinkToFit="1"/>
    </xf>
    <xf numFmtId="0" fontId="5" fillId="0" borderId="139" xfId="1" applyFont="1" applyBorder="1" applyAlignment="1">
      <alignment horizontal="center" vertical="center" shrinkToFit="1"/>
    </xf>
    <xf numFmtId="0" fontId="5" fillId="0" borderId="143" xfId="1" applyFont="1" applyBorder="1" applyAlignment="1">
      <alignment horizontal="center" vertical="center" shrinkToFit="1"/>
    </xf>
    <xf numFmtId="0" fontId="5" fillId="0" borderId="145" xfId="1" applyFont="1" applyBorder="1" applyAlignment="1">
      <alignment horizontal="right" vertical="center" shrinkToFit="1"/>
    </xf>
    <xf numFmtId="182" fontId="5" fillId="0" borderId="43" xfId="0" applyNumberFormat="1" applyFont="1" applyBorder="1" applyAlignment="1">
      <alignment horizontal="center" vertical="center"/>
    </xf>
    <xf numFmtId="0" fontId="5" fillId="0" borderId="147" xfId="0" applyFont="1" applyBorder="1" applyAlignment="1">
      <alignment horizontal="right" vertical="center"/>
    </xf>
    <xf numFmtId="0" fontId="5" fillId="0" borderId="179" xfId="0" applyFont="1" applyBorder="1" applyAlignment="1">
      <alignment horizontal="right" vertical="center"/>
    </xf>
    <xf numFmtId="0" fontId="5" fillId="0" borderId="86" xfId="0" applyFont="1" applyBorder="1" applyAlignment="1">
      <alignment horizontal="right" vertical="center"/>
    </xf>
    <xf numFmtId="0" fontId="5" fillId="0" borderId="42" xfId="0" applyFont="1" applyBorder="1" applyAlignment="1">
      <alignment horizontal="center" vertical="center"/>
    </xf>
    <xf numFmtId="49" fontId="5" fillId="0" borderId="15" xfId="0" applyNumberFormat="1" applyFont="1" applyBorder="1" applyAlignment="1">
      <alignment vertical="center"/>
    </xf>
    <xf numFmtId="49" fontId="5" fillId="0" borderId="16" xfId="0" applyNumberFormat="1" applyFont="1" applyBorder="1" applyAlignment="1">
      <alignment vertical="center"/>
    </xf>
    <xf numFmtId="49" fontId="5" fillId="0" borderId="21" xfId="0" applyNumberFormat="1" applyFont="1" applyBorder="1" applyAlignment="1">
      <alignment vertical="center"/>
    </xf>
    <xf numFmtId="0" fontId="5" fillId="0" borderId="164" xfId="0" applyFont="1" applyBorder="1" applyAlignment="1">
      <alignment vertical="center" shrinkToFit="1"/>
    </xf>
    <xf numFmtId="0" fontId="5" fillId="0" borderId="165" xfId="0" applyFont="1" applyBorder="1" applyAlignment="1">
      <alignment vertical="center" shrinkToFit="1"/>
    </xf>
    <xf numFmtId="0" fontId="5" fillId="0" borderId="166" xfId="0" applyFont="1" applyBorder="1" applyAlignment="1">
      <alignment vertical="center" shrinkToFit="1"/>
    </xf>
    <xf numFmtId="0" fontId="5" fillId="0" borderId="167" xfId="0" applyFont="1" applyBorder="1" applyAlignment="1">
      <alignment vertical="center" shrinkToFit="1"/>
    </xf>
    <xf numFmtId="0" fontId="5" fillId="6" borderId="95" xfId="0" applyFont="1" applyFill="1" applyBorder="1" applyAlignment="1">
      <alignment horizontal="center" vertical="center" shrinkToFit="1"/>
    </xf>
    <xf numFmtId="0" fontId="5" fillId="6" borderId="17" xfId="0" applyFont="1" applyFill="1" applyBorder="1" applyAlignment="1">
      <alignment horizontal="center" vertical="center" shrinkToFit="1"/>
    </xf>
    <xf numFmtId="0" fontId="5" fillId="3" borderId="95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193" fontId="5" fillId="2" borderId="8" xfId="0" applyNumberFormat="1" applyFont="1" applyFill="1" applyBorder="1" applyAlignment="1">
      <alignment horizontal="left" vertical="center"/>
    </xf>
    <xf numFmtId="193" fontId="5" fillId="2" borderId="17" xfId="0" applyNumberFormat="1" applyFont="1" applyFill="1" applyBorder="1" applyAlignment="1">
      <alignment horizontal="left" vertical="center"/>
    </xf>
    <xf numFmtId="193" fontId="5" fillId="3" borderId="8" xfId="0" applyNumberFormat="1" applyFont="1" applyFill="1" applyBorder="1" applyAlignment="1">
      <alignment horizontal="left" vertical="center"/>
    </xf>
    <xf numFmtId="193" fontId="5" fillId="3" borderId="17" xfId="0" applyNumberFormat="1" applyFont="1" applyFill="1" applyBorder="1" applyAlignment="1">
      <alignment horizontal="left" vertical="center"/>
    </xf>
    <xf numFmtId="49" fontId="5" fillId="0" borderId="18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143" xfId="0" applyNumberFormat="1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186" fontId="5" fillId="0" borderId="16" xfId="0" applyNumberFormat="1" applyFont="1" applyBorder="1" applyAlignment="1">
      <alignment horizontal="left" vertical="center" shrinkToFit="1"/>
    </xf>
    <xf numFmtId="186" fontId="5" fillId="0" borderId="21" xfId="0" applyNumberFormat="1" applyFont="1" applyBorder="1" applyAlignment="1">
      <alignment horizontal="left" vertical="center" shrinkToFi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108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5" fillId="0" borderId="131" xfId="1" applyFont="1" applyBorder="1" applyAlignment="1">
      <alignment horizontal="left" vertical="center" shrinkToFit="1"/>
    </xf>
    <xf numFmtId="0" fontId="5" fillId="0" borderId="130" xfId="1" applyFont="1" applyBorder="1" applyAlignment="1">
      <alignment horizontal="left" vertical="center" shrinkToFit="1"/>
    </xf>
    <xf numFmtId="0" fontId="5" fillId="0" borderId="95" xfId="1" applyFont="1" applyBorder="1" applyAlignment="1">
      <alignment horizontal="right" vertical="center" shrinkToFit="1"/>
    </xf>
    <xf numFmtId="0" fontId="5" fillId="0" borderId="131" xfId="1" applyFont="1" applyBorder="1" applyAlignment="1">
      <alignment horizontal="right"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0" borderId="108" xfId="0" applyFont="1" applyBorder="1" applyAlignment="1">
      <alignment horizontal="center" vertical="center" shrinkToFit="1"/>
    </xf>
    <xf numFmtId="0" fontId="5" fillId="0" borderId="109" xfId="1" applyFont="1" applyBorder="1" applyAlignment="1">
      <alignment horizontal="center" vertical="center" shrinkToFit="1"/>
    </xf>
    <xf numFmtId="0" fontId="5" fillId="0" borderId="152" xfId="1" applyFont="1" applyBorder="1" applyAlignment="1">
      <alignment horizontal="center" vertical="center" shrinkToFit="1"/>
    </xf>
    <xf numFmtId="0" fontId="5" fillId="0" borderId="153" xfId="1" applyFont="1" applyBorder="1" applyAlignment="1">
      <alignment horizontal="center" vertical="center" shrinkToFit="1"/>
    </xf>
    <xf numFmtId="0" fontId="5" fillId="0" borderId="154" xfId="1" applyFont="1" applyBorder="1" applyAlignment="1">
      <alignment horizontal="center" vertical="center" shrinkToFit="1"/>
    </xf>
    <xf numFmtId="0" fontId="5" fillId="0" borderId="155" xfId="1" applyFont="1" applyBorder="1" applyAlignment="1">
      <alignment horizontal="center" vertical="center" shrinkToFit="1"/>
    </xf>
    <xf numFmtId="0" fontId="5" fillId="0" borderId="156" xfId="1" applyFont="1" applyBorder="1" applyAlignment="1">
      <alignment horizontal="center" vertical="center" shrinkToFit="1"/>
    </xf>
    <xf numFmtId="0" fontId="5" fillId="0" borderId="13" xfId="1" applyFont="1" applyBorder="1" applyAlignment="1">
      <alignment vertical="center" shrinkToFit="1"/>
    </xf>
    <xf numFmtId="0" fontId="5" fillId="0" borderId="18" xfId="1" applyFont="1" applyBorder="1" applyAlignment="1">
      <alignment horizontal="left" vertical="center" shrinkToFit="1"/>
    </xf>
    <xf numFmtId="0" fontId="5" fillId="0" borderId="19" xfId="1" applyFont="1" applyBorder="1" applyAlignment="1">
      <alignment horizontal="left" vertical="center" shrinkToFit="1"/>
    </xf>
    <xf numFmtId="0" fontId="5" fillId="0" borderId="196" xfId="0" applyFont="1" applyBorder="1" applyAlignment="1">
      <alignment horizontal="center" vertical="center" wrapText="1"/>
    </xf>
    <xf numFmtId="0" fontId="5" fillId="0" borderId="197" xfId="0" applyFont="1" applyBorder="1" applyAlignment="1">
      <alignment horizontal="center" vertical="center" wrapText="1"/>
    </xf>
    <xf numFmtId="0" fontId="5" fillId="0" borderId="24" xfId="1" applyFont="1" applyBorder="1" applyAlignment="1">
      <alignment vertical="center" shrinkToFit="1"/>
    </xf>
    <xf numFmtId="0" fontId="5" fillId="0" borderId="100" xfId="1" applyFont="1" applyBorder="1" applyAlignment="1">
      <alignment vertical="center" shrinkToFit="1"/>
    </xf>
    <xf numFmtId="183" fontId="5" fillId="0" borderId="42" xfId="0" applyNumberFormat="1" applyFont="1" applyBorder="1" applyAlignment="1">
      <alignment horizontal="center" vertical="center"/>
    </xf>
    <xf numFmtId="0" fontId="5" fillId="0" borderId="102" xfId="1" applyFont="1" applyBorder="1" applyAlignment="1">
      <alignment horizontal="center" vertical="center" wrapText="1"/>
    </xf>
    <xf numFmtId="0" fontId="5" fillId="0" borderId="108" xfId="1" applyFont="1" applyBorder="1" applyAlignment="1">
      <alignment horizontal="center" vertical="center" wrapText="1"/>
    </xf>
    <xf numFmtId="0" fontId="5" fillId="0" borderId="59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0" borderId="133" xfId="1" applyFont="1" applyBorder="1" applyAlignment="1">
      <alignment horizontal="right" vertical="center" textRotation="255" wrapText="1"/>
    </xf>
    <xf numFmtId="0" fontId="5" fillId="0" borderId="132" xfId="1" applyFont="1" applyBorder="1" applyAlignment="1">
      <alignment horizontal="right" vertical="center" textRotation="255"/>
    </xf>
    <xf numFmtId="0" fontId="5" fillId="0" borderId="45" xfId="1" applyFont="1" applyBorder="1" applyAlignment="1">
      <alignment horizontal="right" vertical="center" textRotation="255"/>
    </xf>
    <xf numFmtId="0" fontId="5" fillId="3" borderId="8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0" borderId="194" xfId="0" applyFont="1" applyBorder="1" applyAlignment="1">
      <alignment horizontal="center" vertical="center"/>
    </xf>
    <xf numFmtId="0" fontId="5" fillId="0" borderId="19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 shrinkToFit="1"/>
    </xf>
    <xf numFmtId="0" fontId="2" fillId="0" borderId="145" xfId="0" applyFont="1" applyBorder="1" applyAlignment="1">
      <alignment horizontal="center" vertical="center"/>
    </xf>
    <xf numFmtId="0" fontId="2" fillId="0" borderId="19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shrinkToFit="1"/>
    </xf>
  </cellXfs>
  <cellStyles count="3">
    <cellStyle name="標準" xfId="0" builtinId="0"/>
    <cellStyle name="標準_Sheet1" xfId="1"/>
    <cellStyle name="標準_土工事・舗装復旧　数量計算書2006.10.01" xfId="2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152400</xdr:colOff>
      <xdr:row>140</xdr:row>
      <xdr:rowOff>47625</xdr:rowOff>
    </xdr:from>
    <xdr:to>
      <xdr:col>32</xdr:col>
      <xdr:colOff>457200</xdr:colOff>
      <xdr:row>147</xdr:row>
      <xdr:rowOff>190500</xdr:rowOff>
    </xdr:to>
    <xdr:sp macro="" textlink="">
      <xdr:nvSpPr>
        <xdr:cNvPr id="3" name="テキスト ボックス 2"/>
        <xdr:cNvSpPr txBox="1"/>
      </xdr:nvSpPr>
      <xdr:spPr>
        <a:xfrm>
          <a:off x="13982700" y="32280225"/>
          <a:ext cx="30480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  <xdr:twoCellAnchor>
    <xdr:from>
      <xdr:col>32</xdr:col>
      <xdr:colOff>123825</xdr:colOff>
      <xdr:row>83</xdr:row>
      <xdr:rowOff>95250</xdr:rowOff>
    </xdr:from>
    <xdr:to>
      <xdr:col>32</xdr:col>
      <xdr:colOff>428625</xdr:colOff>
      <xdr:row>91</xdr:row>
      <xdr:rowOff>9525</xdr:rowOff>
    </xdr:to>
    <xdr:sp macro="" textlink="">
      <xdr:nvSpPr>
        <xdr:cNvPr id="4" name="テキスト ボックス 3"/>
        <xdr:cNvSpPr txBox="1"/>
      </xdr:nvSpPr>
      <xdr:spPr>
        <a:xfrm>
          <a:off x="12753975" y="19297650"/>
          <a:ext cx="30480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114300</xdr:colOff>
      <xdr:row>135</xdr:row>
      <xdr:rowOff>19050</xdr:rowOff>
    </xdr:from>
    <xdr:to>
      <xdr:col>19</xdr:col>
      <xdr:colOff>447675</xdr:colOff>
      <xdr:row>135</xdr:row>
      <xdr:rowOff>219075</xdr:rowOff>
    </xdr:to>
    <xdr:grpSp>
      <xdr:nvGrpSpPr>
        <xdr:cNvPr id="56559" name="グループ化 31"/>
        <xdr:cNvGrpSpPr>
          <a:grpSpLocks/>
        </xdr:cNvGrpSpPr>
      </xdr:nvGrpSpPr>
      <xdr:grpSpPr bwMode="auto">
        <a:xfrm>
          <a:off x="11402359" y="31051874"/>
          <a:ext cx="333375" cy="200025"/>
          <a:chOff x="7225702" y="10691425"/>
          <a:chExt cx="334135" cy="201616"/>
        </a:xfrm>
      </xdr:grpSpPr>
      <xdr:grpSp>
        <xdr:nvGrpSpPr>
          <xdr:cNvPr id="56612" name="グループ化 11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56616" name="直線矢印コネクタ 2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617" name="直線矢印コネクタ 4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56613" name="グループ化 10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6614" name="直線矢印コネクタ 8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615" name="直線矢印コネクタ 9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171450</xdr:colOff>
      <xdr:row>136</xdr:row>
      <xdr:rowOff>28575</xdr:rowOff>
    </xdr:from>
    <xdr:to>
      <xdr:col>19</xdr:col>
      <xdr:colOff>371475</xdr:colOff>
      <xdr:row>136</xdr:row>
      <xdr:rowOff>209550</xdr:rowOff>
    </xdr:to>
    <xdr:grpSp>
      <xdr:nvGrpSpPr>
        <xdr:cNvPr id="56560" name="グループ化 30"/>
        <xdr:cNvGrpSpPr>
          <a:grpSpLocks/>
        </xdr:cNvGrpSpPr>
      </xdr:nvGrpSpPr>
      <xdr:grpSpPr bwMode="auto">
        <a:xfrm>
          <a:off x="11459509" y="31292987"/>
          <a:ext cx="200025" cy="180975"/>
          <a:chOff x="7300711" y="10987289"/>
          <a:chExt cx="203916" cy="177084"/>
        </a:xfrm>
      </xdr:grpSpPr>
      <xdr:cxnSp macro="">
        <xdr:nvCxnSpPr>
          <xdr:cNvPr id="56609" name="直線矢印コネクタ 13"/>
          <xdr:cNvCxnSpPr>
            <a:cxnSpLocks noChangeShapeType="1"/>
          </xdr:cNvCxnSpPr>
        </xdr:nvCxnSpPr>
        <xdr:spPr bwMode="auto">
          <a:xfrm flipH="1" flipV="1">
            <a:off x="7300711" y="10992655"/>
            <a:ext cx="108863" cy="912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610" name="直線矢印コネクタ 14"/>
          <xdr:cNvCxnSpPr>
            <a:cxnSpLocks noChangeShapeType="1"/>
          </xdr:cNvCxnSpPr>
        </xdr:nvCxnSpPr>
        <xdr:spPr bwMode="auto">
          <a:xfrm flipH="1">
            <a:off x="7409288" y="10987289"/>
            <a:ext cx="95339" cy="91692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 type="stealth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611" name="直線コネクタ 29"/>
          <xdr:cNvCxnSpPr>
            <a:cxnSpLocks noChangeShapeType="1"/>
          </xdr:cNvCxnSpPr>
        </xdr:nvCxnSpPr>
        <xdr:spPr bwMode="auto">
          <a:xfrm>
            <a:off x="7405352" y="11081197"/>
            <a:ext cx="0" cy="83176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19</xdr:col>
      <xdr:colOff>114300</xdr:colOff>
      <xdr:row>139</xdr:row>
      <xdr:rowOff>9525</xdr:rowOff>
    </xdr:from>
    <xdr:to>
      <xdr:col>19</xdr:col>
      <xdr:colOff>447675</xdr:colOff>
      <xdr:row>139</xdr:row>
      <xdr:rowOff>209550</xdr:rowOff>
    </xdr:to>
    <xdr:grpSp>
      <xdr:nvGrpSpPr>
        <xdr:cNvPr id="56561" name="グループ化 32"/>
        <xdr:cNvGrpSpPr>
          <a:grpSpLocks/>
        </xdr:cNvGrpSpPr>
      </xdr:nvGrpSpPr>
      <xdr:grpSpPr bwMode="auto">
        <a:xfrm>
          <a:off x="11402359" y="31968701"/>
          <a:ext cx="333375" cy="200025"/>
          <a:chOff x="7225702" y="10691425"/>
          <a:chExt cx="334135" cy="201616"/>
        </a:xfrm>
      </xdr:grpSpPr>
      <xdr:grpSp>
        <xdr:nvGrpSpPr>
          <xdr:cNvPr id="56603" name="グループ化 33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56607" name="直線矢印コネクタ 37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608" name="直線矢印コネクタ 38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56604" name="グループ化 34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6605" name="直線矢印コネクタ 35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606" name="直線矢印コネクタ 36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142</xdr:row>
      <xdr:rowOff>9525</xdr:rowOff>
    </xdr:from>
    <xdr:to>
      <xdr:col>19</xdr:col>
      <xdr:colOff>447675</xdr:colOff>
      <xdr:row>142</xdr:row>
      <xdr:rowOff>209550</xdr:rowOff>
    </xdr:to>
    <xdr:grpSp>
      <xdr:nvGrpSpPr>
        <xdr:cNvPr id="56562" name="グループ化 39"/>
        <xdr:cNvGrpSpPr>
          <a:grpSpLocks/>
        </xdr:cNvGrpSpPr>
      </xdr:nvGrpSpPr>
      <xdr:grpSpPr bwMode="auto">
        <a:xfrm>
          <a:off x="11402359" y="32663466"/>
          <a:ext cx="333375" cy="200025"/>
          <a:chOff x="7225702" y="10691425"/>
          <a:chExt cx="334135" cy="201616"/>
        </a:xfrm>
      </xdr:grpSpPr>
      <xdr:grpSp>
        <xdr:nvGrpSpPr>
          <xdr:cNvPr id="56597" name="グループ化 40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56601" name="直線矢印コネクタ 44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602" name="直線矢印コネクタ 45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56598" name="グループ化 41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6599" name="直線矢印コネクタ 42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600" name="直線矢印コネクタ 43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145</xdr:row>
      <xdr:rowOff>9525</xdr:rowOff>
    </xdr:from>
    <xdr:to>
      <xdr:col>19</xdr:col>
      <xdr:colOff>447675</xdr:colOff>
      <xdr:row>145</xdr:row>
      <xdr:rowOff>209550</xdr:rowOff>
    </xdr:to>
    <xdr:grpSp>
      <xdr:nvGrpSpPr>
        <xdr:cNvPr id="56563" name="グループ化 46"/>
        <xdr:cNvGrpSpPr>
          <a:grpSpLocks/>
        </xdr:cNvGrpSpPr>
      </xdr:nvGrpSpPr>
      <xdr:grpSpPr bwMode="auto">
        <a:xfrm>
          <a:off x="11402359" y="33358231"/>
          <a:ext cx="333375" cy="200025"/>
          <a:chOff x="7225702" y="10691425"/>
          <a:chExt cx="334135" cy="201616"/>
        </a:xfrm>
      </xdr:grpSpPr>
      <xdr:grpSp>
        <xdr:nvGrpSpPr>
          <xdr:cNvPr id="56591" name="グループ化 47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56595" name="直線矢印コネクタ 51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596" name="直線矢印コネクタ 52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56592" name="グループ化 48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6593" name="直線矢印コネクタ 49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594" name="直線矢印コネクタ 50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148</xdr:row>
      <xdr:rowOff>9525</xdr:rowOff>
    </xdr:from>
    <xdr:to>
      <xdr:col>19</xdr:col>
      <xdr:colOff>447675</xdr:colOff>
      <xdr:row>148</xdr:row>
      <xdr:rowOff>209550</xdr:rowOff>
    </xdr:to>
    <xdr:grpSp>
      <xdr:nvGrpSpPr>
        <xdr:cNvPr id="56564" name="グループ化 53"/>
        <xdr:cNvGrpSpPr>
          <a:grpSpLocks/>
        </xdr:cNvGrpSpPr>
      </xdr:nvGrpSpPr>
      <xdr:grpSpPr bwMode="auto">
        <a:xfrm>
          <a:off x="11402359" y="34052996"/>
          <a:ext cx="333375" cy="200025"/>
          <a:chOff x="7225702" y="10691425"/>
          <a:chExt cx="334135" cy="201616"/>
        </a:xfrm>
      </xdr:grpSpPr>
      <xdr:grpSp>
        <xdr:nvGrpSpPr>
          <xdr:cNvPr id="56585" name="グループ化 54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56589" name="直線矢印コネクタ 58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590" name="直線矢印コネクタ 59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56586" name="グループ化 55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6587" name="直線矢印コネクタ 56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588" name="直線矢印コネクタ 57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151</xdr:row>
      <xdr:rowOff>9525</xdr:rowOff>
    </xdr:from>
    <xdr:to>
      <xdr:col>19</xdr:col>
      <xdr:colOff>447675</xdr:colOff>
      <xdr:row>151</xdr:row>
      <xdr:rowOff>209550</xdr:rowOff>
    </xdr:to>
    <xdr:grpSp>
      <xdr:nvGrpSpPr>
        <xdr:cNvPr id="56565" name="グループ化 60"/>
        <xdr:cNvGrpSpPr>
          <a:grpSpLocks/>
        </xdr:cNvGrpSpPr>
      </xdr:nvGrpSpPr>
      <xdr:grpSpPr bwMode="auto">
        <a:xfrm>
          <a:off x="11402359" y="34747760"/>
          <a:ext cx="333375" cy="200025"/>
          <a:chOff x="7225702" y="10691425"/>
          <a:chExt cx="334135" cy="201616"/>
        </a:xfrm>
      </xdr:grpSpPr>
      <xdr:grpSp>
        <xdr:nvGrpSpPr>
          <xdr:cNvPr id="56579" name="グループ化 61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56583" name="直線矢印コネクタ 65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584" name="直線矢印コネクタ 66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56580" name="グループ化 62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6581" name="直線矢印コネクタ 63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6582" name="直線矢印コネクタ 64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150</xdr:row>
      <xdr:rowOff>66675</xdr:rowOff>
    </xdr:from>
    <xdr:to>
      <xdr:col>19</xdr:col>
      <xdr:colOff>447675</xdr:colOff>
      <xdr:row>150</xdr:row>
      <xdr:rowOff>200025</xdr:rowOff>
    </xdr:to>
    <xdr:grpSp>
      <xdr:nvGrpSpPr>
        <xdr:cNvPr id="56566" name="グループ化 83"/>
        <xdr:cNvGrpSpPr>
          <a:grpSpLocks/>
        </xdr:cNvGrpSpPr>
      </xdr:nvGrpSpPr>
      <xdr:grpSpPr bwMode="auto">
        <a:xfrm>
          <a:off x="11402359" y="34573322"/>
          <a:ext cx="333375" cy="133350"/>
          <a:chOff x="7236575" y="14161524"/>
          <a:chExt cx="336128" cy="135194"/>
        </a:xfrm>
      </xdr:grpSpPr>
      <xdr:cxnSp macro="">
        <xdr:nvCxnSpPr>
          <xdr:cNvPr id="56575" name="直線矢印コネクタ 72"/>
          <xdr:cNvCxnSpPr>
            <a:cxnSpLocks noChangeShapeType="1"/>
          </xdr:cNvCxnSpPr>
        </xdr:nvCxnSpPr>
        <xdr:spPr bwMode="auto">
          <a:xfrm flipV="1">
            <a:off x="7346865" y="14161524"/>
            <a:ext cx="0" cy="129049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576" name="直線矢印コネクタ 73"/>
          <xdr:cNvCxnSpPr>
            <a:cxnSpLocks noChangeShapeType="1"/>
          </xdr:cNvCxnSpPr>
        </xdr:nvCxnSpPr>
        <xdr:spPr bwMode="auto">
          <a:xfrm flipH="1">
            <a:off x="7236575" y="14164388"/>
            <a:ext cx="108757" cy="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577" name="直線矢印コネクタ 70"/>
          <xdr:cNvCxnSpPr>
            <a:cxnSpLocks noChangeShapeType="1"/>
          </xdr:cNvCxnSpPr>
        </xdr:nvCxnSpPr>
        <xdr:spPr bwMode="auto">
          <a:xfrm flipV="1">
            <a:off x="7462240" y="14161524"/>
            <a:ext cx="0" cy="135194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578" name="直線矢印コネクタ 79"/>
          <xdr:cNvCxnSpPr>
            <a:cxnSpLocks noChangeShapeType="1"/>
          </xdr:cNvCxnSpPr>
        </xdr:nvCxnSpPr>
        <xdr:spPr bwMode="auto">
          <a:xfrm flipH="1">
            <a:off x="7463946" y="14164388"/>
            <a:ext cx="108757" cy="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 type="stealth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18</xdr:col>
      <xdr:colOff>232833</xdr:colOff>
      <xdr:row>43</xdr:row>
      <xdr:rowOff>84667</xdr:rowOff>
    </xdr:from>
    <xdr:to>
      <xdr:col>18</xdr:col>
      <xdr:colOff>537633</xdr:colOff>
      <xdr:row>48</xdr:row>
      <xdr:rowOff>197908</xdr:rowOff>
    </xdr:to>
    <xdr:sp macro="" textlink="">
      <xdr:nvSpPr>
        <xdr:cNvPr id="61" name="テキスト ボックス 60"/>
        <xdr:cNvSpPr txBox="1"/>
      </xdr:nvSpPr>
      <xdr:spPr>
        <a:xfrm>
          <a:off x="11885083" y="10477500"/>
          <a:ext cx="30480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  <xdr:twoCellAnchor>
    <xdr:from>
      <xdr:col>18</xdr:col>
      <xdr:colOff>237067</xdr:colOff>
      <xdr:row>82</xdr:row>
      <xdr:rowOff>25399</xdr:rowOff>
    </xdr:from>
    <xdr:to>
      <xdr:col>18</xdr:col>
      <xdr:colOff>541867</xdr:colOff>
      <xdr:row>89</xdr:row>
      <xdr:rowOff>138641</xdr:rowOff>
    </xdr:to>
    <xdr:sp macro="" textlink="">
      <xdr:nvSpPr>
        <xdr:cNvPr id="62" name="テキスト ボックス 61"/>
        <xdr:cNvSpPr txBox="1"/>
      </xdr:nvSpPr>
      <xdr:spPr>
        <a:xfrm>
          <a:off x="11889317" y="19964399"/>
          <a:ext cx="30480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I7"/>
  <sheetViews>
    <sheetView showGridLines="0" view="pageBreakPreview" zoomScale="70" zoomScaleNormal="60" zoomScaleSheetLayoutView="70" workbookViewId="0">
      <selection activeCell="C6" sqref="C6:G6"/>
    </sheetView>
  </sheetViews>
  <sheetFormatPr defaultColWidth="9" defaultRowHeight="13"/>
  <cols>
    <col min="1" max="1" width="5.6328125" style="212" customWidth="1"/>
    <col min="2" max="7" width="13.6328125" style="212" customWidth="1"/>
    <col min="8" max="8" width="5.6328125" style="212" customWidth="1"/>
    <col min="9" max="16384" width="9" style="212"/>
  </cols>
  <sheetData>
    <row r="1" spans="1:9" ht="50.15" customHeight="1">
      <c r="A1" s="211"/>
      <c r="B1" s="835">
        <v>7</v>
      </c>
      <c r="C1" s="835"/>
      <c r="D1" s="835"/>
      <c r="E1" s="835"/>
      <c r="F1" s="835"/>
      <c r="G1" s="835"/>
      <c r="H1" s="211"/>
    </row>
    <row r="2" spans="1:9" ht="100" customHeight="1">
      <c r="A2" s="211"/>
      <c r="B2" s="213" t="s">
        <v>130</v>
      </c>
      <c r="C2" s="833" t="s">
        <v>382</v>
      </c>
      <c r="D2" s="833"/>
      <c r="E2" s="833"/>
      <c r="F2" s="833"/>
      <c r="G2" s="833"/>
      <c r="H2" s="211"/>
      <c r="I2" s="214"/>
    </row>
    <row r="3" spans="1:9" ht="80.150000000000006" customHeight="1">
      <c r="B3" s="215"/>
      <c r="C3" s="216" t="s">
        <v>131</v>
      </c>
      <c r="D3" s="836" t="s">
        <v>269</v>
      </c>
      <c r="E3" s="836"/>
      <c r="F3" s="836"/>
      <c r="G3" s="215"/>
    </row>
    <row r="4" spans="1:9" ht="80.150000000000006" customHeight="1">
      <c r="B4" s="215"/>
      <c r="C4" s="216" t="s">
        <v>132</v>
      </c>
      <c r="D4" s="836">
        <v>5070089</v>
      </c>
      <c r="E4" s="836"/>
      <c r="F4" s="836"/>
      <c r="G4" s="215"/>
    </row>
    <row r="5" spans="1:9" ht="250" customHeight="1">
      <c r="A5" s="837" t="s">
        <v>133</v>
      </c>
      <c r="B5" s="837"/>
      <c r="C5" s="837"/>
      <c r="D5" s="837"/>
      <c r="E5" s="837"/>
      <c r="F5" s="837"/>
      <c r="G5" s="837"/>
      <c r="H5" s="837"/>
    </row>
    <row r="6" spans="1:9" ht="150" customHeight="1">
      <c r="A6" s="211"/>
      <c r="B6" s="213" t="s">
        <v>134</v>
      </c>
      <c r="C6" s="833" t="s">
        <v>383</v>
      </c>
      <c r="D6" s="833"/>
      <c r="E6" s="833"/>
      <c r="F6" s="833"/>
      <c r="G6" s="833"/>
      <c r="H6" s="211"/>
      <c r="I6" s="214"/>
    </row>
    <row r="7" spans="1:9" ht="50.15" customHeight="1">
      <c r="A7" s="834"/>
      <c r="B7" s="834"/>
      <c r="C7" s="834"/>
      <c r="D7" s="834"/>
      <c r="E7" s="834"/>
      <c r="F7" s="834"/>
      <c r="G7" s="834"/>
      <c r="H7" s="834"/>
    </row>
  </sheetData>
  <mergeCells count="7">
    <mergeCell ref="C6:G6"/>
    <mergeCell ref="A7:H7"/>
    <mergeCell ref="C2:G2"/>
    <mergeCell ref="B1:G1"/>
    <mergeCell ref="D3:F3"/>
    <mergeCell ref="D4:F4"/>
    <mergeCell ref="A5:H5"/>
  </mergeCells>
  <phoneticPr fontId="2"/>
  <printOptions horizontalCentered="1"/>
  <pageMargins left="0.39370078740157483" right="0.39370078740157483" top="0.98425196850393704" bottom="0.98425196850393704" header="0.51181102362204722" footer="0.51181102362204722"/>
  <pageSetup paperSize="9" scale="97" orientation="portrait" blackAndWhite="1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CA221"/>
  <sheetViews>
    <sheetView showGridLines="0" showZeros="0" tabSelected="1" view="pageBreakPreview" zoomScale="85" zoomScaleNormal="85" zoomScaleSheetLayoutView="85" workbookViewId="0">
      <pane xSplit="9" ySplit="8" topLeftCell="J13" activePane="bottomRight" state="frozen"/>
      <selection pane="topRight" activeCell="J1" sqref="J1"/>
      <selection pane="bottomLeft" activeCell="A9" sqref="A9"/>
      <selection pane="bottomRight" activeCell="O197" sqref="O197"/>
    </sheetView>
  </sheetViews>
  <sheetFormatPr defaultColWidth="0" defaultRowHeight="18" customHeight="1"/>
  <cols>
    <col min="1" max="1" width="2.6328125" style="2" customWidth="1"/>
    <col min="2" max="9" width="4.81640625" style="2" customWidth="1"/>
    <col min="10" max="10" width="8.6328125" style="2" customWidth="1"/>
    <col min="11" max="11" width="6.08984375" style="746" hidden="1" customWidth="1"/>
    <col min="12" max="14" width="7.453125" style="2" customWidth="1"/>
    <col min="15" max="15" width="7.453125" style="746" customWidth="1"/>
    <col min="16" max="17" width="7.453125" style="2" customWidth="1"/>
    <col min="18" max="18" width="8.54296875" style="2" customWidth="1"/>
    <col min="19" max="19" width="7.453125" style="746" hidden="1" customWidth="1"/>
    <col min="20" max="26" width="7.453125" style="2" customWidth="1"/>
    <col min="27" max="27" width="7.6328125" style="102" customWidth="1"/>
    <col min="28" max="28" width="2.6328125" style="10" customWidth="1"/>
    <col min="29" max="29" width="6.6328125" style="105" customWidth="1"/>
    <col min="30" max="32" width="6.6328125" style="3" customWidth="1"/>
    <col min="33" max="33" width="7.453125" style="2" customWidth="1"/>
    <col min="34" max="34" width="8.453125" style="2" bestFit="1" customWidth="1"/>
    <col min="35" max="35" width="6.6328125" style="2" bestFit="1" customWidth="1"/>
    <col min="36" max="36" width="5.90625" style="2" bestFit="1" customWidth="1"/>
    <col min="37" max="69" width="3.36328125" style="2" customWidth="1"/>
    <col min="70" max="16384" width="3.1796875" style="2" hidden="1"/>
  </cols>
  <sheetData>
    <row r="1" spans="2:32" ht="18" customHeight="1">
      <c r="I1" s="373"/>
      <c r="J1" s="969" t="s">
        <v>1</v>
      </c>
      <c r="K1" s="970"/>
      <c r="L1" s="970"/>
      <c r="M1" s="970"/>
      <c r="N1" s="970"/>
      <c r="O1" s="970"/>
      <c r="P1" s="970"/>
      <c r="Q1" s="970"/>
      <c r="R1" s="970"/>
      <c r="S1" s="970"/>
      <c r="T1" s="970"/>
      <c r="U1" s="970"/>
      <c r="V1" s="970"/>
      <c r="W1" s="970"/>
      <c r="X1" s="970"/>
      <c r="Y1" s="970"/>
      <c r="Z1" s="970"/>
      <c r="AA1" s="970"/>
    </row>
    <row r="2" spans="2:32" ht="18" customHeight="1">
      <c r="I2" s="373"/>
      <c r="J2" s="969" t="s">
        <v>74</v>
      </c>
      <c r="K2" s="970"/>
      <c r="L2" s="970"/>
      <c r="M2" s="970"/>
      <c r="N2" s="970"/>
      <c r="O2" s="970"/>
      <c r="P2" s="970"/>
      <c r="Q2" s="970"/>
      <c r="R2" s="970"/>
      <c r="S2" s="970"/>
      <c r="T2" s="970"/>
      <c r="U2" s="970"/>
      <c r="V2" s="970"/>
      <c r="W2" s="970"/>
      <c r="X2" s="970"/>
      <c r="Y2" s="970"/>
      <c r="Z2" s="970"/>
      <c r="AA2" s="970"/>
    </row>
    <row r="3" spans="2:32" ht="18" customHeight="1">
      <c r="B3" s="921" t="s">
        <v>5</v>
      </c>
      <c r="C3" s="921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1"/>
      <c r="W3" s="921"/>
      <c r="X3" s="921"/>
      <c r="Y3" s="921"/>
      <c r="Z3" s="921"/>
      <c r="AA3" s="921"/>
      <c r="AB3" s="13"/>
      <c r="AC3" s="6"/>
    </row>
    <row r="4" spans="2:32" ht="18" customHeight="1">
      <c r="B4" s="885" t="s">
        <v>6</v>
      </c>
      <c r="C4" s="885"/>
      <c r="D4" s="885"/>
      <c r="E4" s="885"/>
      <c r="F4" s="885"/>
      <c r="G4" s="885"/>
      <c r="H4" s="885"/>
      <c r="I4" s="885"/>
      <c r="J4" s="885"/>
      <c r="K4" s="885"/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5"/>
      <c r="X4" s="885"/>
      <c r="Y4" s="885"/>
      <c r="Z4" s="885"/>
      <c r="AA4" s="885"/>
      <c r="AB4" s="34"/>
      <c r="AC4" s="122"/>
    </row>
    <row r="5" spans="2:32" ht="18" customHeight="1">
      <c r="B5" s="885"/>
      <c r="C5" s="885"/>
      <c r="D5" s="885"/>
      <c r="E5" s="885"/>
      <c r="F5" s="885"/>
      <c r="G5" s="885"/>
      <c r="H5" s="885"/>
      <c r="I5" s="885"/>
      <c r="J5" s="885"/>
      <c r="K5" s="885"/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  <c r="Z5" s="885"/>
      <c r="AA5" s="885"/>
      <c r="AB5" s="20"/>
      <c r="AC5" s="5"/>
    </row>
    <row r="6" spans="2:32" ht="18" customHeight="1" thickBot="1">
      <c r="B6" s="974" t="str">
        <f>表紙!C2</f>
        <v>長田(花山町2丁目他)配水管取替工事</v>
      </c>
      <c r="C6" s="974"/>
      <c r="D6" s="974"/>
      <c r="E6" s="974"/>
      <c r="F6" s="974"/>
      <c r="G6" s="974"/>
      <c r="H6" s="974"/>
      <c r="I6" s="974"/>
      <c r="J6" s="974"/>
      <c r="K6" s="974"/>
      <c r="L6" s="974"/>
      <c r="M6" s="974"/>
      <c r="N6" s="974"/>
      <c r="O6" s="974"/>
      <c r="P6" s="974"/>
      <c r="Q6" s="974"/>
      <c r="R6" s="974"/>
      <c r="S6" s="974"/>
      <c r="T6" s="974"/>
      <c r="U6" s="974"/>
      <c r="V6" s="974"/>
      <c r="W6" s="974"/>
      <c r="X6" s="974"/>
      <c r="Y6" s="974"/>
      <c r="Z6" s="974"/>
      <c r="AA6" s="974"/>
    </row>
    <row r="7" spans="2:32" s="11" customFormat="1" ht="20" customHeight="1">
      <c r="B7" s="888" t="s">
        <v>48</v>
      </c>
      <c r="C7" s="889"/>
      <c r="D7" s="890"/>
      <c r="E7" s="865" t="s">
        <v>49</v>
      </c>
      <c r="F7" s="889"/>
      <c r="G7" s="889"/>
      <c r="H7" s="889"/>
      <c r="I7" s="890"/>
      <c r="J7" s="867" t="s">
        <v>377</v>
      </c>
      <c r="K7" s="867" t="s">
        <v>373</v>
      </c>
      <c r="L7" s="867" t="s">
        <v>313</v>
      </c>
      <c r="M7" s="867" t="s">
        <v>314</v>
      </c>
      <c r="N7" s="867" t="s">
        <v>315</v>
      </c>
      <c r="O7" s="865" t="s">
        <v>47</v>
      </c>
      <c r="P7" s="865" t="s">
        <v>75</v>
      </c>
      <c r="Q7" s="879" t="s">
        <v>0</v>
      </c>
      <c r="R7" s="867" t="s">
        <v>397</v>
      </c>
      <c r="S7" s="862" t="s">
        <v>372</v>
      </c>
      <c r="T7" s="867" t="s">
        <v>318</v>
      </c>
      <c r="U7" s="867" t="s">
        <v>316</v>
      </c>
      <c r="V7" s="867" t="s">
        <v>317</v>
      </c>
      <c r="W7" s="879" t="s">
        <v>50</v>
      </c>
      <c r="X7" s="865" t="s">
        <v>111</v>
      </c>
      <c r="Y7" s="865" t="s">
        <v>312</v>
      </c>
      <c r="Z7" s="865" t="s">
        <v>114</v>
      </c>
      <c r="AA7" s="971" t="s">
        <v>76</v>
      </c>
      <c r="AB7" s="12"/>
      <c r="AC7" s="939" t="s">
        <v>108</v>
      </c>
      <c r="AD7" s="940"/>
      <c r="AE7" s="940"/>
      <c r="AF7" s="941"/>
    </row>
    <row r="8" spans="2:32" s="11" customFormat="1" ht="20" customHeight="1" thickBot="1">
      <c r="B8" s="891"/>
      <c r="C8" s="892"/>
      <c r="D8" s="893"/>
      <c r="E8" s="866"/>
      <c r="F8" s="892"/>
      <c r="G8" s="892"/>
      <c r="H8" s="892"/>
      <c r="I8" s="893"/>
      <c r="J8" s="868"/>
      <c r="K8" s="868"/>
      <c r="L8" s="868"/>
      <c r="M8" s="868"/>
      <c r="N8" s="868"/>
      <c r="O8" s="866"/>
      <c r="P8" s="866"/>
      <c r="Q8" s="880"/>
      <c r="R8" s="868"/>
      <c r="S8" s="863"/>
      <c r="T8" s="866"/>
      <c r="U8" s="866"/>
      <c r="V8" s="866"/>
      <c r="W8" s="880"/>
      <c r="X8" s="866"/>
      <c r="Y8" s="866"/>
      <c r="Z8" s="866"/>
      <c r="AA8" s="972"/>
      <c r="AB8" s="12"/>
      <c r="AC8" s="123">
        <v>0.1</v>
      </c>
      <c r="AD8" s="124">
        <v>1</v>
      </c>
      <c r="AE8" s="124">
        <v>10</v>
      </c>
      <c r="AF8" s="125">
        <v>100</v>
      </c>
    </row>
    <row r="9" spans="2:32" ht="18" customHeight="1">
      <c r="B9" s="975" t="s">
        <v>255</v>
      </c>
      <c r="C9" s="976"/>
      <c r="D9" s="916"/>
      <c r="E9" s="1131" t="s">
        <v>258</v>
      </c>
      <c r="F9" s="1132"/>
      <c r="G9" s="462"/>
      <c r="H9" s="1125" t="s">
        <v>256</v>
      </c>
      <c r="I9" s="1126"/>
      <c r="J9" s="35">
        <v>50.4</v>
      </c>
      <c r="K9" s="698"/>
      <c r="L9" s="35">
        <v>19.2</v>
      </c>
      <c r="M9" s="35"/>
      <c r="N9" s="35"/>
      <c r="O9" s="712"/>
      <c r="P9" s="35">
        <v>362.6</v>
      </c>
      <c r="Q9" s="35">
        <v>411.6</v>
      </c>
      <c r="R9" s="35">
        <v>1639.93</v>
      </c>
      <c r="S9" s="698"/>
      <c r="T9" s="35">
        <v>2069.2800000000002</v>
      </c>
      <c r="U9" s="35"/>
      <c r="V9" s="35"/>
      <c r="W9" s="49"/>
      <c r="X9" s="49"/>
      <c r="Y9" s="49"/>
      <c r="Z9" s="36">
        <f t="shared" ref="Z9:Z16" si="0">SUM(J9:Y9)</f>
        <v>4553.01</v>
      </c>
      <c r="AA9" s="308">
        <f>SUM(AC9:AF9)</f>
        <v>4550</v>
      </c>
      <c r="AB9" s="12"/>
      <c r="AC9" s="126">
        <f>IF($Z9&lt;1,ROUND($Z9,1),0)</f>
        <v>0</v>
      </c>
      <c r="AD9" s="512">
        <f>IF(AND($Z9&gt;=1,$Z9&lt;100),ROUND($Z9,0),0)</f>
        <v>0</v>
      </c>
      <c r="AE9" s="512">
        <f>IF($Z9&gt;=100,ROUND($Z9,-1),0)</f>
        <v>4550</v>
      </c>
      <c r="AF9" s="513"/>
    </row>
    <row r="10" spans="2:32" ht="18" customHeight="1">
      <c r="B10" s="977"/>
      <c r="C10" s="978"/>
      <c r="D10" s="918"/>
      <c r="E10" s="1133" t="s">
        <v>258</v>
      </c>
      <c r="F10" s="1134"/>
      <c r="G10" s="463"/>
      <c r="H10" s="1127" t="s">
        <v>257</v>
      </c>
      <c r="I10" s="1128"/>
      <c r="J10" s="22"/>
      <c r="K10" s="699"/>
      <c r="L10" s="22"/>
      <c r="M10" s="22"/>
      <c r="N10" s="22"/>
      <c r="O10" s="713"/>
      <c r="P10" s="22"/>
      <c r="Q10" s="22"/>
      <c r="R10" s="22"/>
      <c r="S10" s="699"/>
      <c r="T10" s="22"/>
      <c r="U10" s="22"/>
      <c r="V10" s="22"/>
      <c r="W10" s="47"/>
      <c r="X10" s="47"/>
      <c r="Y10" s="47"/>
      <c r="Z10" s="37">
        <f t="shared" si="0"/>
        <v>0</v>
      </c>
      <c r="AA10" s="309">
        <f>SUM(AC10:AF10)</f>
        <v>0</v>
      </c>
      <c r="AB10" s="12"/>
      <c r="AC10" s="127">
        <f>IF($Z10&lt;1,ROUND($Z10,1),0)</f>
        <v>0</v>
      </c>
      <c r="AD10" s="514">
        <f>IF(AND($Z10&gt;=1,$Z10&lt;100),ROUND($Z10,0),0)</f>
        <v>0</v>
      </c>
      <c r="AE10" s="514">
        <f>IF($Z10&gt;=100,ROUND($Z10,-1),0)</f>
        <v>0</v>
      </c>
      <c r="AF10" s="515"/>
    </row>
    <row r="11" spans="2:32" ht="18" customHeight="1">
      <c r="B11" s="977"/>
      <c r="C11" s="978"/>
      <c r="D11" s="918"/>
      <c r="E11" s="1137" t="s">
        <v>259</v>
      </c>
      <c r="F11" s="1138"/>
      <c r="G11" s="460"/>
      <c r="H11" s="1127" t="s">
        <v>256</v>
      </c>
      <c r="I11" s="1128"/>
      <c r="J11" s="22"/>
      <c r="K11" s="699"/>
      <c r="L11" s="22"/>
      <c r="M11" s="22"/>
      <c r="N11" s="22"/>
      <c r="O11" s="713"/>
      <c r="P11" s="22"/>
      <c r="Q11" s="22"/>
      <c r="R11" s="22"/>
      <c r="S11" s="699"/>
      <c r="T11" s="22"/>
      <c r="U11" s="22"/>
      <c r="V11" s="22"/>
      <c r="W11" s="47"/>
      <c r="X11" s="47"/>
      <c r="Y11" s="47"/>
      <c r="Z11" s="37">
        <f t="shared" si="0"/>
        <v>0</v>
      </c>
      <c r="AA11" s="309">
        <f>SUM(AC11:AF11)</f>
        <v>0</v>
      </c>
      <c r="AB11" s="12"/>
      <c r="AC11" s="127">
        <f>IF($Z11&lt;1,ROUND($Z11,1),0)</f>
        <v>0</v>
      </c>
      <c r="AD11" s="514">
        <f>IF(AND($Z11&gt;=1,$Z11&lt;100),ROUND($Z11,0),0)</f>
        <v>0</v>
      </c>
      <c r="AE11" s="514">
        <f>IF($Z11&gt;=100,ROUND($Z11,-1),0)</f>
        <v>0</v>
      </c>
      <c r="AF11" s="515"/>
    </row>
    <row r="12" spans="2:32" ht="18" customHeight="1" thickBot="1">
      <c r="B12" s="979"/>
      <c r="C12" s="973"/>
      <c r="D12" s="980"/>
      <c r="E12" s="1135" t="s">
        <v>259</v>
      </c>
      <c r="F12" s="1136"/>
      <c r="G12" s="461"/>
      <c r="H12" s="1129" t="s">
        <v>257</v>
      </c>
      <c r="I12" s="1130"/>
      <c r="J12" s="40"/>
      <c r="K12" s="700"/>
      <c r="L12" s="40"/>
      <c r="M12" s="40"/>
      <c r="N12" s="40"/>
      <c r="O12" s="725"/>
      <c r="P12" s="40"/>
      <c r="Q12" s="40"/>
      <c r="R12" s="40"/>
      <c r="S12" s="700"/>
      <c r="T12" s="40"/>
      <c r="U12" s="40"/>
      <c r="V12" s="40"/>
      <c r="W12" s="50"/>
      <c r="X12" s="50"/>
      <c r="Y12" s="50"/>
      <c r="Z12" s="41">
        <f t="shared" si="0"/>
        <v>0</v>
      </c>
      <c r="AA12" s="533">
        <f>SUM(AC12:AF12)</f>
        <v>0</v>
      </c>
      <c r="AB12" s="12"/>
      <c r="AC12" s="128">
        <f>IF($Z12&lt;1,ROUND($Z12,1),0)</f>
        <v>0</v>
      </c>
      <c r="AD12" s="516">
        <f>IF(AND($Z12&gt;=1,$Z12&lt;100),ROUND($Z12,0),0)</f>
        <v>0</v>
      </c>
      <c r="AE12" s="516">
        <f>IF($Z12&gt;=100,ROUND($Z12,-1),0)</f>
        <v>0</v>
      </c>
      <c r="AF12" s="517"/>
    </row>
    <row r="13" spans="2:32" ht="18" customHeight="1">
      <c r="B13" s="900" t="s">
        <v>244</v>
      </c>
      <c r="C13" s="894" t="s">
        <v>116</v>
      </c>
      <c r="D13" s="895"/>
      <c r="E13" s="981" t="s">
        <v>209</v>
      </c>
      <c r="F13" s="1000" t="s">
        <v>215</v>
      </c>
      <c r="G13" s="1001"/>
      <c r="H13" s="391"/>
      <c r="I13" s="393">
        <v>4</v>
      </c>
      <c r="J13" s="384">
        <v>1.2</v>
      </c>
      <c r="K13" s="701"/>
      <c r="L13" s="384">
        <v>0.8</v>
      </c>
      <c r="M13" s="384"/>
      <c r="N13" s="384"/>
      <c r="O13" s="747"/>
      <c r="P13" s="385"/>
      <c r="Q13" s="385"/>
      <c r="R13" s="385"/>
      <c r="S13" s="747"/>
      <c r="T13" s="385"/>
      <c r="U13" s="385"/>
      <c r="V13" s="385"/>
      <c r="W13" s="385"/>
      <c r="X13" s="385"/>
      <c r="Y13" s="385"/>
      <c r="Z13" s="386">
        <f t="shared" si="0"/>
        <v>2</v>
      </c>
      <c r="AA13" s="534">
        <f>SUM(AC13:AF13)</f>
        <v>2</v>
      </c>
      <c r="AB13" s="12"/>
      <c r="AC13" s="518">
        <f>IF($Z13&lt;1,ROUND($Z13,1),0)</f>
        <v>0</v>
      </c>
      <c r="AD13" s="519">
        <f>IF(AND($Z13&gt;=1,$Z13&lt;1000),ROUND($Z13,0),0)</f>
        <v>2</v>
      </c>
      <c r="AE13" s="519">
        <f>IF($Z13&gt;=1000,ROUND($Z13,-1),0)</f>
        <v>0</v>
      </c>
      <c r="AF13" s="520"/>
    </row>
    <row r="14" spans="2:32" ht="18" customHeight="1">
      <c r="B14" s="901"/>
      <c r="C14" s="896"/>
      <c r="D14" s="897"/>
      <c r="E14" s="982"/>
      <c r="F14" s="1002" t="s">
        <v>212</v>
      </c>
      <c r="G14" s="1003"/>
      <c r="H14" s="382"/>
      <c r="I14" s="380">
        <v>5</v>
      </c>
      <c r="J14" s="60"/>
      <c r="K14" s="702"/>
      <c r="L14" s="60"/>
      <c r="M14" s="60"/>
      <c r="N14" s="60"/>
      <c r="O14" s="707"/>
      <c r="P14" s="59"/>
      <c r="Q14" s="59"/>
      <c r="R14" s="59"/>
      <c r="S14" s="707"/>
      <c r="T14" s="59"/>
      <c r="U14" s="59"/>
      <c r="V14" s="59"/>
      <c r="W14" s="59"/>
      <c r="X14" s="59"/>
      <c r="Y14" s="59"/>
      <c r="Z14" s="61">
        <f t="shared" si="0"/>
        <v>0</v>
      </c>
      <c r="AA14" s="535">
        <f>SUM(AD14:AF14)</f>
        <v>0</v>
      </c>
      <c r="AB14" s="12"/>
      <c r="AC14" s="197"/>
      <c r="AD14" s="521"/>
      <c r="AE14" s="521"/>
      <c r="AF14" s="522"/>
    </row>
    <row r="15" spans="2:32" ht="18" customHeight="1">
      <c r="B15" s="901"/>
      <c r="C15" s="896"/>
      <c r="D15" s="897"/>
      <c r="E15" s="982"/>
      <c r="F15" s="869"/>
      <c r="G15" s="870"/>
      <c r="H15" s="389"/>
      <c r="I15" s="395">
        <v>10</v>
      </c>
      <c r="J15" s="52">
        <v>24</v>
      </c>
      <c r="K15" s="703"/>
      <c r="L15" s="52">
        <v>8.8000000000000007</v>
      </c>
      <c r="M15" s="52"/>
      <c r="N15" s="52"/>
      <c r="O15" s="708"/>
      <c r="P15" s="53"/>
      <c r="Q15" s="53"/>
      <c r="R15" s="53"/>
      <c r="S15" s="708"/>
      <c r="T15" s="53"/>
      <c r="U15" s="53"/>
      <c r="V15" s="53"/>
      <c r="W15" s="53"/>
      <c r="X15" s="53"/>
      <c r="Y15" s="53"/>
      <c r="Z15" s="54">
        <f>SUM(J15:Y15)</f>
        <v>32.799999999999997</v>
      </c>
      <c r="AA15" s="536">
        <f>SUM(AD15:AF15)</f>
        <v>0</v>
      </c>
      <c r="AB15" s="12"/>
      <c r="AC15" s="127"/>
      <c r="AD15" s="514"/>
      <c r="AE15" s="514"/>
      <c r="AF15" s="515"/>
    </row>
    <row r="16" spans="2:32" ht="18" customHeight="1">
      <c r="B16" s="901"/>
      <c r="C16" s="896"/>
      <c r="D16" s="897"/>
      <c r="E16" s="982"/>
      <c r="F16" s="869"/>
      <c r="G16" s="870"/>
      <c r="H16" s="390"/>
      <c r="I16" s="396"/>
      <c r="J16" s="52"/>
      <c r="K16" s="703"/>
      <c r="L16" s="52"/>
      <c r="M16" s="52"/>
      <c r="N16" s="52"/>
      <c r="O16" s="708"/>
      <c r="P16" s="53"/>
      <c r="Q16" s="53"/>
      <c r="R16" s="53"/>
      <c r="S16" s="708"/>
      <c r="T16" s="53"/>
      <c r="U16" s="53"/>
      <c r="V16" s="53"/>
      <c r="W16" s="53"/>
      <c r="X16" s="53"/>
      <c r="Y16" s="53"/>
      <c r="Z16" s="54">
        <f t="shared" si="0"/>
        <v>0</v>
      </c>
      <c r="AA16" s="536">
        <f>SUM(AD16:AF16)</f>
        <v>0</v>
      </c>
      <c r="AB16" s="12"/>
      <c r="AC16" s="127"/>
      <c r="AD16" s="514"/>
      <c r="AE16" s="514"/>
      <c r="AF16" s="515"/>
    </row>
    <row r="17" spans="2:32" ht="18" customHeight="1">
      <c r="B17" s="901"/>
      <c r="C17" s="896"/>
      <c r="D17" s="897"/>
      <c r="E17" s="982"/>
      <c r="F17" s="1004"/>
      <c r="G17" s="1005"/>
      <c r="H17" s="986" t="s">
        <v>114</v>
      </c>
      <c r="I17" s="987"/>
      <c r="J17" s="871"/>
      <c r="K17" s="872"/>
      <c r="L17" s="872"/>
      <c r="M17" s="872"/>
      <c r="N17" s="872"/>
      <c r="O17" s="872"/>
      <c r="P17" s="872"/>
      <c r="Q17" s="872"/>
      <c r="R17" s="872"/>
      <c r="S17" s="872"/>
      <c r="T17" s="872"/>
      <c r="U17" s="872"/>
      <c r="V17" s="872"/>
      <c r="W17" s="872"/>
      <c r="X17" s="872"/>
      <c r="Y17" s="873"/>
      <c r="Z17" s="58">
        <f>SUM(Z14:Z16)</f>
        <v>32.799999999999997</v>
      </c>
      <c r="AA17" s="537">
        <f>SUM(AC17:AF17)</f>
        <v>33</v>
      </c>
      <c r="AB17" s="12"/>
      <c r="AC17" s="296">
        <f>IF($Z17&lt;1,ROUND($Z17,1),0)</f>
        <v>0</v>
      </c>
      <c r="AD17" s="523">
        <f>IF(AND($Z17&gt;=1,$Z17&lt;1000),ROUND($Z17,0),0)</f>
        <v>33</v>
      </c>
      <c r="AE17" s="523">
        <f>IF($Z17&gt;=1000,ROUND($Z17,-1),0)</f>
        <v>0</v>
      </c>
      <c r="AF17" s="524"/>
    </row>
    <row r="18" spans="2:32" ht="18" customHeight="1">
      <c r="B18" s="901"/>
      <c r="C18" s="896"/>
      <c r="D18" s="897"/>
      <c r="E18" s="982"/>
      <c r="F18" s="994" t="s">
        <v>203</v>
      </c>
      <c r="G18" s="995"/>
      <c r="H18" s="382"/>
      <c r="I18" s="380">
        <v>14</v>
      </c>
      <c r="J18" s="60"/>
      <c r="K18" s="702"/>
      <c r="L18" s="60"/>
      <c r="M18" s="60"/>
      <c r="N18" s="60"/>
      <c r="O18" s="707"/>
      <c r="P18" s="59"/>
      <c r="Q18" s="59"/>
      <c r="R18" s="59"/>
      <c r="S18" s="707"/>
      <c r="T18" s="242"/>
      <c r="U18" s="242"/>
      <c r="V18" s="242"/>
      <c r="W18" s="242"/>
      <c r="X18" s="242"/>
      <c r="Y18" s="242"/>
      <c r="Z18" s="61">
        <f>SUM(J18:Y18)</f>
        <v>0</v>
      </c>
      <c r="AA18" s="535">
        <f>SUM(AD18:AF18)</f>
        <v>0</v>
      </c>
      <c r="AB18" s="12"/>
      <c r="AC18" s="197"/>
      <c r="AD18" s="521"/>
      <c r="AE18" s="521"/>
      <c r="AF18" s="522"/>
    </row>
    <row r="19" spans="2:32" ht="18" customHeight="1">
      <c r="B19" s="901"/>
      <c r="C19" s="896"/>
      <c r="D19" s="897"/>
      <c r="E19" s="982"/>
      <c r="F19" s="996"/>
      <c r="G19" s="997"/>
      <c r="H19" s="390"/>
      <c r="I19" s="397">
        <v>15</v>
      </c>
      <c r="J19" s="52"/>
      <c r="K19" s="703"/>
      <c r="L19" s="52"/>
      <c r="M19" s="52"/>
      <c r="N19" s="52"/>
      <c r="O19" s="708"/>
      <c r="P19" s="53"/>
      <c r="Q19" s="53"/>
      <c r="R19" s="53"/>
      <c r="S19" s="708"/>
      <c r="T19" s="103"/>
      <c r="U19" s="103"/>
      <c r="V19" s="103"/>
      <c r="W19" s="103"/>
      <c r="X19" s="103"/>
      <c r="Y19" s="103"/>
      <c r="Z19" s="54">
        <f>SUM(J19:Y19)</f>
        <v>0</v>
      </c>
      <c r="AA19" s="536">
        <f>SUM(AD19:AF19)</f>
        <v>0</v>
      </c>
      <c r="AB19" s="12"/>
      <c r="AC19" s="127"/>
      <c r="AD19" s="514"/>
      <c r="AE19" s="514"/>
      <c r="AF19" s="515"/>
    </row>
    <row r="20" spans="2:32" ht="18" customHeight="1">
      <c r="B20" s="901"/>
      <c r="C20" s="896"/>
      <c r="D20" s="897"/>
      <c r="E20" s="982"/>
      <c r="F20" s="998"/>
      <c r="G20" s="999"/>
      <c r="H20" s="986" t="s">
        <v>114</v>
      </c>
      <c r="I20" s="987"/>
      <c r="J20" s="871"/>
      <c r="K20" s="872"/>
      <c r="L20" s="872"/>
      <c r="M20" s="872"/>
      <c r="N20" s="872"/>
      <c r="O20" s="872"/>
      <c r="P20" s="872"/>
      <c r="Q20" s="872"/>
      <c r="R20" s="872"/>
      <c r="S20" s="872"/>
      <c r="T20" s="872"/>
      <c r="U20" s="872"/>
      <c r="V20" s="872"/>
      <c r="W20" s="872"/>
      <c r="X20" s="872"/>
      <c r="Y20" s="873"/>
      <c r="Z20" s="58">
        <f>SUM(Z18:Z19)</f>
        <v>0</v>
      </c>
      <c r="AA20" s="537">
        <f t="shared" ref="AA20:AA25" si="1">SUM(AC20:AF20)</f>
        <v>0</v>
      </c>
      <c r="AB20" s="12"/>
      <c r="AC20" s="296">
        <f t="shared" ref="AC20:AC25" si="2">IF($Z20&lt;1,ROUND($Z20,1),0)</f>
        <v>0</v>
      </c>
      <c r="AD20" s="523">
        <f t="shared" ref="AD20:AD25" si="3">IF(AND($Z20&gt;=1,$Z20&lt;1000),ROUND($Z20,0),0)</f>
        <v>0</v>
      </c>
      <c r="AE20" s="523">
        <f t="shared" ref="AE20:AE25" si="4">IF($Z20&gt;=1000,ROUND($Z20,-1),0)</f>
        <v>0</v>
      </c>
      <c r="AF20" s="524"/>
    </row>
    <row r="21" spans="2:32" ht="18" customHeight="1">
      <c r="B21" s="901"/>
      <c r="C21" s="896"/>
      <c r="D21" s="897"/>
      <c r="E21" s="982"/>
      <c r="F21" s="869" t="s">
        <v>204</v>
      </c>
      <c r="G21" s="870"/>
      <c r="H21" s="392"/>
      <c r="I21" s="383">
        <v>20</v>
      </c>
      <c r="J21" s="198"/>
      <c r="K21" s="704"/>
      <c r="L21" s="198"/>
      <c r="M21" s="198"/>
      <c r="N21" s="198"/>
      <c r="O21" s="748"/>
      <c r="P21" s="203"/>
      <c r="Q21" s="203"/>
      <c r="R21" s="203"/>
      <c r="S21" s="748"/>
      <c r="T21" s="204"/>
      <c r="U21" s="204"/>
      <c r="V21" s="204"/>
      <c r="W21" s="204"/>
      <c r="X21" s="204"/>
      <c r="Y21" s="204"/>
      <c r="Z21" s="199">
        <f t="shared" ref="Z21:Z29" si="5">SUM(J21:Y21)</f>
        <v>0</v>
      </c>
      <c r="AA21" s="538">
        <f t="shared" si="1"/>
        <v>0</v>
      </c>
      <c r="AB21" s="12"/>
      <c r="AC21" s="525">
        <f t="shared" si="2"/>
        <v>0</v>
      </c>
      <c r="AD21" s="526">
        <f t="shared" si="3"/>
        <v>0</v>
      </c>
      <c r="AE21" s="526">
        <f t="shared" si="4"/>
        <v>0</v>
      </c>
      <c r="AF21" s="527"/>
    </row>
    <row r="22" spans="2:32" ht="18" customHeight="1">
      <c r="B22" s="901"/>
      <c r="C22" s="896"/>
      <c r="D22" s="897"/>
      <c r="E22" s="958" t="s">
        <v>210</v>
      </c>
      <c r="F22" s="988" t="s">
        <v>211</v>
      </c>
      <c r="G22" s="988"/>
      <c r="H22" s="400"/>
      <c r="I22" s="401">
        <v>4</v>
      </c>
      <c r="J22" s="200"/>
      <c r="K22" s="705"/>
      <c r="L22" s="200"/>
      <c r="M22" s="200"/>
      <c r="N22" s="200"/>
      <c r="O22" s="709"/>
      <c r="P22" s="201"/>
      <c r="Q22" s="201"/>
      <c r="R22" s="201"/>
      <c r="S22" s="709"/>
      <c r="T22" s="201"/>
      <c r="U22" s="201"/>
      <c r="V22" s="201"/>
      <c r="W22" s="201"/>
      <c r="X22" s="201"/>
      <c r="Y22" s="201"/>
      <c r="Z22" s="202">
        <f t="shared" si="5"/>
        <v>0</v>
      </c>
      <c r="AA22" s="539">
        <f t="shared" si="1"/>
        <v>0</v>
      </c>
      <c r="AB22" s="12"/>
      <c r="AC22" s="197">
        <f t="shared" si="2"/>
        <v>0</v>
      </c>
      <c r="AD22" s="521">
        <f t="shared" si="3"/>
        <v>0</v>
      </c>
      <c r="AE22" s="521">
        <f t="shared" si="4"/>
        <v>0</v>
      </c>
      <c r="AF22" s="522"/>
    </row>
    <row r="23" spans="2:32" ht="18" customHeight="1">
      <c r="B23" s="901"/>
      <c r="C23" s="896"/>
      <c r="D23" s="897"/>
      <c r="E23" s="959"/>
      <c r="F23" s="983" t="s">
        <v>213</v>
      </c>
      <c r="G23" s="983"/>
      <c r="H23" s="390"/>
      <c r="I23" s="396">
        <v>8</v>
      </c>
      <c r="J23" s="52"/>
      <c r="K23" s="703"/>
      <c r="L23" s="52"/>
      <c r="M23" s="52"/>
      <c r="N23" s="52"/>
      <c r="O23" s="708"/>
      <c r="P23" s="53"/>
      <c r="Q23" s="53"/>
      <c r="R23" s="53"/>
      <c r="S23" s="708"/>
      <c r="T23" s="53"/>
      <c r="U23" s="53"/>
      <c r="V23" s="53"/>
      <c r="W23" s="53"/>
      <c r="X23" s="53"/>
      <c r="Y23" s="53"/>
      <c r="Z23" s="54">
        <f t="shared" si="5"/>
        <v>0</v>
      </c>
      <c r="AA23" s="540">
        <f t="shared" si="1"/>
        <v>0</v>
      </c>
      <c r="AB23" s="12"/>
      <c r="AC23" s="127">
        <f t="shared" si="2"/>
        <v>0</v>
      </c>
      <c r="AD23" s="514">
        <f t="shared" si="3"/>
        <v>0</v>
      </c>
      <c r="AE23" s="514">
        <f t="shared" si="4"/>
        <v>0</v>
      </c>
      <c r="AF23" s="515"/>
    </row>
    <row r="24" spans="2:32" ht="18" customHeight="1">
      <c r="B24" s="901"/>
      <c r="C24" s="896"/>
      <c r="D24" s="897"/>
      <c r="E24" s="959"/>
      <c r="F24" s="983" t="s">
        <v>214</v>
      </c>
      <c r="G24" s="983"/>
      <c r="H24" s="390"/>
      <c r="I24" s="396">
        <v>14</v>
      </c>
      <c r="J24" s="52"/>
      <c r="K24" s="703"/>
      <c r="L24" s="52"/>
      <c r="M24" s="52"/>
      <c r="N24" s="52"/>
      <c r="O24" s="708"/>
      <c r="P24" s="53"/>
      <c r="Q24" s="53"/>
      <c r="R24" s="53"/>
      <c r="S24" s="708"/>
      <c r="T24" s="53"/>
      <c r="U24" s="53"/>
      <c r="V24" s="53"/>
      <c r="W24" s="53"/>
      <c r="X24" s="53"/>
      <c r="Y24" s="53"/>
      <c r="Z24" s="54">
        <f t="shared" si="5"/>
        <v>0</v>
      </c>
      <c r="AA24" s="540">
        <f t="shared" si="1"/>
        <v>0</v>
      </c>
      <c r="AB24" s="12"/>
      <c r="AC24" s="127">
        <f t="shared" si="2"/>
        <v>0</v>
      </c>
      <c r="AD24" s="514">
        <f t="shared" si="3"/>
        <v>0</v>
      </c>
      <c r="AE24" s="514">
        <f t="shared" si="4"/>
        <v>0</v>
      </c>
      <c r="AF24" s="515"/>
    </row>
    <row r="25" spans="2:32" ht="18" customHeight="1">
      <c r="B25" s="901"/>
      <c r="C25" s="898"/>
      <c r="D25" s="899"/>
      <c r="E25" s="960"/>
      <c r="F25" s="993" t="s">
        <v>204</v>
      </c>
      <c r="G25" s="993"/>
      <c r="H25" s="402"/>
      <c r="I25" s="403">
        <v>20</v>
      </c>
      <c r="J25" s="56"/>
      <c r="K25" s="706"/>
      <c r="L25" s="56"/>
      <c r="M25" s="56"/>
      <c r="N25" s="56"/>
      <c r="O25" s="710"/>
      <c r="P25" s="205"/>
      <c r="Q25" s="205"/>
      <c r="R25" s="205"/>
      <c r="S25" s="710"/>
      <c r="T25" s="206"/>
      <c r="U25" s="206"/>
      <c r="V25" s="206"/>
      <c r="W25" s="206"/>
      <c r="X25" s="206"/>
      <c r="Y25" s="206"/>
      <c r="Z25" s="58">
        <f t="shared" si="5"/>
        <v>0</v>
      </c>
      <c r="AA25" s="538">
        <f t="shared" si="1"/>
        <v>0</v>
      </c>
      <c r="AB25" s="12"/>
      <c r="AC25" s="296">
        <f t="shared" si="2"/>
        <v>0</v>
      </c>
      <c r="AD25" s="523">
        <f t="shared" si="3"/>
        <v>0</v>
      </c>
      <c r="AE25" s="523">
        <f t="shared" si="4"/>
        <v>0</v>
      </c>
      <c r="AF25" s="524"/>
    </row>
    <row r="26" spans="2:32" ht="18" customHeight="1">
      <c r="B26" s="901"/>
      <c r="C26" s="989" t="s">
        <v>118</v>
      </c>
      <c r="D26" s="990"/>
      <c r="E26" s="906" t="s">
        <v>216</v>
      </c>
      <c r="F26" s="950" t="s">
        <v>213</v>
      </c>
      <c r="G26" s="951"/>
      <c r="H26" s="961"/>
      <c r="I26" s="380">
        <v>4</v>
      </c>
      <c r="J26" s="59"/>
      <c r="K26" s="707"/>
      <c r="L26" s="59"/>
      <c r="M26" s="59"/>
      <c r="N26" s="59"/>
      <c r="O26" s="707"/>
      <c r="P26" s="60"/>
      <c r="Q26" s="59"/>
      <c r="R26" s="59"/>
      <c r="S26" s="749"/>
      <c r="T26" s="320"/>
      <c r="U26" s="320"/>
      <c r="V26" s="320"/>
      <c r="W26" s="59"/>
      <c r="X26" s="59"/>
      <c r="Y26" s="59"/>
      <c r="Z26" s="61">
        <f t="shared" si="5"/>
        <v>0</v>
      </c>
      <c r="AA26" s="541">
        <f>SUM(AD26:AF26)</f>
        <v>0</v>
      </c>
      <c r="AB26" s="12"/>
      <c r="AC26" s="197"/>
      <c r="AD26" s="521"/>
      <c r="AE26" s="521"/>
      <c r="AF26" s="522"/>
    </row>
    <row r="27" spans="2:32" ht="18" customHeight="1">
      <c r="B27" s="901"/>
      <c r="C27" s="896"/>
      <c r="D27" s="897"/>
      <c r="E27" s="907"/>
      <c r="F27" s="952"/>
      <c r="G27" s="953"/>
      <c r="H27" s="962"/>
      <c r="I27" s="381">
        <v>5</v>
      </c>
      <c r="J27" s="53"/>
      <c r="K27" s="708"/>
      <c r="L27" s="53"/>
      <c r="M27" s="53"/>
      <c r="N27" s="53"/>
      <c r="O27" s="708"/>
      <c r="P27" s="52">
        <v>72.52</v>
      </c>
      <c r="Q27" s="53"/>
      <c r="R27" s="53"/>
      <c r="S27" s="730"/>
      <c r="T27" s="317"/>
      <c r="U27" s="317"/>
      <c r="V27" s="317"/>
      <c r="W27" s="53"/>
      <c r="X27" s="53"/>
      <c r="Y27" s="53"/>
      <c r="Z27" s="54">
        <f t="shared" si="5"/>
        <v>72.52</v>
      </c>
      <c r="AA27" s="536">
        <f>SUM(AD27:AF27)</f>
        <v>0</v>
      </c>
      <c r="AB27" s="12"/>
      <c r="AC27" s="127"/>
      <c r="AD27" s="514"/>
      <c r="AE27" s="514"/>
      <c r="AF27" s="515"/>
    </row>
    <row r="28" spans="2:32" ht="18" customHeight="1">
      <c r="B28" s="901"/>
      <c r="C28" s="896"/>
      <c r="D28" s="897"/>
      <c r="E28" s="907"/>
      <c r="F28" s="952"/>
      <c r="G28" s="953"/>
      <c r="H28" s="962"/>
      <c r="I28" s="381">
        <v>10</v>
      </c>
      <c r="J28" s="53"/>
      <c r="K28" s="708"/>
      <c r="L28" s="53"/>
      <c r="M28" s="53"/>
      <c r="N28" s="53"/>
      <c r="O28" s="708"/>
      <c r="P28" s="52">
        <v>72.52</v>
      </c>
      <c r="Q28" s="53"/>
      <c r="R28" s="53"/>
      <c r="S28" s="730"/>
      <c r="T28" s="317"/>
      <c r="U28" s="317"/>
      <c r="V28" s="317"/>
      <c r="W28" s="53"/>
      <c r="X28" s="53"/>
      <c r="Y28" s="53"/>
      <c r="Z28" s="54">
        <f t="shared" si="5"/>
        <v>72.52</v>
      </c>
      <c r="AA28" s="536">
        <f>SUM(AD28:AF28)</f>
        <v>0</v>
      </c>
      <c r="AB28" s="12"/>
      <c r="AC28" s="127"/>
      <c r="AD28" s="514"/>
      <c r="AE28" s="514"/>
      <c r="AF28" s="515"/>
    </row>
    <row r="29" spans="2:32" ht="18" customHeight="1">
      <c r="B29" s="901"/>
      <c r="C29" s="896"/>
      <c r="D29" s="897"/>
      <c r="E29" s="907"/>
      <c r="F29" s="952"/>
      <c r="G29" s="953"/>
      <c r="H29" s="962"/>
      <c r="I29" s="396"/>
      <c r="J29" s="53"/>
      <c r="K29" s="708"/>
      <c r="L29" s="53"/>
      <c r="M29" s="53"/>
      <c r="N29" s="53"/>
      <c r="O29" s="708"/>
      <c r="P29" s="52"/>
      <c r="Q29" s="53"/>
      <c r="R29" s="53"/>
      <c r="S29" s="730"/>
      <c r="T29" s="317"/>
      <c r="U29" s="317"/>
      <c r="V29" s="317"/>
      <c r="W29" s="53"/>
      <c r="X29" s="53"/>
      <c r="Y29" s="53"/>
      <c r="Z29" s="54">
        <f t="shared" si="5"/>
        <v>0</v>
      </c>
      <c r="AA29" s="536">
        <f>SUM(AD29:AF29)</f>
        <v>0</v>
      </c>
      <c r="AB29" s="12"/>
      <c r="AC29" s="127"/>
      <c r="AD29" s="514"/>
      <c r="AE29" s="514"/>
      <c r="AF29" s="515"/>
    </row>
    <row r="30" spans="2:32" ht="18" customHeight="1">
      <c r="B30" s="901"/>
      <c r="C30" s="896"/>
      <c r="D30" s="897"/>
      <c r="E30" s="907"/>
      <c r="F30" s="952"/>
      <c r="G30" s="953"/>
      <c r="H30" s="963"/>
      <c r="I30" s="379" t="s">
        <v>114</v>
      </c>
      <c r="J30" s="871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  <c r="X30" s="872"/>
      <c r="Y30" s="873"/>
      <c r="Z30" s="58">
        <f>SUM(Z26:Z29)</f>
        <v>145.04</v>
      </c>
      <c r="AA30" s="537">
        <f>SUM(AC30:AF30)</f>
        <v>145</v>
      </c>
      <c r="AB30" s="12"/>
      <c r="AC30" s="296">
        <f>IF($Z30&lt;1,ROUND($Z30,1),0)</f>
        <v>0</v>
      </c>
      <c r="AD30" s="523">
        <f>IF(AND($Z30&gt;=1,$Z30&lt;1000),ROUND($Z30,0),0)</f>
        <v>145</v>
      </c>
      <c r="AE30" s="523">
        <f>IF($Z30&gt;=1000,ROUND($Z30,-1),0)</f>
        <v>0</v>
      </c>
      <c r="AF30" s="524"/>
    </row>
    <row r="31" spans="2:32" ht="18" customHeight="1">
      <c r="B31" s="901"/>
      <c r="C31" s="896"/>
      <c r="D31" s="897"/>
      <c r="E31" s="907"/>
      <c r="F31" s="952"/>
      <c r="G31" s="953"/>
      <c r="H31" s="961"/>
      <c r="I31" s="380">
        <v>4</v>
      </c>
      <c r="J31" s="59"/>
      <c r="K31" s="707"/>
      <c r="L31" s="59"/>
      <c r="M31" s="59"/>
      <c r="N31" s="59"/>
      <c r="O31" s="729"/>
      <c r="P31" s="59"/>
      <c r="Q31" s="324">
        <v>2.04</v>
      </c>
      <c r="R31" s="324">
        <v>21.18</v>
      </c>
      <c r="S31" s="729"/>
      <c r="T31" s="320"/>
      <c r="U31" s="320"/>
      <c r="V31" s="320"/>
      <c r="W31" s="59"/>
      <c r="X31" s="59"/>
      <c r="Y31" s="59"/>
      <c r="Z31" s="61">
        <f>SUM(J31:Y31)</f>
        <v>23.22</v>
      </c>
      <c r="AA31" s="541">
        <f>SUM(AD31:AF31)</f>
        <v>0</v>
      </c>
      <c r="AB31" s="12"/>
      <c r="AC31" s="197"/>
      <c r="AD31" s="521"/>
      <c r="AE31" s="521"/>
      <c r="AF31" s="522"/>
    </row>
    <row r="32" spans="2:32" ht="18" customHeight="1">
      <c r="B32" s="901"/>
      <c r="C32" s="896"/>
      <c r="D32" s="897"/>
      <c r="E32" s="907"/>
      <c r="F32" s="952"/>
      <c r="G32" s="953"/>
      <c r="H32" s="962"/>
      <c r="I32" s="381">
        <v>5</v>
      </c>
      <c r="J32" s="53"/>
      <c r="K32" s="708"/>
      <c r="L32" s="53"/>
      <c r="M32" s="53"/>
      <c r="N32" s="53"/>
      <c r="O32" s="750">
        <v>29.4</v>
      </c>
      <c r="P32" s="53"/>
      <c r="Q32" s="319"/>
      <c r="R32" s="319">
        <v>24</v>
      </c>
      <c r="S32" s="750"/>
      <c r="T32" s="317"/>
      <c r="U32" s="317"/>
      <c r="V32" s="317"/>
      <c r="W32" s="53"/>
      <c r="X32" s="53"/>
      <c r="Y32" s="53"/>
      <c r="Z32" s="54">
        <f>SUM(J32:Y32)</f>
        <v>53.4</v>
      </c>
      <c r="AA32" s="536">
        <f>SUM(AD32:AF32)</f>
        <v>0</v>
      </c>
      <c r="AB32" s="12"/>
      <c r="AC32" s="127"/>
      <c r="AD32" s="514"/>
      <c r="AE32" s="514"/>
      <c r="AF32" s="515"/>
    </row>
    <row r="33" spans="2:32" ht="18" customHeight="1">
      <c r="B33" s="901"/>
      <c r="C33" s="896"/>
      <c r="D33" s="897"/>
      <c r="E33" s="907"/>
      <c r="F33" s="952"/>
      <c r="G33" s="953"/>
      <c r="H33" s="962"/>
      <c r="I33" s="381">
        <v>10</v>
      </c>
      <c r="J33" s="53"/>
      <c r="K33" s="708"/>
      <c r="L33" s="53"/>
      <c r="M33" s="53"/>
      <c r="N33" s="53"/>
      <c r="O33" s="750"/>
      <c r="P33" s="53"/>
      <c r="Q33" s="319">
        <v>121.44</v>
      </c>
      <c r="R33" s="319">
        <v>487.14</v>
      </c>
      <c r="S33" s="750"/>
      <c r="T33" s="317"/>
      <c r="U33" s="317"/>
      <c r="V33" s="317"/>
      <c r="W33" s="53"/>
      <c r="X33" s="53"/>
      <c r="Y33" s="53"/>
      <c r="Z33" s="54">
        <f>SUM(J33:Y33)</f>
        <v>608.57999999999993</v>
      </c>
      <c r="AA33" s="536">
        <f>SUM(AD33:AF33)</f>
        <v>0</v>
      </c>
      <c r="AB33" s="12"/>
      <c r="AC33" s="127"/>
      <c r="AD33" s="514"/>
      <c r="AE33" s="514"/>
      <c r="AF33" s="515"/>
    </row>
    <row r="34" spans="2:32" ht="18" customHeight="1">
      <c r="B34" s="901"/>
      <c r="C34" s="896"/>
      <c r="D34" s="897"/>
      <c r="E34" s="907"/>
      <c r="F34" s="952"/>
      <c r="G34" s="953"/>
      <c r="H34" s="962"/>
      <c r="I34" s="396"/>
      <c r="J34" s="53"/>
      <c r="K34" s="708"/>
      <c r="L34" s="53"/>
      <c r="M34" s="53"/>
      <c r="N34" s="53"/>
      <c r="O34" s="750"/>
      <c r="P34" s="53"/>
      <c r="Q34" s="319"/>
      <c r="R34" s="319"/>
      <c r="S34" s="750"/>
      <c r="T34" s="317"/>
      <c r="U34" s="317"/>
      <c r="V34" s="317"/>
      <c r="W34" s="53"/>
      <c r="X34" s="53"/>
      <c r="Y34" s="53"/>
      <c r="Z34" s="54">
        <f>SUM(J34:Y34)</f>
        <v>0</v>
      </c>
      <c r="AA34" s="536">
        <f>SUM(AD34:AF34)</f>
        <v>0</v>
      </c>
      <c r="AB34" s="12"/>
      <c r="AC34" s="127"/>
      <c r="AD34" s="514"/>
      <c r="AE34" s="514"/>
      <c r="AF34" s="515"/>
    </row>
    <row r="35" spans="2:32" ht="18" customHeight="1">
      <c r="B35" s="901"/>
      <c r="C35" s="896"/>
      <c r="D35" s="897"/>
      <c r="E35" s="907"/>
      <c r="F35" s="952"/>
      <c r="G35" s="953"/>
      <c r="H35" s="963"/>
      <c r="I35" s="379" t="s">
        <v>114</v>
      </c>
      <c r="J35" s="871"/>
      <c r="K35" s="872"/>
      <c r="L35" s="872"/>
      <c r="M35" s="872"/>
      <c r="N35" s="872"/>
      <c r="O35" s="872"/>
      <c r="P35" s="872"/>
      <c r="Q35" s="872"/>
      <c r="R35" s="872"/>
      <c r="S35" s="872"/>
      <c r="T35" s="872"/>
      <c r="U35" s="872"/>
      <c r="V35" s="872"/>
      <c r="W35" s="872"/>
      <c r="X35" s="872"/>
      <c r="Y35" s="873"/>
      <c r="Z35" s="58">
        <f>SUM(Z31:Z34)</f>
        <v>685.19999999999993</v>
      </c>
      <c r="AA35" s="537">
        <f>SUM(AC35:AF35)</f>
        <v>685</v>
      </c>
      <c r="AB35" s="12"/>
      <c r="AC35" s="296">
        <f>IF($Z35&lt;1,ROUND($Z35,1),0)</f>
        <v>0</v>
      </c>
      <c r="AD35" s="523">
        <f>IF(AND($Z35&gt;=1,$Z35&lt;1000),ROUND($Z35,0),0)</f>
        <v>685</v>
      </c>
      <c r="AE35" s="523">
        <f>IF($Z35&gt;=1000,ROUND($Z35,-1),0)</f>
        <v>0</v>
      </c>
      <c r="AF35" s="524"/>
    </row>
    <row r="36" spans="2:32" ht="18" customHeight="1">
      <c r="B36" s="901"/>
      <c r="C36" s="896"/>
      <c r="D36" s="897"/>
      <c r="E36" s="907"/>
      <c r="F36" s="952"/>
      <c r="G36" s="953"/>
      <c r="H36" s="874"/>
      <c r="I36" s="380">
        <v>4</v>
      </c>
      <c r="J36" s="201"/>
      <c r="K36" s="709"/>
      <c r="L36" s="201"/>
      <c r="M36" s="201"/>
      <c r="N36" s="201"/>
      <c r="O36" s="751"/>
      <c r="P36" s="316"/>
      <c r="Q36" s="316"/>
      <c r="R36" s="201"/>
      <c r="S36" s="751"/>
      <c r="T36" s="318">
        <v>13.46</v>
      </c>
      <c r="U36" s="316"/>
      <c r="V36" s="316"/>
      <c r="W36" s="201"/>
      <c r="X36" s="201"/>
      <c r="Y36" s="201"/>
      <c r="Z36" s="202">
        <f>SUM(J36:Y36)</f>
        <v>13.46</v>
      </c>
      <c r="AA36" s="541">
        <f t="shared" ref="AA36:AA49" si="6">SUM(AD36:AF36)</f>
        <v>0</v>
      </c>
      <c r="AB36" s="12"/>
      <c r="AC36" s="197"/>
      <c r="AD36" s="521"/>
      <c r="AE36" s="521"/>
      <c r="AF36" s="522"/>
    </row>
    <row r="37" spans="2:32" ht="18" customHeight="1">
      <c r="B37" s="901"/>
      <c r="C37" s="896"/>
      <c r="D37" s="897"/>
      <c r="E37" s="907"/>
      <c r="F37" s="952"/>
      <c r="G37" s="953"/>
      <c r="H37" s="875"/>
      <c r="I37" s="381">
        <v>5</v>
      </c>
      <c r="J37" s="53"/>
      <c r="K37" s="708"/>
      <c r="L37" s="53"/>
      <c r="M37" s="53"/>
      <c r="N37" s="53"/>
      <c r="O37" s="730"/>
      <c r="P37" s="317"/>
      <c r="Q37" s="317"/>
      <c r="R37" s="53"/>
      <c r="S37" s="730"/>
      <c r="T37" s="319">
        <v>8.8000000000000007</v>
      </c>
      <c r="U37" s="317"/>
      <c r="V37" s="317"/>
      <c r="W37" s="53"/>
      <c r="X37" s="53"/>
      <c r="Y37" s="53"/>
      <c r="Z37" s="54">
        <f>SUM(J37:Y37)</f>
        <v>8.8000000000000007</v>
      </c>
      <c r="AA37" s="536">
        <f t="shared" si="6"/>
        <v>0</v>
      </c>
      <c r="AB37" s="12"/>
      <c r="AC37" s="127"/>
      <c r="AD37" s="514"/>
      <c r="AE37" s="514"/>
      <c r="AF37" s="515"/>
    </row>
    <row r="38" spans="2:32" ht="18" customHeight="1">
      <c r="B38" s="901"/>
      <c r="C38" s="896"/>
      <c r="D38" s="897"/>
      <c r="E38" s="907"/>
      <c r="F38" s="952"/>
      <c r="G38" s="953"/>
      <c r="H38" s="875"/>
      <c r="I38" s="381">
        <v>10</v>
      </c>
      <c r="J38" s="53"/>
      <c r="K38" s="708"/>
      <c r="L38" s="53"/>
      <c r="M38" s="53"/>
      <c r="N38" s="53"/>
      <c r="O38" s="730"/>
      <c r="P38" s="317"/>
      <c r="Q38" s="317"/>
      <c r="R38" s="53"/>
      <c r="S38" s="730"/>
      <c r="T38" s="319">
        <v>801.76</v>
      </c>
      <c r="U38" s="317"/>
      <c r="V38" s="317"/>
      <c r="W38" s="53"/>
      <c r="X38" s="53"/>
      <c r="Y38" s="53"/>
      <c r="Z38" s="54">
        <f>SUM(J38:Y38)</f>
        <v>801.76</v>
      </c>
      <c r="AA38" s="536">
        <f t="shared" si="6"/>
        <v>0</v>
      </c>
      <c r="AB38" s="12"/>
      <c r="AC38" s="127"/>
      <c r="AD38" s="514"/>
      <c r="AE38" s="514"/>
      <c r="AF38" s="515"/>
    </row>
    <row r="39" spans="2:32" ht="18" customHeight="1">
      <c r="B39" s="901"/>
      <c r="C39" s="896"/>
      <c r="D39" s="897"/>
      <c r="E39" s="907"/>
      <c r="F39" s="952"/>
      <c r="G39" s="953"/>
      <c r="H39" s="875"/>
      <c r="I39" s="396"/>
      <c r="J39" s="53"/>
      <c r="K39" s="708"/>
      <c r="L39" s="53"/>
      <c r="M39" s="53"/>
      <c r="N39" s="53"/>
      <c r="O39" s="730"/>
      <c r="P39" s="317"/>
      <c r="Q39" s="317"/>
      <c r="R39" s="53"/>
      <c r="S39" s="730"/>
      <c r="T39" s="319"/>
      <c r="U39" s="317"/>
      <c r="V39" s="317"/>
      <c r="W39" s="53"/>
      <c r="X39" s="53"/>
      <c r="Y39" s="53"/>
      <c r="Z39" s="54">
        <f>SUM(J39:Y39)</f>
        <v>0</v>
      </c>
      <c r="AA39" s="536">
        <f t="shared" si="6"/>
        <v>0</v>
      </c>
      <c r="AB39" s="12"/>
      <c r="AC39" s="127"/>
      <c r="AD39" s="514"/>
      <c r="AE39" s="514"/>
      <c r="AF39" s="515"/>
    </row>
    <row r="40" spans="2:32" ht="18" customHeight="1">
      <c r="B40" s="901"/>
      <c r="C40" s="896"/>
      <c r="D40" s="897"/>
      <c r="E40" s="907"/>
      <c r="F40" s="952"/>
      <c r="G40" s="953"/>
      <c r="H40" s="876"/>
      <c r="I40" s="379" t="s">
        <v>114</v>
      </c>
      <c r="J40" s="871"/>
      <c r="K40" s="872"/>
      <c r="L40" s="872"/>
      <c r="M40" s="872"/>
      <c r="N40" s="872"/>
      <c r="O40" s="872"/>
      <c r="P40" s="872"/>
      <c r="Q40" s="872"/>
      <c r="R40" s="872"/>
      <c r="S40" s="872"/>
      <c r="T40" s="872"/>
      <c r="U40" s="872"/>
      <c r="V40" s="872"/>
      <c r="W40" s="872"/>
      <c r="X40" s="872"/>
      <c r="Y40" s="873"/>
      <c r="Z40" s="58">
        <f>SUM(Z36:Z39)</f>
        <v>824.02</v>
      </c>
      <c r="AA40" s="537">
        <f>SUM(AC40:AF40)</f>
        <v>824</v>
      </c>
      <c r="AB40" s="12"/>
      <c r="AC40" s="296">
        <f>IF($Z40&lt;1,ROUND($Z40,1),0)</f>
        <v>0</v>
      </c>
      <c r="AD40" s="523">
        <f>IF(AND($Z40&gt;=1,$Z40&lt;1000),ROUND($Z40,0),0)</f>
        <v>824</v>
      </c>
      <c r="AE40" s="523">
        <f>IF($Z40&gt;=1000,ROUND($Z40,-1),0)</f>
        <v>0</v>
      </c>
      <c r="AF40" s="524"/>
    </row>
    <row r="41" spans="2:32" ht="18" customHeight="1">
      <c r="B41" s="901"/>
      <c r="C41" s="896"/>
      <c r="D41" s="897"/>
      <c r="E41" s="907"/>
      <c r="F41" s="952"/>
      <c r="G41" s="953"/>
      <c r="H41" s="874"/>
      <c r="I41" s="380">
        <v>4</v>
      </c>
      <c r="J41" s="201"/>
      <c r="K41" s="709"/>
      <c r="L41" s="201"/>
      <c r="M41" s="201"/>
      <c r="N41" s="201"/>
      <c r="O41" s="751"/>
      <c r="P41" s="316"/>
      <c r="Q41" s="316"/>
      <c r="R41" s="316"/>
      <c r="S41" s="751"/>
      <c r="T41" s="316"/>
      <c r="U41" s="318"/>
      <c r="V41" s="316"/>
      <c r="W41" s="201"/>
      <c r="X41" s="201"/>
      <c r="Y41" s="201"/>
      <c r="Z41" s="202">
        <f>SUM(J41:Y41)</f>
        <v>0</v>
      </c>
      <c r="AA41" s="541">
        <f t="shared" si="6"/>
        <v>0</v>
      </c>
      <c r="AB41" s="12"/>
      <c r="AC41" s="197"/>
      <c r="AD41" s="521"/>
      <c r="AE41" s="521"/>
      <c r="AF41" s="522"/>
    </row>
    <row r="42" spans="2:32" ht="18" customHeight="1">
      <c r="B42" s="901"/>
      <c r="C42" s="896"/>
      <c r="D42" s="897"/>
      <c r="E42" s="907"/>
      <c r="F42" s="952"/>
      <c r="G42" s="953"/>
      <c r="H42" s="875"/>
      <c r="I42" s="381">
        <v>5</v>
      </c>
      <c r="J42" s="53"/>
      <c r="K42" s="708"/>
      <c r="L42" s="53"/>
      <c r="M42" s="53"/>
      <c r="N42" s="53"/>
      <c r="O42" s="730"/>
      <c r="P42" s="317"/>
      <c r="Q42" s="317"/>
      <c r="R42" s="317"/>
      <c r="S42" s="730"/>
      <c r="T42" s="317"/>
      <c r="U42" s="319"/>
      <c r="V42" s="317"/>
      <c r="W42" s="53"/>
      <c r="X42" s="53"/>
      <c r="Y42" s="53"/>
      <c r="Z42" s="54">
        <f>SUM(J42:Y42)</f>
        <v>0</v>
      </c>
      <c r="AA42" s="536">
        <f t="shared" si="6"/>
        <v>0</v>
      </c>
      <c r="AB42" s="12"/>
      <c r="AC42" s="127"/>
      <c r="AD42" s="514"/>
      <c r="AE42" s="514"/>
      <c r="AF42" s="515"/>
    </row>
    <row r="43" spans="2:32" ht="18" customHeight="1">
      <c r="B43" s="901"/>
      <c r="C43" s="896"/>
      <c r="D43" s="897"/>
      <c r="E43" s="907"/>
      <c r="F43" s="952"/>
      <c r="G43" s="953"/>
      <c r="H43" s="875"/>
      <c r="I43" s="381">
        <v>10</v>
      </c>
      <c r="J43" s="53"/>
      <c r="K43" s="708"/>
      <c r="L43" s="53"/>
      <c r="M43" s="53"/>
      <c r="N43" s="53"/>
      <c r="O43" s="730"/>
      <c r="P43" s="317"/>
      <c r="Q43" s="317"/>
      <c r="R43" s="317"/>
      <c r="S43" s="730"/>
      <c r="T43" s="317"/>
      <c r="U43" s="319"/>
      <c r="V43" s="317"/>
      <c r="W43" s="53"/>
      <c r="X43" s="53"/>
      <c r="Y43" s="53"/>
      <c r="Z43" s="54">
        <f>SUM(J43:Y43)</f>
        <v>0</v>
      </c>
      <c r="AA43" s="536">
        <f t="shared" si="6"/>
        <v>0</v>
      </c>
      <c r="AB43" s="12"/>
      <c r="AC43" s="127"/>
      <c r="AD43" s="514"/>
      <c r="AE43" s="514"/>
      <c r="AF43" s="515"/>
    </row>
    <row r="44" spans="2:32" ht="18" customHeight="1">
      <c r="B44" s="901"/>
      <c r="C44" s="896"/>
      <c r="D44" s="897"/>
      <c r="E44" s="907"/>
      <c r="F44" s="952"/>
      <c r="G44" s="953"/>
      <c r="H44" s="875"/>
      <c r="I44" s="396"/>
      <c r="J44" s="53"/>
      <c r="K44" s="708"/>
      <c r="L44" s="53"/>
      <c r="M44" s="53"/>
      <c r="N44" s="53"/>
      <c r="O44" s="730"/>
      <c r="P44" s="317"/>
      <c r="Q44" s="317"/>
      <c r="R44" s="317"/>
      <c r="S44" s="730"/>
      <c r="T44" s="317"/>
      <c r="U44" s="319"/>
      <c r="V44" s="317"/>
      <c r="W44" s="53"/>
      <c r="X44" s="53"/>
      <c r="Y44" s="53"/>
      <c r="Z44" s="54">
        <f>SUM(J44:Y44)</f>
        <v>0</v>
      </c>
      <c r="AA44" s="536">
        <f t="shared" si="6"/>
        <v>0</v>
      </c>
      <c r="AB44" s="12"/>
      <c r="AC44" s="127"/>
      <c r="AD44" s="514"/>
      <c r="AE44" s="514"/>
      <c r="AF44" s="515"/>
    </row>
    <row r="45" spans="2:32" ht="18" customHeight="1">
      <c r="B45" s="901"/>
      <c r="C45" s="896"/>
      <c r="D45" s="897"/>
      <c r="E45" s="907"/>
      <c r="F45" s="952"/>
      <c r="G45" s="953"/>
      <c r="H45" s="876"/>
      <c r="I45" s="379" t="s">
        <v>114</v>
      </c>
      <c r="J45" s="871"/>
      <c r="K45" s="872"/>
      <c r="L45" s="872"/>
      <c r="M45" s="872"/>
      <c r="N45" s="872"/>
      <c r="O45" s="872"/>
      <c r="P45" s="872"/>
      <c r="Q45" s="872"/>
      <c r="R45" s="872"/>
      <c r="S45" s="872"/>
      <c r="T45" s="872"/>
      <c r="U45" s="872"/>
      <c r="V45" s="872"/>
      <c r="W45" s="872"/>
      <c r="X45" s="872"/>
      <c r="Y45" s="873"/>
      <c r="Z45" s="58">
        <f>SUM(Z41:Z44)</f>
        <v>0</v>
      </c>
      <c r="AA45" s="537">
        <f>SUM(AC45:AF45)</f>
        <v>0</v>
      </c>
      <c r="AB45" s="12"/>
      <c r="AC45" s="296">
        <f>IF($Z45&lt;1,ROUND($Z45,1),0)</f>
        <v>0</v>
      </c>
      <c r="AD45" s="523">
        <f>IF(AND($Z45&gt;=1,$Z45&lt;1000),ROUND($Z45,0),0)</f>
        <v>0</v>
      </c>
      <c r="AE45" s="523">
        <f>IF($Z45&gt;=1000,ROUND($Z45,-1),0)</f>
        <v>0</v>
      </c>
      <c r="AF45" s="524"/>
    </row>
    <row r="46" spans="2:32" ht="18" customHeight="1">
      <c r="B46" s="901"/>
      <c r="C46" s="896"/>
      <c r="D46" s="897"/>
      <c r="E46" s="907"/>
      <c r="F46" s="952"/>
      <c r="G46" s="953"/>
      <c r="H46" s="874"/>
      <c r="I46" s="377">
        <v>4</v>
      </c>
      <c r="J46" s="201"/>
      <c r="K46" s="709"/>
      <c r="L46" s="201"/>
      <c r="M46" s="201"/>
      <c r="N46" s="201"/>
      <c r="O46" s="751"/>
      <c r="P46" s="316"/>
      <c r="Q46" s="316"/>
      <c r="R46" s="316"/>
      <c r="S46" s="751"/>
      <c r="T46" s="316"/>
      <c r="U46" s="201"/>
      <c r="V46" s="318"/>
      <c r="W46" s="201"/>
      <c r="X46" s="201"/>
      <c r="Y46" s="201"/>
      <c r="Z46" s="202">
        <f>SUM(J46:Y46)</f>
        <v>0</v>
      </c>
      <c r="AA46" s="541">
        <f t="shared" si="6"/>
        <v>0</v>
      </c>
      <c r="AB46" s="12"/>
      <c r="AC46" s="197"/>
      <c r="AD46" s="521"/>
      <c r="AE46" s="521"/>
      <c r="AF46" s="522"/>
    </row>
    <row r="47" spans="2:32" ht="18" customHeight="1">
      <c r="B47" s="901"/>
      <c r="C47" s="896"/>
      <c r="D47" s="897"/>
      <c r="E47" s="907"/>
      <c r="F47" s="952"/>
      <c r="G47" s="953"/>
      <c r="H47" s="875"/>
      <c r="I47" s="378">
        <v>5</v>
      </c>
      <c r="J47" s="53"/>
      <c r="K47" s="708"/>
      <c r="L47" s="53"/>
      <c r="M47" s="53"/>
      <c r="N47" s="53"/>
      <c r="O47" s="730"/>
      <c r="P47" s="317"/>
      <c r="Q47" s="317"/>
      <c r="R47" s="317"/>
      <c r="S47" s="730"/>
      <c r="T47" s="317"/>
      <c r="U47" s="53"/>
      <c r="V47" s="319"/>
      <c r="W47" s="53"/>
      <c r="X47" s="53"/>
      <c r="Y47" s="53"/>
      <c r="Z47" s="54">
        <f>SUM(J47:Y47)</f>
        <v>0</v>
      </c>
      <c r="AA47" s="536">
        <f t="shared" si="6"/>
        <v>0</v>
      </c>
      <c r="AB47" s="12"/>
      <c r="AC47" s="127"/>
      <c r="AD47" s="514"/>
      <c r="AE47" s="514"/>
      <c r="AF47" s="515"/>
    </row>
    <row r="48" spans="2:32" ht="18" customHeight="1">
      <c r="B48" s="901"/>
      <c r="C48" s="896"/>
      <c r="D48" s="897"/>
      <c r="E48" s="907"/>
      <c r="F48" s="952"/>
      <c r="G48" s="953"/>
      <c r="H48" s="875"/>
      <c r="I48" s="378">
        <v>10</v>
      </c>
      <c r="J48" s="53"/>
      <c r="K48" s="708"/>
      <c r="L48" s="53"/>
      <c r="M48" s="53"/>
      <c r="N48" s="53"/>
      <c r="O48" s="730"/>
      <c r="P48" s="317"/>
      <c r="Q48" s="317"/>
      <c r="R48" s="317"/>
      <c r="S48" s="730"/>
      <c r="T48" s="317"/>
      <c r="U48" s="53"/>
      <c r="V48" s="319"/>
      <c r="W48" s="53"/>
      <c r="X48" s="53"/>
      <c r="Y48" s="53"/>
      <c r="Z48" s="54">
        <f>SUM(J48:Y48)</f>
        <v>0</v>
      </c>
      <c r="AA48" s="536">
        <f t="shared" si="6"/>
        <v>0</v>
      </c>
      <c r="AB48" s="12"/>
      <c r="AC48" s="127"/>
      <c r="AD48" s="514"/>
      <c r="AE48" s="514"/>
      <c r="AF48" s="515"/>
    </row>
    <row r="49" spans="2:32" ht="18" customHeight="1">
      <c r="B49" s="901"/>
      <c r="C49" s="896"/>
      <c r="D49" s="897"/>
      <c r="E49" s="907"/>
      <c r="F49" s="952"/>
      <c r="G49" s="953"/>
      <c r="H49" s="875"/>
      <c r="I49" s="376"/>
      <c r="J49" s="53"/>
      <c r="K49" s="708"/>
      <c r="L49" s="53"/>
      <c r="M49" s="53"/>
      <c r="N49" s="53"/>
      <c r="O49" s="730"/>
      <c r="P49" s="317"/>
      <c r="Q49" s="317"/>
      <c r="R49" s="317"/>
      <c r="S49" s="730"/>
      <c r="T49" s="317"/>
      <c r="U49" s="53"/>
      <c r="V49" s="319"/>
      <c r="W49" s="53"/>
      <c r="X49" s="53"/>
      <c r="Y49" s="53"/>
      <c r="Z49" s="54">
        <f>SUM(J49:Y49)</f>
        <v>0</v>
      </c>
      <c r="AA49" s="536">
        <f t="shared" si="6"/>
        <v>0</v>
      </c>
      <c r="AB49" s="12"/>
      <c r="AC49" s="127"/>
      <c r="AD49" s="514"/>
      <c r="AE49" s="514"/>
      <c r="AF49" s="515"/>
    </row>
    <row r="50" spans="2:32" ht="18" customHeight="1">
      <c r="B50" s="901"/>
      <c r="C50" s="896"/>
      <c r="D50" s="897"/>
      <c r="E50" s="907"/>
      <c r="F50" s="954"/>
      <c r="G50" s="955"/>
      <c r="H50" s="876"/>
      <c r="I50" s="379" t="s">
        <v>114</v>
      </c>
      <c r="J50" s="871"/>
      <c r="K50" s="872"/>
      <c r="L50" s="872"/>
      <c r="M50" s="872"/>
      <c r="N50" s="872"/>
      <c r="O50" s="872"/>
      <c r="P50" s="872"/>
      <c r="Q50" s="872"/>
      <c r="R50" s="872"/>
      <c r="S50" s="872"/>
      <c r="T50" s="872"/>
      <c r="U50" s="872"/>
      <c r="V50" s="872"/>
      <c r="W50" s="872"/>
      <c r="X50" s="872"/>
      <c r="Y50" s="873"/>
      <c r="Z50" s="58">
        <f>SUM(Z46:Z49)</f>
        <v>0</v>
      </c>
      <c r="AA50" s="537">
        <f>SUM(AC50:AF50)</f>
        <v>0</v>
      </c>
      <c r="AB50" s="12"/>
      <c r="AC50" s="296">
        <f>IF($Z50&lt;1,ROUND($Z50,1),0)</f>
        <v>0</v>
      </c>
      <c r="AD50" s="523">
        <f>IF(AND($Z50&gt;=1,$Z50&lt;1000),ROUND($Z50,0),0)</f>
        <v>0</v>
      </c>
      <c r="AE50" s="523">
        <f>IF($Z50&gt;=1000,ROUND($Z50,-1),0)</f>
        <v>0</v>
      </c>
      <c r="AF50" s="524"/>
    </row>
    <row r="51" spans="2:32" ht="18" customHeight="1">
      <c r="B51" s="901"/>
      <c r="C51" s="896"/>
      <c r="D51" s="897"/>
      <c r="E51" s="907"/>
      <c r="F51" s="950" t="s">
        <v>214</v>
      </c>
      <c r="G51" s="951"/>
      <c r="H51" s="874"/>
      <c r="I51" s="398">
        <v>15</v>
      </c>
      <c r="J51" s="335"/>
      <c r="K51" s="707"/>
      <c r="L51" s="59"/>
      <c r="M51" s="59"/>
      <c r="N51" s="59"/>
      <c r="O51" s="707"/>
      <c r="P51" s="324"/>
      <c r="Q51" s="59"/>
      <c r="R51" s="59"/>
      <c r="S51" s="749"/>
      <c r="T51" s="321"/>
      <c r="U51" s="321"/>
      <c r="V51" s="321"/>
      <c r="W51" s="242"/>
      <c r="X51" s="242"/>
      <c r="Y51" s="242"/>
      <c r="Z51" s="61">
        <f>SUM(J51:Y51)</f>
        <v>0</v>
      </c>
      <c r="AA51" s="535">
        <f>SUM(AD51:AF51)</f>
        <v>0</v>
      </c>
      <c r="AB51" s="12"/>
      <c r="AC51" s="197"/>
      <c r="AD51" s="521"/>
      <c r="AE51" s="521"/>
      <c r="AF51" s="522"/>
    </row>
    <row r="52" spans="2:32" ht="18" customHeight="1">
      <c r="B52" s="901"/>
      <c r="C52" s="896"/>
      <c r="D52" s="897"/>
      <c r="E52" s="907"/>
      <c r="F52" s="952"/>
      <c r="G52" s="953"/>
      <c r="H52" s="875"/>
      <c r="I52" s="399">
        <v>14</v>
      </c>
      <c r="J52" s="336"/>
      <c r="K52" s="708"/>
      <c r="L52" s="53"/>
      <c r="M52" s="53"/>
      <c r="N52" s="53"/>
      <c r="O52" s="708"/>
      <c r="P52" s="319"/>
      <c r="Q52" s="53"/>
      <c r="R52" s="53"/>
      <c r="S52" s="730"/>
      <c r="T52" s="322"/>
      <c r="U52" s="322"/>
      <c r="V52" s="322"/>
      <c r="W52" s="103"/>
      <c r="X52" s="103"/>
      <c r="Y52" s="103"/>
      <c r="Z52" s="54">
        <f>SUM(J52:Y52)</f>
        <v>0</v>
      </c>
      <c r="AA52" s="536">
        <f>SUM(AD52:AF52)</f>
        <v>0</v>
      </c>
      <c r="AB52" s="12"/>
      <c r="AC52" s="127"/>
      <c r="AD52" s="514"/>
      <c r="AE52" s="514"/>
      <c r="AF52" s="515"/>
    </row>
    <row r="53" spans="2:32" ht="18" customHeight="1">
      <c r="B53" s="901"/>
      <c r="C53" s="896"/>
      <c r="D53" s="897"/>
      <c r="E53" s="907"/>
      <c r="F53" s="952"/>
      <c r="G53" s="953"/>
      <c r="H53" s="876"/>
      <c r="I53" s="379" t="s">
        <v>114</v>
      </c>
      <c r="J53" s="871"/>
      <c r="K53" s="872"/>
      <c r="L53" s="872"/>
      <c r="M53" s="872"/>
      <c r="N53" s="872"/>
      <c r="O53" s="872"/>
      <c r="P53" s="872"/>
      <c r="Q53" s="872"/>
      <c r="R53" s="872"/>
      <c r="S53" s="872"/>
      <c r="T53" s="872"/>
      <c r="U53" s="872"/>
      <c r="V53" s="872"/>
      <c r="W53" s="872"/>
      <c r="X53" s="872"/>
      <c r="Y53" s="873"/>
      <c r="Z53" s="58">
        <f>SUM(Z51:Z52)</f>
        <v>0</v>
      </c>
      <c r="AA53" s="537">
        <f>SUM(AC53:AF53)</f>
        <v>0</v>
      </c>
      <c r="AB53" s="12"/>
      <c r="AC53" s="296">
        <f>IF($Z53&lt;1,ROUND($Z53,1),0)</f>
        <v>0</v>
      </c>
      <c r="AD53" s="523">
        <f>IF(AND($Z53&gt;=1,$Z53&lt;1000),ROUND($Z53,0),0)</f>
        <v>0</v>
      </c>
      <c r="AE53" s="523">
        <f>IF($Z53&gt;=1000,ROUND($Z53,-1),0)</f>
        <v>0</v>
      </c>
      <c r="AF53" s="524"/>
    </row>
    <row r="54" spans="2:32" ht="18" customHeight="1">
      <c r="B54" s="901"/>
      <c r="C54" s="896"/>
      <c r="D54" s="897"/>
      <c r="E54" s="907"/>
      <c r="F54" s="952"/>
      <c r="G54" s="953"/>
      <c r="H54" s="874"/>
      <c r="I54" s="398">
        <v>15</v>
      </c>
      <c r="J54" s="335"/>
      <c r="K54" s="707"/>
      <c r="L54" s="59"/>
      <c r="M54" s="59"/>
      <c r="N54" s="59"/>
      <c r="O54" s="729"/>
      <c r="P54" s="320"/>
      <c r="Q54" s="324"/>
      <c r="R54" s="324"/>
      <c r="S54" s="702"/>
      <c r="T54" s="321"/>
      <c r="U54" s="321"/>
      <c r="V54" s="321"/>
      <c r="W54" s="242"/>
      <c r="X54" s="242"/>
      <c r="Y54" s="242"/>
      <c r="Z54" s="61">
        <f>SUM(J54:Y54)</f>
        <v>0</v>
      </c>
      <c r="AA54" s="535">
        <f>SUM(AD54:AF54)</f>
        <v>0</v>
      </c>
      <c r="AB54" s="12"/>
      <c r="AC54" s="197"/>
      <c r="AD54" s="521"/>
      <c r="AE54" s="521"/>
      <c r="AF54" s="522"/>
    </row>
    <row r="55" spans="2:32" ht="18" customHeight="1">
      <c r="B55" s="901"/>
      <c r="C55" s="896"/>
      <c r="D55" s="897"/>
      <c r="E55" s="907"/>
      <c r="F55" s="952"/>
      <c r="G55" s="953"/>
      <c r="H55" s="875"/>
      <c r="I55" s="399">
        <v>14</v>
      </c>
      <c r="J55" s="336"/>
      <c r="K55" s="708"/>
      <c r="L55" s="53"/>
      <c r="M55" s="53"/>
      <c r="N55" s="53"/>
      <c r="O55" s="750"/>
      <c r="P55" s="317"/>
      <c r="Q55" s="319"/>
      <c r="R55" s="319"/>
      <c r="S55" s="703"/>
      <c r="T55" s="322"/>
      <c r="U55" s="322"/>
      <c r="V55" s="322"/>
      <c r="W55" s="103"/>
      <c r="X55" s="103"/>
      <c r="Y55" s="103"/>
      <c r="Z55" s="54">
        <f>SUM(J55:Y55)</f>
        <v>0</v>
      </c>
      <c r="AA55" s="536">
        <f>SUM(AD55:AF55)</f>
        <v>0</v>
      </c>
      <c r="AB55" s="12"/>
      <c r="AC55" s="127"/>
      <c r="AD55" s="514"/>
      <c r="AE55" s="514"/>
      <c r="AF55" s="515"/>
    </row>
    <row r="56" spans="2:32" ht="18" customHeight="1">
      <c r="B56" s="901"/>
      <c r="C56" s="896"/>
      <c r="D56" s="897"/>
      <c r="E56" s="907"/>
      <c r="F56" s="952"/>
      <c r="G56" s="953"/>
      <c r="H56" s="876"/>
      <c r="I56" s="379" t="s">
        <v>114</v>
      </c>
      <c r="J56" s="871"/>
      <c r="K56" s="872"/>
      <c r="L56" s="872"/>
      <c r="M56" s="872"/>
      <c r="N56" s="872"/>
      <c r="O56" s="872"/>
      <c r="P56" s="872"/>
      <c r="Q56" s="872"/>
      <c r="R56" s="872"/>
      <c r="S56" s="872"/>
      <c r="T56" s="872"/>
      <c r="U56" s="872"/>
      <c r="V56" s="872"/>
      <c r="W56" s="872"/>
      <c r="X56" s="872"/>
      <c r="Y56" s="873"/>
      <c r="Z56" s="58">
        <f>SUM(Z54:Z55)</f>
        <v>0</v>
      </c>
      <c r="AA56" s="537">
        <f>SUM(AC56:AF56)</f>
        <v>0</v>
      </c>
      <c r="AB56" s="12"/>
      <c r="AC56" s="296">
        <f>IF($Z56&lt;1,ROUND($Z56,1),0)</f>
        <v>0</v>
      </c>
      <c r="AD56" s="523">
        <f>IF(AND($Z56&gt;=1,$Z56&lt;1000),ROUND($Z56,0),0)</f>
        <v>0</v>
      </c>
      <c r="AE56" s="523">
        <f>IF($Z56&gt;=1000,ROUND($Z56,-1),0)</f>
        <v>0</v>
      </c>
      <c r="AF56" s="524"/>
    </row>
    <row r="57" spans="2:32" ht="18" customHeight="1">
      <c r="B57" s="901"/>
      <c r="C57" s="896"/>
      <c r="D57" s="897"/>
      <c r="E57" s="907"/>
      <c r="F57" s="952"/>
      <c r="G57" s="953"/>
      <c r="H57" s="874"/>
      <c r="I57" s="380">
        <v>15</v>
      </c>
      <c r="J57" s="59"/>
      <c r="K57" s="707"/>
      <c r="L57" s="59"/>
      <c r="M57" s="59"/>
      <c r="N57" s="59"/>
      <c r="O57" s="749"/>
      <c r="P57" s="320"/>
      <c r="Q57" s="320"/>
      <c r="R57" s="59"/>
      <c r="S57" s="749"/>
      <c r="T57" s="254">
        <v>3.92</v>
      </c>
      <c r="U57" s="321"/>
      <c r="V57" s="321"/>
      <c r="W57" s="242"/>
      <c r="X57" s="242"/>
      <c r="Y57" s="242"/>
      <c r="Z57" s="61">
        <f>SUM(J57:Y57)</f>
        <v>3.92</v>
      </c>
      <c r="AA57" s="535">
        <f>SUM(AD57:AF57)</f>
        <v>0</v>
      </c>
      <c r="AB57" s="12"/>
      <c r="AC57" s="197"/>
      <c r="AD57" s="521"/>
      <c r="AE57" s="521"/>
      <c r="AF57" s="522"/>
    </row>
    <row r="58" spans="2:32" ht="18" customHeight="1">
      <c r="B58" s="901"/>
      <c r="C58" s="896"/>
      <c r="D58" s="897"/>
      <c r="E58" s="907"/>
      <c r="F58" s="952"/>
      <c r="G58" s="953"/>
      <c r="H58" s="875"/>
      <c r="I58" s="396">
        <v>14</v>
      </c>
      <c r="J58" s="53"/>
      <c r="K58" s="708"/>
      <c r="L58" s="53"/>
      <c r="M58" s="53"/>
      <c r="N58" s="53"/>
      <c r="O58" s="730"/>
      <c r="P58" s="317"/>
      <c r="Q58" s="317"/>
      <c r="R58" s="53"/>
      <c r="S58" s="730"/>
      <c r="T58" s="55"/>
      <c r="U58" s="322"/>
      <c r="V58" s="322"/>
      <c r="W58" s="103"/>
      <c r="X58" s="103"/>
      <c r="Y58" s="103"/>
      <c r="Z58" s="54">
        <f>SUM(J58:Y58)</f>
        <v>0</v>
      </c>
      <c r="AA58" s="536">
        <f>SUM(AD58:AF58)</f>
        <v>0</v>
      </c>
      <c r="AB58" s="12"/>
      <c r="AC58" s="127"/>
      <c r="AD58" s="514"/>
      <c r="AE58" s="514"/>
      <c r="AF58" s="515"/>
    </row>
    <row r="59" spans="2:32" ht="18" customHeight="1">
      <c r="B59" s="901"/>
      <c r="C59" s="896"/>
      <c r="D59" s="897"/>
      <c r="E59" s="907"/>
      <c r="F59" s="952"/>
      <c r="G59" s="953"/>
      <c r="H59" s="876"/>
      <c r="I59" s="379" t="s">
        <v>114</v>
      </c>
      <c r="J59" s="871"/>
      <c r="K59" s="872"/>
      <c r="L59" s="872"/>
      <c r="M59" s="872"/>
      <c r="N59" s="872"/>
      <c r="O59" s="872"/>
      <c r="P59" s="872"/>
      <c r="Q59" s="872"/>
      <c r="R59" s="872"/>
      <c r="S59" s="872"/>
      <c r="T59" s="872"/>
      <c r="U59" s="872"/>
      <c r="V59" s="872"/>
      <c r="W59" s="872"/>
      <c r="X59" s="872"/>
      <c r="Y59" s="873"/>
      <c r="Z59" s="58">
        <f>SUM(Z57:Z58)</f>
        <v>3.92</v>
      </c>
      <c r="AA59" s="537">
        <f>SUM(AC59:AF59)</f>
        <v>4</v>
      </c>
      <c r="AB59" s="12"/>
      <c r="AC59" s="296">
        <f>IF($Z59&lt;1,ROUND($Z59,1),0)</f>
        <v>0</v>
      </c>
      <c r="AD59" s="523">
        <f>IF(AND($Z59&gt;=1,$Z59&lt;1000),ROUND($Z59,0),0)</f>
        <v>4</v>
      </c>
      <c r="AE59" s="523">
        <f>IF($Z59&gt;=1000,ROUND($Z59,-1),0)</f>
        <v>0</v>
      </c>
      <c r="AF59" s="524"/>
    </row>
    <row r="60" spans="2:32" ht="18" customHeight="1">
      <c r="B60" s="901"/>
      <c r="C60" s="896"/>
      <c r="D60" s="897"/>
      <c r="E60" s="907"/>
      <c r="F60" s="952"/>
      <c r="G60" s="953"/>
      <c r="H60" s="874"/>
      <c r="I60" s="380">
        <v>15</v>
      </c>
      <c r="J60" s="59"/>
      <c r="K60" s="707"/>
      <c r="L60" s="59"/>
      <c r="M60" s="59"/>
      <c r="N60" s="59"/>
      <c r="O60" s="749"/>
      <c r="P60" s="320"/>
      <c r="Q60" s="320"/>
      <c r="R60" s="320"/>
      <c r="S60" s="749"/>
      <c r="T60" s="321"/>
      <c r="U60" s="254"/>
      <c r="V60" s="321"/>
      <c r="W60" s="242"/>
      <c r="X60" s="242"/>
      <c r="Y60" s="242"/>
      <c r="Z60" s="61">
        <f>SUM(J60:Y60)</f>
        <v>0</v>
      </c>
      <c r="AA60" s="535">
        <f>SUM(AD60:AF60)</f>
        <v>0</v>
      </c>
      <c r="AB60" s="12"/>
      <c r="AC60" s="197"/>
      <c r="AD60" s="521"/>
      <c r="AE60" s="521"/>
      <c r="AF60" s="522"/>
    </row>
    <row r="61" spans="2:32" ht="18" customHeight="1">
      <c r="B61" s="901"/>
      <c r="C61" s="896"/>
      <c r="D61" s="897"/>
      <c r="E61" s="907"/>
      <c r="F61" s="952"/>
      <c r="G61" s="953"/>
      <c r="H61" s="875"/>
      <c r="I61" s="396">
        <v>14</v>
      </c>
      <c r="J61" s="53"/>
      <c r="K61" s="708"/>
      <c r="L61" s="53"/>
      <c r="M61" s="53"/>
      <c r="N61" s="53"/>
      <c r="O61" s="730"/>
      <c r="P61" s="317"/>
      <c r="Q61" s="317"/>
      <c r="R61" s="317"/>
      <c r="S61" s="730"/>
      <c r="T61" s="322"/>
      <c r="U61" s="55"/>
      <c r="V61" s="322"/>
      <c r="W61" s="103"/>
      <c r="X61" s="103"/>
      <c r="Y61" s="103"/>
      <c r="Z61" s="54">
        <f>SUM(J61:Y61)</f>
        <v>0</v>
      </c>
      <c r="AA61" s="536">
        <f>SUM(AD61:AF61)</f>
        <v>0</v>
      </c>
      <c r="AB61" s="12"/>
      <c r="AC61" s="127"/>
      <c r="AD61" s="514"/>
      <c r="AE61" s="514"/>
      <c r="AF61" s="515"/>
    </row>
    <row r="62" spans="2:32" ht="18" customHeight="1">
      <c r="B62" s="901"/>
      <c r="C62" s="896"/>
      <c r="D62" s="897"/>
      <c r="E62" s="907"/>
      <c r="F62" s="952"/>
      <c r="G62" s="953"/>
      <c r="H62" s="876"/>
      <c r="I62" s="379" t="s">
        <v>114</v>
      </c>
      <c r="J62" s="871"/>
      <c r="K62" s="872"/>
      <c r="L62" s="872"/>
      <c r="M62" s="872"/>
      <c r="N62" s="872"/>
      <c r="O62" s="872"/>
      <c r="P62" s="872"/>
      <c r="Q62" s="872"/>
      <c r="R62" s="872"/>
      <c r="S62" s="872"/>
      <c r="T62" s="872"/>
      <c r="U62" s="872"/>
      <c r="V62" s="872"/>
      <c r="W62" s="872"/>
      <c r="X62" s="872"/>
      <c r="Y62" s="873"/>
      <c r="Z62" s="58">
        <f>SUM(Z60:Z61)</f>
        <v>0</v>
      </c>
      <c r="AA62" s="537">
        <f>SUM(AC62:AF62)</f>
        <v>0</v>
      </c>
      <c r="AB62" s="12"/>
      <c r="AC62" s="296">
        <f>IF($Z62&lt;1,ROUND($Z62,1),0)</f>
        <v>0</v>
      </c>
      <c r="AD62" s="523">
        <f>IF(AND($Z62&gt;=1,$Z62&lt;1000),ROUND($Z62,0),0)</f>
        <v>0</v>
      </c>
      <c r="AE62" s="523">
        <f>IF($Z62&gt;=1000,ROUND($Z62,-1),0)</f>
        <v>0</v>
      </c>
      <c r="AF62" s="524"/>
    </row>
    <row r="63" spans="2:32" ht="18" customHeight="1">
      <c r="B63" s="901"/>
      <c r="C63" s="896"/>
      <c r="D63" s="897"/>
      <c r="E63" s="907"/>
      <c r="F63" s="952"/>
      <c r="G63" s="953"/>
      <c r="H63" s="874"/>
      <c r="I63" s="380">
        <v>15</v>
      </c>
      <c r="J63" s="59"/>
      <c r="K63" s="707"/>
      <c r="L63" s="59"/>
      <c r="M63" s="59"/>
      <c r="N63" s="59"/>
      <c r="O63" s="749"/>
      <c r="P63" s="320"/>
      <c r="Q63" s="320"/>
      <c r="R63" s="320"/>
      <c r="S63" s="749"/>
      <c r="T63" s="321"/>
      <c r="U63" s="321"/>
      <c r="V63" s="254"/>
      <c r="W63" s="242"/>
      <c r="X63" s="242"/>
      <c r="Y63" s="242"/>
      <c r="Z63" s="61">
        <f>SUM(J63:Y63)</f>
        <v>0</v>
      </c>
      <c r="AA63" s="535">
        <f>SUM(AD63:AF63)</f>
        <v>0</v>
      </c>
      <c r="AB63" s="12"/>
      <c r="AC63" s="197"/>
      <c r="AD63" s="521"/>
      <c r="AE63" s="521"/>
      <c r="AF63" s="522"/>
    </row>
    <row r="64" spans="2:32" ht="18" customHeight="1">
      <c r="B64" s="901"/>
      <c r="C64" s="896"/>
      <c r="D64" s="897"/>
      <c r="E64" s="907"/>
      <c r="F64" s="952"/>
      <c r="G64" s="953"/>
      <c r="H64" s="875"/>
      <c r="I64" s="396">
        <v>14</v>
      </c>
      <c r="J64" s="53"/>
      <c r="K64" s="708"/>
      <c r="L64" s="53"/>
      <c r="M64" s="53"/>
      <c r="N64" s="53"/>
      <c r="O64" s="730"/>
      <c r="P64" s="317"/>
      <c r="Q64" s="317"/>
      <c r="R64" s="317"/>
      <c r="S64" s="730"/>
      <c r="T64" s="322"/>
      <c r="U64" s="322"/>
      <c r="V64" s="55"/>
      <c r="W64" s="103"/>
      <c r="X64" s="103"/>
      <c r="Y64" s="103"/>
      <c r="Z64" s="54">
        <f>SUM(J64:Y64)</f>
        <v>0</v>
      </c>
      <c r="AA64" s="536">
        <f>SUM(AD64:AF64)</f>
        <v>0</v>
      </c>
      <c r="AB64" s="12"/>
      <c r="AC64" s="127"/>
      <c r="AD64" s="514"/>
      <c r="AE64" s="514"/>
      <c r="AF64" s="515"/>
    </row>
    <row r="65" spans="2:37" ht="18" customHeight="1">
      <c r="B65" s="901"/>
      <c r="C65" s="896"/>
      <c r="D65" s="897"/>
      <c r="E65" s="908"/>
      <c r="F65" s="954"/>
      <c r="G65" s="955"/>
      <c r="H65" s="876"/>
      <c r="I65" s="379" t="s">
        <v>114</v>
      </c>
      <c r="J65" s="871"/>
      <c r="K65" s="872"/>
      <c r="L65" s="872"/>
      <c r="M65" s="872"/>
      <c r="N65" s="872"/>
      <c r="O65" s="872"/>
      <c r="P65" s="872"/>
      <c r="Q65" s="872"/>
      <c r="R65" s="872"/>
      <c r="S65" s="872"/>
      <c r="T65" s="872"/>
      <c r="U65" s="872"/>
      <c r="V65" s="872"/>
      <c r="W65" s="872"/>
      <c r="X65" s="872"/>
      <c r="Y65" s="873"/>
      <c r="Z65" s="58">
        <f>SUM(Z63:Z64)</f>
        <v>0</v>
      </c>
      <c r="AA65" s="537">
        <f t="shared" ref="AA65:AA70" si="7">SUM(AC65:AF65)</f>
        <v>0</v>
      </c>
      <c r="AB65" s="12"/>
      <c r="AC65" s="296">
        <f t="shared" ref="AC65:AC70" si="8">IF($Z65&lt;1,ROUND($Z65,1),0)</f>
        <v>0</v>
      </c>
      <c r="AD65" s="523">
        <f>IF(AND($Z65&gt;=1,$Z65&lt;1000),ROUND($Z65,0),0)</f>
        <v>0</v>
      </c>
      <c r="AE65" s="523">
        <f>IF($Z65&gt;=1000,ROUND($Z65,-1),0)</f>
        <v>0</v>
      </c>
      <c r="AF65" s="524"/>
    </row>
    <row r="66" spans="2:37" ht="18" customHeight="1">
      <c r="B66" s="901"/>
      <c r="C66" s="896"/>
      <c r="D66" s="897"/>
      <c r="E66" s="387" t="s">
        <v>208</v>
      </c>
      <c r="F66" s="984" t="s">
        <v>217</v>
      </c>
      <c r="G66" s="985"/>
      <c r="H66" s="775"/>
      <c r="I66" s="383">
        <v>20</v>
      </c>
      <c r="J66" s="205"/>
      <c r="K66" s="710"/>
      <c r="L66" s="205"/>
      <c r="M66" s="205"/>
      <c r="N66" s="205"/>
      <c r="O66" s="766"/>
      <c r="P66" s="612"/>
      <c r="Q66" s="612"/>
      <c r="R66" s="56"/>
      <c r="S66" s="706"/>
      <c r="T66" s="57"/>
      <c r="U66" s="57"/>
      <c r="V66" s="57"/>
      <c r="W66" s="206"/>
      <c r="X66" s="206"/>
      <c r="Y66" s="206"/>
      <c r="Z66" s="58">
        <f>SUM(J66:Y66)</f>
        <v>0</v>
      </c>
      <c r="AA66" s="537">
        <f t="shared" si="7"/>
        <v>0</v>
      </c>
      <c r="AB66" s="12"/>
      <c r="AC66" s="525">
        <f t="shared" si="8"/>
        <v>0</v>
      </c>
      <c r="AD66" s="526">
        <f>IF(AND($Z66&gt;=1,$Z66&lt;1000),ROUND($Z66,0),0)</f>
        <v>0</v>
      </c>
      <c r="AE66" s="526">
        <f>IF($Z66&gt;=1000,ROUND($Z66,-1),0)</f>
        <v>0</v>
      </c>
      <c r="AF66" s="527"/>
    </row>
    <row r="67" spans="2:37" ht="18" customHeight="1" thickBot="1">
      <c r="B67" s="902"/>
      <c r="C67" s="991"/>
      <c r="D67" s="992"/>
      <c r="E67" s="388" t="s">
        <v>207</v>
      </c>
      <c r="F67" s="956" t="s">
        <v>217</v>
      </c>
      <c r="G67" s="957"/>
      <c r="H67" s="776"/>
      <c r="I67" s="394">
        <v>20</v>
      </c>
      <c r="J67" s="120"/>
      <c r="K67" s="711"/>
      <c r="L67" s="120"/>
      <c r="M67" s="120"/>
      <c r="N67" s="120"/>
      <c r="O67" s="767"/>
      <c r="P67" s="455"/>
      <c r="Q67" s="455"/>
      <c r="R67" s="241"/>
      <c r="S67" s="752"/>
      <c r="T67" s="121"/>
      <c r="U67" s="121"/>
      <c r="V67" s="121"/>
      <c r="W67" s="293"/>
      <c r="X67" s="293"/>
      <c r="Y67" s="293"/>
      <c r="Z67" s="325">
        <f>SUM(J67:Y67)</f>
        <v>0</v>
      </c>
      <c r="AA67" s="542">
        <f t="shared" si="7"/>
        <v>0</v>
      </c>
      <c r="AB67" s="12"/>
      <c r="AC67" s="295">
        <f t="shared" si="8"/>
        <v>0</v>
      </c>
      <c r="AD67" s="528">
        <f>IF(AND($Z67&gt;=1,$Z67&lt;1000),ROUND($Z67,0),0)</f>
        <v>0</v>
      </c>
      <c r="AE67" s="528">
        <f>IF($Z67&gt;=1000,ROUND($Z67,-1),0)</f>
        <v>0</v>
      </c>
      <c r="AF67" s="529"/>
    </row>
    <row r="68" spans="2:37" ht="18" customHeight="1">
      <c r="B68" s="975" t="s">
        <v>218</v>
      </c>
      <c r="C68" s="1031"/>
      <c r="D68" s="895"/>
      <c r="E68" s="1108" t="s">
        <v>109</v>
      </c>
      <c r="F68" s="1108"/>
      <c r="G68" s="1108"/>
      <c r="H68" s="1108"/>
      <c r="I68" s="1108"/>
      <c r="J68" s="49"/>
      <c r="K68" s="712"/>
      <c r="L68" s="49"/>
      <c r="M68" s="49"/>
      <c r="N68" s="49"/>
      <c r="O68" s="712"/>
      <c r="P68" s="49"/>
      <c r="Q68" s="49"/>
      <c r="R68" s="49"/>
      <c r="S68" s="712"/>
      <c r="T68" s="49"/>
      <c r="U68" s="64"/>
      <c r="V68" s="64"/>
      <c r="W68" s="49"/>
      <c r="X68" s="35"/>
      <c r="Y68" s="35"/>
      <c r="Z68" s="62">
        <f>SUM(J68:Y68)</f>
        <v>0</v>
      </c>
      <c r="AA68" s="308">
        <f t="shared" si="7"/>
        <v>0</v>
      </c>
      <c r="AB68" s="12"/>
      <c r="AC68" s="126">
        <f t="shared" si="8"/>
        <v>0</v>
      </c>
      <c r="AD68" s="512">
        <f>IF($Z68&gt;=1,ROUND($Z68,0),0)</f>
        <v>0</v>
      </c>
      <c r="AE68" s="512"/>
      <c r="AF68" s="530"/>
    </row>
    <row r="69" spans="2:37" ht="18" customHeight="1">
      <c r="B69" s="1032"/>
      <c r="C69" s="1033"/>
      <c r="D69" s="897"/>
      <c r="E69" s="1109" t="s">
        <v>110</v>
      </c>
      <c r="F69" s="1109"/>
      <c r="G69" s="1109"/>
      <c r="H69" s="1109"/>
      <c r="I69" s="1109"/>
      <c r="J69" s="47"/>
      <c r="K69" s="713"/>
      <c r="L69" s="47"/>
      <c r="M69" s="47"/>
      <c r="N69" s="47"/>
      <c r="O69" s="713"/>
      <c r="P69" s="47"/>
      <c r="Q69" s="47"/>
      <c r="R69" s="47"/>
      <c r="S69" s="713"/>
      <c r="T69" s="47"/>
      <c r="U69" s="65"/>
      <c r="V69" s="65"/>
      <c r="W69" s="47"/>
      <c r="X69" s="22"/>
      <c r="Y69" s="22"/>
      <c r="Z69" s="30">
        <f>SUM(J69:Y69)</f>
        <v>0</v>
      </c>
      <c r="AA69" s="309">
        <f t="shared" si="7"/>
        <v>0</v>
      </c>
      <c r="AB69" s="12"/>
      <c r="AC69" s="127">
        <f t="shared" si="8"/>
        <v>0</v>
      </c>
      <c r="AD69" s="514">
        <f>IF($Z69&gt;=1,ROUND($Z69,0),0)</f>
        <v>0</v>
      </c>
      <c r="AE69" s="514"/>
      <c r="AF69" s="531"/>
    </row>
    <row r="70" spans="2:37" ht="18" customHeight="1" thickBot="1">
      <c r="B70" s="1034"/>
      <c r="C70" s="1035"/>
      <c r="D70" s="992"/>
      <c r="E70" s="1053"/>
      <c r="F70" s="1054"/>
      <c r="G70" s="1054"/>
      <c r="H70" s="1054"/>
      <c r="I70" s="1055"/>
      <c r="J70" s="48"/>
      <c r="K70" s="714"/>
      <c r="L70" s="48"/>
      <c r="M70" s="48"/>
      <c r="N70" s="48"/>
      <c r="O70" s="714"/>
      <c r="P70" s="48"/>
      <c r="Q70" s="48"/>
      <c r="R70" s="48"/>
      <c r="S70" s="714"/>
      <c r="T70" s="48"/>
      <c r="U70" s="66"/>
      <c r="V70" s="66"/>
      <c r="W70" s="48"/>
      <c r="X70" s="38"/>
      <c r="Y70" s="38"/>
      <c r="Z70" s="63">
        <f>SUM(J70:Y70)</f>
        <v>0</v>
      </c>
      <c r="AA70" s="310">
        <f t="shared" si="7"/>
        <v>0</v>
      </c>
      <c r="AB70" s="12"/>
      <c r="AC70" s="128">
        <f t="shared" si="8"/>
        <v>0</v>
      </c>
      <c r="AD70" s="516">
        <f>IF($Z70&gt;=1,ROUND($Z70,0),0)</f>
        <v>0</v>
      </c>
      <c r="AE70" s="516"/>
      <c r="AF70" s="532"/>
    </row>
    <row r="71" spans="2:37" ht="18" customHeight="1">
      <c r="B71" s="921" t="s">
        <v>51</v>
      </c>
      <c r="C71" s="921"/>
      <c r="D71" s="921"/>
      <c r="E71" s="921"/>
      <c r="F71" s="921"/>
      <c r="G71" s="921"/>
      <c r="H71" s="921"/>
      <c r="I71" s="921"/>
      <c r="J71" s="921"/>
      <c r="K71" s="921"/>
      <c r="L71" s="921"/>
      <c r="M71" s="921"/>
      <c r="N71" s="921"/>
      <c r="O71" s="921"/>
      <c r="P71" s="921"/>
      <c r="Q71" s="921"/>
      <c r="R71" s="921"/>
      <c r="S71" s="921"/>
      <c r="T71" s="921"/>
      <c r="U71" s="921"/>
      <c r="V71" s="921"/>
      <c r="W71" s="921"/>
      <c r="X71" s="921"/>
      <c r="Y71" s="921"/>
      <c r="Z71" s="921"/>
      <c r="AA71" s="921"/>
      <c r="AB71" s="13"/>
      <c r="AD71" s="129"/>
      <c r="AE71" s="129"/>
      <c r="AF71" s="129"/>
    </row>
    <row r="72" spans="2:37" ht="18" customHeight="1">
      <c r="B72" s="885" t="s">
        <v>6</v>
      </c>
      <c r="C72" s="885"/>
      <c r="D72" s="885"/>
      <c r="E72" s="885"/>
      <c r="F72" s="885"/>
      <c r="G72" s="885"/>
      <c r="H72" s="885"/>
      <c r="I72" s="885"/>
      <c r="J72" s="885"/>
      <c r="K72" s="885"/>
      <c r="L72" s="885"/>
      <c r="M72" s="885"/>
      <c r="N72" s="885"/>
      <c r="O72" s="885"/>
      <c r="P72" s="885"/>
      <c r="Q72" s="885"/>
      <c r="R72" s="885"/>
      <c r="S72" s="885"/>
      <c r="T72" s="885"/>
      <c r="U72" s="885"/>
      <c r="V72" s="885"/>
      <c r="W72" s="885"/>
      <c r="X72" s="885"/>
      <c r="Y72" s="885"/>
      <c r="Z72" s="885"/>
      <c r="AA72" s="885"/>
      <c r="AB72" s="34"/>
      <c r="AD72" s="129"/>
      <c r="AE72" s="129"/>
      <c r="AF72" s="129"/>
    </row>
    <row r="73" spans="2:37" ht="18" customHeight="1">
      <c r="B73" s="885"/>
      <c r="C73" s="885"/>
      <c r="D73" s="885"/>
      <c r="E73" s="885"/>
      <c r="F73" s="885"/>
      <c r="G73" s="885"/>
      <c r="H73" s="885"/>
      <c r="I73" s="885"/>
      <c r="J73" s="885"/>
      <c r="K73" s="885"/>
      <c r="L73" s="885"/>
      <c r="M73" s="885"/>
      <c r="N73" s="885"/>
      <c r="O73" s="885"/>
      <c r="P73" s="885"/>
      <c r="Q73" s="885"/>
      <c r="R73" s="885"/>
      <c r="S73" s="885"/>
      <c r="T73" s="885"/>
      <c r="U73" s="885"/>
      <c r="V73" s="885"/>
      <c r="W73" s="885"/>
      <c r="X73" s="885"/>
      <c r="Y73" s="885"/>
      <c r="Z73" s="885"/>
      <c r="AA73" s="885"/>
      <c r="AD73" s="129"/>
      <c r="AE73" s="129"/>
      <c r="AF73" s="129"/>
    </row>
    <row r="74" spans="2:37" ht="18" customHeight="1" thickBot="1">
      <c r="B74" s="973" t="str">
        <f>$B$6</f>
        <v>長田(花山町2丁目他)配水管取替工事</v>
      </c>
      <c r="C74" s="973"/>
      <c r="D74" s="973"/>
      <c r="E74" s="973"/>
      <c r="F74" s="973"/>
      <c r="G74" s="973"/>
      <c r="H74" s="973"/>
      <c r="I74" s="973"/>
      <c r="J74" s="973"/>
      <c r="K74" s="973"/>
      <c r="L74" s="973"/>
      <c r="M74" s="973"/>
      <c r="N74" s="973"/>
      <c r="O74" s="973"/>
      <c r="P74" s="973"/>
      <c r="Q74" s="973"/>
      <c r="R74" s="973"/>
      <c r="S74" s="973"/>
      <c r="T74" s="973"/>
      <c r="U74" s="973"/>
      <c r="V74" s="973"/>
      <c r="W74" s="973"/>
      <c r="X74" s="973"/>
      <c r="Y74" s="973"/>
      <c r="Z74" s="973"/>
      <c r="AA74" s="973"/>
      <c r="AD74" s="129"/>
      <c r="AE74" s="129"/>
      <c r="AF74" s="129"/>
    </row>
    <row r="75" spans="2:37" s="1" customFormat="1" ht="20" customHeight="1">
      <c r="B75" s="888" t="s">
        <v>48</v>
      </c>
      <c r="C75" s="889"/>
      <c r="D75" s="890"/>
      <c r="E75" s="865" t="s">
        <v>49</v>
      </c>
      <c r="F75" s="889"/>
      <c r="G75" s="889"/>
      <c r="H75" s="889"/>
      <c r="I75" s="890"/>
      <c r="J75" s="867" t="s">
        <v>374</v>
      </c>
      <c r="K75" s="867" t="s">
        <v>373</v>
      </c>
      <c r="L75" s="867" t="s">
        <v>313</v>
      </c>
      <c r="M75" s="867" t="s">
        <v>314</v>
      </c>
      <c r="N75" s="867" t="s">
        <v>315</v>
      </c>
      <c r="O75" s="865" t="s">
        <v>47</v>
      </c>
      <c r="P75" s="865" t="s">
        <v>75</v>
      </c>
      <c r="Q75" s="879" t="s">
        <v>0</v>
      </c>
      <c r="R75" s="867" t="s">
        <v>375</v>
      </c>
      <c r="S75" s="862" t="s">
        <v>372</v>
      </c>
      <c r="T75" s="867" t="s">
        <v>318</v>
      </c>
      <c r="U75" s="867" t="s">
        <v>316</v>
      </c>
      <c r="V75" s="867" t="s">
        <v>317</v>
      </c>
      <c r="W75" s="879" t="s">
        <v>50</v>
      </c>
      <c r="X75" s="865" t="s">
        <v>111</v>
      </c>
      <c r="Y75" s="865" t="s">
        <v>312</v>
      </c>
      <c r="Z75" s="865" t="s">
        <v>114</v>
      </c>
      <c r="AA75" s="971" t="s">
        <v>76</v>
      </c>
      <c r="AB75" s="12"/>
      <c r="AC75" s="939" t="s">
        <v>108</v>
      </c>
      <c r="AD75" s="940"/>
      <c r="AE75" s="940"/>
      <c r="AF75" s="941"/>
    </row>
    <row r="76" spans="2:37" s="1" customFormat="1" ht="20" customHeight="1" thickBot="1">
      <c r="B76" s="891"/>
      <c r="C76" s="892"/>
      <c r="D76" s="893"/>
      <c r="E76" s="866"/>
      <c r="F76" s="892"/>
      <c r="G76" s="892"/>
      <c r="H76" s="892"/>
      <c r="I76" s="893"/>
      <c r="J76" s="868"/>
      <c r="K76" s="868"/>
      <c r="L76" s="868"/>
      <c r="M76" s="868"/>
      <c r="N76" s="868"/>
      <c r="O76" s="866"/>
      <c r="P76" s="866"/>
      <c r="Q76" s="880"/>
      <c r="R76" s="868"/>
      <c r="S76" s="863"/>
      <c r="T76" s="866"/>
      <c r="U76" s="866"/>
      <c r="V76" s="866"/>
      <c r="W76" s="880"/>
      <c r="X76" s="866"/>
      <c r="Y76" s="866"/>
      <c r="Z76" s="866"/>
      <c r="AA76" s="972"/>
      <c r="AB76" s="256"/>
      <c r="AC76" s="123">
        <v>0.1</v>
      </c>
      <c r="AD76" s="124">
        <v>1</v>
      </c>
      <c r="AE76" s="124">
        <v>10</v>
      </c>
      <c r="AF76" s="125">
        <v>100</v>
      </c>
    </row>
    <row r="77" spans="2:37" ht="18" customHeight="1">
      <c r="B77" s="900" t="s">
        <v>344</v>
      </c>
      <c r="C77" s="894" t="s">
        <v>342</v>
      </c>
      <c r="D77" s="895"/>
      <c r="E77" s="886" t="s">
        <v>343</v>
      </c>
      <c r="F77" s="856" t="s">
        <v>203</v>
      </c>
      <c r="G77" s="857"/>
      <c r="H77" s="100"/>
      <c r="I77" s="777"/>
      <c r="J77" s="465"/>
      <c r="K77" s="715"/>
      <c r="L77" s="465"/>
      <c r="M77" s="331"/>
      <c r="N77" s="331"/>
      <c r="O77" s="715"/>
      <c r="P77" s="465"/>
      <c r="Q77" s="465"/>
      <c r="R77" s="465"/>
      <c r="S77" s="715"/>
      <c r="T77" s="465"/>
      <c r="U77" s="65"/>
      <c r="V77" s="65"/>
      <c r="W77" s="332"/>
      <c r="X77" s="332"/>
      <c r="Y77" s="468"/>
      <c r="Z77" s="30">
        <f t="shared" ref="Z77:Z102" si="9">SUM(J77:Y77)</f>
        <v>0</v>
      </c>
      <c r="AA77" s="544">
        <f t="shared" ref="AA77:AA149" si="10">SUM(AC77:AF77)</f>
        <v>0</v>
      </c>
      <c r="AB77" s="256"/>
      <c r="AC77" s="127">
        <f t="shared" ref="AC77:AC102" si="11">IF($Z77&lt;1,ROUND($Z77,1),0)</f>
        <v>0</v>
      </c>
      <c r="AD77" s="514">
        <f t="shared" ref="AD77:AD102" si="12">IF($Z77&gt;=1,ROUND($Z77,0),0)</f>
        <v>0</v>
      </c>
      <c r="AE77" s="514"/>
      <c r="AF77" s="531"/>
      <c r="AH77" s="838" t="s">
        <v>205</v>
      </c>
      <c r="AI77" s="337" t="s">
        <v>203</v>
      </c>
      <c r="AJ77" s="492">
        <v>4.2</v>
      </c>
      <c r="AK77" s="16" t="s">
        <v>87</v>
      </c>
    </row>
    <row r="78" spans="2:37" ht="18" customHeight="1">
      <c r="B78" s="901"/>
      <c r="C78" s="896"/>
      <c r="D78" s="897"/>
      <c r="E78" s="886"/>
      <c r="F78" s="856" t="s">
        <v>203</v>
      </c>
      <c r="G78" s="857"/>
      <c r="H78" s="100"/>
      <c r="I78" s="777"/>
      <c r="J78" s="331"/>
      <c r="K78" s="716"/>
      <c r="L78" s="331"/>
      <c r="M78" s="465"/>
      <c r="N78" s="465"/>
      <c r="O78" s="713"/>
      <c r="P78" s="47"/>
      <c r="Q78" s="47"/>
      <c r="R78" s="47"/>
      <c r="S78" s="713"/>
      <c r="T78" s="47"/>
      <c r="U78" s="466"/>
      <c r="V78" s="466"/>
      <c r="W78" s="332"/>
      <c r="X78" s="332"/>
      <c r="Y78" s="468"/>
      <c r="Z78" s="30">
        <f t="shared" si="9"/>
        <v>0</v>
      </c>
      <c r="AA78" s="544">
        <f>SUM(AC78:AF78)</f>
        <v>0</v>
      </c>
      <c r="AB78" s="256"/>
      <c r="AC78" s="127">
        <f t="shared" si="11"/>
        <v>0</v>
      </c>
      <c r="AD78" s="514">
        <f t="shared" si="12"/>
        <v>0</v>
      </c>
      <c r="AE78" s="514"/>
      <c r="AF78" s="531"/>
      <c r="AH78" s="839"/>
      <c r="AI78" s="338" t="s">
        <v>203</v>
      </c>
      <c r="AJ78" s="493">
        <v>4.2</v>
      </c>
      <c r="AK78" s="17" t="s">
        <v>87</v>
      </c>
    </row>
    <row r="79" spans="2:37" ht="18" customHeight="1">
      <c r="B79" s="901"/>
      <c r="C79" s="896"/>
      <c r="D79" s="897"/>
      <c r="E79" s="887"/>
      <c r="F79" s="856" t="s">
        <v>204</v>
      </c>
      <c r="G79" s="857"/>
      <c r="H79" s="100"/>
      <c r="I79" s="777"/>
      <c r="J79" s="466"/>
      <c r="K79" s="717"/>
      <c r="L79" s="466"/>
      <c r="M79" s="466"/>
      <c r="N79" s="466"/>
      <c r="O79" s="713"/>
      <c r="P79" s="465"/>
      <c r="Q79" s="465"/>
      <c r="R79" s="465"/>
      <c r="S79" s="715"/>
      <c r="T79" s="465"/>
      <c r="U79" s="466"/>
      <c r="V79" s="466"/>
      <c r="W79" s="332"/>
      <c r="X79" s="332"/>
      <c r="Y79" s="468"/>
      <c r="Z79" s="30">
        <f t="shared" si="9"/>
        <v>0</v>
      </c>
      <c r="AA79" s="544">
        <f>SUM(AC79:AF79)</f>
        <v>0</v>
      </c>
      <c r="AB79" s="256"/>
      <c r="AC79" s="127">
        <f t="shared" si="11"/>
        <v>0</v>
      </c>
      <c r="AD79" s="514">
        <f t="shared" si="12"/>
        <v>0</v>
      </c>
      <c r="AE79" s="514"/>
      <c r="AF79" s="531"/>
      <c r="AH79" s="840"/>
      <c r="AI79" s="339" t="s">
        <v>204</v>
      </c>
      <c r="AJ79" s="493">
        <v>4.2</v>
      </c>
      <c r="AK79" s="17" t="s">
        <v>87</v>
      </c>
    </row>
    <row r="80" spans="2:37" ht="18" customHeight="1">
      <c r="B80" s="901"/>
      <c r="C80" s="896"/>
      <c r="D80" s="897"/>
      <c r="E80" s="1093" t="s">
        <v>364</v>
      </c>
      <c r="F80" s="843" t="s">
        <v>362</v>
      </c>
      <c r="G80" s="844"/>
      <c r="H80" s="299"/>
      <c r="I80" s="778"/>
      <c r="J80" s="327"/>
      <c r="K80" s="718"/>
      <c r="L80" s="327"/>
      <c r="M80" s="327"/>
      <c r="N80" s="327"/>
      <c r="O80" s="753"/>
      <c r="P80" s="328"/>
      <c r="Q80" s="328"/>
      <c r="R80" s="328"/>
      <c r="S80" s="753"/>
      <c r="T80" s="328"/>
      <c r="U80" s="327"/>
      <c r="V80" s="327"/>
      <c r="W80" s="327"/>
      <c r="X80" s="468"/>
      <c r="Y80" s="468"/>
      <c r="Z80" s="245">
        <f>SUM(J80:Y80)</f>
        <v>0</v>
      </c>
      <c r="AA80" s="545">
        <f t="shared" ref="AA80" si="13">SUM(AC80:AF80)</f>
        <v>0</v>
      </c>
      <c r="AB80" s="256"/>
      <c r="AC80" s="632">
        <f t="shared" si="11"/>
        <v>0</v>
      </c>
      <c r="AD80" s="633">
        <f t="shared" si="12"/>
        <v>0</v>
      </c>
      <c r="AE80" s="633"/>
      <c r="AF80" s="686"/>
      <c r="AH80" s="841" t="s">
        <v>348</v>
      </c>
      <c r="AI80" s="338" t="s">
        <v>362</v>
      </c>
      <c r="AJ80" s="683">
        <v>4.2</v>
      </c>
      <c r="AK80" s="17" t="s">
        <v>87</v>
      </c>
    </row>
    <row r="81" spans="2:37" ht="18" customHeight="1" thickBot="1">
      <c r="B81" s="901"/>
      <c r="C81" s="898"/>
      <c r="D81" s="899"/>
      <c r="E81" s="907"/>
      <c r="F81" s="843" t="s">
        <v>361</v>
      </c>
      <c r="G81" s="844"/>
      <c r="H81" s="299"/>
      <c r="I81" s="778"/>
      <c r="J81" s="327"/>
      <c r="K81" s="718"/>
      <c r="L81" s="327"/>
      <c r="M81" s="327"/>
      <c r="N81" s="327"/>
      <c r="O81" s="753"/>
      <c r="P81" s="328"/>
      <c r="Q81" s="328"/>
      <c r="R81" s="328"/>
      <c r="S81" s="753"/>
      <c r="T81" s="328"/>
      <c r="U81" s="327"/>
      <c r="V81" s="327"/>
      <c r="W81" s="327"/>
      <c r="X81" s="468"/>
      <c r="Y81" s="468"/>
      <c r="Z81" s="245">
        <f t="shared" si="9"/>
        <v>0</v>
      </c>
      <c r="AA81" s="545">
        <f t="shared" si="10"/>
        <v>0</v>
      </c>
      <c r="AB81" s="256"/>
      <c r="AC81" s="296">
        <f t="shared" si="11"/>
        <v>0</v>
      </c>
      <c r="AD81" s="681">
        <f t="shared" si="12"/>
        <v>0</v>
      </c>
      <c r="AE81" s="681"/>
      <c r="AF81" s="685"/>
      <c r="AH81" s="842"/>
      <c r="AI81" s="687" t="s">
        <v>361</v>
      </c>
      <c r="AJ81" s="494">
        <v>4.2</v>
      </c>
      <c r="AK81" s="416" t="s">
        <v>87</v>
      </c>
    </row>
    <row r="82" spans="2:37" ht="18" customHeight="1">
      <c r="B82" s="901"/>
      <c r="C82" s="1079" t="s">
        <v>371</v>
      </c>
      <c r="D82" s="1080"/>
      <c r="E82" s="903" t="s">
        <v>365</v>
      </c>
      <c r="F82" s="904" t="s">
        <v>116</v>
      </c>
      <c r="G82" s="905"/>
      <c r="H82" s="255">
        <f t="shared" ref="H82:H91" si="14">AJ82</f>
        <v>0</v>
      </c>
      <c r="I82" s="779"/>
      <c r="J82" s="695">
        <v>2.4</v>
      </c>
      <c r="K82" s="719"/>
      <c r="L82" s="695">
        <v>0.88</v>
      </c>
      <c r="M82" s="695"/>
      <c r="N82" s="695"/>
      <c r="O82" s="744"/>
      <c r="P82" s="21"/>
      <c r="Q82" s="21"/>
      <c r="R82" s="696"/>
      <c r="S82" s="754"/>
      <c r="T82" s="696"/>
      <c r="U82" s="697"/>
      <c r="V82" s="697"/>
      <c r="W82" s="697"/>
      <c r="X82" s="697"/>
      <c r="Y82" s="697"/>
      <c r="Z82" s="29">
        <f t="shared" si="9"/>
        <v>3.28</v>
      </c>
      <c r="AA82" s="547">
        <f t="shared" ref="AA82:AA91" si="15">SUM(AC82:AF82)</f>
        <v>3</v>
      </c>
      <c r="AB82" s="256"/>
      <c r="AC82" s="197">
        <f t="shared" si="11"/>
        <v>0</v>
      </c>
      <c r="AD82" s="521">
        <f t="shared" si="12"/>
        <v>3</v>
      </c>
      <c r="AE82" s="521"/>
      <c r="AF82" s="548"/>
      <c r="AH82" s="858" t="s">
        <v>366</v>
      </c>
      <c r="AI82" s="337" t="s">
        <v>116</v>
      </c>
      <c r="AJ82" s="32"/>
      <c r="AK82" s="16" t="s">
        <v>87</v>
      </c>
    </row>
    <row r="83" spans="2:37" ht="18" customHeight="1">
      <c r="B83" s="901"/>
      <c r="C83" s="1081"/>
      <c r="D83" s="1082"/>
      <c r="E83" s="854"/>
      <c r="F83" s="856" t="s">
        <v>203</v>
      </c>
      <c r="G83" s="857"/>
      <c r="H83" s="100">
        <f t="shared" si="14"/>
        <v>0</v>
      </c>
      <c r="I83" s="777"/>
      <c r="J83" s="331"/>
      <c r="K83" s="716"/>
      <c r="L83" s="331"/>
      <c r="M83" s="331"/>
      <c r="N83" s="331"/>
      <c r="O83" s="755">
        <v>1.47</v>
      </c>
      <c r="P83" s="22">
        <v>10.88</v>
      </c>
      <c r="Q83" s="342">
        <v>11.96</v>
      </c>
      <c r="R83" s="22">
        <v>49.91</v>
      </c>
      <c r="S83" s="699"/>
      <c r="T83" s="22">
        <v>81.2</v>
      </c>
      <c r="U83" s="47"/>
      <c r="V83" s="47"/>
      <c r="W83" s="331"/>
      <c r="X83" s="332"/>
      <c r="Y83" s="332"/>
      <c r="Z83" s="30">
        <f t="shared" si="9"/>
        <v>155.42000000000002</v>
      </c>
      <c r="AA83" s="544">
        <f t="shared" si="15"/>
        <v>155</v>
      </c>
      <c r="AB83" s="256"/>
      <c r="AC83" s="127">
        <f t="shared" si="11"/>
        <v>0</v>
      </c>
      <c r="AD83" s="514">
        <f t="shared" si="12"/>
        <v>155</v>
      </c>
      <c r="AE83" s="514"/>
      <c r="AF83" s="531"/>
      <c r="AH83" s="859"/>
      <c r="AI83" s="338" t="s">
        <v>203</v>
      </c>
      <c r="AJ83" s="33"/>
      <c r="AK83" s="17" t="s">
        <v>87</v>
      </c>
    </row>
    <row r="84" spans="2:37" ht="18" customHeight="1">
      <c r="B84" s="901"/>
      <c r="C84" s="1081"/>
      <c r="D84" s="1082"/>
      <c r="E84" s="854"/>
      <c r="F84" s="856" t="s">
        <v>203</v>
      </c>
      <c r="G84" s="857"/>
      <c r="H84" s="100">
        <f t="shared" si="14"/>
        <v>0</v>
      </c>
      <c r="I84" s="777"/>
      <c r="J84" s="331"/>
      <c r="K84" s="716"/>
      <c r="L84" s="331"/>
      <c r="M84" s="331"/>
      <c r="N84" s="331"/>
      <c r="O84" s="713"/>
      <c r="P84" s="47"/>
      <c r="Q84" s="47"/>
      <c r="R84" s="47"/>
      <c r="S84" s="713"/>
      <c r="T84" s="333"/>
      <c r="U84" s="22"/>
      <c r="V84" s="22"/>
      <c r="W84" s="331"/>
      <c r="X84" s="332"/>
      <c r="Y84" s="332"/>
      <c r="Z84" s="30">
        <f t="shared" si="9"/>
        <v>0</v>
      </c>
      <c r="AA84" s="544">
        <f>SUM(AC84:AF84)</f>
        <v>0</v>
      </c>
      <c r="AB84" s="256"/>
      <c r="AC84" s="127">
        <f t="shared" si="11"/>
        <v>0</v>
      </c>
      <c r="AD84" s="514">
        <f t="shared" si="12"/>
        <v>0</v>
      </c>
      <c r="AE84" s="514"/>
      <c r="AF84" s="531"/>
      <c r="AH84" s="859"/>
      <c r="AI84" s="338" t="s">
        <v>203</v>
      </c>
      <c r="AJ84" s="33"/>
      <c r="AK84" s="17" t="s">
        <v>87</v>
      </c>
    </row>
    <row r="85" spans="2:37" ht="18" customHeight="1" thickBot="1">
      <c r="B85" s="901"/>
      <c r="C85" s="1081"/>
      <c r="D85" s="1082"/>
      <c r="E85" s="855"/>
      <c r="F85" s="843" t="s">
        <v>204</v>
      </c>
      <c r="G85" s="844"/>
      <c r="H85" s="299">
        <f t="shared" si="14"/>
        <v>0</v>
      </c>
      <c r="I85" s="778"/>
      <c r="J85" s="332"/>
      <c r="K85" s="720"/>
      <c r="L85" s="332"/>
      <c r="M85" s="332"/>
      <c r="N85" s="332"/>
      <c r="O85" s="713"/>
      <c r="P85" s="342"/>
      <c r="Q85" s="342"/>
      <c r="R85" s="342"/>
      <c r="S85" s="755"/>
      <c r="T85" s="342"/>
      <c r="U85" s="26"/>
      <c r="V85" s="26"/>
      <c r="W85" s="332"/>
      <c r="X85" s="332"/>
      <c r="Y85" s="332"/>
      <c r="Z85" s="30">
        <f t="shared" si="9"/>
        <v>0</v>
      </c>
      <c r="AA85" s="544">
        <f>SUM(AC85:AF85)</f>
        <v>0</v>
      </c>
      <c r="AB85" s="256"/>
      <c r="AC85" s="127">
        <f t="shared" si="11"/>
        <v>0</v>
      </c>
      <c r="AD85" s="514">
        <f t="shared" si="12"/>
        <v>0</v>
      </c>
      <c r="AE85" s="514"/>
      <c r="AF85" s="531"/>
      <c r="AH85" s="860"/>
      <c r="AI85" s="339" t="s">
        <v>204</v>
      </c>
      <c r="AJ85" s="33"/>
      <c r="AK85" s="17" t="s">
        <v>87</v>
      </c>
    </row>
    <row r="86" spans="2:37" ht="18" customHeight="1">
      <c r="B86" s="901"/>
      <c r="C86" s="1081"/>
      <c r="D86" s="1082"/>
      <c r="E86" s="853" t="s">
        <v>367</v>
      </c>
      <c r="F86" s="856" t="s">
        <v>116</v>
      </c>
      <c r="G86" s="857"/>
      <c r="H86" s="100">
        <f t="shared" si="14"/>
        <v>0</v>
      </c>
      <c r="I86" s="780"/>
      <c r="J86" s="434">
        <v>0.05</v>
      </c>
      <c r="K86" s="721"/>
      <c r="L86" s="434">
        <v>0.03</v>
      </c>
      <c r="M86" s="434"/>
      <c r="N86" s="434"/>
      <c r="O86" s="731"/>
      <c r="P86" s="46"/>
      <c r="Q86" s="46"/>
      <c r="R86" s="333"/>
      <c r="S86" s="756"/>
      <c r="T86" s="333"/>
      <c r="U86" s="334"/>
      <c r="V86" s="334"/>
      <c r="W86" s="334"/>
      <c r="X86" s="334"/>
      <c r="Y86" s="334"/>
      <c r="Z86" s="30">
        <f t="shared" si="9"/>
        <v>0.08</v>
      </c>
      <c r="AA86" s="544">
        <f t="shared" si="15"/>
        <v>0.1</v>
      </c>
      <c r="AB86" s="256"/>
      <c r="AC86" s="127">
        <f t="shared" si="11"/>
        <v>0.1</v>
      </c>
      <c r="AD86" s="514">
        <f t="shared" si="12"/>
        <v>0</v>
      </c>
      <c r="AE86" s="514"/>
      <c r="AF86" s="531"/>
      <c r="AH86" s="858" t="s">
        <v>368</v>
      </c>
      <c r="AI86" s="337" t="s">
        <v>116</v>
      </c>
      <c r="AJ86" s="32"/>
      <c r="AK86" s="16" t="s">
        <v>87</v>
      </c>
    </row>
    <row r="87" spans="2:37" ht="18" customHeight="1">
      <c r="B87" s="901"/>
      <c r="C87" s="1081"/>
      <c r="D87" s="1082"/>
      <c r="E87" s="854"/>
      <c r="F87" s="856" t="s">
        <v>203</v>
      </c>
      <c r="G87" s="857"/>
      <c r="H87" s="100">
        <f t="shared" si="14"/>
        <v>0</v>
      </c>
      <c r="I87" s="777"/>
      <c r="J87" s="331"/>
      <c r="K87" s="716"/>
      <c r="L87" s="331"/>
      <c r="M87" s="331"/>
      <c r="N87" s="331"/>
      <c r="O87" s="755"/>
      <c r="P87" s="342"/>
      <c r="Q87" s="342">
        <v>0.26</v>
      </c>
      <c r="R87" s="22">
        <v>0.85</v>
      </c>
      <c r="S87" s="699"/>
      <c r="T87" s="22">
        <v>0.54</v>
      </c>
      <c r="U87" s="47"/>
      <c r="V87" s="47"/>
      <c r="W87" s="334"/>
      <c r="X87" s="334"/>
      <c r="Y87" s="334"/>
      <c r="Z87" s="30">
        <f t="shared" si="9"/>
        <v>1.65</v>
      </c>
      <c r="AA87" s="544">
        <f t="shared" si="15"/>
        <v>2</v>
      </c>
      <c r="AB87" s="256"/>
      <c r="AC87" s="127">
        <f t="shared" si="11"/>
        <v>0</v>
      </c>
      <c r="AD87" s="514">
        <f t="shared" si="12"/>
        <v>2</v>
      </c>
      <c r="AE87" s="514"/>
      <c r="AF87" s="531"/>
      <c r="AH87" s="859"/>
      <c r="AI87" s="338" t="s">
        <v>203</v>
      </c>
      <c r="AJ87" s="33"/>
      <c r="AK87" s="17" t="s">
        <v>87</v>
      </c>
    </row>
    <row r="88" spans="2:37" ht="18" customHeight="1">
      <c r="B88" s="901"/>
      <c r="C88" s="1081"/>
      <c r="D88" s="1082"/>
      <c r="E88" s="854"/>
      <c r="F88" s="856" t="s">
        <v>203</v>
      </c>
      <c r="G88" s="857"/>
      <c r="H88" s="100">
        <f>AJ88</f>
        <v>0</v>
      </c>
      <c r="I88" s="777"/>
      <c r="J88" s="331"/>
      <c r="K88" s="716"/>
      <c r="L88" s="331"/>
      <c r="M88" s="331"/>
      <c r="N88" s="331"/>
      <c r="O88" s="713"/>
      <c r="P88" s="47"/>
      <c r="Q88" s="47"/>
      <c r="R88" s="47"/>
      <c r="S88" s="713"/>
      <c r="T88" s="333"/>
      <c r="U88" s="22"/>
      <c r="V88" s="22"/>
      <c r="W88" s="334"/>
      <c r="X88" s="334"/>
      <c r="Y88" s="334"/>
      <c r="Z88" s="30">
        <f t="shared" si="9"/>
        <v>0</v>
      </c>
      <c r="AA88" s="544">
        <f>SUM(AC88:AF88)</f>
        <v>0</v>
      </c>
      <c r="AB88" s="256"/>
      <c r="AC88" s="127">
        <f t="shared" si="11"/>
        <v>0</v>
      </c>
      <c r="AD88" s="514">
        <f t="shared" si="12"/>
        <v>0</v>
      </c>
      <c r="AE88" s="514"/>
      <c r="AF88" s="531"/>
      <c r="AH88" s="859"/>
      <c r="AI88" s="338" t="s">
        <v>203</v>
      </c>
      <c r="AJ88" s="33"/>
      <c r="AK88" s="17" t="s">
        <v>87</v>
      </c>
    </row>
    <row r="89" spans="2:37" ht="18" customHeight="1" thickBot="1">
      <c r="B89" s="901"/>
      <c r="C89" s="1081"/>
      <c r="D89" s="1082"/>
      <c r="E89" s="855"/>
      <c r="F89" s="856" t="s">
        <v>204</v>
      </c>
      <c r="G89" s="857"/>
      <c r="H89" s="100">
        <f>AJ89</f>
        <v>0</v>
      </c>
      <c r="I89" s="777"/>
      <c r="J89" s="332"/>
      <c r="K89" s="720"/>
      <c r="L89" s="332"/>
      <c r="M89" s="332"/>
      <c r="N89" s="332"/>
      <c r="O89" s="713"/>
      <c r="P89" s="342"/>
      <c r="Q89" s="342"/>
      <c r="R89" s="342"/>
      <c r="S89" s="755"/>
      <c r="T89" s="342"/>
      <c r="U89" s="26"/>
      <c r="V89" s="26"/>
      <c r="W89" s="334"/>
      <c r="X89" s="334"/>
      <c r="Y89" s="334"/>
      <c r="Z89" s="30">
        <f t="shared" si="9"/>
        <v>0</v>
      </c>
      <c r="AA89" s="544">
        <f>SUM(AC89:AF89)</f>
        <v>0</v>
      </c>
      <c r="AB89" s="256"/>
      <c r="AC89" s="127">
        <f t="shared" si="11"/>
        <v>0</v>
      </c>
      <c r="AD89" s="514">
        <f t="shared" si="12"/>
        <v>0</v>
      </c>
      <c r="AE89" s="514"/>
      <c r="AF89" s="531"/>
      <c r="AH89" s="860"/>
      <c r="AI89" s="339" t="s">
        <v>204</v>
      </c>
      <c r="AJ89" s="33"/>
      <c r="AK89" s="17" t="s">
        <v>87</v>
      </c>
    </row>
    <row r="90" spans="2:37" ht="18" customHeight="1">
      <c r="B90" s="901"/>
      <c r="C90" s="1081"/>
      <c r="D90" s="1082"/>
      <c r="E90" s="853" t="s">
        <v>369</v>
      </c>
      <c r="F90" s="856" t="s">
        <v>116</v>
      </c>
      <c r="G90" s="857"/>
      <c r="H90" s="100">
        <f t="shared" si="14"/>
        <v>0</v>
      </c>
      <c r="I90" s="780"/>
      <c r="J90" s="434"/>
      <c r="K90" s="721"/>
      <c r="L90" s="434"/>
      <c r="M90" s="434"/>
      <c r="N90" s="434"/>
      <c r="O90" s="731"/>
      <c r="P90" s="46"/>
      <c r="Q90" s="46"/>
      <c r="R90" s="333"/>
      <c r="S90" s="756"/>
      <c r="T90" s="333"/>
      <c r="U90" s="334"/>
      <c r="V90" s="334"/>
      <c r="W90" s="334"/>
      <c r="X90" s="334"/>
      <c r="Y90" s="334"/>
      <c r="Z90" s="30">
        <f t="shared" si="9"/>
        <v>0</v>
      </c>
      <c r="AA90" s="544">
        <f t="shared" si="15"/>
        <v>0</v>
      </c>
      <c r="AB90" s="256"/>
      <c r="AC90" s="127">
        <f t="shared" si="11"/>
        <v>0</v>
      </c>
      <c r="AD90" s="514">
        <f t="shared" si="12"/>
        <v>0</v>
      </c>
      <c r="AE90" s="514"/>
      <c r="AF90" s="531"/>
      <c r="AH90" s="858" t="s">
        <v>370</v>
      </c>
      <c r="AI90" s="337" t="s">
        <v>116</v>
      </c>
      <c r="AJ90" s="32"/>
      <c r="AK90" s="16" t="s">
        <v>87</v>
      </c>
    </row>
    <row r="91" spans="2:37" ht="18" customHeight="1">
      <c r="B91" s="901"/>
      <c r="C91" s="1081"/>
      <c r="D91" s="1082"/>
      <c r="E91" s="854"/>
      <c r="F91" s="856" t="s">
        <v>203</v>
      </c>
      <c r="G91" s="857"/>
      <c r="H91" s="100">
        <f t="shared" si="14"/>
        <v>0</v>
      </c>
      <c r="I91" s="777"/>
      <c r="J91" s="331"/>
      <c r="K91" s="716"/>
      <c r="L91" s="331"/>
      <c r="M91" s="331"/>
      <c r="N91" s="331"/>
      <c r="O91" s="755"/>
      <c r="P91" s="342"/>
      <c r="Q91" s="342"/>
      <c r="R91" s="22"/>
      <c r="S91" s="699"/>
      <c r="T91" s="22"/>
      <c r="U91" s="47"/>
      <c r="V91" s="47"/>
      <c r="W91" s="331"/>
      <c r="X91" s="332"/>
      <c r="Y91" s="332"/>
      <c r="Z91" s="30">
        <f t="shared" si="9"/>
        <v>0</v>
      </c>
      <c r="AA91" s="544">
        <f t="shared" si="15"/>
        <v>0</v>
      </c>
      <c r="AB91" s="256"/>
      <c r="AC91" s="127">
        <f t="shared" si="11"/>
        <v>0</v>
      </c>
      <c r="AD91" s="514">
        <f t="shared" si="12"/>
        <v>0</v>
      </c>
      <c r="AE91" s="514"/>
      <c r="AF91" s="531"/>
      <c r="AH91" s="859"/>
      <c r="AI91" s="338" t="s">
        <v>203</v>
      </c>
      <c r="AJ91" s="33"/>
      <c r="AK91" s="17" t="s">
        <v>87</v>
      </c>
    </row>
    <row r="92" spans="2:37" ht="18" customHeight="1">
      <c r="B92" s="901"/>
      <c r="C92" s="1081"/>
      <c r="D92" s="1082"/>
      <c r="E92" s="854"/>
      <c r="F92" s="856" t="s">
        <v>203</v>
      </c>
      <c r="G92" s="857"/>
      <c r="H92" s="100">
        <f>AJ92</f>
        <v>0</v>
      </c>
      <c r="I92" s="777"/>
      <c r="J92" s="331"/>
      <c r="K92" s="716"/>
      <c r="L92" s="331"/>
      <c r="M92" s="331"/>
      <c r="N92" s="331"/>
      <c r="O92" s="713"/>
      <c r="P92" s="47"/>
      <c r="Q92" s="47"/>
      <c r="R92" s="47"/>
      <c r="S92" s="713"/>
      <c r="T92" s="333"/>
      <c r="U92" s="22"/>
      <c r="V92" s="22"/>
      <c r="W92" s="331"/>
      <c r="X92" s="332"/>
      <c r="Y92" s="332"/>
      <c r="Z92" s="30">
        <f t="shared" si="9"/>
        <v>0</v>
      </c>
      <c r="AA92" s="544">
        <f>SUM(AC92:AF92)</f>
        <v>0</v>
      </c>
      <c r="AB92" s="256"/>
      <c r="AC92" s="127">
        <f t="shared" si="11"/>
        <v>0</v>
      </c>
      <c r="AD92" s="514">
        <f t="shared" si="12"/>
        <v>0</v>
      </c>
      <c r="AE92" s="514"/>
      <c r="AF92" s="531"/>
      <c r="AH92" s="859"/>
      <c r="AI92" s="338" t="s">
        <v>203</v>
      </c>
      <c r="AJ92" s="33"/>
      <c r="AK92" s="17" t="s">
        <v>87</v>
      </c>
    </row>
    <row r="93" spans="2:37" ht="18" customHeight="1">
      <c r="B93" s="901"/>
      <c r="C93" s="1081"/>
      <c r="D93" s="1082"/>
      <c r="E93" s="855"/>
      <c r="F93" s="856" t="s">
        <v>204</v>
      </c>
      <c r="G93" s="857"/>
      <c r="H93" s="100">
        <f>AJ93</f>
        <v>0</v>
      </c>
      <c r="I93" s="777"/>
      <c r="J93" s="332"/>
      <c r="K93" s="720"/>
      <c r="L93" s="332"/>
      <c r="M93" s="332"/>
      <c r="N93" s="332"/>
      <c r="O93" s="713"/>
      <c r="P93" s="342"/>
      <c r="Q93" s="342"/>
      <c r="R93" s="342"/>
      <c r="S93" s="755"/>
      <c r="T93" s="342"/>
      <c r="U93" s="26"/>
      <c r="V93" s="26"/>
      <c r="W93" s="332"/>
      <c r="X93" s="332"/>
      <c r="Y93" s="332"/>
      <c r="Z93" s="30">
        <f t="shared" si="9"/>
        <v>0</v>
      </c>
      <c r="AA93" s="544">
        <f>SUM(AC93:AF93)</f>
        <v>0</v>
      </c>
      <c r="AB93" s="256"/>
      <c r="AC93" s="127">
        <f t="shared" si="11"/>
        <v>0</v>
      </c>
      <c r="AD93" s="514">
        <f t="shared" si="12"/>
        <v>0</v>
      </c>
      <c r="AE93" s="514"/>
      <c r="AF93" s="531"/>
      <c r="AH93" s="861"/>
      <c r="AI93" s="339" t="s">
        <v>204</v>
      </c>
      <c r="AJ93" s="33"/>
      <c r="AK93" s="17" t="s">
        <v>87</v>
      </c>
    </row>
    <row r="94" spans="2:37" ht="18" customHeight="1">
      <c r="B94" s="901"/>
      <c r="C94" s="1081"/>
      <c r="D94" s="1082"/>
      <c r="E94" s="845" t="s">
        <v>363</v>
      </c>
      <c r="F94" s="843" t="s">
        <v>362</v>
      </c>
      <c r="G94" s="844"/>
      <c r="H94" s="299">
        <f>AJ94</f>
        <v>0</v>
      </c>
      <c r="I94" s="778"/>
      <c r="J94" s="327"/>
      <c r="K94" s="716"/>
      <c r="L94" s="327"/>
      <c r="M94" s="331"/>
      <c r="N94" s="331"/>
      <c r="O94" s="716"/>
      <c r="P94" s="331"/>
      <c r="Q94" s="331"/>
      <c r="R94" s="331"/>
      <c r="S94" s="716"/>
      <c r="T94" s="328"/>
      <c r="U94" s="327"/>
      <c r="V94" s="327"/>
      <c r="W94" s="331"/>
      <c r="X94" s="259"/>
      <c r="Y94" s="259"/>
      <c r="Z94" s="245">
        <f>SUM(J94:Y94)</f>
        <v>0</v>
      </c>
      <c r="AA94" s="309">
        <f t="shared" ref="AA94" si="16">SUM(AC94:AF94)</f>
        <v>0</v>
      </c>
      <c r="AB94" s="256"/>
      <c r="AC94" s="632">
        <f t="shared" si="11"/>
        <v>0</v>
      </c>
      <c r="AD94" s="692">
        <f t="shared" si="12"/>
        <v>0</v>
      </c>
      <c r="AE94" s="633"/>
      <c r="AF94" s="686"/>
      <c r="AH94" s="841" t="s">
        <v>348</v>
      </c>
      <c r="AI94" s="339" t="s">
        <v>362</v>
      </c>
      <c r="AJ94" s="33"/>
      <c r="AK94" s="684" t="s">
        <v>87</v>
      </c>
    </row>
    <row r="95" spans="2:37" ht="18" customHeight="1" thickBot="1">
      <c r="B95" s="901"/>
      <c r="C95" s="1083"/>
      <c r="D95" s="1084"/>
      <c r="E95" s="846"/>
      <c r="F95" s="843" t="s">
        <v>361</v>
      </c>
      <c r="G95" s="844"/>
      <c r="H95" s="299">
        <f>AJ95</f>
        <v>0</v>
      </c>
      <c r="I95" s="778"/>
      <c r="J95" s="341"/>
      <c r="K95" s="722"/>
      <c r="L95" s="341"/>
      <c r="M95" s="688"/>
      <c r="N95" s="688"/>
      <c r="O95" s="757"/>
      <c r="P95" s="689"/>
      <c r="Q95" s="689"/>
      <c r="R95" s="689"/>
      <c r="S95" s="757"/>
      <c r="T95" s="341"/>
      <c r="U95" s="341"/>
      <c r="V95" s="341"/>
      <c r="W95" s="688"/>
      <c r="X95" s="40"/>
      <c r="Y95" s="40"/>
      <c r="Z95" s="31">
        <f>SUM(J95:Y95)</f>
        <v>0</v>
      </c>
      <c r="AA95" s="690">
        <f t="shared" si="10"/>
        <v>0</v>
      </c>
      <c r="AB95" s="256"/>
      <c r="AC95" s="296">
        <f t="shared" si="11"/>
        <v>0</v>
      </c>
      <c r="AD95" s="691">
        <f t="shared" si="12"/>
        <v>0</v>
      </c>
      <c r="AE95" s="681"/>
      <c r="AF95" s="685"/>
      <c r="AH95" s="842"/>
      <c r="AI95" s="347" t="s">
        <v>361</v>
      </c>
      <c r="AJ95" s="415"/>
      <c r="AK95" s="18" t="s">
        <v>87</v>
      </c>
    </row>
    <row r="96" spans="2:37" ht="18" customHeight="1">
      <c r="B96" s="901"/>
      <c r="C96" s="1059" t="s">
        <v>184</v>
      </c>
      <c r="D96" s="1060"/>
      <c r="E96" s="1077" t="s">
        <v>239</v>
      </c>
      <c r="F96" s="905"/>
      <c r="G96" s="240" t="s">
        <v>118</v>
      </c>
      <c r="H96" s="240" t="s">
        <v>219</v>
      </c>
      <c r="I96" s="781"/>
      <c r="J96" s="464"/>
      <c r="K96" s="723"/>
      <c r="L96" s="464"/>
      <c r="M96" s="464"/>
      <c r="N96" s="464"/>
      <c r="O96" s="723"/>
      <c r="P96" s="464"/>
      <c r="Q96" s="464"/>
      <c r="R96" s="464"/>
      <c r="S96" s="723"/>
      <c r="T96" s="464"/>
      <c r="U96" s="464"/>
      <c r="V96" s="464"/>
      <c r="W96" s="21"/>
      <c r="X96" s="21"/>
      <c r="Y96" s="464"/>
      <c r="Z96" s="29">
        <f t="shared" si="9"/>
        <v>0</v>
      </c>
      <c r="AA96" s="547">
        <f t="shared" si="10"/>
        <v>0</v>
      </c>
      <c r="AB96" s="256"/>
      <c r="AC96" s="197">
        <f t="shared" si="11"/>
        <v>0</v>
      </c>
      <c r="AD96" s="521">
        <f t="shared" si="12"/>
        <v>0</v>
      </c>
      <c r="AE96" s="521"/>
      <c r="AF96" s="548"/>
    </row>
    <row r="97" spans="2:37" ht="18" customHeight="1">
      <c r="B97" s="901"/>
      <c r="C97" s="1061"/>
      <c r="D97" s="1062"/>
      <c r="E97" s="851" t="s">
        <v>240</v>
      </c>
      <c r="F97" s="852"/>
      <c r="G97" s="622" t="s">
        <v>118</v>
      </c>
      <c r="H97" s="622" t="s">
        <v>219</v>
      </c>
      <c r="I97" s="782"/>
      <c r="J97" s="467"/>
      <c r="K97" s="724"/>
      <c r="L97" s="467"/>
      <c r="M97" s="467"/>
      <c r="N97" s="467"/>
      <c r="O97" s="724"/>
      <c r="P97" s="467"/>
      <c r="Q97" s="467"/>
      <c r="R97" s="467"/>
      <c r="S97" s="724"/>
      <c r="T97" s="467"/>
      <c r="U97" s="467"/>
      <c r="V97" s="467"/>
      <c r="W97" s="46"/>
      <c r="X97" s="467"/>
      <c r="Y97" s="467"/>
      <c r="Z97" s="243">
        <f t="shared" si="9"/>
        <v>0</v>
      </c>
      <c r="AA97" s="544">
        <f t="shared" si="10"/>
        <v>0</v>
      </c>
      <c r="AB97" s="256"/>
      <c r="AC97" s="127">
        <f t="shared" si="11"/>
        <v>0</v>
      </c>
      <c r="AD97" s="514">
        <f t="shared" si="12"/>
        <v>0</v>
      </c>
      <c r="AE97" s="514"/>
      <c r="AF97" s="531"/>
    </row>
    <row r="98" spans="2:37" ht="18" customHeight="1" thickBot="1">
      <c r="B98" s="901"/>
      <c r="C98" s="1063"/>
      <c r="D98" s="1064"/>
      <c r="E98" s="847" t="s">
        <v>241</v>
      </c>
      <c r="F98" s="848"/>
      <c r="G98" s="239" t="s">
        <v>118</v>
      </c>
      <c r="H98" s="239" t="s">
        <v>219</v>
      </c>
      <c r="I98" s="783"/>
      <c r="J98" s="50"/>
      <c r="K98" s="725"/>
      <c r="L98" s="50"/>
      <c r="M98" s="50"/>
      <c r="N98" s="50"/>
      <c r="O98" s="725"/>
      <c r="P98" s="50"/>
      <c r="Q98" s="50"/>
      <c r="R98" s="50"/>
      <c r="S98" s="725"/>
      <c r="T98" s="50"/>
      <c r="U98" s="50"/>
      <c r="V98" s="50"/>
      <c r="W98" s="50"/>
      <c r="X98" s="470"/>
      <c r="Y98" s="470"/>
      <c r="Z98" s="31">
        <f t="shared" si="9"/>
        <v>0</v>
      </c>
      <c r="AA98" s="545">
        <f t="shared" si="10"/>
        <v>0</v>
      </c>
      <c r="AB98" s="256"/>
      <c r="AC98" s="296">
        <f t="shared" si="11"/>
        <v>0</v>
      </c>
      <c r="AD98" s="523">
        <f t="shared" si="12"/>
        <v>0</v>
      </c>
      <c r="AE98" s="523"/>
      <c r="AF98" s="546"/>
    </row>
    <row r="99" spans="2:37" ht="18" customHeight="1">
      <c r="B99" s="901"/>
      <c r="C99" s="989" t="s">
        <v>234</v>
      </c>
      <c r="D99" s="990"/>
      <c r="E99" s="849" t="s">
        <v>260</v>
      </c>
      <c r="F99" s="850"/>
      <c r="G99" s="850"/>
      <c r="H99" s="299">
        <f>AJ99</f>
        <v>0</v>
      </c>
      <c r="I99" s="778"/>
      <c r="J99" s="332"/>
      <c r="K99" s="720"/>
      <c r="L99" s="332"/>
      <c r="M99" s="332"/>
      <c r="N99" s="332"/>
      <c r="O99" s="713"/>
      <c r="P99" s="465"/>
      <c r="Q99" s="465"/>
      <c r="R99" s="465"/>
      <c r="S99" s="715"/>
      <c r="T99" s="465"/>
      <c r="U99" s="466"/>
      <c r="V99" s="466"/>
      <c r="W99" s="332"/>
      <c r="X99" s="332"/>
      <c r="Y99" s="466"/>
      <c r="Z99" s="30">
        <f t="shared" si="9"/>
        <v>0</v>
      </c>
      <c r="AA99" s="547">
        <f t="shared" si="10"/>
        <v>0</v>
      </c>
      <c r="AB99" s="256"/>
      <c r="AC99" s="197">
        <f t="shared" si="11"/>
        <v>0</v>
      </c>
      <c r="AD99" s="521">
        <f t="shared" si="12"/>
        <v>0</v>
      </c>
      <c r="AE99" s="521"/>
      <c r="AF99" s="548"/>
      <c r="AH99" s="474" t="s">
        <v>260</v>
      </c>
      <c r="AI99" s="339" t="s">
        <v>204</v>
      </c>
      <c r="AJ99" s="33"/>
      <c r="AK99" s="17" t="s">
        <v>87</v>
      </c>
    </row>
    <row r="100" spans="2:37" ht="18" customHeight="1">
      <c r="B100" s="901"/>
      <c r="C100" s="896"/>
      <c r="D100" s="897"/>
      <c r="E100" s="881" t="s">
        <v>261</v>
      </c>
      <c r="F100" s="882"/>
      <c r="G100" s="882"/>
      <c r="H100" s="100">
        <f>AJ100</f>
        <v>0</v>
      </c>
      <c r="I100" s="777"/>
      <c r="J100" s="332"/>
      <c r="K100" s="720"/>
      <c r="L100" s="332"/>
      <c r="M100" s="332"/>
      <c r="N100" s="332"/>
      <c r="O100" s="713"/>
      <c r="P100" s="465"/>
      <c r="Q100" s="465"/>
      <c r="R100" s="465"/>
      <c r="S100" s="715"/>
      <c r="T100" s="465"/>
      <c r="U100" s="466"/>
      <c r="V100" s="466"/>
      <c r="W100" s="334"/>
      <c r="X100" s="334"/>
      <c r="Y100" s="603"/>
      <c r="Z100" s="30">
        <f t="shared" si="9"/>
        <v>0</v>
      </c>
      <c r="AA100" s="544">
        <f t="shared" si="10"/>
        <v>0</v>
      </c>
      <c r="AB100" s="256"/>
      <c r="AC100" s="127">
        <f t="shared" si="11"/>
        <v>0</v>
      </c>
      <c r="AD100" s="514">
        <f t="shared" si="12"/>
        <v>0</v>
      </c>
      <c r="AE100" s="514"/>
      <c r="AF100" s="531"/>
      <c r="AH100" s="471" t="s">
        <v>261</v>
      </c>
      <c r="AI100" s="339" t="s">
        <v>204</v>
      </c>
      <c r="AJ100" s="33"/>
      <c r="AK100" s="352"/>
    </row>
    <row r="101" spans="2:37" ht="18" customHeight="1">
      <c r="B101" s="901"/>
      <c r="C101" s="896"/>
      <c r="D101" s="897"/>
      <c r="E101" s="881" t="s">
        <v>262</v>
      </c>
      <c r="F101" s="882"/>
      <c r="G101" s="882"/>
      <c r="H101" s="100">
        <f>AJ101</f>
        <v>0</v>
      </c>
      <c r="I101" s="777"/>
      <c r="J101" s="332"/>
      <c r="K101" s="720"/>
      <c r="L101" s="332"/>
      <c r="M101" s="332"/>
      <c r="N101" s="332"/>
      <c r="O101" s="713"/>
      <c r="P101" s="465"/>
      <c r="Q101" s="465"/>
      <c r="R101" s="465"/>
      <c r="S101" s="715"/>
      <c r="T101" s="465"/>
      <c r="U101" s="466"/>
      <c r="V101" s="466"/>
      <c r="W101" s="332"/>
      <c r="X101" s="332"/>
      <c r="Y101" s="466"/>
      <c r="Z101" s="30">
        <f t="shared" si="9"/>
        <v>0</v>
      </c>
      <c r="AA101" s="544">
        <f t="shared" si="10"/>
        <v>0</v>
      </c>
      <c r="AB101" s="256"/>
      <c r="AC101" s="127">
        <f t="shared" si="11"/>
        <v>0</v>
      </c>
      <c r="AD101" s="514">
        <f t="shared" si="12"/>
        <v>0</v>
      </c>
      <c r="AE101" s="514"/>
      <c r="AF101" s="531"/>
      <c r="AH101" s="471" t="s">
        <v>262</v>
      </c>
      <c r="AI101" s="339" t="s">
        <v>204</v>
      </c>
      <c r="AJ101" s="33"/>
      <c r="AK101" s="17" t="s">
        <v>87</v>
      </c>
    </row>
    <row r="102" spans="2:37" ht="18" customHeight="1" thickBot="1">
      <c r="B102" s="902"/>
      <c r="C102" s="991"/>
      <c r="D102" s="992"/>
      <c r="E102" s="883" t="s">
        <v>263</v>
      </c>
      <c r="F102" s="884"/>
      <c r="G102" s="884"/>
      <c r="H102" s="101">
        <f>AJ102</f>
        <v>0</v>
      </c>
      <c r="I102" s="784"/>
      <c r="J102" s="340"/>
      <c r="K102" s="726"/>
      <c r="L102" s="340"/>
      <c r="M102" s="340"/>
      <c r="N102" s="340"/>
      <c r="O102" s="758"/>
      <c r="P102" s="341"/>
      <c r="Q102" s="341"/>
      <c r="R102" s="341"/>
      <c r="S102" s="758"/>
      <c r="T102" s="341"/>
      <c r="U102" s="340"/>
      <c r="V102" s="340"/>
      <c r="W102" s="340"/>
      <c r="X102" s="469"/>
      <c r="Y102" s="469"/>
      <c r="Z102" s="63">
        <f t="shared" si="9"/>
        <v>0</v>
      </c>
      <c r="AA102" s="549">
        <f t="shared" si="10"/>
        <v>0</v>
      </c>
      <c r="AB102" s="256"/>
      <c r="AC102" s="128">
        <f t="shared" si="11"/>
        <v>0</v>
      </c>
      <c r="AD102" s="516">
        <f t="shared" si="12"/>
        <v>0</v>
      </c>
      <c r="AE102" s="516"/>
      <c r="AF102" s="532"/>
      <c r="AH102" s="472" t="s">
        <v>263</v>
      </c>
      <c r="AI102" s="347" t="s">
        <v>118</v>
      </c>
      <c r="AJ102" s="415"/>
      <c r="AK102" s="416" t="s">
        <v>87</v>
      </c>
    </row>
    <row r="103" spans="2:37" ht="18" customHeight="1" thickBot="1">
      <c r="B103" s="1056" t="s">
        <v>223</v>
      </c>
      <c r="C103" s="1057"/>
      <c r="D103" s="1058"/>
      <c r="E103" s="877" t="s">
        <v>220</v>
      </c>
      <c r="F103" s="878"/>
      <c r="G103" s="878"/>
      <c r="H103" s="404">
        <f>AJ103</f>
        <v>0</v>
      </c>
      <c r="I103" s="785"/>
      <c r="J103" s="405"/>
      <c r="K103" s="727"/>
      <c r="L103" s="406"/>
      <c r="M103" s="406"/>
      <c r="N103" s="406"/>
      <c r="O103" s="768"/>
      <c r="P103" s="407"/>
      <c r="Q103" s="408"/>
      <c r="R103" s="408"/>
      <c r="S103" s="759"/>
      <c r="T103" s="408"/>
      <c r="U103" s="408"/>
      <c r="V103" s="408"/>
      <c r="W103" s="408"/>
      <c r="X103" s="409"/>
      <c r="Y103" s="604"/>
      <c r="Z103" s="410">
        <f>SUM(W103:Y103)</f>
        <v>0</v>
      </c>
      <c r="AA103" s="550">
        <f t="shared" si="10"/>
        <v>0</v>
      </c>
      <c r="AB103" s="154"/>
      <c r="AC103" s="428">
        <f>IF($Z103&lt;1,ROUND($Z103,1),0)</f>
        <v>0</v>
      </c>
      <c r="AD103" s="551"/>
      <c r="AE103" s="551"/>
      <c r="AF103" s="552"/>
      <c r="AH103" s="429" t="s">
        <v>221</v>
      </c>
      <c r="AI103" s="823">
        <v>8</v>
      </c>
      <c r="AJ103" s="348"/>
      <c r="AK103" s="349" t="s">
        <v>222</v>
      </c>
    </row>
    <row r="104" spans="2:37" ht="18" customHeight="1">
      <c r="B104" s="1085" t="s">
        <v>225</v>
      </c>
      <c r="C104" s="1065" t="s">
        <v>185</v>
      </c>
      <c r="D104" s="1066"/>
      <c r="E104" s="1094" t="s">
        <v>115</v>
      </c>
      <c r="F104" s="1095"/>
      <c r="G104" s="43" t="s">
        <v>116</v>
      </c>
      <c r="H104" s="43"/>
      <c r="I104" s="786"/>
      <c r="J104" s="35">
        <v>27.79</v>
      </c>
      <c r="K104" s="698"/>
      <c r="L104" s="35">
        <v>10.61</v>
      </c>
      <c r="M104" s="35"/>
      <c r="N104" s="35"/>
      <c r="O104" s="712"/>
      <c r="P104" s="49"/>
      <c r="Q104" s="49"/>
      <c r="R104" s="49"/>
      <c r="S104" s="712"/>
      <c r="T104" s="64"/>
      <c r="U104" s="64"/>
      <c r="V104" s="64"/>
      <c r="W104" s="49"/>
      <c r="X104" s="49"/>
      <c r="Y104" s="49"/>
      <c r="Z104" s="62">
        <f t="shared" ref="Z104:Z109" si="17">SUM(J104:Y104)</f>
        <v>38.4</v>
      </c>
      <c r="AA104" s="543">
        <f t="shared" si="10"/>
        <v>40</v>
      </c>
      <c r="AB104" s="256"/>
      <c r="AC104" s="126">
        <f t="shared" ref="AC104:AC149" si="18">IF($Z104&lt;1,ROUND($Z104,1),0)</f>
        <v>0</v>
      </c>
      <c r="AD104" s="512">
        <f t="shared" ref="AD104:AD149" si="19">IF(AND($Z104&gt;=1,$Z104&lt;10),ROUND($Z104,0),0)</f>
        <v>0</v>
      </c>
      <c r="AE104" s="512">
        <f t="shared" ref="AE104:AE111" si="20">IF(AND($Z104&gt;=10,$Z104&lt;1000),ROUND($Z104,-1),0)</f>
        <v>40</v>
      </c>
      <c r="AF104" s="530">
        <f t="shared" ref="AF104:AF111" si="21">IF($Z104&gt;=1000,ROUND($Z104,-2),0)</f>
        <v>0</v>
      </c>
    </row>
    <row r="105" spans="2:37" ht="18" customHeight="1">
      <c r="B105" s="1078"/>
      <c r="C105" s="1067"/>
      <c r="D105" s="1068"/>
      <c r="E105" s="864" t="s">
        <v>117</v>
      </c>
      <c r="F105" s="857"/>
      <c r="G105" s="619" t="s">
        <v>116</v>
      </c>
      <c r="H105" s="619"/>
      <c r="I105" s="787"/>
      <c r="J105" s="47"/>
      <c r="K105" s="713"/>
      <c r="L105" s="47"/>
      <c r="M105" s="47"/>
      <c r="N105" s="47"/>
      <c r="O105" s="755">
        <v>16.170000000000002</v>
      </c>
      <c r="P105" s="47"/>
      <c r="Q105" s="342">
        <v>86.56</v>
      </c>
      <c r="R105" s="47"/>
      <c r="S105" s="713"/>
      <c r="T105" s="65"/>
      <c r="U105" s="65"/>
      <c r="V105" s="65"/>
      <c r="W105" s="47"/>
      <c r="X105" s="47"/>
      <c r="Y105" s="47"/>
      <c r="Z105" s="30">
        <f t="shared" si="17"/>
        <v>102.73</v>
      </c>
      <c r="AA105" s="544">
        <f>SUM(AC105:AF105)</f>
        <v>100</v>
      </c>
      <c r="AB105" s="264"/>
      <c r="AC105" s="127">
        <f t="shared" si="18"/>
        <v>0</v>
      </c>
      <c r="AD105" s="514">
        <f t="shared" si="19"/>
        <v>0</v>
      </c>
      <c r="AE105" s="514">
        <f t="shared" si="20"/>
        <v>100</v>
      </c>
      <c r="AF105" s="531">
        <f t="shared" si="21"/>
        <v>0</v>
      </c>
    </row>
    <row r="106" spans="2:37" ht="18" customHeight="1">
      <c r="B106" s="1078"/>
      <c r="C106" s="1067"/>
      <c r="D106" s="1068"/>
      <c r="E106" s="864" t="s">
        <v>117</v>
      </c>
      <c r="F106" s="857"/>
      <c r="G106" s="619" t="s">
        <v>118</v>
      </c>
      <c r="H106" s="619"/>
      <c r="I106" s="787"/>
      <c r="J106" s="47"/>
      <c r="K106" s="713"/>
      <c r="L106" s="47"/>
      <c r="M106" s="47"/>
      <c r="N106" s="47"/>
      <c r="O106" s="713"/>
      <c r="P106" s="342">
        <v>47.14</v>
      </c>
      <c r="Q106" s="47"/>
      <c r="R106" s="47"/>
      <c r="S106" s="713"/>
      <c r="T106" s="65"/>
      <c r="U106" s="65"/>
      <c r="V106" s="65"/>
      <c r="W106" s="47"/>
      <c r="X106" s="47"/>
      <c r="Y106" s="47"/>
      <c r="Z106" s="30">
        <f t="shared" si="17"/>
        <v>47.14</v>
      </c>
      <c r="AA106" s="544">
        <f>SUM(AC106:AF106)</f>
        <v>50</v>
      </c>
      <c r="AB106" s="264"/>
      <c r="AC106" s="127">
        <f t="shared" si="18"/>
        <v>0</v>
      </c>
      <c r="AD106" s="514">
        <f t="shared" si="19"/>
        <v>0</v>
      </c>
      <c r="AE106" s="514">
        <f t="shared" si="20"/>
        <v>50</v>
      </c>
      <c r="AF106" s="531">
        <f t="shared" si="21"/>
        <v>0</v>
      </c>
    </row>
    <row r="107" spans="2:37" ht="18" customHeight="1">
      <c r="B107" s="1078"/>
      <c r="C107" s="1069"/>
      <c r="D107" s="1070"/>
      <c r="E107" s="864" t="s">
        <v>117</v>
      </c>
      <c r="F107" s="857"/>
      <c r="G107" s="619" t="s">
        <v>118</v>
      </c>
      <c r="H107" s="619"/>
      <c r="I107" s="787"/>
      <c r="J107" s="47"/>
      <c r="K107" s="713"/>
      <c r="L107" s="47"/>
      <c r="M107" s="47"/>
      <c r="N107" s="47"/>
      <c r="O107" s="713"/>
      <c r="P107" s="47"/>
      <c r="Q107" s="47"/>
      <c r="R107" s="342">
        <v>548</v>
      </c>
      <c r="S107" s="699"/>
      <c r="T107" s="65"/>
      <c r="U107" s="65"/>
      <c r="V107" s="65"/>
      <c r="W107" s="47"/>
      <c r="X107" s="47"/>
      <c r="Y107" s="47"/>
      <c r="Z107" s="30">
        <f t="shared" si="17"/>
        <v>548</v>
      </c>
      <c r="AA107" s="544">
        <f t="shared" si="10"/>
        <v>550</v>
      </c>
      <c r="AB107" s="264"/>
      <c r="AC107" s="127">
        <f t="shared" si="18"/>
        <v>0</v>
      </c>
      <c r="AD107" s="514">
        <f t="shared" si="19"/>
        <v>0</v>
      </c>
      <c r="AE107" s="514">
        <f t="shared" si="20"/>
        <v>550</v>
      </c>
      <c r="AF107" s="531">
        <f t="shared" si="21"/>
        <v>0</v>
      </c>
    </row>
    <row r="108" spans="2:37" ht="18" customHeight="1">
      <c r="B108" s="1078"/>
      <c r="C108" s="1069"/>
      <c r="D108" s="1070"/>
      <c r="E108" s="864" t="s">
        <v>117</v>
      </c>
      <c r="F108" s="857"/>
      <c r="G108" s="619" t="s">
        <v>118</v>
      </c>
      <c r="H108" s="619"/>
      <c r="I108" s="787"/>
      <c r="J108" s="47"/>
      <c r="K108" s="713"/>
      <c r="L108" s="47"/>
      <c r="M108" s="47"/>
      <c r="N108" s="47"/>
      <c r="O108" s="713"/>
      <c r="P108" s="47"/>
      <c r="Q108" s="47"/>
      <c r="R108" s="47"/>
      <c r="S108" s="713"/>
      <c r="T108" s="26">
        <v>910.36</v>
      </c>
      <c r="U108" s="65"/>
      <c r="V108" s="65"/>
      <c r="W108" s="47"/>
      <c r="X108" s="47"/>
      <c r="Y108" s="47"/>
      <c r="Z108" s="30">
        <f t="shared" si="17"/>
        <v>910.36</v>
      </c>
      <c r="AA108" s="544">
        <f t="shared" si="10"/>
        <v>910</v>
      </c>
      <c r="AB108" s="264"/>
      <c r="AC108" s="127">
        <f t="shared" si="18"/>
        <v>0</v>
      </c>
      <c r="AD108" s="514">
        <f t="shared" si="19"/>
        <v>0</v>
      </c>
      <c r="AE108" s="514">
        <f t="shared" si="20"/>
        <v>910</v>
      </c>
      <c r="AF108" s="531">
        <f t="shared" si="21"/>
        <v>0</v>
      </c>
    </row>
    <row r="109" spans="2:37" ht="18" customHeight="1">
      <c r="B109" s="1078"/>
      <c r="C109" s="1069"/>
      <c r="D109" s="1070"/>
      <c r="E109" s="864" t="s">
        <v>117</v>
      </c>
      <c r="F109" s="857"/>
      <c r="G109" s="619" t="s">
        <v>118</v>
      </c>
      <c r="H109" s="619"/>
      <c r="I109" s="787"/>
      <c r="J109" s="47"/>
      <c r="K109" s="713"/>
      <c r="L109" s="47"/>
      <c r="M109" s="47"/>
      <c r="N109" s="47"/>
      <c r="O109" s="713"/>
      <c r="P109" s="47"/>
      <c r="Q109" s="47"/>
      <c r="R109" s="47"/>
      <c r="S109" s="713"/>
      <c r="T109" s="65"/>
      <c r="U109" s="365"/>
      <c r="V109" s="65"/>
      <c r="W109" s="47"/>
      <c r="X109" s="47"/>
      <c r="Y109" s="47"/>
      <c r="Z109" s="30">
        <f t="shared" si="17"/>
        <v>0</v>
      </c>
      <c r="AA109" s="544">
        <f t="shared" si="10"/>
        <v>0</v>
      </c>
      <c r="AB109" s="264"/>
      <c r="AC109" s="127">
        <f t="shared" si="18"/>
        <v>0</v>
      </c>
      <c r="AD109" s="514">
        <f t="shared" si="19"/>
        <v>0</v>
      </c>
      <c r="AE109" s="514">
        <f t="shared" si="20"/>
        <v>0</v>
      </c>
      <c r="AF109" s="531">
        <f t="shared" si="21"/>
        <v>0</v>
      </c>
    </row>
    <row r="110" spans="2:37" ht="18" customHeight="1">
      <c r="B110" s="1078"/>
      <c r="C110" s="1069"/>
      <c r="D110" s="1070"/>
      <c r="E110" s="864" t="s">
        <v>117</v>
      </c>
      <c r="F110" s="857"/>
      <c r="G110" s="619" t="s">
        <v>118</v>
      </c>
      <c r="H110" s="619"/>
      <c r="I110" s="787"/>
      <c r="J110" s="244"/>
      <c r="K110" s="728"/>
      <c r="L110" s="244"/>
      <c r="M110" s="244"/>
      <c r="N110" s="244"/>
      <c r="O110" s="728"/>
      <c r="P110" s="244"/>
      <c r="Q110" s="244"/>
      <c r="R110" s="244"/>
      <c r="S110" s="728"/>
      <c r="T110" s="183"/>
      <c r="U110" s="183"/>
      <c r="V110" s="365"/>
      <c r="W110" s="244"/>
      <c r="X110" s="244"/>
      <c r="Y110" s="244"/>
      <c r="Z110" s="245"/>
      <c r="AA110" s="544">
        <f>SUM(AC110:AF110)</f>
        <v>0</v>
      </c>
      <c r="AB110" s="264"/>
      <c r="AC110" s="127">
        <f t="shared" si="18"/>
        <v>0</v>
      </c>
      <c r="AD110" s="514">
        <f t="shared" si="19"/>
        <v>0</v>
      </c>
      <c r="AE110" s="514">
        <f t="shared" si="20"/>
        <v>0</v>
      </c>
      <c r="AF110" s="531">
        <f t="shared" si="21"/>
        <v>0</v>
      </c>
    </row>
    <row r="111" spans="2:37" ht="18" customHeight="1" thickBot="1">
      <c r="B111" s="1078"/>
      <c r="C111" s="1069"/>
      <c r="D111" s="1070"/>
      <c r="E111" s="847" t="s">
        <v>302</v>
      </c>
      <c r="F111" s="848"/>
      <c r="G111" s="239" t="s">
        <v>118</v>
      </c>
      <c r="H111" s="620"/>
      <c r="I111" s="783"/>
      <c r="J111" s="50"/>
      <c r="K111" s="725"/>
      <c r="L111" s="50"/>
      <c r="M111" s="50"/>
      <c r="N111" s="50"/>
      <c r="O111" s="725"/>
      <c r="P111" s="50"/>
      <c r="Q111" s="50"/>
      <c r="R111" s="50"/>
      <c r="S111" s="725"/>
      <c r="T111" s="251"/>
      <c r="U111" s="251"/>
      <c r="V111" s="251"/>
      <c r="W111" s="50"/>
      <c r="X111" s="50"/>
      <c r="Y111" s="50"/>
      <c r="Z111" s="31">
        <f t="shared" ref="Z111:Z116" si="22">SUM(J111:Y111)</f>
        <v>0</v>
      </c>
      <c r="AA111" s="545">
        <f t="shared" si="10"/>
        <v>0</v>
      </c>
      <c r="AB111" s="264"/>
      <c r="AC111" s="296">
        <f t="shared" si="18"/>
        <v>0</v>
      </c>
      <c r="AD111" s="523">
        <f t="shared" si="19"/>
        <v>0</v>
      </c>
      <c r="AE111" s="523">
        <f t="shared" si="20"/>
        <v>0</v>
      </c>
      <c r="AF111" s="546">
        <f t="shared" si="21"/>
        <v>0</v>
      </c>
    </row>
    <row r="112" spans="2:37" ht="18" customHeight="1">
      <c r="B112" s="1078"/>
      <c r="C112" s="1087" t="s">
        <v>224</v>
      </c>
      <c r="D112" s="1088"/>
      <c r="E112" s="1077" t="s">
        <v>106</v>
      </c>
      <c r="F112" s="905"/>
      <c r="G112" s="240" t="s">
        <v>116</v>
      </c>
      <c r="H112" s="255"/>
      <c r="I112" s="788"/>
      <c r="J112" s="324">
        <v>4.8</v>
      </c>
      <c r="K112" s="729"/>
      <c r="L112" s="324">
        <v>1.76</v>
      </c>
      <c r="M112" s="324"/>
      <c r="N112" s="324"/>
      <c r="O112" s="749"/>
      <c r="P112" s="59"/>
      <c r="Q112" s="324">
        <v>24.29</v>
      </c>
      <c r="R112" s="320"/>
      <c r="S112" s="749"/>
      <c r="T112" s="321"/>
      <c r="U112" s="321"/>
      <c r="V112" s="321"/>
      <c r="W112" s="320"/>
      <c r="X112" s="320"/>
      <c r="Y112" s="320"/>
      <c r="Z112" s="245">
        <f t="shared" si="22"/>
        <v>30.849999999999998</v>
      </c>
      <c r="AA112" s="615"/>
      <c r="AB112" s="256"/>
      <c r="AC112" s="197"/>
      <c r="AD112" s="521"/>
      <c r="AE112" s="521"/>
      <c r="AF112" s="548"/>
      <c r="AH112" s="208" t="s">
        <v>106</v>
      </c>
      <c r="AI112" s="809" t="s">
        <v>116</v>
      </c>
      <c r="AJ112" s="492">
        <v>4.2</v>
      </c>
      <c r="AK112" s="16" t="s">
        <v>87</v>
      </c>
    </row>
    <row r="113" spans="2:37" ht="18" customHeight="1">
      <c r="B113" s="1078"/>
      <c r="C113" s="1089"/>
      <c r="D113" s="1090"/>
      <c r="E113" s="864" t="s">
        <v>106</v>
      </c>
      <c r="F113" s="910"/>
      <c r="G113" s="619" t="s">
        <v>118</v>
      </c>
      <c r="H113" s="100"/>
      <c r="I113" s="789"/>
      <c r="J113" s="317"/>
      <c r="K113" s="730"/>
      <c r="L113" s="317"/>
      <c r="M113" s="317"/>
      <c r="N113" s="317"/>
      <c r="O113" s="708"/>
      <c r="P113" s="319">
        <v>21.76</v>
      </c>
      <c r="Q113" s="53"/>
      <c r="R113" s="342">
        <v>548</v>
      </c>
      <c r="S113" s="699"/>
      <c r="T113" s="65"/>
      <c r="U113" s="65"/>
      <c r="V113" s="65"/>
      <c r="W113" s="317"/>
      <c r="X113" s="317"/>
      <c r="Y113" s="317"/>
      <c r="Z113" s="30">
        <f t="shared" si="22"/>
        <v>569.76</v>
      </c>
      <c r="AA113" s="614"/>
      <c r="AB113" s="256"/>
      <c r="AC113" s="127"/>
      <c r="AD113" s="514"/>
      <c r="AE113" s="514"/>
      <c r="AF113" s="531"/>
      <c r="AH113" s="209" t="s">
        <v>106</v>
      </c>
      <c r="AI113" s="813">
        <v>0.1</v>
      </c>
      <c r="AJ113" s="493">
        <v>4.2</v>
      </c>
      <c r="AK113" s="17" t="s">
        <v>87</v>
      </c>
    </row>
    <row r="114" spans="2:37" ht="18" customHeight="1">
      <c r="B114" s="1078"/>
      <c r="C114" s="1089"/>
      <c r="D114" s="1090"/>
      <c r="E114" s="864" t="s">
        <v>106</v>
      </c>
      <c r="F114" s="910"/>
      <c r="G114" s="619" t="s">
        <v>118</v>
      </c>
      <c r="H114" s="100"/>
      <c r="I114" s="777"/>
      <c r="J114" s="317"/>
      <c r="K114" s="730"/>
      <c r="L114" s="317"/>
      <c r="M114" s="317"/>
      <c r="N114" s="317"/>
      <c r="O114" s="730"/>
      <c r="P114" s="317"/>
      <c r="Q114" s="317"/>
      <c r="R114" s="47"/>
      <c r="S114" s="713"/>
      <c r="T114" s="26">
        <v>910.36</v>
      </c>
      <c r="U114" s="65"/>
      <c r="V114" s="65"/>
      <c r="W114" s="317"/>
      <c r="X114" s="317"/>
      <c r="Y114" s="317"/>
      <c r="Z114" s="30">
        <f t="shared" si="22"/>
        <v>910.36</v>
      </c>
      <c r="AA114" s="614"/>
      <c r="AB114" s="256"/>
      <c r="AC114" s="127"/>
      <c r="AD114" s="514"/>
      <c r="AE114" s="514"/>
      <c r="AF114" s="531"/>
      <c r="AH114" s="209" t="s">
        <v>106</v>
      </c>
      <c r="AI114" s="813">
        <v>0.2</v>
      </c>
      <c r="AJ114" s="493">
        <v>4.2</v>
      </c>
      <c r="AK114" s="17" t="s">
        <v>87</v>
      </c>
    </row>
    <row r="115" spans="2:37" ht="18" customHeight="1">
      <c r="B115" s="1078"/>
      <c r="C115" s="1089"/>
      <c r="D115" s="1090"/>
      <c r="E115" s="864" t="s">
        <v>106</v>
      </c>
      <c r="F115" s="910"/>
      <c r="G115" s="619" t="s">
        <v>118</v>
      </c>
      <c r="H115" s="100"/>
      <c r="I115" s="789"/>
      <c r="J115" s="317"/>
      <c r="K115" s="730"/>
      <c r="L115" s="317"/>
      <c r="M115" s="317"/>
      <c r="N115" s="317"/>
      <c r="O115" s="730"/>
      <c r="P115" s="317"/>
      <c r="Q115" s="317"/>
      <c r="R115" s="47"/>
      <c r="S115" s="713"/>
      <c r="T115" s="65"/>
      <c r="U115" s="365"/>
      <c r="V115" s="65"/>
      <c r="W115" s="317"/>
      <c r="X115" s="317"/>
      <c r="Y115" s="317"/>
      <c r="Z115" s="30">
        <f t="shared" si="22"/>
        <v>0</v>
      </c>
      <c r="AA115" s="614"/>
      <c r="AB115" s="256"/>
      <c r="AC115" s="127"/>
      <c r="AD115" s="514"/>
      <c r="AE115" s="514"/>
      <c r="AF115" s="531"/>
      <c r="AH115" s="209" t="s">
        <v>106</v>
      </c>
      <c r="AI115" s="813">
        <v>0.35</v>
      </c>
      <c r="AJ115" s="493">
        <v>4.2</v>
      </c>
      <c r="AK115" s="17" t="s">
        <v>87</v>
      </c>
    </row>
    <row r="116" spans="2:37" ht="18" customHeight="1" thickBot="1">
      <c r="B116" s="1078"/>
      <c r="C116" s="1089"/>
      <c r="D116" s="1090"/>
      <c r="E116" s="864" t="s">
        <v>106</v>
      </c>
      <c r="F116" s="910"/>
      <c r="G116" s="619" t="s">
        <v>118</v>
      </c>
      <c r="H116" s="100"/>
      <c r="I116" s="777"/>
      <c r="J116" s="317"/>
      <c r="K116" s="730"/>
      <c r="L116" s="317"/>
      <c r="M116" s="317"/>
      <c r="N116" s="317"/>
      <c r="O116" s="730"/>
      <c r="P116" s="317"/>
      <c r="Q116" s="317"/>
      <c r="R116" s="47"/>
      <c r="S116" s="713"/>
      <c r="T116" s="65"/>
      <c r="U116" s="65"/>
      <c r="V116" s="559"/>
      <c r="W116" s="317"/>
      <c r="X116" s="317"/>
      <c r="Y116" s="317"/>
      <c r="Z116" s="30">
        <f t="shared" si="22"/>
        <v>0</v>
      </c>
      <c r="AA116" s="614"/>
      <c r="AB116" s="256"/>
      <c r="AC116" s="127"/>
      <c r="AD116" s="514"/>
      <c r="AE116" s="514"/>
      <c r="AF116" s="531"/>
      <c r="AH116" s="210" t="s">
        <v>106</v>
      </c>
      <c r="AI116" s="817">
        <v>0.6</v>
      </c>
      <c r="AJ116" s="494">
        <v>4.2</v>
      </c>
      <c r="AK116" s="18" t="s">
        <v>87</v>
      </c>
    </row>
    <row r="117" spans="2:37" ht="18" customHeight="1" thickBot="1">
      <c r="B117" s="1086"/>
      <c r="C117" s="1091"/>
      <c r="D117" s="1092"/>
      <c r="E117" s="617"/>
      <c r="F117" s="618"/>
      <c r="G117" s="329"/>
      <c r="H117" s="605"/>
      <c r="I117" s="790"/>
      <c r="J117" s="935"/>
      <c r="K117" s="936"/>
      <c r="L117" s="936"/>
      <c r="M117" s="936"/>
      <c r="N117" s="936"/>
      <c r="O117" s="936"/>
      <c r="P117" s="936"/>
      <c r="Q117" s="936"/>
      <c r="R117" s="936"/>
      <c r="S117" s="936"/>
      <c r="T117" s="936"/>
      <c r="U117" s="936"/>
      <c r="V117" s="936"/>
      <c r="W117" s="936"/>
      <c r="X117" s="936"/>
      <c r="Y117" s="937"/>
      <c r="Z117" s="625">
        <f>SUM(Z112:Z116)</f>
        <v>1510.97</v>
      </c>
      <c r="AA117" s="631">
        <f>SUM(AC117:AF117)</f>
        <v>1510</v>
      </c>
      <c r="AB117" s="12"/>
      <c r="AC117" s="295">
        <f>IF($Z117&lt;1,ROUND($Z117,1),0)</f>
        <v>0</v>
      </c>
      <c r="AD117" s="528">
        <f t="shared" si="19"/>
        <v>0</v>
      </c>
      <c r="AE117" s="528">
        <f t="shared" ref="AE117" si="23">IF($Z117&gt;=10,ROUND($Z117,-1),0)</f>
        <v>1510</v>
      </c>
      <c r="AF117" s="626"/>
    </row>
    <row r="118" spans="2:37" ht="18" customHeight="1">
      <c r="B118" s="1078" t="s">
        <v>228</v>
      </c>
      <c r="C118" s="1101" t="s">
        <v>226</v>
      </c>
      <c r="D118" s="1019"/>
      <c r="E118" s="851" t="s">
        <v>106</v>
      </c>
      <c r="F118" s="852"/>
      <c r="G118" s="622" t="s">
        <v>118</v>
      </c>
      <c r="H118" s="622"/>
      <c r="I118" s="791"/>
      <c r="J118" s="46"/>
      <c r="K118" s="731"/>
      <c r="L118" s="46"/>
      <c r="M118" s="46"/>
      <c r="N118" s="46"/>
      <c r="O118" s="731"/>
      <c r="P118" s="46"/>
      <c r="Q118" s="46"/>
      <c r="R118" s="434">
        <v>458.4</v>
      </c>
      <c r="S118" s="721"/>
      <c r="T118" s="46"/>
      <c r="U118" s="46"/>
      <c r="V118" s="46"/>
      <c r="W118" s="46"/>
      <c r="X118" s="46"/>
      <c r="Y118" s="46"/>
      <c r="Z118" s="243">
        <f>SUM(J118:Y118)</f>
        <v>458.4</v>
      </c>
      <c r="AA118" s="615"/>
      <c r="AB118" s="256"/>
      <c r="AC118" s="126"/>
      <c r="AD118" s="512"/>
      <c r="AE118" s="512"/>
      <c r="AF118" s="530"/>
    </row>
    <row r="119" spans="2:37" ht="18" customHeight="1">
      <c r="B119" s="1078"/>
      <c r="C119" s="917"/>
      <c r="D119" s="918"/>
      <c r="E119" s="864" t="s">
        <v>106</v>
      </c>
      <c r="F119" s="910"/>
      <c r="G119" s="619" t="s">
        <v>118</v>
      </c>
      <c r="H119" s="619"/>
      <c r="I119" s="792"/>
      <c r="J119" s="47"/>
      <c r="K119" s="713"/>
      <c r="L119" s="47"/>
      <c r="M119" s="47"/>
      <c r="N119" s="47"/>
      <c r="O119" s="713"/>
      <c r="P119" s="47"/>
      <c r="Q119" s="47"/>
      <c r="R119" s="47"/>
      <c r="S119" s="713"/>
      <c r="T119" s="559">
        <v>877.96</v>
      </c>
      <c r="U119" s="47"/>
      <c r="V119" s="47"/>
      <c r="W119" s="47"/>
      <c r="X119" s="47"/>
      <c r="Y119" s="47"/>
      <c r="Z119" s="30">
        <f>SUM(J119:Y119)</f>
        <v>877.96</v>
      </c>
      <c r="AA119" s="614"/>
      <c r="AB119" s="256"/>
      <c r="AC119" s="127"/>
      <c r="AD119" s="514"/>
      <c r="AE119" s="514"/>
      <c r="AF119" s="531"/>
    </row>
    <row r="120" spans="2:37" ht="18" customHeight="1">
      <c r="B120" s="1078"/>
      <c r="C120" s="917"/>
      <c r="D120" s="918"/>
      <c r="E120" s="864" t="s">
        <v>106</v>
      </c>
      <c r="F120" s="910"/>
      <c r="G120" s="619" t="s">
        <v>118</v>
      </c>
      <c r="H120" s="619"/>
      <c r="I120" s="793"/>
      <c r="J120" s="560"/>
      <c r="K120" s="713"/>
      <c r="L120" s="47"/>
      <c r="M120" s="47"/>
      <c r="N120" s="47"/>
      <c r="O120" s="713"/>
      <c r="P120" s="47"/>
      <c r="Q120" s="47"/>
      <c r="R120" s="47"/>
      <c r="S120" s="713"/>
      <c r="T120" s="47"/>
      <c r="U120" s="559"/>
      <c r="V120" s="47"/>
      <c r="W120" s="47"/>
      <c r="X120" s="47"/>
      <c r="Y120" s="47"/>
      <c r="Z120" s="30">
        <f>SUM(J120:Y120)</f>
        <v>0</v>
      </c>
      <c r="AA120" s="614"/>
      <c r="AB120" s="256"/>
      <c r="AC120" s="127"/>
      <c r="AD120" s="514"/>
      <c r="AE120" s="514"/>
      <c r="AF120" s="531"/>
    </row>
    <row r="121" spans="2:37" ht="18" customHeight="1">
      <c r="B121" s="1078"/>
      <c r="C121" s="917"/>
      <c r="D121" s="918"/>
      <c r="E121" s="864" t="s">
        <v>106</v>
      </c>
      <c r="F121" s="910"/>
      <c r="G121" s="619" t="s">
        <v>118</v>
      </c>
      <c r="H121" s="619"/>
      <c r="I121" s="793"/>
      <c r="J121" s="560"/>
      <c r="K121" s="713"/>
      <c r="L121" s="47"/>
      <c r="M121" s="47"/>
      <c r="N121" s="47"/>
      <c r="O121" s="713"/>
      <c r="P121" s="47"/>
      <c r="Q121" s="47"/>
      <c r="R121" s="47"/>
      <c r="S121" s="713"/>
      <c r="T121" s="47"/>
      <c r="U121" s="47"/>
      <c r="V121" s="559"/>
      <c r="W121" s="47"/>
      <c r="X121" s="47"/>
      <c r="Y121" s="47"/>
      <c r="Z121" s="30">
        <f>SUM(J121:Y121)</f>
        <v>0</v>
      </c>
      <c r="AA121" s="627"/>
      <c r="AB121" s="256"/>
      <c r="AC121" s="127"/>
      <c r="AD121" s="514"/>
      <c r="AE121" s="514"/>
      <c r="AF121" s="531"/>
    </row>
    <row r="122" spans="2:37" ht="18" customHeight="1" thickBot="1">
      <c r="B122" s="1078"/>
      <c r="C122" s="919"/>
      <c r="D122" s="920"/>
      <c r="E122" s="617"/>
      <c r="F122" s="618"/>
      <c r="G122" s="329"/>
      <c r="H122" s="605"/>
      <c r="I122" s="790"/>
      <c r="J122" s="935"/>
      <c r="K122" s="936"/>
      <c r="L122" s="936"/>
      <c r="M122" s="936"/>
      <c r="N122" s="936"/>
      <c r="O122" s="936"/>
      <c r="P122" s="936"/>
      <c r="Q122" s="936"/>
      <c r="R122" s="936"/>
      <c r="S122" s="936"/>
      <c r="T122" s="936"/>
      <c r="U122" s="936"/>
      <c r="V122" s="936"/>
      <c r="W122" s="936"/>
      <c r="X122" s="936"/>
      <c r="Y122" s="937"/>
      <c r="Z122" s="625">
        <f>SUM(Z118:Z121)</f>
        <v>1336.3600000000001</v>
      </c>
      <c r="AA122" s="631">
        <f>SUM(AC122:AF122)</f>
        <v>1300</v>
      </c>
      <c r="AB122" s="12"/>
      <c r="AC122" s="632">
        <f>IF($Z122&lt;1,ROUND($Z122,1),0)</f>
        <v>0</v>
      </c>
      <c r="AD122" s="633">
        <f t="shared" si="19"/>
        <v>0</v>
      </c>
      <c r="AE122" s="633">
        <f>IF(AND($Z122&gt;=10,$Z122&lt;1000),ROUND($Z122,-1),0)</f>
        <v>0</v>
      </c>
      <c r="AF122" s="634">
        <f>IF($Z122&gt;=1000,ROUND($Z122,-2),0)</f>
        <v>1300</v>
      </c>
    </row>
    <row r="123" spans="2:37" ht="18" customHeight="1">
      <c r="B123" s="1078"/>
      <c r="C123" s="1102" t="s">
        <v>242</v>
      </c>
      <c r="D123" s="1103"/>
      <c r="E123" s="1077" t="s">
        <v>106</v>
      </c>
      <c r="F123" s="928"/>
      <c r="G123" s="240" t="s">
        <v>118</v>
      </c>
      <c r="H123" s="255"/>
      <c r="I123" s="794"/>
      <c r="J123" s="46"/>
      <c r="K123" s="731"/>
      <c r="L123" s="46"/>
      <c r="M123" s="46"/>
      <c r="N123" s="46"/>
      <c r="O123" s="731"/>
      <c r="P123" s="46"/>
      <c r="Q123" s="46"/>
      <c r="R123" s="606">
        <f>R118</f>
        <v>458.4</v>
      </c>
      <c r="S123" s="760">
        <f>S118</f>
        <v>0</v>
      </c>
      <c r="T123" s="173"/>
      <c r="U123" s="173"/>
      <c r="V123" s="173"/>
      <c r="W123" s="46"/>
      <c r="X123" s="46"/>
      <c r="Y123" s="46"/>
      <c r="Z123" s="243">
        <f>SUM(J123:Y123)</f>
        <v>458.4</v>
      </c>
      <c r="AA123" s="615"/>
      <c r="AB123" s="256"/>
      <c r="AC123" s="126"/>
      <c r="AD123" s="512"/>
      <c r="AE123" s="512"/>
      <c r="AF123" s="530"/>
      <c r="AH123" s="208" t="s">
        <v>106</v>
      </c>
      <c r="AI123" s="346"/>
      <c r="AJ123" s="492">
        <v>4.2</v>
      </c>
      <c r="AK123" s="16" t="s">
        <v>87</v>
      </c>
    </row>
    <row r="124" spans="2:37" ht="18" customHeight="1" thickBot="1">
      <c r="B124" s="1078"/>
      <c r="C124" s="1104"/>
      <c r="D124" s="1105"/>
      <c r="E124" s="864" t="s">
        <v>106</v>
      </c>
      <c r="F124" s="910"/>
      <c r="G124" s="619" t="s">
        <v>118</v>
      </c>
      <c r="H124" s="100"/>
      <c r="I124" s="795"/>
      <c r="J124" s="47"/>
      <c r="K124" s="713"/>
      <c r="L124" s="47"/>
      <c r="M124" s="47"/>
      <c r="N124" s="47"/>
      <c r="O124" s="713"/>
      <c r="P124" s="47"/>
      <c r="Q124" s="47"/>
      <c r="R124" s="47"/>
      <c r="S124" s="713"/>
      <c r="T124" s="607">
        <f>T119</f>
        <v>877.96</v>
      </c>
      <c r="U124" s="65"/>
      <c r="V124" s="65"/>
      <c r="W124" s="47"/>
      <c r="X124" s="47"/>
      <c r="Y124" s="47"/>
      <c r="Z124" s="30">
        <f>SUM(J124:Y124)</f>
        <v>877.96</v>
      </c>
      <c r="AA124" s="614"/>
      <c r="AB124" s="256"/>
      <c r="AC124" s="127"/>
      <c r="AD124" s="514"/>
      <c r="AE124" s="514"/>
      <c r="AF124" s="531"/>
      <c r="AH124" s="210" t="s">
        <v>106</v>
      </c>
      <c r="AI124" s="345"/>
      <c r="AJ124" s="494">
        <v>4.2</v>
      </c>
      <c r="AK124" s="18" t="s">
        <v>87</v>
      </c>
    </row>
    <row r="125" spans="2:37" ht="18" customHeight="1" thickBot="1">
      <c r="B125" s="1078"/>
      <c r="C125" s="1104"/>
      <c r="D125" s="1105"/>
      <c r="E125" s="864" t="s">
        <v>106</v>
      </c>
      <c r="F125" s="910"/>
      <c r="G125" s="619" t="s">
        <v>118</v>
      </c>
      <c r="H125" s="100"/>
      <c r="I125" s="795"/>
      <c r="J125" s="47"/>
      <c r="K125" s="713"/>
      <c r="L125" s="47"/>
      <c r="M125" s="47"/>
      <c r="N125" s="47"/>
      <c r="O125" s="713"/>
      <c r="P125" s="47"/>
      <c r="Q125" s="47"/>
      <c r="R125" s="47"/>
      <c r="S125" s="713"/>
      <c r="T125" s="65"/>
      <c r="U125" s="607">
        <f>U120</f>
        <v>0</v>
      </c>
      <c r="V125" s="65"/>
      <c r="W125" s="47"/>
      <c r="X125" s="47"/>
      <c r="Y125" s="47"/>
      <c r="Z125" s="30">
        <f>SUM(J125:Y125)</f>
        <v>0</v>
      </c>
      <c r="AA125" s="614"/>
      <c r="AB125" s="256"/>
      <c r="AC125" s="127"/>
      <c r="AD125" s="514"/>
      <c r="AE125" s="514"/>
      <c r="AF125" s="531"/>
      <c r="AH125" s="210" t="s">
        <v>106</v>
      </c>
      <c r="AI125" s="345"/>
      <c r="AJ125" s="494">
        <v>4.2</v>
      </c>
      <c r="AK125" s="18" t="s">
        <v>87</v>
      </c>
    </row>
    <row r="126" spans="2:37" ht="18" customHeight="1" thickBot="1">
      <c r="B126" s="1078"/>
      <c r="C126" s="1104"/>
      <c r="D126" s="1105"/>
      <c r="E126" s="851" t="s">
        <v>106</v>
      </c>
      <c r="F126" s="1141"/>
      <c r="G126" s="622" t="s">
        <v>118</v>
      </c>
      <c r="H126" s="258"/>
      <c r="I126" s="796"/>
      <c r="J126" s="46"/>
      <c r="K126" s="731"/>
      <c r="L126" s="46"/>
      <c r="M126" s="46"/>
      <c r="N126" s="46"/>
      <c r="O126" s="731"/>
      <c r="P126" s="46"/>
      <c r="Q126" s="46"/>
      <c r="R126" s="46"/>
      <c r="S126" s="731"/>
      <c r="T126" s="173"/>
      <c r="U126" s="173"/>
      <c r="V126" s="628">
        <f>V121</f>
        <v>0</v>
      </c>
      <c r="W126" s="46"/>
      <c r="X126" s="46"/>
      <c r="Y126" s="46"/>
      <c r="Z126" s="243">
        <f>SUM(J126:Y126)</f>
        <v>0</v>
      </c>
      <c r="AA126" s="614"/>
      <c r="AB126" s="256"/>
      <c r="AC126" s="127"/>
      <c r="AD126" s="514"/>
      <c r="AE126" s="514"/>
      <c r="AF126" s="531"/>
      <c r="AH126" s="210" t="s">
        <v>106</v>
      </c>
      <c r="AI126" s="345"/>
      <c r="AJ126" s="494">
        <v>4.2</v>
      </c>
      <c r="AK126" s="18" t="s">
        <v>87</v>
      </c>
    </row>
    <row r="127" spans="2:37" ht="18" customHeight="1" thickBot="1">
      <c r="B127" s="1078"/>
      <c r="C127" s="1104"/>
      <c r="D127" s="1105"/>
      <c r="E127" s="617"/>
      <c r="F127" s="618"/>
      <c r="G127" s="329"/>
      <c r="H127" s="605"/>
      <c r="I127" s="790"/>
      <c r="J127" s="935"/>
      <c r="K127" s="936"/>
      <c r="L127" s="936"/>
      <c r="M127" s="936"/>
      <c r="N127" s="936"/>
      <c r="O127" s="936"/>
      <c r="P127" s="936"/>
      <c r="Q127" s="936"/>
      <c r="R127" s="936"/>
      <c r="S127" s="936"/>
      <c r="T127" s="936"/>
      <c r="U127" s="936"/>
      <c r="V127" s="936"/>
      <c r="W127" s="936"/>
      <c r="X127" s="936"/>
      <c r="Y127" s="937"/>
      <c r="Z127" s="625">
        <f>SUM(Z123:Z126)</f>
        <v>1336.3600000000001</v>
      </c>
      <c r="AA127" s="631">
        <f>SUM(AC127:AF127)</f>
        <v>1340</v>
      </c>
      <c r="AB127" s="12"/>
      <c r="AC127" s="128">
        <f t="shared" si="18"/>
        <v>0</v>
      </c>
      <c r="AD127" s="516">
        <f t="shared" si="19"/>
        <v>0</v>
      </c>
      <c r="AE127" s="516">
        <f>IF($Z127&gt;=10,ROUND($Z127,-1),0)</f>
        <v>1340</v>
      </c>
      <c r="AF127" s="532"/>
    </row>
    <row r="128" spans="2:37" ht="18" customHeight="1">
      <c r="B128" s="1078"/>
      <c r="C128" s="1071" t="s">
        <v>186</v>
      </c>
      <c r="D128" s="1072"/>
      <c r="E128" s="1077" t="s">
        <v>120</v>
      </c>
      <c r="F128" s="928"/>
      <c r="G128" s="622" t="s">
        <v>118</v>
      </c>
      <c r="H128" s="622" t="s">
        <v>251</v>
      </c>
      <c r="I128" s="782"/>
      <c r="J128" s="60">
        <v>22.99</v>
      </c>
      <c r="K128" s="702"/>
      <c r="L128" s="60">
        <v>8.85</v>
      </c>
      <c r="M128" s="60"/>
      <c r="N128" s="60"/>
      <c r="O128" s="707"/>
      <c r="P128" s="60">
        <v>7.25</v>
      </c>
      <c r="Q128" s="59"/>
      <c r="R128" s="53"/>
      <c r="S128" s="707"/>
      <c r="T128" s="242"/>
      <c r="U128" s="242"/>
      <c r="V128" s="242"/>
      <c r="W128" s="59"/>
      <c r="X128" s="59"/>
      <c r="Y128" s="59"/>
      <c r="Z128" s="243">
        <f t="shared" ref="Z128:Z145" si="24">SUM(J128:Y128)</f>
        <v>39.089999999999996</v>
      </c>
      <c r="AA128" s="547">
        <f t="shared" si="10"/>
        <v>40</v>
      </c>
      <c r="AB128" s="264"/>
      <c r="AC128" s="197">
        <f t="shared" si="18"/>
        <v>0</v>
      </c>
      <c r="AD128" s="521">
        <f t="shared" si="19"/>
        <v>0</v>
      </c>
      <c r="AE128" s="521">
        <f>IF(AND($Z128&gt;=10,$Z128&lt;1000),ROUND($Z128,-1),0)</f>
        <v>40</v>
      </c>
      <c r="AF128" s="548">
        <f>IF($Z128&gt;=1000,ROUND($Z128,-2),0)</f>
        <v>0</v>
      </c>
    </row>
    <row r="129" spans="2:37" ht="18" customHeight="1">
      <c r="B129" s="1078"/>
      <c r="C129" s="1073"/>
      <c r="D129" s="1074"/>
      <c r="E129" s="864" t="s">
        <v>120</v>
      </c>
      <c r="F129" s="910"/>
      <c r="G129" s="619" t="s">
        <v>118</v>
      </c>
      <c r="H129" s="622" t="s">
        <v>251</v>
      </c>
      <c r="I129" s="787"/>
      <c r="J129" s="53"/>
      <c r="K129" s="708"/>
      <c r="L129" s="53"/>
      <c r="M129" s="53"/>
      <c r="N129" s="53"/>
      <c r="O129" s="750">
        <v>8.82</v>
      </c>
      <c r="P129" s="53"/>
      <c r="Q129" s="319">
        <v>62.27</v>
      </c>
      <c r="R129" s="319">
        <v>407.16</v>
      </c>
      <c r="S129" s="699"/>
      <c r="T129" s="65"/>
      <c r="U129" s="65"/>
      <c r="V129" s="103"/>
      <c r="W129" s="53"/>
      <c r="X129" s="53"/>
      <c r="Y129" s="53"/>
      <c r="Z129" s="30">
        <f t="shared" si="24"/>
        <v>478.25</v>
      </c>
      <c r="AA129" s="544">
        <f>SUM(AC129:AF129)</f>
        <v>480</v>
      </c>
      <c r="AB129" s="264"/>
      <c r="AC129" s="127">
        <f t="shared" si="18"/>
        <v>0</v>
      </c>
      <c r="AD129" s="514">
        <f t="shared" si="19"/>
        <v>0</v>
      </c>
      <c r="AE129" s="514">
        <f t="shared" ref="AE129:AE139" si="25">IF(AND($Z129&gt;=10,$Z129&lt;1000),ROUND($Z129,-1),0)</f>
        <v>480</v>
      </c>
      <c r="AF129" s="531">
        <f t="shared" ref="AF129:AF139" si="26">IF($Z129&gt;=1000,ROUND($Z129,-2),0)</f>
        <v>0</v>
      </c>
    </row>
    <row r="130" spans="2:37" ht="18" customHeight="1">
      <c r="B130" s="1078"/>
      <c r="C130" s="1073"/>
      <c r="D130" s="1074"/>
      <c r="E130" s="864" t="s">
        <v>120</v>
      </c>
      <c r="F130" s="910"/>
      <c r="G130" s="619" t="s">
        <v>118</v>
      </c>
      <c r="H130" s="622" t="s">
        <v>251</v>
      </c>
      <c r="I130" s="787"/>
      <c r="J130" s="53"/>
      <c r="K130" s="708"/>
      <c r="L130" s="53"/>
      <c r="M130" s="53"/>
      <c r="N130" s="53"/>
      <c r="O130" s="708"/>
      <c r="P130" s="53"/>
      <c r="Q130" s="53"/>
      <c r="R130" s="53"/>
      <c r="S130" s="713"/>
      <c r="T130" s="26">
        <v>788.18</v>
      </c>
      <c r="U130" s="65"/>
      <c r="V130" s="103"/>
      <c r="W130" s="53"/>
      <c r="X130" s="53"/>
      <c r="Y130" s="53"/>
      <c r="Z130" s="30">
        <f t="shared" si="24"/>
        <v>788.18</v>
      </c>
      <c r="AA130" s="544">
        <f t="shared" si="10"/>
        <v>790</v>
      </c>
      <c r="AB130" s="264"/>
      <c r="AC130" s="127">
        <f t="shared" si="18"/>
        <v>0</v>
      </c>
      <c r="AD130" s="514">
        <f t="shared" si="19"/>
        <v>0</v>
      </c>
      <c r="AE130" s="514">
        <f t="shared" si="25"/>
        <v>790</v>
      </c>
      <c r="AF130" s="531">
        <f t="shared" si="26"/>
        <v>0</v>
      </c>
    </row>
    <row r="131" spans="2:37" ht="18" customHeight="1">
      <c r="B131" s="1078"/>
      <c r="C131" s="1073"/>
      <c r="D131" s="1074"/>
      <c r="E131" s="864" t="s">
        <v>120</v>
      </c>
      <c r="F131" s="910"/>
      <c r="G131" s="619" t="s">
        <v>118</v>
      </c>
      <c r="H131" s="622" t="s">
        <v>251</v>
      </c>
      <c r="I131" s="787"/>
      <c r="J131" s="53"/>
      <c r="K131" s="708"/>
      <c r="L131" s="53"/>
      <c r="M131" s="53"/>
      <c r="N131" s="53"/>
      <c r="O131" s="708"/>
      <c r="P131" s="53"/>
      <c r="Q131" s="53"/>
      <c r="R131" s="53"/>
      <c r="S131" s="713"/>
      <c r="T131" s="65"/>
      <c r="U131" s="365"/>
      <c r="V131" s="103"/>
      <c r="W131" s="53"/>
      <c r="X131" s="53"/>
      <c r="Y131" s="53"/>
      <c r="Z131" s="30">
        <f t="shared" si="24"/>
        <v>0</v>
      </c>
      <c r="AA131" s="544">
        <f t="shared" si="10"/>
        <v>0</v>
      </c>
      <c r="AB131" s="264"/>
      <c r="AC131" s="127">
        <f t="shared" si="18"/>
        <v>0</v>
      </c>
      <c r="AD131" s="514">
        <f t="shared" si="19"/>
        <v>0</v>
      </c>
      <c r="AE131" s="514">
        <f t="shared" si="25"/>
        <v>0</v>
      </c>
      <c r="AF131" s="531">
        <f t="shared" si="26"/>
        <v>0</v>
      </c>
    </row>
    <row r="132" spans="2:37" ht="18" customHeight="1">
      <c r="B132" s="1078"/>
      <c r="C132" s="1073"/>
      <c r="D132" s="1074"/>
      <c r="E132" s="864" t="s">
        <v>120</v>
      </c>
      <c r="F132" s="910"/>
      <c r="G132" s="619" t="s">
        <v>118</v>
      </c>
      <c r="H132" s="622" t="s">
        <v>251</v>
      </c>
      <c r="I132" s="787"/>
      <c r="J132" s="53"/>
      <c r="K132" s="708"/>
      <c r="L132" s="53"/>
      <c r="M132" s="53"/>
      <c r="N132" s="53"/>
      <c r="O132" s="708"/>
      <c r="P132" s="53"/>
      <c r="Q132" s="53"/>
      <c r="R132" s="53"/>
      <c r="S132" s="708"/>
      <c r="T132" s="103"/>
      <c r="U132" s="103"/>
      <c r="V132" s="55"/>
      <c r="W132" s="53"/>
      <c r="X132" s="53"/>
      <c r="Y132" s="53"/>
      <c r="Z132" s="30">
        <f t="shared" si="24"/>
        <v>0</v>
      </c>
      <c r="AA132" s="544">
        <f t="shared" si="10"/>
        <v>0</v>
      </c>
      <c r="AB132" s="264"/>
      <c r="AC132" s="127">
        <f t="shared" si="18"/>
        <v>0</v>
      </c>
      <c r="AD132" s="514">
        <f t="shared" si="19"/>
        <v>0</v>
      </c>
      <c r="AE132" s="514">
        <f t="shared" si="25"/>
        <v>0</v>
      </c>
      <c r="AF132" s="531">
        <f t="shared" si="26"/>
        <v>0</v>
      </c>
    </row>
    <row r="133" spans="2:37" ht="18" customHeight="1">
      <c r="B133" s="1078"/>
      <c r="C133" s="1073"/>
      <c r="D133" s="1074"/>
      <c r="E133" s="864" t="s">
        <v>128</v>
      </c>
      <c r="F133" s="910"/>
      <c r="G133" s="619" t="s">
        <v>118</v>
      </c>
      <c r="H133" s="622" t="s">
        <v>251</v>
      </c>
      <c r="I133" s="787"/>
      <c r="J133" s="482"/>
      <c r="K133" s="732"/>
      <c r="L133" s="482"/>
      <c r="M133" s="482"/>
      <c r="N133" s="482"/>
      <c r="O133" s="708"/>
      <c r="P133" s="482"/>
      <c r="Q133" s="53"/>
      <c r="R133" s="53"/>
      <c r="S133" s="761"/>
      <c r="T133" s="103"/>
      <c r="U133" s="103"/>
      <c r="V133" s="103"/>
      <c r="W133" s="53"/>
      <c r="X133" s="53"/>
      <c r="Y133" s="53"/>
      <c r="Z133" s="30">
        <f t="shared" si="24"/>
        <v>0</v>
      </c>
      <c r="AA133" s="544">
        <f>SUM(AC133:AF133)</f>
        <v>0</v>
      </c>
      <c r="AB133" s="264"/>
      <c r="AC133" s="127">
        <f t="shared" si="18"/>
        <v>0</v>
      </c>
      <c r="AD133" s="514">
        <f t="shared" si="19"/>
        <v>0</v>
      </c>
      <c r="AE133" s="514">
        <f t="shared" si="25"/>
        <v>0</v>
      </c>
      <c r="AF133" s="531">
        <f t="shared" si="26"/>
        <v>0</v>
      </c>
    </row>
    <row r="134" spans="2:37" ht="18" customHeight="1">
      <c r="B134" s="1078"/>
      <c r="C134" s="1073"/>
      <c r="D134" s="1074"/>
      <c r="E134" s="864" t="s">
        <v>128</v>
      </c>
      <c r="F134" s="910"/>
      <c r="G134" s="619" t="s">
        <v>118</v>
      </c>
      <c r="H134" s="622" t="s">
        <v>251</v>
      </c>
      <c r="I134" s="787"/>
      <c r="J134" s="53"/>
      <c r="K134" s="708"/>
      <c r="L134" s="53"/>
      <c r="M134" s="53"/>
      <c r="N134" s="53"/>
      <c r="O134" s="732"/>
      <c r="P134" s="53"/>
      <c r="Q134" s="762"/>
      <c r="R134" s="762"/>
      <c r="S134" s="762"/>
      <c r="T134" s="103"/>
      <c r="U134" s="103"/>
      <c r="V134" s="103"/>
      <c r="W134" s="53"/>
      <c r="X134" s="53"/>
      <c r="Y134" s="53"/>
      <c r="Z134" s="30">
        <f t="shared" si="24"/>
        <v>0</v>
      </c>
      <c r="AA134" s="544">
        <f t="shared" si="10"/>
        <v>0</v>
      </c>
      <c r="AB134" s="264"/>
      <c r="AC134" s="127">
        <f t="shared" si="18"/>
        <v>0</v>
      </c>
      <c r="AD134" s="514">
        <f t="shared" si="19"/>
        <v>0</v>
      </c>
      <c r="AE134" s="514">
        <f t="shared" si="25"/>
        <v>0</v>
      </c>
      <c r="AF134" s="531">
        <f t="shared" si="26"/>
        <v>0</v>
      </c>
    </row>
    <row r="135" spans="2:37" ht="18" customHeight="1">
      <c r="B135" s="1078"/>
      <c r="C135" s="1073"/>
      <c r="D135" s="1074"/>
      <c r="E135" s="864" t="s">
        <v>128</v>
      </c>
      <c r="F135" s="910"/>
      <c r="G135" s="619" t="s">
        <v>118</v>
      </c>
      <c r="H135" s="622" t="s">
        <v>251</v>
      </c>
      <c r="I135" s="787"/>
      <c r="J135" s="53"/>
      <c r="K135" s="708"/>
      <c r="L135" s="53"/>
      <c r="M135" s="53"/>
      <c r="N135" s="53"/>
      <c r="O135" s="708"/>
      <c r="P135" s="53"/>
      <c r="Q135" s="53"/>
      <c r="R135" s="53"/>
      <c r="S135" s="708"/>
      <c r="T135" s="483"/>
      <c r="U135" s="103"/>
      <c r="V135" s="103"/>
      <c r="W135" s="53"/>
      <c r="X135" s="53"/>
      <c r="Y135" s="53"/>
      <c r="Z135" s="30">
        <f t="shared" si="24"/>
        <v>0</v>
      </c>
      <c r="AA135" s="544">
        <f t="shared" si="10"/>
        <v>0</v>
      </c>
      <c r="AB135" s="264"/>
      <c r="AC135" s="127">
        <f t="shared" si="18"/>
        <v>0</v>
      </c>
      <c r="AD135" s="514">
        <f t="shared" si="19"/>
        <v>0</v>
      </c>
      <c r="AE135" s="514">
        <f t="shared" si="25"/>
        <v>0</v>
      </c>
      <c r="AF135" s="531">
        <f t="shared" si="26"/>
        <v>0</v>
      </c>
    </row>
    <row r="136" spans="2:37" ht="18" customHeight="1">
      <c r="B136" s="1078"/>
      <c r="C136" s="1073"/>
      <c r="D136" s="1074"/>
      <c r="E136" s="864" t="s">
        <v>128</v>
      </c>
      <c r="F136" s="910"/>
      <c r="G136" s="619" t="s">
        <v>118</v>
      </c>
      <c r="H136" s="622" t="s">
        <v>251</v>
      </c>
      <c r="I136" s="787"/>
      <c r="J136" s="53"/>
      <c r="K136" s="708"/>
      <c r="L136" s="53"/>
      <c r="M136" s="53"/>
      <c r="N136" s="53"/>
      <c r="O136" s="708"/>
      <c r="P136" s="53"/>
      <c r="Q136" s="53"/>
      <c r="R136" s="53"/>
      <c r="S136" s="708"/>
      <c r="T136" s="103"/>
      <c r="U136" s="483"/>
      <c r="V136" s="103"/>
      <c r="W136" s="53"/>
      <c r="X136" s="53"/>
      <c r="Y136" s="53"/>
      <c r="Z136" s="30">
        <f t="shared" si="24"/>
        <v>0</v>
      </c>
      <c r="AA136" s="544">
        <f t="shared" si="10"/>
        <v>0</v>
      </c>
      <c r="AB136" s="264"/>
      <c r="AC136" s="127">
        <f t="shared" si="18"/>
        <v>0</v>
      </c>
      <c r="AD136" s="514">
        <f t="shared" si="19"/>
        <v>0</v>
      </c>
      <c r="AE136" s="514">
        <f t="shared" si="25"/>
        <v>0</v>
      </c>
      <c r="AF136" s="531">
        <f t="shared" si="26"/>
        <v>0</v>
      </c>
    </row>
    <row r="137" spans="2:37" ht="18" customHeight="1">
      <c r="B137" s="1078"/>
      <c r="C137" s="1073"/>
      <c r="D137" s="1074"/>
      <c r="E137" s="864" t="s">
        <v>128</v>
      </c>
      <c r="F137" s="910"/>
      <c r="G137" s="619" t="s">
        <v>118</v>
      </c>
      <c r="H137" s="622" t="s">
        <v>251</v>
      </c>
      <c r="I137" s="787"/>
      <c r="J137" s="53"/>
      <c r="K137" s="708"/>
      <c r="L137" s="53"/>
      <c r="M137" s="53"/>
      <c r="N137" s="53"/>
      <c r="O137" s="708"/>
      <c r="P137" s="53"/>
      <c r="Q137" s="53"/>
      <c r="R137" s="53"/>
      <c r="S137" s="708"/>
      <c r="T137" s="103"/>
      <c r="U137" s="103"/>
      <c r="V137" s="483"/>
      <c r="W137" s="53"/>
      <c r="X137" s="53"/>
      <c r="Y137" s="53"/>
      <c r="Z137" s="30">
        <f t="shared" si="24"/>
        <v>0</v>
      </c>
      <c r="AA137" s="544">
        <f t="shared" si="10"/>
        <v>0</v>
      </c>
      <c r="AB137" s="264"/>
      <c r="AC137" s="127">
        <f t="shared" si="18"/>
        <v>0</v>
      </c>
      <c r="AD137" s="514">
        <f t="shared" si="19"/>
        <v>0</v>
      </c>
      <c r="AE137" s="514">
        <f t="shared" si="25"/>
        <v>0</v>
      </c>
      <c r="AF137" s="531">
        <f t="shared" si="26"/>
        <v>0</v>
      </c>
    </row>
    <row r="138" spans="2:37" ht="18" customHeight="1">
      <c r="B138" s="1078"/>
      <c r="C138" s="1073"/>
      <c r="D138" s="1074"/>
      <c r="E138" s="864" t="s">
        <v>121</v>
      </c>
      <c r="F138" s="910"/>
      <c r="G138" s="619" t="s">
        <v>118</v>
      </c>
      <c r="H138" s="622" t="s">
        <v>251</v>
      </c>
      <c r="I138" s="787"/>
      <c r="J138" s="53"/>
      <c r="K138" s="708"/>
      <c r="L138" s="53"/>
      <c r="M138" s="53"/>
      <c r="N138" s="53"/>
      <c r="O138" s="708"/>
      <c r="P138" s="52">
        <v>25.38</v>
      </c>
      <c r="Q138" s="53"/>
      <c r="R138" s="53"/>
      <c r="S138" s="708"/>
      <c r="T138" s="103"/>
      <c r="U138" s="103"/>
      <c r="V138" s="103"/>
      <c r="W138" s="53"/>
      <c r="X138" s="53"/>
      <c r="Y138" s="53"/>
      <c r="Z138" s="30">
        <f t="shared" si="24"/>
        <v>25.38</v>
      </c>
      <c r="AA138" s="544">
        <f t="shared" si="10"/>
        <v>30</v>
      </c>
      <c r="AB138" s="264"/>
      <c r="AC138" s="127">
        <f t="shared" si="18"/>
        <v>0</v>
      </c>
      <c r="AD138" s="514">
        <f t="shared" si="19"/>
        <v>0</v>
      </c>
      <c r="AE138" s="514">
        <f t="shared" si="25"/>
        <v>30</v>
      </c>
      <c r="AF138" s="531">
        <f t="shared" si="26"/>
        <v>0</v>
      </c>
    </row>
    <row r="139" spans="2:37" ht="18" customHeight="1" thickBot="1">
      <c r="B139" s="1078"/>
      <c r="C139" s="1075"/>
      <c r="D139" s="1076"/>
      <c r="E139" s="864" t="s">
        <v>122</v>
      </c>
      <c r="F139" s="910"/>
      <c r="G139" s="619" t="s">
        <v>118</v>
      </c>
      <c r="H139" s="622" t="s">
        <v>251</v>
      </c>
      <c r="I139" s="787"/>
      <c r="J139" s="53"/>
      <c r="K139" s="708"/>
      <c r="L139" s="53"/>
      <c r="M139" s="53"/>
      <c r="N139" s="53"/>
      <c r="O139" s="708"/>
      <c r="P139" s="52"/>
      <c r="Q139" s="53"/>
      <c r="R139" s="53"/>
      <c r="S139" s="708"/>
      <c r="T139" s="103"/>
      <c r="U139" s="103"/>
      <c r="V139" s="103"/>
      <c r="W139" s="53"/>
      <c r="X139" s="53"/>
      <c r="Y139" s="53"/>
      <c r="Z139" s="30">
        <f t="shared" si="24"/>
        <v>0</v>
      </c>
      <c r="AA139" s="544">
        <f t="shared" si="10"/>
        <v>0</v>
      </c>
      <c r="AB139" s="264"/>
      <c r="AC139" s="127">
        <f t="shared" si="18"/>
        <v>0</v>
      </c>
      <c r="AD139" s="514">
        <f t="shared" si="19"/>
        <v>0</v>
      </c>
      <c r="AE139" s="514">
        <f t="shared" si="25"/>
        <v>0</v>
      </c>
      <c r="AF139" s="531">
        <f t="shared" si="26"/>
        <v>0</v>
      </c>
    </row>
    <row r="140" spans="2:37" ht="18" customHeight="1">
      <c r="B140" s="1118" t="s">
        <v>227</v>
      </c>
      <c r="C140" s="1106" t="s">
        <v>229</v>
      </c>
      <c r="D140" s="1107"/>
      <c r="E140" s="1094" t="s">
        <v>106</v>
      </c>
      <c r="F140" s="1095"/>
      <c r="G140" s="43" t="s">
        <v>116</v>
      </c>
      <c r="H140" s="99">
        <f t="shared" ref="H140:H149" si="27">AJ140</f>
        <v>0</v>
      </c>
      <c r="I140" s="797"/>
      <c r="J140" s="484"/>
      <c r="K140" s="733"/>
      <c r="L140" s="484"/>
      <c r="M140" s="484"/>
      <c r="N140" s="484"/>
      <c r="O140" s="733"/>
      <c r="P140" s="635"/>
      <c r="Q140" s="484"/>
      <c r="R140" s="364"/>
      <c r="S140" s="763"/>
      <c r="T140" s="411"/>
      <c r="U140" s="411"/>
      <c r="V140" s="411"/>
      <c r="W140" s="364"/>
      <c r="X140" s="364"/>
      <c r="Y140" s="364"/>
      <c r="Z140" s="412">
        <f t="shared" si="24"/>
        <v>0</v>
      </c>
      <c r="AA140" s="613"/>
      <c r="AB140" s="256"/>
      <c r="AC140" s="126"/>
      <c r="AD140" s="512"/>
      <c r="AE140" s="512"/>
      <c r="AF140" s="530"/>
      <c r="AH140" s="808" t="s">
        <v>106</v>
      </c>
      <c r="AI140" s="809" t="s">
        <v>116</v>
      </c>
      <c r="AJ140" s="810"/>
      <c r="AK140" s="811" t="s">
        <v>87</v>
      </c>
    </row>
    <row r="141" spans="2:37" ht="18" customHeight="1">
      <c r="B141" s="1119"/>
      <c r="C141" s="1089"/>
      <c r="D141" s="1090"/>
      <c r="E141" s="864" t="s">
        <v>106</v>
      </c>
      <c r="F141" s="910"/>
      <c r="G141" s="619" t="s">
        <v>118</v>
      </c>
      <c r="H141" s="100">
        <f>AJ141</f>
        <v>0</v>
      </c>
      <c r="I141" s="787"/>
      <c r="J141" s="317"/>
      <c r="K141" s="730"/>
      <c r="L141" s="317"/>
      <c r="M141" s="317"/>
      <c r="N141" s="317"/>
      <c r="O141" s="708"/>
      <c r="P141" s="482"/>
      <c r="Q141" s="53"/>
      <c r="R141" s="53"/>
      <c r="S141" s="764"/>
      <c r="T141" s="322"/>
      <c r="U141" s="322"/>
      <c r="V141" s="322"/>
      <c r="W141" s="317"/>
      <c r="X141" s="317"/>
      <c r="Y141" s="317"/>
      <c r="Z141" s="30">
        <f t="shared" si="24"/>
        <v>0</v>
      </c>
      <c r="AA141" s="614"/>
      <c r="AB141" s="256"/>
      <c r="AC141" s="127"/>
      <c r="AD141" s="514"/>
      <c r="AE141" s="514"/>
      <c r="AF141" s="531"/>
      <c r="AH141" s="812" t="s">
        <v>106</v>
      </c>
      <c r="AI141" s="813">
        <v>0.1</v>
      </c>
      <c r="AJ141" s="814"/>
      <c r="AK141" s="815" t="s">
        <v>87</v>
      </c>
    </row>
    <row r="142" spans="2:37" ht="18" customHeight="1">
      <c r="B142" s="1119"/>
      <c r="C142" s="1089"/>
      <c r="D142" s="1090"/>
      <c r="E142" s="864" t="s">
        <v>106</v>
      </c>
      <c r="F142" s="910"/>
      <c r="G142" s="619" t="s">
        <v>118</v>
      </c>
      <c r="H142" s="100">
        <f t="shared" si="27"/>
        <v>0</v>
      </c>
      <c r="I142" s="787"/>
      <c r="J142" s="317"/>
      <c r="K142" s="730"/>
      <c r="L142" s="317"/>
      <c r="M142" s="317"/>
      <c r="N142" s="317"/>
      <c r="O142" s="708"/>
      <c r="P142" s="53"/>
      <c r="Q142" s="317"/>
      <c r="R142" s="732"/>
      <c r="S142" s="732"/>
      <c r="T142" s="322"/>
      <c r="U142" s="322"/>
      <c r="V142" s="322"/>
      <c r="W142" s="317"/>
      <c r="X142" s="317"/>
      <c r="Y142" s="317"/>
      <c r="Z142" s="30">
        <f t="shared" si="24"/>
        <v>0</v>
      </c>
      <c r="AA142" s="614"/>
      <c r="AB142" s="256"/>
      <c r="AC142" s="127"/>
      <c r="AD142" s="514"/>
      <c r="AE142" s="514"/>
      <c r="AF142" s="531"/>
      <c r="AH142" s="812" t="s">
        <v>106</v>
      </c>
      <c r="AI142" s="813">
        <v>0.1</v>
      </c>
      <c r="AJ142" s="814"/>
      <c r="AK142" s="815" t="s">
        <v>87</v>
      </c>
    </row>
    <row r="143" spans="2:37" ht="18" customHeight="1">
      <c r="B143" s="1119"/>
      <c r="C143" s="1089"/>
      <c r="D143" s="1090"/>
      <c r="E143" s="864" t="s">
        <v>106</v>
      </c>
      <c r="F143" s="910"/>
      <c r="G143" s="619" t="s">
        <v>118</v>
      </c>
      <c r="H143" s="100">
        <f t="shared" si="27"/>
        <v>0</v>
      </c>
      <c r="I143" s="787"/>
      <c r="J143" s="317"/>
      <c r="K143" s="730"/>
      <c r="L143" s="317"/>
      <c r="M143" s="317"/>
      <c r="N143" s="317"/>
      <c r="O143" s="730"/>
      <c r="P143" s="317"/>
      <c r="Q143" s="317"/>
      <c r="R143" s="317"/>
      <c r="S143" s="730"/>
      <c r="T143" s="483"/>
      <c r="U143" s="322"/>
      <c r="V143" s="322"/>
      <c r="W143" s="317"/>
      <c r="X143" s="317"/>
      <c r="Y143" s="317"/>
      <c r="Z143" s="30">
        <f t="shared" si="24"/>
        <v>0</v>
      </c>
      <c r="AA143" s="614"/>
      <c r="AB143" s="256"/>
      <c r="AC143" s="127"/>
      <c r="AD143" s="514"/>
      <c r="AE143" s="514"/>
      <c r="AF143" s="531"/>
      <c r="AH143" s="812" t="s">
        <v>106</v>
      </c>
      <c r="AI143" s="813">
        <v>0.2</v>
      </c>
      <c r="AJ143" s="814"/>
      <c r="AK143" s="815" t="s">
        <v>87</v>
      </c>
    </row>
    <row r="144" spans="2:37" ht="18" customHeight="1">
      <c r="B144" s="1119"/>
      <c r="C144" s="1089"/>
      <c r="D144" s="1090"/>
      <c r="E144" s="864" t="s">
        <v>106</v>
      </c>
      <c r="F144" s="910"/>
      <c r="G144" s="619" t="s">
        <v>118</v>
      </c>
      <c r="H144" s="100">
        <f t="shared" si="27"/>
        <v>0</v>
      </c>
      <c r="I144" s="787"/>
      <c r="J144" s="317"/>
      <c r="K144" s="730"/>
      <c r="L144" s="317"/>
      <c r="M144" s="317"/>
      <c r="N144" s="317"/>
      <c r="O144" s="730"/>
      <c r="P144" s="317"/>
      <c r="Q144" s="317"/>
      <c r="R144" s="317"/>
      <c r="S144" s="730"/>
      <c r="T144" s="317"/>
      <c r="U144" s="483"/>
      <c r="V144" s="322"/>
      <c r="W144" s="317"/>
      <c r="X144" s="317"/>
      <c r="Y144" s="317"/>
      <c r="Z144" s="30">
        <f t="shared" si="24"/>
        <v>0</v>
      </c>
      <c r="AA144" s="614"/>
      <c r="AB144" s="256"/>
      <c r="AC144" s="127"/>
      <c r="AD144" s="514"/>
      <c r="AE144" s="514"/>
      <c r="AF144" s="531"/>
      <c r="AH144" s="812" t="s">
        <v>106</v>
      </c>
      <c r="AI144" s="813">
        <v>0.35</v>
      </c>
      <c r="AJ144" s="814"/>
      <c r="AK144" s="815" t="s">
        <v>87</v>
      </c>
    </row>
    <row r="145" spans="2:59" ht="18" customHeight="1" thickBot="1">
      <c r="B145" s="1119"/>
      <c r="C145" s="1089"/>
      <c r="D145" s="1090"/>
      <c r="E145" s="1099" t="s">
        <v>106</v>
      </c>
      <c r="F145" s="1100"/>
      <c r="G145" s="620" t="s">
        <v>118</v>
      </c>
      <c r="H145" s="299">
        <f t="shared" si="27"/>
        <v>0</v>
      </c>
      <c r="I145" s="798"/>
      <c r="J145" s="363"/>
      <c r="K145" s="734"/>
      <c r="L145" s="363"/>
      <c r="M145" s="363"/>
      <c r="N145" s="363"/>
      <c r="O145" s="734"/>
      <c r="P145" s="363"/>
      <c r="Q145" s="363"/>
      <c r="R145" s="363"/>
      <c r="S145" s="734"/>
      <c r="T145" s="629"/>
      <c r="U145" s="204"/>
      <c r="V145" s="630"/>
      <c r="W145" s="363"/>
      <c r="X145" s="363"/>
      <c r="Y145" s="363"/>
      <c r="Z145" s="623">
        <f t="shared" si="24"/>
        <v>0</v>
      </c>
      <c r="AA145" s="624"/>
      <c r="AB145" s="256"/>
      <c r="AC145" s="127"/>
      <c r="AD145" s="514"/>
      <c r="AE145" s="514"/>
      <c r="AF145" s="531"/>
      <c r="AH145" s="816" t="s">
        <v>106</v>
      </c>
      <c r="AI145" s="817">
        <v>0.6</v>
      </c>
      <c r="AJ145" s="818"/>
      <c r="AK145" s="819" t="s">
        <v>87</v>
      </c>
    </row>
    <row r="146" spans="2:59" ht="18" customHeight="1">
      <c r="B146" s="1119"/>
      <c r="C146" s="1091"/>
      <c r="D146" s="1092"/>
      <c r="E146" s="621"/>
      <c r="F146" s="616"/>
      <c r="G146" s="239"/>
      <c r="H146" s="257"/>
      <c r="I146" s="799"/>
      <c r="J146" s="871"/>
      <c r="K146" s="872"/>
      <c r="L146" s="872"/>
      <c r="M146" s="872"/>
      <c r="N146" s="872"/>
      <c r="O146" s="872"/>
      <c r="P146" s="872"/>
      <c r="Q146" s="872"/>
      <c r="R146" s="872"/>
      <c r="S146" s="872"/>
      <c r="T146" s="872"/>
      <c r="U146" s="872"/>
      <c r="V146" s="872"/>
      <c r="W146" s="872"/>
      <c r="X146" s="872"/>
      <c r="Y146" s="873"/>
      <c r="Z146" s="58">
        <f>SUM(Z140:Z145)</f>
        <v>0</v>
      </c>
      <c r="AA146" s="537">
        <f>SUM(AC146:AF146)</f>
        <v>0</v>
      </c>
      <c r="AB146" s="12"/>
      <c r="AC146" s="127">
        <f>IF($Z146&lt;1,ROUND($Z146,1),0)</f>
        <v>0</v>
      </c>
      <c r="AD146" s="514">
        <f t="shared" si="19"/>
        <v>0</v>
      </c>
      <c r="AE146" s="514">
        <f t="shared" ref="AE146:AE148" si="28">IF($Z146&gt;=10,ROUND($Z146,-1),0)</f>
        <v>0</v>
      </c>
      <c r="AF146" s="531"/>
      <c r="AH146" s="746"/>
      <c r="AI146" s="746"/>
      <c r="AJ146" s="746"/>
      <c r="AK146" s="746"/>
    </row>
    <row r="147" spans="2:59" ht="18" customHeight="1" thickBot="1">
      <c r="B147" s="1119"/>
      <c r="C147" s="1097" t="s">
        <v>226</v>
      </c>
      <c r="D147" s="1098"/>
      <c r="E147" s="1114" t="s">
        <v>106</v>
      </c>
      <c r="F147" s="1115"/>
      <c r="G147" s="329" t="s">
        <v>118</v>
      </c>
      <c r="H147" s="417">
        <f t="shared" si="27"/>
        <v>0</v>
      </c>
      <c r="I147" s="800"/>
      <c r="J147" s="344">
        <f t="shared" ref="J147:Y147" si="29">SUM(J112:J116)-SUM(J123:J126)</f>
        <v>4.8</v>
      </c>
      <c r="K147" s="735">
        <f t="shared" si="29"/>
        <v>0</v>
      </c>
      <c r="L147" s="344">
        <f t="shared" si="29"/>
        <v>1.76</v>
      </c>
      <c r="M147" s="344">
        <f t="shared" si="29"/>
        <v>0</v>
      </c>
      <c r="N147" s="344">
        <f t="shared" si="29"/>
        <v>0</v>
      </c>
      <c r="O147" s="735">
        <f t="shared" si="29"/>
        <v>0</v>
      </c>
      <c r="P147" s="344">
        <f t="shared" si="29"/>
        <v>21.76</v>
      </c>
      <c r="Q147" s="344">
        <f t="shared" si="29"/>
        <v>24.29</v>
      </c>
      <c r="R147" s="344">
        <f>SUM(R112:R116)-SUM(R123:R126)</f>
        <v>89.600000000000023</v>
      </c>
      <c r="S147" s="735">
        <f t="shared" si="29"/>
        <v>0</v>
      </c>
      <c r="T147" s="344">
        <f t="shared" si="29"/>
        <v>32.399999999999977</v>
      </c>
      <c r="U147" s="344">
        <f t="shared" si="29"/>
        <v>0</v>
      </c>
      <c r="V147" s="344">
        <f t="shared" si="29"/>
        <v>0</v>
      </c>
      <c r="W147" s="430">
        <f t="shared" si="29"/>
        <v>0</v>
      </c>
      <c r="X147" s="430">
        <f t="shared" si="29"/>
        <v>0</v>
      </c>
      <c r="Y147" s="430">
        <f t="shared" si="29"/>
        <v>0</v>
      </c>
      <c r="Z147" s="330">
        <f>SUM(J147:Y147)</f>
        <v>174.61</v>
      </c>
      <c r="AA147" s="553">
        <f t="shared" si="10"/>
        <v>170</v>
      </c>
      <c r="AB147" s="256"/>
      <c r="AC147" s="525">
        <f t="shared" si="18"/>
        <v>0</v>
      </c>
      <c r="AD147" s="526">
        <f t="shared" si="19"/>
        <v>0</v>
      </c>
      <c r="AE147" s="526">
        <f>IF($Z147&gt;=10,ROUND($Z147,-1),0)</f>
        <v>170</v>
      </c>
      <c r="AF147" s="554"/>
      <c r="AH147" s="746"/>
      <c r="AI147" s="746"/>
      <c r="AJ147" s="746"/>
      <c r="AK147" s="746"/>
      <c r="AL147" s="266"/>
      <c r="AM147" s="1096"/>
      <c r="AN147" s="1096"/>
      <c r="AO147" s="106"/>
      <c r="AP147" s="106"/>
      <c r="AQ147" s="106"/>
      <c r="AR147" s="106"/>
      <c r="AS147" s="106"/>
      <c r="AT147" s="106"/>
      <c r="AU147" s="263"/>
      <c r="AV147" s="263"/>
      <c r="AW147" s="263"/>
      <c r="AX147" s="106"/>
      <c r="AY147" s="106"/>
      <c r="AZ147" s="264"/>
      <c r="BA147" s="265"/>
      <c r="BB147" s="256"/>
      <c r="BC147" s="104"/>
      <c r="BD147" s="108"/>
      <c r="BE147" s="108"/>
      <c r="BF147" s="108"/>
      <c r="BG147" s="154"/>
    </row>
    <row r="148" spans="2:59" ht="18" customHeight="1">
      <c r="B148" s="1119"/>
      <c r="C148" s="1089" t="s">
        <v>230</v>
      </c>
      <c r="D148" s="1090"/>
      <c r="E148" s="1077" t="s">
        <v>106</v>
      </c>
      <c r="F148" s="928"/>
      <c r="G148" s="622" t="s">
        <v>118</v>
      </c>
      <c r="H148" s="255">
        <f t="shared" si="27"/>
        <v>0</v>
      </c>
      <c r="I148" s="782"/>
      <c r="J148" s="414">
        <f>J147</f>
        <v>4.8</v>
      </c>
      <c r="K148" s="736">
        <f t="shared" ref="K148:Y148" si="30">K147</f>
        <v>0</v>
      </c>
      <c r="L148" s="414">
        <f t="shared" si="30"/>
        <v>1.76</v>
      </c>
      <c r="M148" s="414">
        <f>M147</f>
        <v>0</v>
      </c>
      <c r="N148" s="414">
        <f>N147</f>
        <v>0</v>
      </c>
      <c r="O148" s="736">
        <f t="shared" si="30"/>
        <v>0</v>
      </c>
      <c r="P148" s="414">
        <f t="shared" si="30"/>
        <v>21.76</v>
      </c>
      <c r="Q148" s="414">
        <f t="shared" si="30"/>
        <v>24.29</v>
      </c>
      <c r="R148" s="414">
        <f>R147</f>
        <v>89.600000000000023</v>
      </c>
      <c r="S148" s="736">
        <f t="shared" si="30"/>
        <v>0</v>
      </c>
      <c r="T148" s="414">
        <f>T147</f>
        <v>32.399999999999977</v>
      </c>
      <c r="U148" s="414">
        <f>U147</f>
        <v>0</v>
      </c>
      <c r="V148" s="414">
        <f t="shared" si="30"/>
        <v>0</v>
      </c>
      <c r="W148" s="320">
        <f t="shared" si="30"/>
        <v>0</v>
      </c>
      <c r="X148" s="320">
        <f>X147</f>
        <v>0</v>
      </c>
      <c r="Y148" s="320">
        <f t="shared" si="30"/>
        <v>0</v>
      </c>
      <c r="Z148" s="243">
        <f>SUM(J148:Y148)</f>
        <v>174.61</v>
      </c>
      <c r="AA148" s="547">
        <f t="shared" si="10"/>
        <v>170</v>
      </c>
      <c r="AB148" s="256"/>
      <c r="AC148" s="197">
        <f t="shared" si="18"/>
        <v>0</v>
      </c>
      <c r="AD148" s="521">
        <f t="shared" si="19"/>
        <v>0</v>
      </c>
      <c r="AE148" s="521">
        <f t="shared" si="28"/>
        <v>170</v>
      </c>
      <c r="AF148" s="548"/>
      <c r="AH148" s="808" t="s">
        <v>106</v>
      </c>
      <c r="AI148" s="820">
        <v>0.6</v>
      </c>
      <c r="AJ148" s="821"/>
      <c r="AK148" s="822" t="s">
        <v>87</v>
      </c>
    </row>
    <row r="149" spans="2:59" ht="18" customHeight="1" thickBot="1">
      <c r="B149" s="1120"/>
      <c r="C149" s="1123"/>
      <c r="D149" s="1124"/>
      <c r="E149" s="1142"/>
      <c r="F149" s="1117"/>
      <c r="G149" s="315" t="s">
        <v>118</v>
      </c>
      <c r="H149" s="101">
        <f t="shared" si="27"/>
        <v>0</v>
      </c>
      <c r="I149" s="801"/>
      <c r="J149" s="413"/>
      <c r="K149" s="737"/>
      <c r="L149" s="413"/>
      <c r="M149" s="413"/>
      <c r="N149" s="413"/>
      <c r="O149" s="737"/>
      <c r="P149" s="413"/>
      <c r="Q149" s="413"/>
      <c r="R149" s="413"/>
      <c r="S149" s="737"/>
      <c r="T149" s="413"/>
      <c r="U149" s="413"/>
      <c r="V149" s="413"/>
      <c r="W149" s="413"/>
      <c r="X149" s="413"/>
      <c r="Y149" s="413"/>
      <c r="Z149" s="286">
        <f>SUM(J149:Y149)</f>
        <v>0</v>
      </c>
      <c r="AA149" s="549">
        <f t="shared" si="10"/>
        <v>0</v>
      </c>
      <c r="AB149" s="256"/>
      <c r="AC149" s="128">
        <f t="shared" si="18"/>
        <v>0</v>
      </c>
      <c r="AD149" s="516">
        <f t="shared" si="19"/>
        <v>0</v>
      </c>
      <c r="AE149" s="516">
        <f>IF($Z149&gt;=10,ROUND($Z149,-1),0)</f>
        <v>0</v>
      </c>
      <c r="AF149" s="532"/>
      <c r="AH149" s="816" t="s">
        <v>106</v>
      </c>
      <c r="AI149" s="817"/>
      <c r="AJ149" s="818"/>
      <c r="AK149" s="819" t="s">
        <v>87</v>
      </c>
    </row>
    <row r="150" spans="2:59" ht="18" customHeight="1">
      <c r="B150" s="921" t="s">
        <v>129</v>
      </c>
      <c r="C150" s="921"/>
      <c r="D150" s="921"/>
      <c r="E150" s="921"/>
      <c r="F150" s="921"/>
      <c r="G150" s="921"/>
      <c r="H150" s="921"/>
      <c r="I150" s="921"/>
      <c r="J150" s="921"/>
      <c r="K150" s="921"/>
      <c r="L150" s="921"/>
      <c r="M150" s="921"/>
      <c r="N150" s="921"/>
      <c r="O150" s="921"/>
      <c r="P150" s="921"/>
      <c r="Q150" s="921"/>
      <c r="R150" s="921"/>
      <c r="S150" s="921"/>
      <c r="T150" s="921"/>
      <c r="U150" s="921"/>
      <c r="V150" s="921"/>
      <c r="W150" s="921"/>
      <c r="X150" s="921"/>
      <c r="Y150" s="921"/>
      <c r="Z150" s="921"/>
      <c r="AA150" s="921"/>
      <c r="AB150" s="13"/>
      <c r="AC150" s="6"/>
      <c r="AD150" s="129"/>
      <c r="AE150" s="129"/>
      <c r="AF150" s="129"/>
    </row>
    <row r="151" spans="2:59" ht="18" customHeight="1">
      <c r="B151" s="885" t="s">
        <v>6</v>
      </c>
      <c r="C151" s="885"/>
      <c r="D151" s="885"/>
      <c r="E151" s="885"/>
      <c r="F151" s="885"/>
      <c r="G151" s="885"/>
      <c r="H151" s="885"/>
      <c r="I151" s="885"/>
      <c r="J151" s="885"/>
      <c r="K151" s="885"/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W151" s="885"/>
      <c r="X151" s="885"/>
      <c r="Y151" s="885"/>
      <c r="Z151" s="885"/>
      <c r="AA151" s="885"/>
      <c r="AB151" s="34"/>
      <c r="AC151" s="122"/>
      <c r="AD151" s="129"/>
      <c r="AE151" s="129"/>
      <c r="AF151" s="129"/>
    </row>
    <row r="152" spans="2:59" ht="18" customHeight="1">
      <c r="B152" s="885"/>
      <c r="C152" s="885"/>
      <c r="D152" s="885"/>
      <c r="E152" s="885"/>
      <c r="F152" s="885"/>
      <c r="G152" s="885"/>
      <c r="H152" s="885"/>
      <c r="I152" s="885"/>
      <c r="J152" s="885"/>
      <c r="K152" s="885"/>
      <c r="L152" s="885"/>
      <c r="M152" s="885"/>
      <c r="N152" s="885"/>
      <c r="O152" s="885"/>
      <c r="P152" s="885"/>
      <c r="Q152" s="885"/>
      <c r="R152" s="885"/>
      <c r="S152" s="885"/>
      <c r="T152" s="885"/>
      <c r="U152" s="885"/>
      <c r="V152" s="885"/>
      <c r="W152" s="885"/>
      <c r="X152" s="885"/>
      <c r="Y152" s="885"/>
      <c r="Z152" s="885"/>
      <c r="AA152" s="885"/>
      <c r="AD152" s="129"/>
      <c r="AE152" s="129"/>
      <c r="AF152" s="129"/>
    </row>
    <row r="153" spans="2:59" ht="18" customHeight="1" thickBot="1">
      <c r="B153" s="973" t="str">
        <f>$B$6</f>
        <v>長田(花山町2丁目他)配水管取替工事</v>
      </c>
      <c r="C153" s="973"/>
      <c r="D153" s="973"/>
      <c r="E153" s="973"/>
      <c r="F153" s="973"/>
      <c r="G153" s="973"/>
      <c r="H153" s="973"/>
      <c r="I153" s="973"/>
      <c r="J153" s="973"/>
      <c r="K153" s="973"/>
      <c r="L153" s="973"/>
      <c r="M153" s="973"/>
      <c r="N153" s="973"/>
      <c r="O153" s="973"/>
      <c r="P153" s="973"/>
      <c r="Q153" s="973"/>
      <c r="R153" s="973"/>
      <c r="S153" s="973"/>
      <c r="T153" s="973"/>
      <c r="U153" s="973"/>
      <c r="V153" s="973"/>
      <c r="W153" s="973"/>
      <c r="X153" s="973"/>
      <c r="Y153" s="973"/>
      <c r="Z153" s="973"/>
      <c r="AA153" s="973"/>
      <c r="AD153" s="129"/>
      <c r="AE153" s="129"/>
      <c r="AF153" s="129"/>
    </row>
    <row r="154" spans="2:59" s="1" customFormat="1" ht="20" customHeight="1">
      <c r="B154" s="888" t="s">
        <v>48</v>
      </c>
      <c r="C154" s="889"/>
      <c r="D154" s="890"/>
      <c r="E154" s="865" t="s">
        <v>49</v>
      </c>
      <c r="F154" s="889"/>
      <c r="G154" s="889"/>
      <c r="H154" s="889"/>
      <c r="I154" s="890"/>
      <c r="J154" s="867" t="s">
        <v>374</v>
      </c>
      <c r="K154" s="867" t="s">
        <v>373</v>
      </c>
      <c r="L154" s="867" t="s">
        <v>313</v>
      </c>
      <c r="M154" s="867" t="s">
        <v>314</v>
      </c>
      <c r="N154" s="867" t="s">
        <v>315</v>
      </c>
      <c r="O154" s="865" t="s">
        <v>47</v>
      </c>
      <c r="P154" s="865" t="s">
        <v>75</v>
      </c>
      <c r="Q154" s="879" t="s">
        <v>0</v>
      </c>
      <c r="R154" s="867" t="s">
        <v>375</v>
      </c>
      <c r="S154" s="862" t="s">
        <v>372</v>
      </c>
      <c r="T154" s="867" t="s">
        <v>318</v>
      </c>
      <c r="U154" s="867" t="s">
        <v>316</v>
      </c>
      <c r="V154" s="867" t="s">
        <v>317</v>
      </c>
      <c r="W154" s="879" t="s">
        <v>50</v>
      </c>
      <c r="X154" s="865" t="s">
        <v>111</v>
      </c>
      <c r="Y154" s="865" t="s">
        <v>312</v>
      </c>
      <c r="Z154" s="865" t="s">
        <v>114</v>
      </c>
      <c r="AA154" s="971" t="s">
        <v>76</v>
      </c>
      <c r="AB154" s="12"/>
      <c r="AC154" s="939" t="s">
        <v>108</v>
      </c>
      <c r="AD154" s="940"/>
      <c r="AE154" s="940"/>
      <c r="AF154" s="941"/>
    </row>
    <row r="155" spans="2:59" s="1" customFormat="1" ht="20" customHeight="1" thickBot="1">
      <c r="B155" s="891"/>
      <c r="C155" s="892"/>
      <c r="D155" s="893"/>
      <c r="E155" s="866"/>
      <c r="F155" s="892"/>
      <c r="G155" s="892"/>
      <c r="H155" s="892"/>
      <c r="I155" s="893"/>
      <c r="J155" s="868"/>
      <c r="K155" s="868"/>
      <c r="L155" s="868"/>
      <c r="M155" s="868"/>
      <c r="N155" s="868"/>
      <c r="O155" s="866"/>
      <c r="P155" s="866"/>
      <c r="Q155" s="880"/>
      <c r="R155" s="868"/>
      <c r="S155" s="863"/>
      <c r="T155" s="866"/>
      <c r="U155" s="866"/>
      <c r="V155" s="866"/>
      <c r="W155" s="880"/>
      <c r="X155" s="866"/>
      <c r="Y155" s="866"/>
      <c r="Z155" s="866"/>
      <c r="AA155" s="972"/>
      <c r="AB155" s="12"/>
      <c r="AC155" s="123">
        <v>0.1</v>
      </c>
      <c r="AD155" s="124">
        <v>1</v>
      </c>
      <c r="AE155" s="124">
        <v>10</v>
      </c>
      <c r="AF155" s="125">
        <v>100</v>
      </c>
    </row>
    <row r="156" spans="2:59" ht="18" customHeight="1">
      <c r="B156" s="922" t="s">
        <v>231</v>
      </c>
      <c r="C156" s="915" t="s">
        <v>2</v>
      </c>
      <c r="D156" s="916"/>
      <c r="E156" s="1027" t="s">
        <v>13</v>
      </c>
      <c r="F156" s="1028"/>
      <c r="G156" s="1028"/>
      <c r="H156" s="418">
        <v>25</v>
      </c>
      <c r="I156" s="419"/>
      <c r="J156" s="49"/>
      <c r="K156" s="712"/>
      <c r="L156" s="49"/>
      <c r="M156" s="49"/>
      <c r="N156" s="49"/>
      <c r="O156" s="712"/>
      <c r="P156" s="49"/>
      <c r="Q156" s="35">
        <v>1.8</v>
      </c>
      <c r="R156" s="35"/>
      <c r="S156" s="698"/>
      <c r="T156" s="72"/>
      <c r="U156" s="72"/>
      <c r="V156" s="72"/>
      <c r="W156" s="49"/>
      <c r="X156" s="49"/>
      <c r="Y156" s="49"/>
      <c r="Z156" s="62">
        <f>SUM(J156:Y156)</f>
        <v>1.8</v>
      </c>
      <c r="AA156" s="308">
        <f>SUM(AC156:AF156)</f>
        <v>2</v>
      </c>
      <c r="AB156" s="256"/>
      <c r="AC156" s="126">
        <f t="shared" ref="AC156:AC171" si="31">IF($Z156&lt;1,ROUND($Z156,1),0)</f>
        <v>0</v>
      </c>
      <c r="AD156" s="512">
        <f>IF(AND($Z156&gt;=1,$Z156&lt;1000),ROUND($Z156,0),0)</f>
        <v>2</v>
      </c>
      <c r="AE156" s="512">
        <f>IF($Z156&gt;=1000,ROUND($Z156,-1),0)</f>
        <v>0</v>
      </c>
      <c r="AF156" s="513"/>
    </row>
    <row r="157" spans="2:59" ht="18" customHeight="1">
      <c r="B157" s="923"/>
      <c r="C157" s="917"/>
      <c r="D157" s="918"/>
      <c r="E157" s="909" t="s">
        <v>14</v>
      </c>
      <c r="F157" s="949"/>
      <c r="G157" s="949"/>
      <c r="H157" s="420">
        <v>25</v>
      </c>
      <c r="I157" s="421"/>
      <c r="J157" s="47"/>
      <c r="K157" s="713"/>
      <c r="L157" s="47"/>
      <c r="M157" s="47"/>
      <c r="N157" s="47"/>
      <c r="O157" s="713"/>
      <c r="P157" s="47"/>
      <c r="Q157" s="22">
        <v>119.64</v>
      </c>
      <c r="R157" s="22">
        <v>511.14</v>
      </c>
      <c r="S157" s="699"/>
      <c r="T157" s="26">
        <v>810.56</v>
      </c>
      <c r="U157" s="26"/>
      <c r="V157" s="26"/>
      <c r="W157" s="47"/>
      <c r="X157" s="47"/>
      <c r="Y157" s="47"/>
      <c r="Z157" s="30">
        <f>SUM(J157:Y157)</f>
        <v>1441.34</v>
      </c>
      <c r="AA157" s="309">
        <f>SUM(AC157:AF157)</f>
        <v>1440</v>
      </c>
      <c r="AB157" s="256"/>
      <c r="AC157" s="127">
        <f t="shared" si="31"/>
        <v>0</v>
      </c>
      <c r="AD157" s="514">
        <f t="shared" ref="AD157:AD166" si="32">IF(AND($Z157&gt;=1,$Z157&lt;1000),ROUND($Z157,0),0)</f>
        <v>0</v>
      </c>
      <c r="AE157" s="514">
        <f t="shared" ref="AE157:AE166" si="33">IF($Z157&gt;=1000,ROUND($Z157,-1),0)</f>
        <v>1440</v>
      </c>
      <c r="AF157" s="515"/>
    </row>
    <row r="158" spans="2:59" ht="18" customHeight="1">
      <c r="B158" s="923"/>
      <c r="C158" s="917"/>
      <c r="D158" s="918"/>
      <c r="E158" s="909" t="s">
        <v>14</v>
      </c>
      <c r="F158" s="910"/>
      <c r="G158" s="910"/>
      <c r="H158" s="420">
        <v>30</v>
      </c>
      <c r="I158" s="421"/>
      <c r="J158" s="47"/>
      <c r="K158" s="713"/>
      <c r="L158" s="47"/>
      <c r="M158" s="47"/>
      <c r="N158" s="47"/>
      <c r="O158" s="713"/>
      <c r="P158" s="47"/>
      <c r="Q158" s="22"/>
      <c r="R158" s="22"/>
      <c r="S158" s="699"/>
      <c r="T158" s="26"/>
      <c r="U158" s="26"/>
      <c r="V158" s="26"/>
      <c r="W158" s="47"/>
      <c r="X158" s="47"/>
      <c r="Y158" s="47"/>
      <c r="Z158" s="30">
        <f>SUM(J158:Y158)</f>
        <v>0</v>
      </c>
      <c r="AA158" s="309">
        <f t="shared" ref="AA158:AA204" si="34">SUM(AC158:AF158)</f>
        <v>0</v>
      </c>
      <c r="AB158" s="256"/>
      <c r="AC158" s="127">
        <f t="shared" si="31"/>
        <v>0</v>
      </c>
      <c r="AD158" s="514">
        <f t="shared" si="32"/>
        <v>0</v>
      </c>
      <c r="AE158" s="514">
        <f t="shared" si="33"/>
        <v>0</v>
      </c>
      <c r="AF158" s="515"/>
    </row>
    <row r="159" spans="2:59" ht="18" customHeight="1">
      <c r="B159" s="923"/>
      <c r="C159" s="917"/>
      <c r="D159" s="918"/>
      <c r="E159" s="909" t="s">
        <v>14</v>
      </c>
      <c r="F159" s="910"/>
      <c r="G159" s="910"/>
      <c r="H159" s="420">
        <v>50</v>
      </c>
      <c r="I159" s="421"/>
      <c r="J159" s="47"/>
      <c r="K159" s="713"/>
      <c r="L159" s="47"/>
      <c r="M159" s="47"/>
      <c r="N159" s="47"/>
      <c r="O159" s="713"/>
      <c r="P159" s="47"/>
      <c r="Q159" s="22"/>
      <c r="R159" s="22"/>
      <c r="S159" s="699"/>
      <c r="T159" s="26">
        <v>3.92</v>
      </c>
      <c r="U159" s="26"/>
      <c r="V159" s="26"/>
      <c r="W159" s="47"/>
      <c r="X159" s="47"/>
      <c r="Y159" s="47"/>
      <c r="Z159" s="30">
        <f>SUM(J159:Y159)</f>
        <v>3.92</v>
      </c>
      <c r="AA159" s="309">
        <f t="shared" si="34"/>
        <v>4</v>
      </c>
      <c r="AB159" s="256"/>
      <c r="AC159" s="127">
        <f t="shared" si="31"/>
        <v>0</v>
      </c>
      <c r="AD159" s="514">
        <f t="shared" si="32"/>
        <v>4</v>
      </c>
      <c r="AE159" s="514">
        <f t="shared" si="33"/>
        <v>0</v>
      </c>
      <c r="AF159" s="515"/>
    </row>
    <row r="160" spans="2:59" ht="18" customHeight="1">
      <c r="B160" s="923"/>
      <c r="C160" s="917"/>
      <c r="D160" s="918"/>
      <c r="E160" s="909" t="s">
        <v>14</v>
      </c>
      <c r="F160" s="910"/>
      <c r="G160" s="910"/>
      <c r="H160" s="420">
        <v>55</v>
      </c>
      <c r="I160" s="421"/>
      <c r="J160" s="47"/>
      <c r="K160" s="713"/>
      <c r="L160" s="47"/>
      <c r="M160" s="47"/>
      <c r="N160" s="47"/>
      <c r="O160" s="713"/>
      <c r="P160" s="47"/>
      <c r="Q160" s="22"/>
      <c r="R160" s="22"/>
      <c r="S160" s="699"/>
      <c r="T160" s="26"/>
      <c r="U160" s="26"/>
      <c r="V160" s="26"/>
      <c r="W160" s="47"/>
      <c r="X160" s="47"/>
      <c r="Y160" s="47"/>
      <c r="Z160" s="30"/>
      <c r="AA160" s="309">
        <f t="shared" si="34"/>
        <v>0</v>
      </c>
      <c r="AB160" s="256"/>
      <c r="AC160" s="127">
        <f t="shared" si="31"/>
        <v>0</v>
      </c>
      <c r="AD160" s="514">
        <f t="shared" si="32"/>
        <v>0</v>
      </c>
      <c r="AE160" s="514">
        <f t="shared" si="33"/>
        <v>0</v>
      </c>
      <c r="AF160" s="515"/>
    </row>
    <row r="161" spans="2:32" ht="18" customHeight="1">
      <c r="B161" s="923"/>
      <c r="C161" s="919"/>
      <c r="D161" s="920"/>
      <c r="E161" s="925" t="s">
        <v>280</v>
      </c>
      <c r="F161" s="926"/>
      <c r="G161" s="926"/>
      <c r="H161" s="422">
        <v>15</v>
      </c>
      <c r="I161" s="423"/>
      <c r="J161" s="50"/>
      <c r="K161" s="725"/>
      <c r="L161" s="50"/>
      <c r="M161" s="50"/>
      <c r="N161" s="50"/>
      <c r="O161" s="725"/>
      <c r="P161" s="50"/>
      <c r="Q161" s="40"/>
      <c r="R161" s="40"/>
      <c r="S161" s="700"/>
      <c r="T161" s="252"/>
      <c r="U161" s="252"/>
      <c r="V161" s="252"/>
      <c r="W161" s="50"/>
      <c r="X161" s="50"/>
      <c r="Y161" s="50"/>
      <c r="Z161" s="31">
        <f t="shared" ref="Z161:Z203" si="35">SUM(J161:Y161)</f>
        <v>0</v>
      </c>
      <c r="AA161" s="533">
        <f t="shared" si="34"/>
        <v>0</v>
      </c>
      <c r="AB161" s="256"/>
      <c r="AC161" s="296">
        <f t="shared" si="31"/>
        <v>0</v>
      </c>
      <c r="AD161" s="523">
        <f t="shared" si="32"/>
        <v>0</v>
      </c>
      <c r="AE161" s="523">
        <f t="shared" si="33"/>
        <v>0</v>
      </c>
      <c r="AF161" s="524"/>
    </row>
    <row r="162" spans="2:32" ht="18" customHeight="1">
      <c r="B162" s="923"/>
      <c r="C162" s="989" t="s">
        <v>52</v>
      </c>
      <c r="D162" s="990"/>
      <c r="E162" s="927"/>
      <c r="F162" s="928"/>
      <c r="G162" s="928"/>
      <c r="H162" s="424">
        <v>10</v>
      </c>
      <c r="I162" s="425"/>
      <c r="J162" s="261"/>
      <c r="K162" s="738"/>
      <c r="L162" s="261"/>
      <c r="M162" s="261"/>
      <c r="N162" s="261"/>
      <c r="O162" s="738"/>
      <c r="P162" s="261"/>
      <c r="Q162" s="21"/>
      <c r="R162" s="21"/>
      <c r="S162" s="744"/>
      <c r="T162" s="207"/>
      <c r="U162" s="207"/>
      <c r="V162" s="207"/>
      <c r="W162" s="21"/>
      <c r="X162" s="21"/>
      <c r="Y162" s="21"/>
      <c r="Z162" s="29">
        <f t="shared" si="35"/>
        <v>0</v>
      </c>
      <c r="AA162" s="555">
        <f t="shared" si="34"/>
        <v>0</v>
      </c>
      <c r="AB162" s="256"/>
      <c r="AC162" s="197">
        <f t="shared" si="31"/>
        <v>0</v>
      </c>
      <c r="AD162" s="521">
        <f t="shared" si="32"/>
        <v>0</v>
      </c>
      <c r="AE162" s="521">
        <f t="shared" si="33"/>
        <v>0</v>
      </c>
      <c r="AF162" s="522"/>
    </row>
    <row r="163" spans="2:32" ht="18" customHeight="1">
      <c r="B163" s="923"/>
      <c r="C163" s="896"/>
      <c r="D163" s="897"/>
      <c r="E163" s="909" t="s">
        <v>281</v>
      </c>
      <c r="F163" s="910"/>
      <c r="G163" s="910"/>
      <c r="H163" s="420">
        <v>15</v>
      </c>
      <c r="I163" s="421"/>
      <c r="J163" s="22"/>
      <c r="K163" s="699"/>
      <c r="L163" s="22"/>
      <c r="M163" s="22"/>
      <c r="N163" s="22"/>
      <c r="O163" s="699"/>
      <c r="P163" s="22"/>
      <c r="Q163" s="47"/>
      <c r="R163" s="47"/>
      <c r="S163" s="713"/>
      <c r="T163" s="65"/>
      <c r="U163" s="65"/>
      <c r="V163" s="65"/>
      <c r="W163" s="47"/>
      <c r="X163" s="47"/>
      <c r="Y163" s="47"/>
      <c r="Z163" s="30">
        <f t="shared" si="35"/>
        <v>0</v>
      </c>
      <c r="AA163" s="309">
        <f t="shared" si="34"/>
        <v>0</v>
      </c>
      <c r="AB163" s="256"/>
      <c r="AC163" s="127">
        <f t="shared" si="31"/>
        <v>0</v>
      </c>
      <c r="AD163" s="514">
        <f t="shared" si="32"/>
        <v>0</v>
      </c>
      <c r="AE163" s="514">
        <f t="shared" si="33"/>
        <v>0</v>
      </c>
      <c r="AF163" s="515"/>
    </row>
    <row r="164" spans="2:32" ht="18" customHeight="1">
      <c r="B164" s="923"/>
      <c r="C164" s="896"/>
      <c r="D164" s="897"/>
      <c r="E164" s="909"/>
      <c r="F164" s="910"/>
      <c r="G164" s="910"/>
      <c r="H164" s="420">
        <v>25</v>
      </c>
      <c r="I164" s="421"/>
      <c r="J164" s="22">
        <v>24</v>
      </c>
      <c r="K164" s="699"/>
      <c r="L164" s="22">
        <v>8.8000000000000007</v>
      </c>
      <c r="M164" s="22"/>
      <c r="N164" s="22"/>
      <c r="O164" s="699">
        <v>29.4</v>
      </c>
      <c r="P164" s="22">
        <v>72.52</v>
      </c>
      <c r="Q164" s="47"/>
      <c r="R164" s="47"/>
      <c r="S164" s="713"/>
      <c r="T164" s="65"/>
      <c r="U164" s="65"/>
      <c r="V164" s="65"/>
      <c r="W164" s="47"/>
      <c r="X164" s="47"/>
      <c r="Y164" s="47"/>
      <c r="Z164" s="30">
        <f t="shared" si="35"/>
        <v>134.72</v>
      </c>
      <c r="AA164" s="309">
        <f t="shared" si="34"/>
        <v>135</v>
      </c>
      <c r="AB164" s="256"/>
      <c r="AC164" s="127">
        <f t="shared" si="31"/>
        <v>0</v>
      </c>
      <c r="AD164" s="514">
        <f t="shared" si="32"/>
        <v>135</v>
      </c>
      <c r="AE164" s="514">
        <f t="shared" si="33"/>
        <v>0</v>
      </c>
      <c r="AF164" s="515"/>
    </row>
    <row r="165" spans="2:32" ht="18" customHeight="1">
      <c r="B165" s="923"/>
      <c r="C165" s="896"/>
      <c r="D165" s="897"/>
      <c r="E165" s="909"/>
      <c r="F165" s="910"/>
      <c r="G165" s="910"/>
      <c r="H165" s="420">
        <v>5</v>
      </c>
      <c r="I165" s="421"/>
      <c r="J165" s="22"/>
      <c r="K165" s="699"/>
      <c r="L165" s="22"/>
      <c r="M165" s="22"/>
      <c r="N165" s="22"/>
      <c r="O165" s="699"/>
      <c r="P165" s="22"/>
      <c r="Q165" s="47"/>
      <c r="R165" s="47"/>
      <c r="S165" s="713"/>
      <c r="T165" s="65"/>
      <c r="U165" s="65"/>
      <c r="V165" s="65"/>
      <c r="W165" s="47"/>
      <c r="X165" s="47"/>
      <c r="Y165" s="47"/>
      <c r="Z165" s="30">
        <f t="shared" si="35"/>
        <v>0</v>
      </c>
      <c r="AA165" s="309">
        <f t="shared" si="34"/>
        <v>0</v>
      </c>
      <c r="AB165" s="256"/>
      <c r="AC165" s="127">
        <f t="shared" si="31"/>
        <v>0</v>
      </c>
      <c r="AD165" s="514">
        <f t="shared" si="32"/>
        <v>0</v>
      </c>
      <c r="AE165" s="514">
        <f t="shared" si="33"/>
        <v>0</v>
      </c>
      <c r="AF165" s="515"/>
    </row>
    <row r="166" spans="2:32" ht="18" customHeight="1">
      <c r="B166" s="923"/>
      <c r="C166" s="898"/>
      <c r="D166" s="899"/>
      <c r="E166" s="925"/>
      <c r="F166" s="926"/>
      <c r="G166" s="926"/>
      <c r="H166" s="422">
        <v>55</v>
      </c>
      <c r="I166" s="423"/>
      <c r="J166" s="40"/>
      <c r="K166" s="700"/>
      <c r="L166" s="40"/>
      <c r="M166" s="40"/>
      <c r="N166" s="40"/>
      <c r="O166" s="700"/>
      <c r="P166" s="40"/>
      <c r="Q166" s="50"/>
      <c r="R166" s="50"/>
      <c r="S166" s="725"/>
      <c r="T166" s="251"/>
      <c r="U166" s="251"/>
      <c r="V166" s="251"/>
      <c r="W166" s="50"/>
      <c r="X166" s="50"/>
      <c r="Y166" s="50"/>
      <c r="Z166" s="31">
        <f t="shared" si="35"/>
        <v>0</v>
      </c>
      <c r="AA166" s="533">
        <f t="shared" si="34"/>
        <v>0</v>
      </c>
      <c r="AB166" s="256"/>
      <c r="AC166" s="296">
        <f t="shared" si="31"/>
        <v>0</v>
      </c>
      <c r="AD166" s="523">
        <f t="shared" si="32"/>
        <v>0</v>
      </c>
      <c r="AE166" s="523">
        <f t="shared" si="33"/>
        <v>0</v>
      </c>
      <c r="AF166" s="524"/>
    </row>
    <row r="167" spans="2:32" ht="18" customHeight="1">
      <c r="B167" s="923"/>
      <c r="C167" s="1101" t="s">
        <v>81</v>
      </c>
      <c r="D167" s="1019"/>
      <c r="E167" s="927" t="s">
        <v>15</v>
      </c>
      <c r="F167" s="928"/>
      <c r="G167" s="928"/>
      <c r="H167" s="424">
        <v>4</v>
      </c>
      <c r="I167" s="425"/>
      <c r="J167" s="39">
        <v>1.2</v>
      </c>
      <c r="K167" s="739"/>
      <c r="L167" s="39">
        <v>0.8</v>
      </c>
      <c r="M167" s="39"/>
      <c r="N167" s="39"/>
      <c r="O167" s="739"/>
      <c r="P167" s="39"/>
      <c r="Q167" s="39">
        <v>2.04</v>
      </c>
      <c r="R167" s="39">
        <v>21.18</v>
      </c>
      <c r="S167" s="739"/>
      <c r="T167" s="249">
        <v>13.46</v>
      </c>
      <c r="U167" s="249"/>
      <c r="V167" s="249"/>
      <c r="W167" s="46"/>
      <c r="X167" s="46"/>
      <c r="Y167" s="46"/>
      <c r="Z167" s="243">
        <f t="shared" si="35"/>
        <v>38.68</v>
      </c>
      <c r="AA167" s="555">
        <f t="shared" si="34"/>
        <v>39</v>
      </c>
      <c r="AB167" s="256"/>
      <c r="AC167" s="197">
        <f t="shared" si="31"/>
        <v>0</v>
      </c>
      <c r="AD167" s="521">
        <f>IF(AND($Z167&gt;=1,$Z167&lt;1000),ROUND($Z167,0),0)</f>
        <v>39</v>
      </c>
      <c r="AE167" s="521">
        <f>IF($Z167&gt;=1000,ROUND($Z167,-1),0)</f>
        <v>0</v>
      </c>
      <c r="AF167" s="522"/>
    </row>
    <row r="168" spans="2:32" ht="18" customHeight="1">
      <c r="B168" s="923"/>
      <c r="C168" s="917"/>
      <c r="D168" s="918"/>
      <c r="E168" s="909" t="s">
        <v>15</v>
      </c>
      <c r="F168" s="910"/>
      <c r="G168" s="910"/>
      <c r="H168" s="420">
        <v>5</v>
      </c>
      <c r="I168" s="421"/>
      <c r="J168" s="22">
        <v>24</v>
      </c>
      <c r="K168" s="699"/>
      <c r="L168" s="22">
        <v>8.8000000000000007</v>
      </c>
      <c r="M168" s="22"/>
      <c r="N168" s="22"/>
      <c r="O168" s="699">
        <v>29.4</v>
      </c>
      <c r="P168" s="22">
        <v>145.04</v>
      </c>
      <c r="Q168" s="22">
        <v>121.44</v>
      </c>
      <c r="R168" s="22">
        <v>511.14</v>
      </c>
      <c r="S168" s="699"/>
      <c r="T168" s="26">
        <v>810.56</v>
      </c>
      <c r="U168" s="26"/>
      <c r="V168" s="26"/>
      <c r="W168" s="47"/>
      <c r="X168" s="47"/>
      <c r="Y168" s="47"/>
      <c r="Z168" s="30">
        <f t="shared" si="35"/>
        <v>1650.3799999999999</v>
      </c>
      <c r="AA168" s="309">
        <f t="shared" si="34"/>
        <v>1650</v>
      </c>
      <c r="AB168" s="256"/>
      <c r="AC168" s="127">
        <f t="shared" si="31"/>
        <v>0</v>
      </c>
      <c r="AD168" s="514">
        <f>IF(AND($Z168&gt;=1,$Z168&lt;1000),ROUND($Z168,0),0)</f>
        <v>0</v>
      </c>
      <c r="AE168" s="514">
        <f>IF($Z168&gt;=1000,ROUND($Z168,-1),0)</f>
        <v>1650</v>
      </c>
      <c r="AF168" s="515"/>
    </row>
    <row r="169" spans="2:32" ht="18" customHeight="1">
      <c r="B169" s="923"/>
      <c r="C169" s="917"/>
      <c r="D169" s="918"/>
      <c r="E169" s="909" t="s">
        <v>15</v>
      </c>
      <c r="F169" s="910"/>
      <c r="G169" s="910"/>
      <c r="H169" s="420">
        <v>10</v>
      </c>
      <c r="I169" s="421"/>
      <c r="J169" s="22"/>
      <c r="K169" s="699"/>
      <c r="L169" s="22"/>
      <c r="M169" s="22"/>
      <c r="N169" s="22"/>
      <c r="O169" s="699"/>
      <c r="P169" s="22"/>
      <c r="Q169" s="22"/>
      <c r="R169" s="22"/>
      <c r="S169" s="699"/>
      <c r="T169" s="26">
        <v>3.92</v>
      </c>
      <c r="U169" s="26"/>
      <c r="V169" s="26"/>
      <c r="W169" s="47"/>
      <c r="X169" s="47"/>
      <c r="Y169" s="47"/>
      <c r="Z169" s="30">
        <f t="shared" si="35"/>
        <v>3.92</v>
      </c>
      <c r="AA169" s="309">
        <f t="shared" si="34"/>
        <v>4</v>
      </c>
      <c r="AB169" s="256"/>
      <c r="AC169" s="127">
        <f t="shared" si="31"/>
        <v>0</v>
      </c>
      <c r="AD169" s="514">
        <f>IF(AND($Z169&gt;=1,$Z169&lt;1000),ROUND($Z169,0),0)</f>
        <v>4</v>
      </c>
      <c r="AE169" s="514">
        <f>IF($Z169&gt;=1000,ROUND($Z169,-1),0)</f>
        <v>0</v>
      </c>
      <c r="AF169" s="515"/>
    </row>
    <row r="170" spans="2:32" ht="18" customHeight="1">
      <c r="B170" s="923"/>
      <c r="C170" s="917"/>
      <c r="D170" s="918"/>
      <c r="E170" s="909"/>
      <c r="F170" s="949"/>
      <c r="G170" s="949"/>
      <c r="H170" s="420"/>
      <c r="I170" s="421"/>
      <c r="J170" s="260"/>
      <c r="K170" s="740"/>
      <c r="L170" s="260"/>
      <c r="M170" s="260"/>
      <c r="N170" s="260"/>
      <c r="O170" s="740"/>
      <c r="P170" s="260"/>
      <c r="Q170" s="260"/>
      <c r="R170" s="260"/>
      <c r="S170" s="740"/>
      <c r="T170" s="259"/>
      <c r="U170" s="259"/>
      <c r="V170" s="259"/>
      <c r="W170" s="244"/>
      <c r="X170" s="244"/>
      <c r="Y170" s="244"/>
      <c r="Z170" s="245">
        <f t="shared" si="35"/>
        <v>0</v>
      </c>
      <c r="AA170" s="309">
        <f t="shared" si="34"/>
        <v>0</v>
      </c>
      <c r="AB170" s="256"/>
      <c r="AC170" s="127">
        <f t="shared" si="31"/>
        <v>0</v>
      </c>
      <c r="AD170" s="514">
        <f>IF(AND($Z170&gt;=1,$Z170&lt;1000),ROUND($Z170,0),0)</f>
        <v>0</v>
      </c>
      <c r="AE170" s="514">
        <f>IF($Z170&gt;=1000,ROUND($Z170,-1),0)</f>
        <v>0</v>
      </c>
      <c r="AF170" s="515"/>
    </row>
    <row r="171" spans="2:32" ht="18" customHeight="1" thickBot="1">
      <c r="B171" s="924"/>
      <c r="C171" s="1044"/>
      <c r="D171" s="980"/>
      <c r="E171" s="1116"/>
      <c r="F171" s="1117"/>
      <c r="G171" s="1117"/>
      <c r="H171" s="426"/>
      <c r="I171" s="427"/>
      <c r="J171" s="38"/>
      <c r="K171" s="741"/>
      <c r="L171" s="38"/>
      <c r="M171" s="38"/>
      <c r="N171" s="38"/>
      <c r="O171" s="741"/>
      <c r="P171" s="38"/>
      <c r="Q171" s="38"/>
      <c r="R171" s="38"/>
      <c r="S171" s="741"/>
      <c r="T171" s="67"/>
      <c r="U171" s="67"/>
      <c r="V171" s="67"/>
      <c r="W171" s="48"/>
      <c r="X171" s="48"/>
      <c r="Y171" s="48"/>
      <c r="Z171" s="63">
        <f t="shared" si="35"/>
        <v>0</v>
      </c>
      <c r="AA171" s="310">
        <f t="shared" si="34"/>
        <v>0</v>
      </c>
      <c r="AB171" s="256"/>
      <c r="AC171" s="128">
        <f t="shared" si="31"/>
        <v>0</v>
      </c>
      <c r="AD171" s="516">
        <f>IF(AND($Z171&gt;=1,$Z171&lt;1000),ROUND($Z171,0),0)</f>
        <v>0</v>
      </c>
      <c r="AE171" s="516">
        <f>IF($Z171&gt;=1000,ROUND($Z171,-1),0)</f>
        <v>0</v>
      </c>
      <c r="AF171" s="517"/>
    </row>
    <row r="172" spans="2:32" s="1" customFormat="1" ht="18" customHeight="1">
      <c r="B172" s="922" t="s">
        <v>187</v>
      </c>
      <c r="C172" s="894" t="s">
        <v>340</v>
      </c>
      <c r="D172" s="895"/>
      <c r="E172" s="78" t="s">
        <v>56</v>
      </c>
      <c r="F172" s="79"/>
      <c r="G172" s="84">
        <v>75</v>
      </c>
      <c r="H172" s="1121"/>
      <c r="I172" s="1122"/>
      <c r="J172" s="49"/>
      <c r="K172" s="712"/>
      <c r="L172" s="49"/>
      <c r="M172" s="49"/>
      <c r="N172" s="49"/>
      <c r="O172" s="712"/>
      <c r="P172" s="49"/>
      <c r="Q172" s="49"/>
      <c r="R172" s="35"/>
      <c r="S172" s="712"/>
      <c r="T172" s="608"/>
      <c r="U172" s="64"/>
      <c r="V172" s="64"/>
      <c r="W172" s="49"/>
      <c r="X172" s="49"/>
      <c r="Y172" s="49"/>
      <c r="Z172" s="62">
        <f t="shared" si="35"/>
        <v>0</v>
      </c>
      <c r="AA172" s="303">
        <f t="shared" si="34"/>
        <v>0</v>
      </c>
      <c r="AB172" s="256"/>
      <c r="AC172" s="126"/>
      <c r="AD172" s="512">
        <f>ROUND($Z172,0)</f>
        <v>0</v>
      </c>
      <c r="AE172" s="512"/>
      <c r="AF172" s="530"/>
    </row>
    <row r="173" spans="2:32" s="1" customFormat="1" ht="18" customHeight="1">
      <c r="B173" s="923"/>
      <c r="C173" s="896"/>
      <c r="D173" s="897"/>
      <c r="E173" s="81" t="s">
        <v>56</v>
      </c>
      <c r="F173" s="82"/>
      <c r="G173" s="85">
        <v>100</v>
      </c>
      <c r="H173" s="931"/>
      <c r="I173" s="932"/>
      <c r="J173" s="47"/>
      <c r="K173" s="713"/>
      <c r="L173" s="47"/>
      <c r="M173" s="47"/>
      <c r="N173" s="47"/>
      <c r="O173" s="713"/>
      <c r="P173" s="47"/>
      <c r="Q173" s="47"/>
      <c r="R173" s="22">
        <v>1</v>
      </c>
      <c r="S173" s="713"/>
      <c r="T173" s="26">
        <v>1</v>
      </c>
      <c r="U173" s="65"/>
      <c r="V173" s="65"/>
      <c r="W173" s="47"/>
      <c r="X173" s="47"/>
      <c r="Y173" s="47"/>
      <c r="Z173" s="30">
        <f t="shared" si="35"/>
        <v>2</v>
      </c>
      <c r="AA173" s="304">
        <f t="shared" si="34"/>
        <v>2</v>
      </c>
      <c r="AB173" s="256"/>
      <c r="AC173" s="127"/>
      <c r="AD173" s="514">
        <f t="shared" ref="AD173:AD189" si="36">ROUND($Z173,0)</f>
        <v>2</v>
      </c>
      <c r="AE173" s="514"/>
      <c r="AF173" s="531"/>
    </row>
    <row r="174" spans="2:32" s="1" customFormat="1" ht="18" customHeight="1">
      <c r="B174" s="923"/>
      <c r="C174" s="896"/>
      <c r="D174" s="897"/>
      <c r="E174" s="81" t="s">
        <v>56</v>
      </c>
      <c r="F174" s="82"/>
      <c r="G174" s="85">
        <v>150</v>
      </c>
      <c r="H174" s="931"/>
      <c r="I174" s="932"/>
      <c r="J174" s="47"/>
      <c r="K174" s="713"/>
      <c r="L174" s="47"/>
      <c r="M174" s="47"/>
      <c r="N174" s="47"/>
      <c r="O174" s="713"/>
      <c r="P174" s="47"/>
      <c r="Q174" s="47"/>
      <c r="R174" s="342">
        <v>2</v>
      </c>
      <c r="S174" s="713"/>
      <c r="T174" s="26"/>
      <c r="U174" s="65"/>
      <c r="V174" s="65"/>
      <c r="W174" s="47"/>
      <c r="X174" s="47"/>
      <c r="Y174" s="47"/>
      <c r="Z174" s="30">
        <f t="shared" si="35"/>
        <v>2</v>
      </c>
      <c r="AA174" s="304">
        <f t="shared" si="34"/>
        <v>2</v>
      </c>
      <c r="AB174" s="256"/>
      <c r="AC174" s="127"/>
      <c r="AD174" s="514">
        <f t="shared" si="36"/>
        <v>2</v>
      </c>
      <c r="AE174" s="514"/>
      <c r="AF174" s="531"/>
    </row>
    <row r="175" spans="2:32" s="1" customFormat="1" ht="18" customHeight="1">
      <c r="B175" s="923"/>
      <c r="C175" s="896"/>
      <c r="D175" s="897"/>
      <c r="E175" s="81" t="s">
        <v>56</v>
      </c>
      <c r="F175" s="82"/>
      <c r="G175" s="85">
        <v>200</v>
      </c>
      <c r="H175" s="931"/>
      <c r="I175" s="932"/>
      <c r="J175" s="47"/>
      <c r="K175" s="713"/>
      <c r="L175" s="47"/>
      <c r="M175" s="47"/>
      <c r="N175" s="47"/>
      <c r="O175" s="713"/>
      <c r="P175" s="47"/>
      <c r="Q175" s="47"/>
      <c r="R175" s="342"/>
      <c r="S175" s="755"/>
      <c r="T175" s="26"/>
      <c r="U175" s="65"/>
      <c r="V175" s="65"/>
      <c r="W175" s="47"/>
      <c r="X175" s="47"/>
      <c r="Y175" s="47"/>
      <c r="Z175" s="30">
        <f t="shared" si="35"/>
        <v>0</v>
      </c>
      <c r="AA175" s="304">
        <f t="shared" si="34"/>
        <v>0</v>
      </c>
      <c r="AB175" s="256"/>
      <c r="AC175" s="127"/>
      <c r="AD175" s="514">
        <f t="shared" si="36"/>
        <v>0</v>
      </c>
      <c r="AE175" s="514"/>
      <c r="AF175" s="531"/>
    </row>
    <row r="176" spans="2:32" s="1" customFormat="1" ht="18" customHeight="1">
      <c r="B176" s="923"/>
      <c r="C176" s="896"/>
      <c r="D176" s="897"/>
      <c r="E176" s="81" t="s">
        <v>56</v>
      </c>
      <c r="F176" s="82"/>
      <c r="G176" s="85">
        <v>300</v>
      </c>
      <c r="H176" s="931"/>
      <c r="I176" s="932"/>
      <c r="J176" s="47"/>
      <c r="K176" s="713"/>
      <c r="L176" s="47"/>
      <c r="M176" s="47"/>
      <c r="N176" s="47"/>
      <c r="O176" s="713"/>
      <c r="P176" s="47"/>
      <c r="Q176" s="47"/>
      <c r="R176" s="342">
        <v>3</v>
      </c>
      <c r="S176" s="755"/>
      <c r="T176" s="26"/>
      <c r="U176" s="65"/>
      <c r="V176" s="65"/>
      <c r="W176" s="47"/>
      <c r="X176" s="47"/>
      <c r="Y176" s="47"/>
      <c r="Z176" s="30">
        <f t="shared" si="35"/>
        <v>3</v>
      </c>
      <c r="AA176" s="304">
        <f t="shared" si="34"/>
        <v>3</v>
      </c>
      <c r="AB176" s="256"/>
      <c r="AC176" s="127"/>
      <c r="AD176" s="514">
        <f t="shared" si="36"/>
        <v>3</v>
      </c>
      <c r="AE176" s="514"/>
      <c r="AF176" s="531"/>
    </row>
    <row r="177" spans="2:32" s="1" customFormat="1" ht="18" customHeight="1">
      <c r="B177" s="923"/>
      <c r="C177" s="898"/>
      <c r="D177" s="899"/>
      <c r="E177" s="369" t="s">
        <v>56</v>
      </c>
      <c r="F177" s="371"/>
      <c r="G177" s="370">
        <v>75</v>
      </c>
      <c r="H177" s="1110" t="s">
        <v>252</v>
      </c>
      <c r="I177" s="1111"/>
      <c r="J177" s="50"/>
      <c r="K177" s="725"/>
      <c r="L177" s="50"/>
      <c r="M177" s="50"/>
      <c r="N177" s="50"/>
      <c r="O177" s="725"/>
      <c r="P177" s="50"/>
      <c r="Q177" s="50"/>
      <c r="R177" s="40"/>
      <c r="S177" s="700"/>
      <c r="T177" s="252"/>
      <c r="U177" s="251"/>
      <c r="V177" s="251"/>
      <c r="W177" s="50"/>
      <c r="X177" s="50"/>
      <c r="Y177" s="50"/>
      <c r="Z177" s="31">
        <f t="shared" si="35"/>
        <v>0</v>
      </c>
      <c r="AA177" s="305">
        <f t="shared" si="34"/>
        <v>0</v>
      </c>
      <c r="AB177" s="256"/>
      <c r="AC177" s="296"/>
      <c r="AD177" s="523">
        <f t="shared" si="36"/>
        <v>0</v>
      </c>
      <c r="AE177" s="523"/>
      <c r="AF177" s="546"/>
    </row>
    <row r="178" spans="2:32" s="1" customFormat="1" ht="18" customHeight="1">
      <c r="B178" s="923"/>
      <c r="C178" s="989" t="s">
        <v>341</v>
      </c>
      <c r="D178" s="990"/>
      <c r="E178" s="366"/>
      <c r="F178" s="368"/>
      <c r="G178" s="367">
        <v>75</v>
      </c>
      <c r="H178" s="929"/>
      <c r="I178" s="930"/>
      <c r="J178" s="46"/>
      <c r="K178" s="731"/>
      <c r="L178" s="46"/>
      <c r="M178" s="46"/>
      <c r="N178" s="46"/>
      <c r="O178" s="731"/>
      <c r="P178" s="46"/>
      <c r="Q178" s="46"/>
      <c r="R178" s="39"/>
      <c r="S178" s="731"/>
      <c r="T178" s="609"/>
      <c r="U178" s="173"/>
      <c r="V178" s="173"/>
      <c r="W178" s="46"/>
      <c r="X178" s="46"/>
      <c r="Y178" s="46"/>
      <c r="Z178" s="243">
        <f t="shared" si="35"/>
        <v>0</v>
      </c>
      <c r="AA178" s="307">
        <f t="shared" si="34"/>
        <v>0</v>
      </c>
      <c r="AB178" s="256"/>
      <c r="AC178" s="197"/>
      <c r="AD178" s="521">
        <f t="shared" si="36"/>
        <v>0</v>
      </c>
      <c r="AE178" s="521"/>
      <c r="AF178" s="548"/>
    </row>
    <row r="179" spans="2:32" s="1" customFormat="1" ht="18" customHeight="1">
      <c r="B179" s="923"/>
      <c r="C179" s="896"/>
      <c r="D179" s="897"/>
      <c r="E179" s="81"/>
      <c r="F179" s="82"/>
      <c r="G179" s="85">
        <v>100</v>
      </c>
      <c r="H179" s="931"/>
      <c r="I179" s="932"/>
      <c r="J179" s="47"/>
      <c r="K179" s="713"/>
      <c r="L179" s="47"/>
      <c r="M179" s="47"/>
      <c r="N179" s="47"/>
      <c r="O179" s="713"/>
      <c r="P179" s="47"/>
      <c r="Q179" s="47"/>
      <c r="R179" s="22"/>
      <c r="S179" s="713"/>
      <c r="T179" s="559"/>
      <c r="U179" s="65"/>
      <c r="V179" s="65"/>
      <c r="W179" s="47"/>
      <c r="X179" s="47"/>
      <c r="Y179" s="47"/>
      <c r="Z179" s="30">
        <f t="shared" si="35"/>
        <v>0</v>
      </c>
      <c r="AA179" s="304">
        <f t="shared" si="34"/>
        <v>0</v>
      </c>
      <c r="AB179" s="256"/>
      <c r="AC179" s="127"/>
      <c r="AD179" s="514">
        <f t="shared" si="36"/>
        <v>0</v>
      </c>
      <c r="AE179" s="514"/>
      <c r="AF179" s="531"/>
    </row>
    <row r="180" spans="2:32" s="1" customFormat="1" ht="18" customHeight="1">
      <c r="B180" s="923"/>
      <c r="C180" s="896"/>
      <c r="D180" s="897"/>
      <c r="E180" s="81"/>
      <c r="F180" s="82"/>
      <c r="G180" s="85">
        <v>150</v>
      </c>
      <c r="H180" s="931"/>
      <c r="I180" s="932"/>
      <c r="J180" s="47"/>
      <c r="K180" s="713"/>
      <c r="L180" s="47"/>
      <c r="M180" s="47"/>
      <c r="N180" s="47"/>
      <c r="O180" s="713"/>
      <c r="P180" s="47"/>
      <c r="Q180" s="47"/>
      <c r="R180" s="342"/>
      <c r="S180" s="713"/>
      <c r="T180" s="26"/>
      <c r="U180" s="65"/>
      <c r="V180" s="65"/>
      <c r="W180" s="47"/>
      <c r="X180" s="47"/>
      <c r="Y180" s="47"/>
      <c r="Z180" s="30">
        <f t="shared" si="35"/>
        <v>0</v>
      </c>
      <c r="AA180" s="304">
        <f t="shared" si="34"/>
        <v>0</v>
      </c>
      <c r="AB180" s="256"/>
      <c r="AC180" s="127"/>
      <c r="AD180" s="514">
        <f t="shared" si="36"/>
        <v>0</v>
      </c>
      <c r="AE180" s="514"/>
      <c r="AF180" s="531"/>
    </row>
    <row r="181" spans="2:32" s="1" customFormat="1" ht="18" customHeight="1">
      <c r="B181" s="923"/>
      <c r="C181" s="896"/>
      <c r="D181" s="897"/>
      <c r="E181" s="81"/>
      <c r="F181" s="82"/>
      <c r="G181" s="85">
        <v>200</v>
      </c>
      <c r="H181" s="931"/>
      <c r="I181" s="932"/>
      <c r="J181" s="47"/>
      <c r="K181" s="713"/>
      <c r="L181" s="47"/>
      <c r="M181" s="47"/>
      <c r="N181" s="47"/>
      <c r="O181" s="713"/>
      <c r="P181" s="47"/>
      <c r="Q181" s="47"/>
      <c r="R181" s="342"/>
      <c r="S181" s="755"/>
      <c r="T181" s="26"/>
      <c r="U181" s="65"/>
      <c r="V181" s="65"/>
      <c r="W181" s="47"/>
      <c r="X181" s="47"/>
      <c r="Y181" s="47"/>
      <c r="Z181" s="30">
        <f t="shared" si="35"/>
        <v>0</v>
      </c>
      <c r="AA181" s="304">
        <f t="shared" si="34"/>
        <v>0</v>
      </c>
      <c r="AB181" s="256"/>
      <c r="AC181" s="127"/>
      <c r="AD181" s="514">
        <f t="shared" si="36"/>
        <v>0</v>
      </c>
      <c r="AE181" s="514"/>
      <c r="AF181" s="531"/>
    </row>
    <row r="182" spans="2:32" s="1" customFormat="1" ht="18" customHeight="1">
      <c r="B182" s="923"/>
      <c r="C182" s="896"/>
      <c r="D182" s="897"/>
      <c r="E182" s="81"/>
      <c r="F182" s="82"/>
      <c r="G182" s="85">
        <v>300</v>
      </c>
      <c r="H182" s="931"/>
      <c r="I182" s="932"/>
      <c r="J182" s="47"/>
      <c r="K182" s="713"/>
      <c r="L182" s="47"/>
      <c r="M182" s="47"/>
      <c r="N182" s="47"/>
      <c r="O182" s="713"/>
      <c r="P182" s="47"/>
      <c r="Q182" s="47"/>
      <c r="R182" s="342">
        <v>1</v>
      </c>
      <c r="S182" s="755"/>
      <c r="T182" s="26"/>
      <c r="U182" s="65"/>
      <c r="V182" s="65"/>
      <c r="W182" s="47"/>
      <c r="X182" s="47"/>
      <c r="Y182" s="47"/>
      <c r="Z182" s="30">
        <f t="shared" si="35"/>
        <v>1</v>
      </c>
      <c r="AA182" s="304">
        <f>SUM(AC182:AF182)</f>
        <v>1</v>
      </c>
      <c r="AB182" s="256"/>
      <c r="AC182" s="127"/>
      <c r="AD182" s="514">
        <f t="shared" si="36"/>
        <v>1</v>
      </c>
      <c r="AE182" s="514"/>
      <c r="AF182" s="531"/>
    </row>
    <row r="183" spans="2:32" s="1" customFormat="1" ht="18" customHeight="1">
      <c r="B183" s="923"/>
      <c r="C183" s="896"/>
      <c r="D183" s="897"/>
      <c r="E183" s="81"/>
      <c r="F183" s="82"/>
      <c r="G183" s="85">
        <v>400</v>
      </c>
      <c r="H183" s="931"/>
      <c r="I183" s="932"/>
      <c r="J183" s="47"/>
      <c r="K183" s="713"/>
      <c r="L183" s="47"/>
      <c r="M183" s="47"/>
      <c r="N183" s="47"/>
      <c r="O183" s="713"/>
      <c r="P183" s="47"/>
      <c r="Q183" s="47"/>
      <c r="R183" s="47"/>
      <c r="S183" s="713"/>
      <c r="T183" s="65"/>
      <c r="U183" s="559"/>
      <c r="V183" s="65"/>
      <c r="W183" s="47"/>
      <c r="X183" s="47"/>
      <c r="Y183" s="47"/>
      <c r="Z183" s="30">
        <f t="shared" si="35"/>
        <v>0</v>
      </c>
      <c r="AA183" s="304">
        <f t="shared" si="34"/>
        <v>0</v>
      </c>
      <c r="AB183" s="256"/>
      <c r="AC183" s="127"/>
      <c r="AD183" s="514">
        <f t="shared" si="36"/>
        <v>0</v>
      </c>
      <c r="AE183" s="514"/>
      <c r="AF183" s="531"/>
    </row>
    <row r="184" spans="2:32" s="1" customFormat="1" ht="18" customHeight="1">
      <c r="B184" s="923"/>
      <c r="C184" s="896"/>
      <c r="D184" s="897"/>
      <c r="E184" s="81"/>
      <c r="F184" s="82"/>
      <c r="G184" s="85">
        <v>500</v>
      </c>
      <c r="H184" s="931"/>
      <c r="I184" s="932"/>
      <c r="J184" s="47"/>
      <c r="K184" s="713"/>
      <c r="L184" s="47"/>
      <c r="M184" s="47"/>
      <c r="N184" s="47"/>
      <c r="O184" s="713"/>
      <c r="P184" s="47"/>
      <c r="Q184" s="47"/>
      <c r="R184" s="47"/>
      <c r="S184" s="713"/>
      <c r="T184" s="65"/>
      <c r="U184" s="26"/>
      <c r="V184" s="65"/>
      <c r="W184" s="47"/>
      <c r="X184" s="47"/>
      <c r="Y184" s="47"/>
      <c r="Z184" s="30">
        <f t="shared" si="35"/>
        <v>0</v>
      </c>
      <c r="AA184" s="304">
        <f t="shared" si="34"/>
        <v>0</v>
      </c>
      <c r="AB184" s="256"/>
      <c r="AC184" s="127"/>
      <c r="AD184" s="514">
        <f t="shared" si="36"/>
        <v>0</v>
      </c>
      <c r="AE184" s="514"/>
      <c r="AF184" s="531"/>
    </row>
    <row r="185" spans="2:32" s="1" customFormat="1" ht="18" customHeight="1">
      <c r="B185" s="923"/>
      <c r="C185" s="898"/>
      <c r="D185" s="899"/>
      <c r="E185" s="556"/>
      <c r="F185" s="557"/>
      <c r="G185" s="558">
        <v>900</v>
      </c>
      <c r="H185" s="1110"/>
      <c r="I185" s="1111"/>
      <c r="J185" s="50"/>
      <c r="K185" s="725"/>
      <c r="L185" s="50"/>
      <c r="M185" s="50"/>
      <c r="N185" s="50"/>
      <c r="O185" s="725"/>
      <c r="P185" s="50"/>
      <c r="Q185" s="50"/>
      <c r="R185" s="50"/>
      <c r="S185" s="725"/>
      <c r="T185" s="251"/>
      <c r="U185" s="251"/>
      <c r="V185" s="252"/>
      <c r="W185" s="50"/>
      <c r="X185" s="50"/>
      <c r="Y185" s="50"/>
      <c r="Z185" s="31">
        <f t="shared" si="35"/>
        <v>0</v>
      </c>
      <c r="AA185" s="305">
        <f t="shared" si="34"/>
        <v>0</v>
      </c>
      <c r="AB185" s="256"/>
      <c r="AC185" s="296"/>
      <c r="AD185" s="523">
        <f t="shared" si="36"/>
        <v>0</v>
      </c>
      <c r="AE185" s="523"/>
      <c r="AF185" s="546"/>
    </row>
    <row r="186" spans="2:32" s="1" customFormat="1" ht="18" customHeight="1">
      <c r="B186" s="923"/>
      <c r="C186" s="896" t="s">
        <v>339</v>
      </c>
      <c r="D186" s="897"/>
      <c r="E186" s="366"/>
      <c r="F186" s="368"/>
      <c r="G186" s="367">
        <v>500</v>
      </c>
      <c r="H186" s="1139"/>
      <c r="I186" s="1140"/>
      <c r="J186" s="46"/>
      <c r="K186" s="731"/>
      <c r="L186" s="46"/>
      <c r="M186" s="46"/>
      <c r="N186" s="46"/>
      <c r="O186" s="731"/>
      <c r="P186" s="46"/>
      <c r="Q186" s="46"/>
      <c r="R186" s="46"/>
      <c r="S186" s="731"/>
      <c r="T186" s="173"/>
      <c r="U186" s="609"/>
      <c r="V186" s="173"/>
      <c r="W186" s="46"/>
      <c r="X186" s="46"/>
      <c r="Y186" s="46"/>
      <c r="Z186" s="243">
        <f t="shared" si="35"/>
        <v>0</v>
      </c>
      <c r="AA186" s="307">
        <f t="shared" si="34"/>
        <v>0</v>
      </c>
      <c r="AB186" s="256"/>
      <c r="AC186" s="197"/>
      <c r="AD186" s="521">
        <f t="shared" si="36"/>
        <v>0</v>
      </c>
      <c r="AE186" s="521"/>
      <c r="AF186" s="548"/>
    </row>
    <row r="187" spans="2:32" s="1" customFormat="1" ht="18" customHeight="1">
      <c r="B187" s="923"/>
      <c r="C187" s="896"/>
      <c r="D187" s="897"/>
      <c r="E187" s="81"/>
      <c r="F187" s="82"/>
      <c r="G187" s="85">
        <v>600</v>
      </c>
      <c r="H187" s="931"/>
      <c r="I187" s="932"/>
      <c r="J187" s="47"/>
      <c r="K187" s="713"/>
      <c r="L187" s="47"/>
      <c r="M187" s="47"/>
      <c r="N187" s="47"/>
      <c r="O187" s="713"/>
      <c r="P187" s="47"/>
      <c r="Q187" s="47"/>
      <c r="R187" s="47"/>
      <c r="S187" s="713"/>
      <c r="T187" s="65"/>
      <c r="U187" s="65"/>
      <c r="V187" s="559"/>
      <c r="W187" s="47"/>
      <c r="X187" s="47"/>
      <c r="Y187" s="47"/>
      <c r="Z187" s="30">
        <f t="shared" si="35"/>
        <v>0</v>
      </c>
      <c r="AA187" s="304">
        <f t="shared" si="34"/>
        <v>0</v>
      </c>
      <c r="AB187" s="256"/>
      <c r="AC187" s="127"/>
      <c r="AD187" s="514">
        <f t="shared" si="36"/>
        <v>0</v>
      </c>
      <c r="AE187" s="514"/>
      <c r="AF187" s="531"/>
    </row>
    <row r="188" spans="2:32" s="1" customFormat="1" ht="18" customHeight="1">
      <c r="B188" s="923"/>
      <c r="C188" s="896"/>
      <c r="D188" s="897"/>
      <c r="E188" s="81"/>
      <c r="F188" s="82"/>
      <c r="G188" s="85">
        <v>700</v>
      </c>
      <c r="H188" s="931"/>
      <c r="I188" s="932"/>
      <c r="J188" s="47"/>
      <c r="K188" s="713"/>
      <c r="L188" s="47"/>
      <c r="M188" s="47"/>
      <c r="N188" s="47"/>
      <c r="O188" s="713"/>
      <c r="P188" s="47"/>
      <c r="Q188" s="47"/>
      <c r="R188" s="47"/>
      <c r="S188" s="713"/>
      <c r="T188" s="65"/>
      <c r="U188" s="65"/>
      <c r="V188" s="559"/>
      <c r="W188" s="47"/>
      <c r="X188" s="47"/>
      <c r="Y188" s="47"/>
      <c r="Z188" s="30">
        <f t="shared" si="35"/>
        <v>0</v>
      </c>
      <c r="AA188" s="304">
        <f>SUM(AC188:AF188)</f>
        <v>0</v>
      </c>
      <c r="AB188" s="256"/>
      <c r="AC188" s="127"/>
      <c r="AD188" s="514">
        <f t="shared" si="36"/>
        <v>0</v>
      </c>
      <c r="AE188" s="514"/>
      <c r="AF188" s="531"/>
    </row>
    <row r="189" spans="2:32" s="1" customFormat="1" ht="18" customHeight="1" thickBot="1">
      <c r="B189" s="924"/>
      <c r="C189" s="991"/>
      <c r="D189" s="992"/>
      <c r="E189" s="83"/>
      <c r="F189" s="76"/>
      <c r="G189" s="86">
        <v>800</v>
      </c>
      <c r="H189" s="1112"/>
      <c r="I189" s="1113"/>
      <c r="J189" s="48"/>
      <c r="K189" s="714"/>
      <c r="L189" s="48"/>
      <c r="M189" s="48"/>
      <c r="N189" s="48"/>
      <c r="O189" s="714"/>
      <c r="P189" s="48"/>
      <c r="Q189" s="48"/>
      <c r="R189" s="48"/>
      <c r="S189" s="714"/>
      <c r="T189" s="66"/>
      <c r="U189" s="66"/>
      <c r="V189" s="675"/>
      <c r="W189" s="48"/>
      <c r="X189" s="48"/>
      <c r="Y189" s="48"/>
      <c r="Z189" s="63">
        <f t="shared" si="35"/>
        <v>0</v>
      </c>
      <c r="AA189" s="306">
        <f t="shared" si="34"/>
        <v>0</v>
      </c>
      <c r="AB189" s="256"/>
      <c r="AC189" s="128"/>
      <c r="AD189" s="516">
        <f t="shared" si="36"/>
        <v>0</v>
      </c>
      <c r="AE189" s="516"/>
      <c r="AF189" s="532"/>
    </row>
    <row r="190" spans="2:32" s="1" customFormat="1" ht="18" customHeight="1">
      <c r="B190" s="933" t="s">
        <v>188</v>
      </c>
      <c r="C190" s="911" t="s">
        <v>233</v>
      </c>
      <c r="D190" s="912"/>
      <c r="E190" s="942" t="s">
        <v>194</v>
      </c>
      <c r="F190" s="942"/>
      <c r="G190" s="942"/>
      <c r="H190" s="942"/>
      <c r="I190" s="942"/>
      <c r="J190" s="49"/>
      <c r="K190" s="712"/>
      <c r="L190" s="49"/>
      <c r="M190" s="49"/>
      <c r="N190" s="49"/>
      <c r="O190" s="712"/>
      <c r="P190" s="49"/>
      <c r="Q190" s="49"/>
      <c r="R190" s="35"/>
      <c r="S190" s="698"/>
      <c r="T190" s="72"/>
      <c r="U190" s="72"/>
      <c r="V190" s="72"/>
      <c r="W190" s="49"/>
      <c r="X190" s="49"/>
      <c r="Y190" s="49"/>
      <c r="Z190" s="62">
        <f t="shared" si="35"/>
        <v>0</v>
      </c>
      <c r="AA190" s="303">
        <f>SUM(Z190)</f>
        <v>0</v>
      </c>
      <c r="AB190" s="2"/>
      <c r="AC190" s="2"/>
      <c r="AD190" s="2"/>
      <c r="AE190" s="2"/>
      <c r="AF190" s="2"/>
    </row>
    <row r="191" spans="2:32" s="1" customFormat="1" ht="18" customHeight="1" thickBot="1">
      <c r="B191" s="934"/>
      <c r="C191" s="913"/>
      <c r="D191" s="914"/>
      <c r="E191" s="943" t="s">
        <v>112</v>
      </c>
      <c r="F191" s="943"/>
      <c r="G191" s="943"/>
      <c r="H191" s="943"/>
      <c r="I191" s="943"/>
      <c r="J191" s="48"/>
      <c r="K191" s="714"/>
      <c r="L191" s="48"/>
      <c r="M191" s="48"/>
      <c r="N191" s="48"/>
      <c r="O191" s="714"/>
      <c r="P191" s="48"/>
      <c r="Q191" s="48"/>
      <c r="R191" s="38"/>
      <c r="S191" s="741"/>
      <c r="T191" s="67"/>
      <c r="U191" s="67"/>
      <c r="V191" s="67"/>
      <c r="W191" s="48"/>
      <c r="X191" s="48"/>
      <c r="Y191" s="48"/>
      <c r="Z191" s="63">
        <f t="shared" si="35"/>
        <v>0</v>
      </c>
      <c r="AA191" s="306">
        <f>SUM(Z191)</f>
        <v>0</v>
      </c>
      <c r="AB191" s="2"/>
      <c r="AC191" s="2"/>
      <c r="AD191" s="2"/>
      <c r="AE191" s="2"/>
      <c r="AF191" s="2"/>
    </row>
    <row r="192" spans="2:32" s="1" customFormat="1" ht="18" customHeight="1">
      <c r="B192" s="1025" t="s">
        <v>80</v>
      </c>
      <c r="C192" s="915" t="s">
        <v>189</v>
      </c>
      <c r="D192" s="916"/>
      <c r="E192" s="78" t="s">
        <v>113</v>
      </c>
      <c r="F192" s="79"/>
      <c r="G192" s="79"/>
      <c r="H192" s="79"/>
      <c r="I192" s="80"/>
      <c r="J192" s="49"/>
      <c r="K192" s="712"/>
      <c r="L192" s="49"/>
      <c r="M192" s="49"/>
      <c r="N192" s="49"/>
      <c r="O192" s="712"/>
      <c r="P192" s="49"/>
      <c r="Q192" s="49"/>
      <c r="R192" s="35"/>
      <c r="S192" s="698"/>
      <c r="T192" s="72">
        <v>12</v>
      </c>
      <c r="U192" s="72"/>
      <c r="V192" s="72"/>
      <c r="W192" s="49"/>
      <c r="X192" s="49"/>
      <c r="Y192" s="49"/>
      <c r="Z192" s="62">
        <f t="shared" si="35"/>
        <v>12</v>
      </c>
      <c r="AA192" s="303">
        <f>SUM(Z192)</f>
        <v>12</v>
      </c>
      <c r="AB192" s="2"/>
      <c r="AC192" s="2"/>
      <c r="AD192" s="2"/>
      <c r="AE192" s="2"/>
      <c r="AF192" s="2"/>
    </row>
    <row r="193" spans="2:79" s="1" customFormat="1" ht="18" customHeight="1" thickBot="1">
      <c r="B193" s="1026"/>
      <c r="C193" s="1044"/>
      <c r="D193" s="980"/>
      <c r="E193" s="83"/>
      <c r="F193" s="76"/>
      <c r="G193" s="76"/>
      <c r="H193" s="76"/>
      <c r="I193" s="77"/>
      <c r="J193" s="48"/>
      <c r="K193" s="714"/>
      <c r="L193" s="48"/>
      <c r="M193" s="48"/>
      <c r="N193" s="48"/>
      <c r="O193" s="714"/>
      <c r="P193" s="48"/>
      <c r="Q193" s="48"/>
      <c r="R193" s="38"/>
      <c r="S193" s="741"/>
      <c r="T193" s="67"/>
      <c r="U193" s="67"/>
      <c r="V193" s="67"/>
      <c r="W193" s="48"/>
      <c r="X193" s="48"/>
      <c r="Y193" s="48"/>
      <c r="Z193" s="63">
        <f t="shared" si="35"/>
        <v>0</v>
      </c>
      <c r="AA193" s="306">
        <f>SUM(Z193)</f>
        <v>0</v>
      </c>
      <c r="AB193" s="12"/>
      <c r="AC193" s="2"/>
      <c r="AD193" s="2"/>
      <c r="AE193" s="2"/>
      <c r="AF193" s="2"/>
    </row>
    <row r="194" spans="2:79" s="1" customFormat="1" ht="18" customHeight="1">
      <c r="B194" s="975" t="s">
        <v>88</v>
      </c>
      <c r="C194" s="1031"/>
      <c r="D194" s="895"/>
      <c r="E194" s="87" t="s">
        <v>43</v>
      </c>
      <c r="F194" s="372"/>
      <c r="G194" s="90">
        <v>2</v>
      </c>
      <c r="H194" s="805" t="s">
        <v>232</v>
      </c>
      <c r="I194" s="802"/>
      <c r="J194" s="49"/>
      <c r="K194" s="712"/>
      <c r="L194" s="49"/>
      <c r="M194" s="49"/>
      <c r="N194" s="49"/>
      <c r="O194" s="712"/>
      <c r="P194" s="49"/>
      <c r="Q194" s="49"/>
      <c r="R194" s="35"/>
      <c r="S194" s="698"/>
      <c r="T194" s="72"/>
      <c r="U194" s="72"/>
      <c r="V194" s="72"/>
      <c r="W194" s="49"/>
      <c r="X194" s="49"/>
      <c r="Y194" s="49"/>
      <c r="Z194" s="62">
        <f t="shared" si="35"/>
        <v>0</v>
      </c>
      <c r="AA194" s="308">
        <f t="shared" si="34"/>
        <v>0</v>
      </c>
      <c r="AB194" s="14"/>
      <c r="AC194" s="311">
        <f>ROUND($Z194,1)</f>
        <v>0</v>
      </c>
      <c r="AD194" s="563"/>
      <c r="AE194" s="564"/>
      <c r="AF194" s="565"/>
    </row>
    <row r="195" spans="2:79" s="1" customFormat="1" ht="18" customHeight="1">
      <c r="B195" s="1032"/>
      <c r="C195" s="1033"/>
      <c r="D195" s="897"/>
      <c r="E195" s="88" t="s">
        <v>254</v>
      </c>
      <c r="F195" s="285"/>
      <c r="G195" s="92">
        <v>2.5</v>
      </c>
      <c r="H195" s="806" t="s">
        <v>232</v>
      </c>
      <c r="I195" s="803"/>
      <c r="J195" s="47"/>
      <c r="K195" s="713"/>
      <c r="L195" s="47"/>
      <c r="M195" s="47"/>
      <c r="N195" s="47"/>
      <c r="O195" s="713"/>
      <c r="P195" s="47"/>
      <c r="Q195" s="47"/>
      <c r="R195" s="22"/>
      <c r="S195" s="699"/>
      <c r="T195" s="26">
        <v>21.2</v>
      </c>
      <c r="U195" s="26"/>
      <c r="V195" s="26"/>
      <c r="W195" s="47"/>
      <c r="X195" s="47"/>
      <c r="Y195" s="47"/>
      <c r="Z195" s="30">
        <f t="shared" si="35"/>
        <v>21.2</v>
      </c>
      <c r="AA195" s="309">
        <f t="shared" si="34"/>
        <v>21.2</v>
      </c>
      <c r="AB195" s="14"/>
      <c r="AC195" s="312">
        <f t="shared" ref="AC195:AC200" si="37">ROUND($Z195,1)</f>
        <v>21.2</v>
      </c>
      <c r="AD195" s="560"/>
      <c r="AE195" s="561"/>
      <c r="AF195" s="566"/>
    </row>
    <row r="196" spans="2:79" s="1" customFormat="1" ht="18" customHeight="1">
      <c r="B196" s="1032"/>
      <c r="C196" s="1033"/>
      <c r="D196" s="897"/>
      <c r="E196" s="88" t="s">
        <v>253</v>
      </c>
      <c r="F196" s="285"/>
      <c r="G196" s="92">
        <v>3</v>
      </c>
      <c r="H196" s="806" t="s">
        <v>232</v>
      </c>
      <c r="I196" s="803"/>
      <c r="J196" s="47"/>
      <c r="K196" s="713"/>
      <c r="L196" s="47"/>
      <c r="M196" s="47"/>
      <c r="N196" s="47"/>
      <c r="O196" s="713"/>
      <c r="P196" s="47"/>
      <c r="Q196" s="47"/>
      <c r="R196" s="22"/>
      <c r="S196" s="699"/>
      <c r="T196" s="26"/>
      <c r="U196" s="26"/>
      <c r="V196" s="26"/>
      <c r="W196" s="47"/>
      <c r="X196" s="47"/>
      <c r="Y196" s="47"/>
      <c r="Z196" s="30">
        <f t="shared" si="35"/>
        <v>0</v>
      </c>
      <c r="AA196" s="309">
        <f t="shared" si="34"/>
        <v>0</v>
      </c>
      <c r="AB196" s="14"/>
      <c r="AC196" s="312">
        <f t="shared" si="37"/>
        <v>0</v>
      </c>
      <c r="AD196" s="560"/>
      <c r="AE196" s="561"/>
      <c r="AF196" s="566"/>
    </row>
    <row r="197" spans="2:79" s="1" customFormat="1" ht="18" customHeight="1">
      <c r="B197" s="1032"/>
      <c r="C197" s="1033"/>
      <c r="D197" s="897"/>
      <c r="E197" s="88" t="s">
        <v>254</v>
      </c>
      <c r="F197" s="285"/>
      <c r="G197" s="92">
        <v>3.5</v>
      </c>
      <c r="H197" s="806" t="s">
        <v>232</v>
      </c>
      <c r="I197" s="803"/>
      <c r="J197" s="47"/>
      <c r="K197" s="713"/>
      <c r="L197" s="47"/>
      <c r="M197" s="47"/>
      <c r="N197" s="47"/>
      <c r="O197" s="713"/>
      <c r="P197" s="47"/>
      <c r="Q197" s="47"/>
      <c r="R197" s="22"/>
      <c r="S197" s="699"/>
      <c r="T197" s="26"/>
      <c r="U197" s="26"/>
      <c r="V197" s="26"/>
      <c r="W197" s="47"/>
      <c r="X197" s="47"/>
      <c r="Y197" s="47"/>
      <c r="Z197" s="30">
        <f t="shared" si="35"/>
        <v>0</v>
      </c>
      <c r="AA197" s="309">
        <f t="shared" si="34"/>
        <v>0</v>
      </c>
      <c r="AB197" s="14"/>
      <c r="AC197" s="312">
        <f t="shared" si="37"/>
        <v>0</v>
      </c>
      <c r="AD197" s="560"/>
      <c r="AE197" s="561"/>
      <c r="AF197" s="566"/>
    </row>
    <row r="198" spans="2:79" s="1" customFormat="1" ht="18" customHeight="1">
      <c r="B198" s="1032"/>
      <c r="C198" s="1033"/>
      <c r="D198" s="897"/>
      <c r="E198" s="88" t="s">
        <v>254</v>
      </c>
      <c r="F198" s="285"/>
      <c r="G198" s="92">
        <v>4</v>
      </c>
      <c r="H198" s="806" t="s">
        <v>232</v>
      </c>
      <c r="I198" s="803"/>
      <c r="J198" s="47"/>
      <c r="K198" s="713"/>
      <c r="L198" s="47"/>
      <c r="M198" s="47"/>
      <c r="N198" s="47"/>
      <c r="O198" s="713"/>
      <c r="P198" s="47"/>
      <c r="Q198" s="47"/>
      <c r="R198" s="22"/>
      <c r="S198" s="699"/>
      <c r="T198" s="26"/>
      <c r="U198" s="26"/>
      <c r="V198" s="26"/>
      <c r="W198" s="47"/>
      <c r="X198" s="47"/>
      <c r="Y198" s="47"/>
      <c r="Z198" s="30">
        <f t="shared" si="35"/>
        <v>0</v>
      </c>
      <c r="AA198" s="309">
        <f t="shared" si="34"/>
        <v>0</v>
      </c>
      <c r="AB198" s="14"/>
      <c r="AC198" s="312">
        <f t="shared" si="37"/>
        <v>0</v>
      </c>
      <c r="AD198" s="560"/>
      <c r="AE198" s="561"/>
      <c r="AF198" s="566"/>
    </row>
    <row r="199" spans="2:79" ht="18" customHeight="1">
      <c r="B199" s="1032"/>
      <c r="C199" s="1033"/>
      <c r="D199" s="897"/>
      <c r="E199" s="88" t="s">
        <v>44</v>
      </c>
      <c r="F199" s="285"/>
      <c r="G199" s="94"/>
      <c r="H199" s="806" t="s">
        <v>232</v>
      </c>
      <c r="I199" s="803"/>
      <c r="J199" s="47"/>
      <c r="K199" s="713"/>
      <c r="L199" s="47"/>
      <c r="M199" s="47"/>
      <c r="N199" s="47"/>
      <c r="O199" s="713"/>
      <c r="P199" s="47"/>
      <c r="Q199" s="47"/>
      <c r="R199" s="22"/>
      <c r="S199" s="699"/>
      <c r="T199" s="26"/>
      <c r="U199" s="26"/>
      <c r="V199" s="26"/>
      <c r="W199" s="47"/>
      <c r="X199" s="47"/>
      <c r="Y199" s="47"/>
      <c r="Z199" s="30">
        <f t="shared" si="35"/>
        <v>0</v>
      </c>
      <c r="AA199" s="309">
        <f t="shared" si="34"/>
        <v>0</v>
      </c>
      <c r="AB199" s="14"/>
      <c r="AC199" s="312">
        <f t="shared" si="37"/>
        <v>0</v>
      </c>
      <c r="AD199" s="560"/>
      <c r="AE199" s="561"/>
      <c r="AF199" s="566"/>
    </row>
    <row r="200" spans="2:79" ht="18" customHeight="1" thickBot="1">
      <c r="B200" s="1034"/>
      <c r="C200" s="1035"/>
      <c r="D200" s="992"/>
      <c r="E200" s="89" t="s">
        <v>45</v>
      </c>
      <c r="F200" s="374"/>
      <c r="G200" s="95"/>
      <c r="H200" s="807" t="s">
        <v>232</v>
      </c>
      <c r="I200" s="804"/>
      <c r="J200" s="48"/>
      <c r="K200" s="714"/>
      <c r="L200" s="48"/>
      <c r="M200" s="48"/>
      <c r="N200" s="48"/>
      <c r="O200" s="714"/>
      <c r="P200" s="48"/>
      <c r="Q200" s="48"/>
      <c r="R200" s="38"/>
      <c r="S200" s="741"/>
      <c r="T200" s="67"/>
      <c r="U200" s="67"/>
      <c r="V200" s="67"/>
      <c r="W200" s="48"/>
      <c r="X200" s="48"/>
      <c r="Y200" s="48"/>
      <c r="Z200" s="63">
        <f t="shared" si="35"/>
        <v>0</v>
      </c>
      <c r="AA200" s="310">
        <f t="shared" si="34"/>
        <v>0</v>
      </c>
      <c r="AB200" s="14"/>
      <c r="AC200" s="313">
        <f t="shared" si="37"/>
        <v>0</v>
      </c>
      <c r="AD200" s="567"/>
      <c r="AE200" s="568"/>
      <c r="AF200" s="569"/>
    </row>
    <row r="201" spans="2:79" ht="18" customHeight="1">
      <c r="B201" s="1036" t="s">
        <v>89</v>
      </c>
      <c r="C201" s="976"/>
      <c r="D201" s="916"/>
      <c r="E201" s="1027" t="s">
        <v>43</v>
      </c>
      <c r="F201" s="1028"/>
      <c r="G201" s="1028"/>
      <c r="H201" s="1051">
        <v>51.6</v>
      </c>
      <c r="I201" s="1052"/>
      <c r="J201" s="49"/>
      <c r="K201" s="712"/>
      <c r="L201" s="49"/>
      <c r="M201" s="49"/>
      <c r="N201" s="49"/>
      <c r="O201" s="712"/>
      <c r="P201" s="49"/>
      <c r="Q201" s="49"/>
      <c r="R201" s="74">
        <f>ROUND(SUMPRODUCT($G194:$G198,R194:R198)*2*$H201/1000,2)</f>
        <v>0</v>
      </c>
      <c r="S201" s="765">
        <f>ROUND(SUMPRODUCT($G194:$G198,S194:S198)*2*$H201/1000,2)</f>
        <v>0</v>
      </c>
      <c r="T201" s="73">
        <v>3.7</v>
      </c>
      <c r="U201" s="73">
        <f>ROUND(SUMPRODUCT($G194:$G198,U194:U198)*2*$H201/1000,2)</f>
        <v>0</v>
      </c>
      <c r="V201" s="73">
        <f>ROUND(SUMPRODUCT($G194:$G198,V194:V198)*2*$H201/1000,2)</f>
        <v>0</v>
      </c>
      <c r="W201" s="49"/>
      <c r="X201" s="49"/>
      <c r="Y201" s="49"/>
      <c r="Z201" s="62">
        <f t="shared" si="35"/>
        <v>3.7</v>
      </c>
      <c r="AA201" s="308">
        <f t="shared" si="34"/>
        <v>0</v>
      </c>
      <c r="AB201" s="12"/>
      <c r="AC201" s="136"/>
      <c r="AD201" s="563"/>
      <c r="AE201" s="570"/>
      <c r="AF201" s="571"/>
    </row>
    <row r="202" spans="2:79" ht="18" customHeight="1">
      <c r="B202" s="977"/>
      <c r="C202" s="978"/>
      <c r="D202" s="918"/>
      <c r="E202" s="909" t="s">
        <v>44</v>
      </c>
      <c r="F202" s="949"/>
      <c r="G202" s="949"/>
      <c r="H202" s="1029">
        <v>59.2</v>
      </c>
      <c r="I202" s="1030"/>
      <c r="J202" s="47"/>
      <c r="K202" s="713"/>
      <c r="L202" s="47"/>
      <c r="M202" s="47"/>
      <c r="N202" s="47"/>
      <c r="O202" s="713"/>
      <c r="P202" s="47"/>
      <c r="Q202" s="47"/>
      <c r="R202" s="74">
        <f>ROUND($G198*R198*2*$H202/1000,2)</f>
        <v>0</v>
      </c>
      <c r="S202" s="765">
        <f t="shared" ref="S202:V203" si="38">ROUND($G198*S198*2*$H202/1000,2)</f>
        <v>0</v>
      </c>
      <c r="T202" s="74">
        <f t="shared" si="38"/>
        <v>0</v>
      </c>
      <c r="U202" s="74">
        <f>ROUND($G198*U198*2*$H202/1000,2)</f>
        <v>0</v>
      </c>
      <c r="V202" s="74">
        <f t="shared" si="38"/>
        <v>0</v>
      </c>
      <c r="W202" s="47"/>
      <c r="X202" s="47"/>
      <c r="Y202" s="47"/>
      <c r="Z202" s="30">
        <f t="shared" si="35"/>
        <v>0</v>
      </c>
      <c r="AA202" s="309">
        <f t="shared" si="34"/>
        <v>0</v>
      </c>
      <c r="AB202" s="12"/>
      <c r="AC202" s="137"/>
      <c r="AD202" s="560"/>
      <c r="AE202" s="562"/>
      <c r="AF202" s="572"/>
    </row>
    <row r="203" spans="2:79" ht="18" customHeight="1">
      <c r="B203" s="977"/>
      <c r="C203" s="978"/>
      <c r="D203" s="918"/>
      <c r="E203" s="909" t="s">
        <v>45</v>
      </c>
      <c r="F203" s="949"/>
      <c r="G203" s="949"/>
      <c r="H203" s="1029">
        <v>64.8</v>
      </c>
      <c r="I203" s="1030"/>
      <c r="J203" s="47"/>
      <c r="K203" s="713"/>
      <c r="L203" s="47"/>
      <c r="M203" s="47"/>
      <c r="N203" s="47"/>
      <c r="O203" s="713"/>
      <c r="P203" s="47"/>
      <c r="Q203" s="47"/>
      <c r="R203" s="74">
        <f>ROUND($G199*R199*2*$H203/1000,2)</f>
        <v>0</v>
      </c>
      <c r="S203" s="765">
        <f t="shared" si="38"/>
        <v>0</v>
      </c>
      <c r="T203" s="75">
        <f t="shared" si="38"/>
        <v>0</v>
      </c>
      <c r="U203" s="75">
        <f>ROUND($G199*U199*2*$H203/1000,2)</f>
        <v>0</v>
      </c>
      <c r="V203" s="75">
        <f t="shared" si="38"/>
        <v>0</v>
      </c>
      <c r="W203" s="47"/>
      <c r="X203" s="47"/>
      <c r="Y203" s="47"/>
      <c r="Z203" s="30">
        <f t="shared" si="35"/>
        <v>0</v>
      </c>
      <c r="AA203" s="309">
        <f t="shared" si="34"/>
        <v>0</v>
      </c>
      <c r="AB203" s="12"/>
      <c r="AC203" s="137"/>
      <c r="AD203" s="560"/>
      <c r="AE203" s="562"/>
      <c r="AF203" s="572"/>
    </row>
    <row r="204" spans="2:79" ht="18" customHeight="1" thickBot="1">
      <c r="B204" s="979"/>
      <c r="C204" s="973"/>
      <c r="D204" s="980"/>
      <c r="E204" s="1045" t="s">
        <v>46</v>
      </c>
      <c r="F204" s="1046"/>
      <c r="G204" s="1046"/>
      <c r="H204" s="1046"/>
      <c r="I204" s="1046"/>
      <c r="J204" s="1046"/>
      <c r="K204" s="1046"/>
      <c r="L204" s="1046"/>
      <c r="M204" s="1046"/>
      <c r="N204" s="1046"/>
      <c r="O204" s="1046"/>
      <c r="P204" s="1046"/>
      <c r="Q204" s="1046"/>
      <c r="R204" s="1046"/>
      <c r="S204" s="1046"/>
      <c r="T204" s="1046"/>
      <c r="U204" s="1046"/>
      <c r="V204" s="1046"/>
      <c r="W204" s="1046"/>
      <c r="X204" s="1046"/>
      <c r="Y204" s="1046"/>
      <c r="Z204" s="63">
        <f>SUM(Z201:Z203)</f>
        <v>3.7</v>
      </c>
      <c r="AA204" s="310">
        <f t="shared" si="34"/>
        <v>3.7</v>
      </c>
      <c r="AB204" s="12"/>
      <c r="AC204" s="313">
        <f>ROUND($Z204,1)</f>
        <v>3.7</v>
      </c>
      <c r="AD204" s="567"/>
      <c r="AE204" s="573"/>
      <c r="AF204" s="57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</row>
    <row r="205" spans="2:79" ht="18" customHeight="1">
      <c r="B205" s="290"/>
      <c r="C205" s="91"/>
      <c r="D205" s="246"/>
      <c r="E205" s="942"/>
      <c r="F205" s="942"/>
      <c r="G205" s="942"/>
      <c r="H205" s="942"/>
      <c r="I205" s="942"/>
      <c r="J205" s="49"/>
      <c r="K205" s="712"/>
      <c r="L205" s="49"/>
      <c r="M205" s="49"/>
      <c r="N205" s="49"/>
      <c r="O205" s="712"/>
      <c r="P205" s="49"/>
      <c r="Q205" s="49"/>
      <c r="R205" s="49"/>
      <c r="S205" s="712"/>
      <c r="T205" s="64"/>
      <c r="U205" s="64"/>
      <c r="V205" s="64"/>
      <c r="W205" s="49"/>
      <c r="X205" s="49"/>
      <c r="Y205" s="49"/>
      <c r="Z205" s="62">
        <f t="shared" ref="Z205:Z210" si="39">SUM(J205:Y205)</f>
        <v>0</v>
      </c>
      <c r="AA205" s="300">
        <f>Z205</f>
        <v>0</v>
      </c>
      <c r="AL205" s="154"/>
      <c r="AM205" s="154"/>
      <c r="AN205" s="262"/>
      <c r="AO205" s="119"/>
      <c r="AP205" s="267"/>
      <c r="AQ205" s="267"/>
      <c r="AR205" s="268"/>
      <c r="AS205" s="269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263"/>
      <c r="BD205" s="263"/>
      <c r="BE205" s="264"/>
      <c r="BF205" s="265"/>
      <c r="BG205" s="256"/>
      <c r="BH205" s="106"/>
      <c r="BI205" s="108"/>
      <c r="BJ205" s="108"/>
      <c r="BK205" s="108"/>
      <c r="BL205" s="154"/>
      <c r="BM205" s="270"/>
      <c r="BN205" s="271"/>
      <c r="BO205" s="272"/>
      <c r="BP205" s="154"/>
      <c r="BT205" s="9"/>
      <c r="BU205" s="9"/>
      <c r="BV205" s="9"/>
      <c r="BW205" s="9"/>
    </row>
    <row r="206" spans="2:79" ht="18" customHeight="1">
      <c r="B206" s="291"/>
      <c r="C206" s="93"/>
      <c r="D206" s="247"/>
      <c r="E206" s="948"/>
      <c r="F206" s="948"/>
      <c r="G206" s="948"/>
      <c r="H206" s="948"/>
      <c r="I206" s="948"/>
      <c r="J206" s="47"/>
      <c r="K206" s="713"/>
      <c r="L206" s="47"/>
      <c r="M206" s="47"/>
      <c r="N206" s="47"/>
      <c r="O206" s="713"/>
      <c r="P206" s="47"/>
      <c r="Q206" s="47"/>
      <c r="R206" s="47"/>
      <c r="S206" s="713"/>
      <c r="T206" s="65"/>
      <c r="U206" s="65"/>
      <c r="V206" s="65"/>
      <c r="W206" s="47"/>
      <c r="X206" s="47"/>
      <c r="Y206" s="47"/>
      <c r="Z206" s="30">
        <f t="shared" si="39"/>
        <v>0</v>
      </c>
      <c r="AA206" s="301">
        <f>Z206</f>
        <v>0</v>
      </c>
      <c r="AL206" s="154"/>
      <c r="AM206" s="154"/>
      <c r="AN206" s="262"/>
      <c r="AO206" s="119"/>
      <c r="AP206" s="267"/>
      <c r="AQ206" s="267"/>
      <c r="AR206" s="268"/>
      <c r="AS206" s="269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263"/>
      <c r="BD206" s="263"/>
      <c r="BE206" s="264"/>
      <c r="BF206" s="265"/>
      <c r="BG206" s="256"/>
      <c r="BH206" s="104"/>
      <c r="BI206" s="108"/>
      <c r="BJ206" s="108"/>
      <c r="BK206" s="108"/>
      <c r="BL206" s="154"/>
      <c r="BM206" s="154"/>
      <c r="BN206" s="154"/>
      <c r="BO206" s="154"/>
      <c r="BP206" s="154"/>
      <c r="BT206" s="9"/>
      <c r="BU206" s="9"/>
      <c r="BV206" s="9"/>
      <c r="BW206" s="9"/>
    </row>
    <row r="207" spans="2:79" ht="18" customHeight="1">
      <c r="B207" s="291"/>
      <c r="C207" s="93"/>
      <c r="D207" s="247"/>
      <c r="E207" s="948"/>
      <c r="F207" s="948"/>
      <c r="G207" s="948"/>
      <c r="H207" s="948"/>
      <c r="I207" s="948"/>
      <c r="J207" s="47"/>
      <c r="K207" s="713"/>
      <c r="L207" s="47"/>
      <c r="M207" s="47"/>
      <c r="N207" s="47"/>
      <c r="O207" s="713"/>
      <c r="P207" s="47"/>
      <c r="Q207" s="47"/>
      <c r="R207" s="47"/>
      <c r="S207" s="713"/>
      <c r="T207" s="65"/>
      <c r="U207" s="65"/>
      <c r="V207" s="65"/>
      <c r="W207" s="47"/>
      <c r="X207" s="47"/>
      <c r="Y207" s="47"/>
      <c r="Z207" s="30">
        <f t="shared" si="39"/>
        <v>0</v>
      </c>
      <c r="AA207" s="301">
        <f>Z207</f>
        <v>0</v>
      </c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154"/>
      <c r="BO207" s="154"/>
      <c r="BP207" s="154"/>
      <c r="BT207" s="19"/>
      <c r="BU207" s="19"/>
      <c r="BV207" s="19"/>
      <c r="BW207" s="19"/>
      <c r="BX207" s="1"/>
      <c r="BY207" s="1"/>
      <c r="BZ207" s="1"/>
      <c r="CA207" s="1"/>
    </row>
    <row r="208" spans="2:79" ht="18" customHeight="1">
      <c r="B208" s="291"/>
      <c r="C208" s="93"/>
      <c r="D208" s="247"/>
      <c r="E208" s="948"/>
      <c r="F208" s="948"/>
      <c r="G208" s="948"/>
      <c r="H208" s="948"/>
      <c r="I208" s="948"/>
      <c r="J208" s="47"/>
      <c r="K208" s="713"/>
      <c r="L208" s="47"/>
      <c r="M208" s="47"/>
      <c r="N208" s="47"/>
      <c r="O208" s="713"/>
      <c r="P208" s="47"/>
      <c r="Q208" s="47"/>
      <c r="R208" s="47"/>
      <c r="S208" s="713"/>
      <c r="T208" s="65"/>
      <c r="U208" s="65"/>
      <c r="V208" s="65"/>
      <c r="W208" s="47"/>
      <c r="X208" s="47"/>
      <c r="Y208" s="47"/>
      <c r="Z208" s="30">
        <f t="shared" si="39"/>
        <v>0</v>
      </c>
      <c r="AA208" s="301">
        <f>Z208</f>
        <v>0</v>
      </c>
      <c r="AL208" s="154"/>
      <c r="AM208" s="154"/>
      <c r="AN208" s="262"/>
      <c r="AO208" s="119"/>
      <c r="AP208" s="267"/>
      <c r="AQ208" s="267"/>
      <c r="AR208" s="268"/>
      <c r="AS208" s="269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273"/>
      <c r="BD208" s="273"/>
      <c r="BE208" s="264"/>
      <c r="BF208" s="265"/>
      <c r="BG208" s="256"/>
      <c r="BH208" s="104"/>
      <c r="BI208" s="108"/>
      <c r="BJ208" s="274"/>
      <c r="BK208" s="274"/>
      <c r="BL208" s="154"/>
      <c r="BM208" s="270"/>
      <c r="BN208" s="271"/>
      <c r="BO208" s="272"/>
      <c r="BP208" s="154"/>
      <c r="BT208" s="19"/>
      <c r="BU208" s="19"/>
      <c r="BV208" s="19"/>
      <c r="BW208" s="19"/>
      <c r="BX208" s="1"/>
      <c r="BY208" s="1"/>
      <c r="BZ208" s="1"/>
      <c r="CA208" s="1"/>
    </row>
    <row r="209" spans="2:32" ht="18" customHeight="1">
      <c r="B209" s="291"/>
      <c r="C209" s="93"/>
      <c r="D209" s="247"/>
      <c r="E209" s="948"/>
      <c r="F209" s="948"/>
      <c r="G209" s="948"/>
      <c r="H209" s="948"/>
      <c r="I209" s="948"/>
      <c r="J209" s="47"/>
      <c r="K209" s="713"/>
      <c r="L209" s="47"/>
      <c r="M209" s="47"/>
      <c r="N209" s="47"/>
      <c r="O209" s="713"/>
      <c r="P209" s="47"/>
      <c r="Q209" s="47"/>
      <c r="R209" s="47"/>
      <c r="S209" s="713"/>
      <c r="T209" s="65"/>
      <c r="U209" s="65"/>
      <c r="V209" s="65"/>
      <c r="W209" s="47"/>
      <c r="X209" s="47"/>
      <c r="Y209" s="47"/>
      <c r="Z209" s="30">
        <f t="shared" si="39"/>
        <v>0</v>
      </c>
      <c r="AA209" s="301">
        <f>Z209</f>
        <v>0</v>
      </c>
    </row>
    <row r="210" spans="2:32" ht="18" customHeight="1" thickBot="1">
      <c r="B210" s="292"/>
      <c r="C210" s="375"/>
      <c r="D210" s="248"/>
      <c r="E210" s="968"/>
      <c r="F210" s="968"/>
      <c r="G210" s="968"/>
      <c r="H210" s="968"/>
      <c r="I210" s="968"/>
      <c r="J210" s="96"/>
      <c r="K210" s="742"/>
      <c r="L210" s="96"/>
      <c r="M210" s="96"/>
      <c r="N210" s="96"/>
      <c r="O210" s="742"/>
      <c r="P210" s="96"/>
      <c r="Q210" s="96"/>
      <c r="R210" s="96"/>
      <c r="S210" s="742"/>
      <c r="T210" s="97"/>
      <c r="U210" s="97"/>
      <c r="V210" s="97"/>
      <c r="W210" s="96"/>
      <c r="X210" s="96"/>
      <c r="Y210" s="96"/>
      <c r="Z210" s="98">
        <f t="shared" si="39"/>
        <v>0</v>
      </c>
      <c r="AA210" s="302">
        <f t="shared" ref="AA210:AA218" si="40">Z210</f>
        <v>0</v>
      </c>
      <c r="AB210" s="12"/>
      <c r="AC210" s="107"/>
      <c r="AD210" s="106"/>
      <c r="AE210" s="130"/>
      <c r="AF210" s="130"/>
    </row>
    <row r="211" spans="2:32" ht="18" customHeight="1" thickTop="1" thickBot="1">
      <c r="B211" s="1014" t="s">
        <v>7</v>
      </c>
      <c r="C211" s="1015"/>
      <c r="D211" s="1015"/>
      <c r="E211" s="1015"/>
      <c r="F211" s="1015"/>
      <c r="G211" s="1015"/>
      <c r="H211" s="1015"/>
      <c r="I211" s="1015"/>
      <c r="J211" s="1015"/>
      <c r="K211" s="1015"/>
      <c r="L211" s="1015"/>
      <c r="M211" s="1015"/>
      <c r="N211" s="1015"/>
      <c r="O211" s="1015"/>
      <c r="P211" s="1015"/>
      <c r="Q211" s="1015"/>
      <c r="R211" s="1015"/>
      <c r="S211" s="1015"/>
      <c r="T211" s="1015"/>
      <c r="U211" s="1015"/>
      <c r="V211" s="1015"/>
      <c r="W211" s="1015"/>
      <c r="X211" s="1015"/>
      <c r="Y211" s="1015"/>
      <c r="Z211" s="1015"/>
      <c r="AA211" s="1016"/>
      <c r="AB211" s="12"/>
      <c r="AC211" s="107"/>
      <c r="AD211" s="106"/>
      <c r="AE211" s="130"/>
      <c r="AF211" s="130"/>
    </row>
    <row r="212" spans="2:32" ht="15" customHeight="1" thickTop="1">
      <c r="B212" s="1037" t="s">
        <v>103</v>
      </c>
      <c r="C212" s="1038"/>
      <c r="D212" s="1039"/>
      <c r="E212" s="1047" t="s">
        <v>8</v>
      </c>
      <c r="F212" s="1048"/>
      <c r="G212" s="1048"/>
      <c r="H212" s="1049"/>
      <c r="I212" s="1050"/>
      <c r="J212" s="27">
        <f t="shared" ref="J212:Y212" si="41">SUM(J77:J81,J104:J111,J82:J95)</f>
        <v>30.24</v>
      </c>
      <c r="K212" s="743">
        <f t="shared" si="41"/>
        <v>0</v>
      </c>
      <c r="L212" s="27">
        <f t="shared" si="41"/>
        <v>11.52</v>
      </c>
      <c r="M212" s="27">
        <f t="shared" si="41"/>
        <v>0</v>
      </c>
      <c r="N212" s="27">
        <f t="shared" si="41"/>
        <v>0</v>
      </c>
      <c r="O212" s="743">
        <f t="shared" si="41"/>
        <v>17.64</v>
      </c>
      <c r="P212" s="27">
        <f t="shared" si="41"/>
        <v>58.02</v>
      </c>
      <c r="Q212" s="27">
        <f>SUM(Q77:Q81,Q104:Q111,Q82:Q95)</f>
        <v>98.780000000000015</v>
      </c>
      <c r="R212" s="27">
        <f>SUM(R77:R81,R104:R111,R82:R95)</f>
        <v>598.76</v>
      </c>
      <c r="S212" s="743">
        <f t="shared" si="41"/>
        <v>0</v>
      </c>
      <c r="T212" s="27">
        <f t="shared" si="41"/>
        <v>992.1</v>
      </c>
      <c r="U212" s="27">
        <f t="shared" si="41"/>
        <v>0</v>
      </c>
      <c r="V212" s="27">
        <f t="shared" si="41"/>
        <v>0</v>
      </c>
      <c r="W212" s="27">
        <f t="shared" si="41"/>
        <v>0</v>
      </c>
      <c r="X212" s="27">
        <f t="shared" si="41"/>
        <v>0</v>
      </c>
      <c r="Y212" s="27">
        <f t="shared" si="41"/>
        <v>0</v>
      </c>
      <c r="Z212" s="28"/>
      <c r="AA212" s="281">
        <f>Z212</f>
        <v>0</v>
      </c>
      <c r="AB212" s="12"/>
      <c r="AC212" s="107"/>
      <c r="AD212" s="106"/>
      <c r="AE212" s="130"/>
      <c r="AF212" s="130"/>
    </row>
    <row r="213" spans="2:32" ht="15" customHeight="1">
      <c r="B213" s="977"/>
      <c r="C213" s="978"/>
      <c r="D213" s="918"/>
      <c r="E213" s="944" t="s">
        <v>9</v>
      </c>
      <c r="F213" s="945"/>
      <c r="G213" s="945"/>
      <c r="H213" s="946"/>
      <c r="I213" s="947"/>
      <c r="J213" s="22"/>
      <c r="K213" s="699"/>
      <c r="L213" s="22"/>
      <c r="M213" s="22"/>
      <c r="N213" s="22"/>
      <c r="O213" s="699"/>
      <c r="P213" s="22"/>
      <c r="Q213" s="22"/>
      <c r="R213" s="22"/>
      <c r="S213" s="699"/>
      <c r="T213" s="26">
        <v>2.79</v>
      </c>
      <c r="U213" s="26"/>
      <c r="V213" s="26"/>
      <c r="W213" s="22"/>
      <c r="X213" s="22"/>
      <c r="Y213" s="22"/>
      <c r="Z213" s="30"/>
      <c r="AA213" s="282">
        <f t="shared" si="40"/>
        <v>0</v>
      </c>
      <c r="AB213" s="12"/>
      <c r="AC213" s="107"/>
      <c r="AD213" s="106"/>
      <c r="AE213" s="130"/>
      <c r="AF213" s="130"/>
    </row>
    <row r="214" spans="2:32" ht="15" customHeight="1">
      <c r="B214" s="1020"/>
      <c r="C214" s="1021"/>
      <c r="D214" s="920"/>
      <c r="E214" s="1040" t="s">
        <v>17</v>
      </c>
      <c r="F214" s="1041"/>
      <c r="G214" s="1041"/>
      <c r="H214" s="1042"/>
      <c r="I214" s="1043"/>
      <c r="J214" s="25">
        <f t="shared" ref="J214:Y214" si="42">SUM(J212:J213)</f>
        <v>30.24</v>
      </c>
      <c r="K214" s="725">
        <f t="shared" si="42"/>
        <v>0</v>
      </c>
      <c r="L214" s="25">
        <f t="shared" si="42"/>
        <v>11.52</v>
      </c>
      <c r="M214" s="25">
        <f>SUM(M212:M213)</f>
        <v>0</v>
      </c>
      <c r="N214" s="25">
        <f>SUM(N212:N213)</f>
        <v>0</v>
      </c>
      <c r="O214" s="725">
        <f t="shared" si="42"/>
        <v>17.64</v>
      </c>
      <c r="P214" s="25">
        <f t="shared" si="42"/>
        <v>58.02</v>
      </c>
      <c r="Q214" s="25">
        <f t="shared" si="42"/>
        <v>98.780000000000015</v>
      </c>
      <c r="R214" s="25">
        <f>SUM(R212:R213)</f>
        <v>598.76</v>
      </c>
      <c r="S214" s="725">
        <f t="shared" si="42"/>
        <v>0</v>
      </c>
      <c r="T214" s="25">
        <f t="shared" si="42"/>
        <v>994.89</v>
      </c>
      <c r="U214" s="25">
        <f>SUM(U212:U213)</f>
        <v>0</v>
      </c>
      <c r="V214" s="25">
        <f t="shared" si="42"/>
        <v>0</v>
      </c>
      <c r="W214" s="25">
        <f t="shared" si="42"/>
        <v>0</v>
      </c>
      <c r="X214" s="25">
        <f>SUM(X212:X213)</f>
        <v>0</v>
      </c>
      <c r="Y214" s="25">
        <f t="shared" si="42"/>
        <v>0</v>
      </c>
      <c r="Z214" s="31">
        <f>SUM(J214:W214)</f>
        <v>1809.85</v>
      </c>
      <c r="AA214" s="283">
        <f t="shared" si="40"/>
        <v>1809.85</v>
      </c>
      <c r="AB214" s="12"/>
      <c r="AC214" s="107"/>
      <c r="AD214" s="106"/>
      <c r="AE214" s="130"/>
      <c r="AF214" s="130"/>
    </row>
    <row r="215" spans="2:32" ht="15" customHeight="1">
      <c r="B215" s="1017" t="s">
        <v>104</v>
      </c>
      <c r="C215" s="1018"/>
      <c r="D215" s="1019"/>
      <c r="E215" s="1010" t="s">
        <v>10</v>
      </c>
      <c r="F215" s="1011"/>
      <c r="G215" s="1011"/>
      <c r="H215" s="1012"/>
      <c r="I215" s="1013"/>
      <c r="J215" s="21">
        <f>SUM(J128:J139)+SUMPRODUCT($H156:$H171,J156:J171)/100</f>
        <v>30.238</v>
      </c>
      <c r="K215" s="744">
        <f t="shared" ref="K215:Y215" si="43">SUM(K128:K139)+SUMPRODUCT($H156:$H171,K156:K171)/100</f>
        <v>0</v>
      </c>
      <c r="L215" s="21">
        <f t="shared" si="43"/>
        <v>11.522</v>
      </c>
      <c r="M215" s="21">
        <f t="shared" si="43"/>
        <v>0</v>
      </c>
      <c r="N215" s="21">
        <f t="shared" si="43"/>
        <v>0</v>
      </c>
      <c r="O215" s="744">
        <f t="shared" si="43"/>
        <v>17.64</v>
      </c>
      <c r="P215" s="21">
        <f t="shared" si="43"/>
        <v>58.011999999999993</v>
      </c>
      <c r="Q215" s="21">
        <f>SUM(Q128:Q139)+SUMPRODUCT($H156:$H171,Q156:Q171)/100</f>
        <v>98.783600000000007</v>
      </c>
      <c r="R215" s="21">
        <f>SUM(R128:R139)+SUMPRODUCT($H156:$H171,R156:R171)/100</f>
        <v>561.3492</v>
      </c>
      <c r="S215" s="744">
        <f t="shared" si="43"/>
        <v>0</v>
      </c>
      <c r="T215" s="21">
        <f t="shared" si="43"/>
        <v>1034.2384</v>
      </c>
      <c r="U215" s="21">
        <f t="shared" si="43"/>
        <v>0</v>
      </c>
      <c r="V215" s="21">
        <f t="shared" si="43"/>
        <v>0</v>
      </c>
      <c r="W215" s="21">
        <f t="shared" si="43"/>
        <v>0</v>
      </c>
      <c r="X215" s="21">
        <f t="shared" si="43"/>
        <v>0</v>
      </c>
      <c r="Y215" s="21">
        <f t="shared" si="43"/>
        <v>0</v>
      </c>
      <c r="Z215" s="29"/>
      <c r="AA215" s="284">
        <f t="shared" si="40"/>
        <v>0</v>
      </c>
      <c r="AB215" s="12"/>
      <c r="AC215" s="107"/>
      <c r="AD215" s="106"/>
      <c r="AE215" s="130"/>
      <c r="AF215" s="130"/>
    </row>
    <row r="216" spans="2:32" ht="15" customHeight="1">
      <c r="B216" s="977"/>
      <c r="C216" s="978"/>
      <c r="D216" s="918"/>
      <c r="E216" s="944" t="s">
        <v>11</v>
      </c>
      <c r="F216" s="945"/>
      <c r="G216" s="945"/>
      <c r="H216" s="946"/>
      <c r="I216" s="947"/>
      <c r="J216" s="22"/>
      <c r="K216" s="699"/>
      <c r="L216" s="22"/>
      <c r="M216" s="22"/>
      <c r="N216" s="22"/>
      <c r="O216" s="699"/>
      <c r="P216" s="22"/>
      <c r="Q216" s="22"/>
      <c r="R216" s="22">
        <v>37.409999999999997</v>
      </c>
      <c r="S216" s="699"/>
      <c r="T216" s="26">
        <v>2.9</v>
      </c>
      <c r="U216" s="26"/>
      <c r="V216" s="26"/>
      <c r="W216" s="22"/>
      <c r="X216" s="22"/>
      <c r="Y216" s="22"/>
      <c r="Z216" s="30"/>
      <c r="AA216" s="282">
        <f t="shared" si="40"/>
        <v>0</v>
      </c>
      <c r="AB216" s="12"/>
      <c r="AC216" s="107"/>
      <c r="AD216" s="106"/>
      <c r="AE216" s="130"/>
      <c r="AF216" s="130"/>
    </row>
    <row r="217" spans="2:32" ht="15" customHeight="1">
      <c r="B217" s="977"/>
      <c r="C217" s="978"/>
      <c r="D217" s="918"/>
      <c r="E217" s="944" t="s">
        <v>12</v>
      </c>
      <c r="F217" s="945"/>
      <c r="G217" s="945"/>
      <c r="H217" s="946"/>
      <c r="I217" s="947"/>
      <c r="J217" s="22"/>
      <c r="K217" s="699"/>
      <c r="L217" s="22"/>
      <c r="M217" s="22"/>
      <c r="N217" s="22"/>
      <c r="O217" s="699"/>
      <c r="P217" s="22"/>
      <c r="Q217" s="22"/>
      <c r="R217" s="22"/>
      <c r="S217" s="699"/>
      <c r="T217" s="26">
        <v>42.24</v>
      </c>
      <c r="U217" s="26"/>
      <c r="V217" s="26"/>
      <c r="W217" s="22"/>
      <c r="X217" s="22"/>
      <c r="Y217" s="22"/>
      <c r="Z217" s="30"/>
      <c r="AA217" s="282">
        <f t="shared" si="40"/>
        <v>0</v>
      </c>
      <c r="AB217" s="12"/>
      <c r="AC217" s="107"/>
      <c r="AD217" s="106"/>
      <c r="AE217" s="130"/>
      <c r="AF217" s="130"/>
    </row>
    <row r="218" spans="2:32" ht="15" customHeight="1">
      <c r="B218" s="1020"/>
      <c r="C218" s="1021"/>
      <c r="D218" s="920"/>
      <c r="E218" s="1006" t="s">
        <v>18</v>
      </c>
      <c r="F218" s="1007"/>
      <c r="G218" s="1007"/>
      <c r="H218" s="1008"/>
      <c r="I218" s="1009"/>
      <c r="J218" s="23">
        <f>SUM(J215:J216)-J217</f>
        <v>30.238</v>
      </c>
      <c r="K218" s="725">
        <f t="shared" ref="K218:V218" si="44">SUM(K215:K216)-K217</f>
        <v>0</v>
      </c>
      <c r="L218" s="23">
        <f t="shared" si="44"/>
        <v>11.522</v>
      </c>
      <c r="M218" s="23">
        <f>SUM(M215:M216)-M217</f>
        <v>0</v>
      </c>
      <c r="N218" s="23">
        <f>SUM(N215:N216)-N217</f>
        <v>0</v>
      </c>
      <c r="O218" s="725">
        <f t="shared" si="44"/>
        <v>17.64</v>
      </c>
      <c r="P218" s="23">
        <f t="shared" si="44"/>
        <v>58.011999999999993</v>
      </c>
      <c r="Q218" s="23">
        <f t="shared" si="44"/>
        <v>98.783600000000007</v>
      </c>
      <c r="R218" s="23">
        <f>SUM(R215:R216)-R217</f>
        <v>598.75919999999996</v>
      </c>
      <c r="S218" s="725">
        <f t="shared" si="44"/>
        <v>0</v>
      </c>
      <c r="T218" s="23">
        <f t="shared" si="44"/>
        <v>994.89840000000004</v>
      </c>
      <c r="U218" s="23">
        <f>SUM(U215:U216)-U217</f>
        <v>0</v>
      </c>
      <c r="V218" s="23">
        <f t="shared" si="44"/>
        <v>0</v>
      </c>
      <c r="W218" s="23">
        <f>SUM(W215:W217)</f>
        <v>0</v>
      </c>
      <c r="X218" s="23">
        <f>SUM(X215:X217)</f>
        <v>0</v>
      </c>
      <c r="Y218" s="23">
        <f>SUM(Y215:Y217)</f>
        <v>0</v>
      </c>
      <c r="Z218" s="31">
        <f>SUM(J218:W218)</f>
        <v>1809.8532</v>
      </c>
      <c r="AA218" s="490">
        <f t="shared" si="40"/>
        <v>1809.8532</v>
      </c>
      <c r="AB218" s="12"/>
      <c r="AC218" s="107"/>
      <c r="AD218" s="106"/>
      <c r="AE218" s="130"/>
      <c r="AF218" s="130"/>
    </row>
    <row r="219" spans="2:32" ht="15" customHeight="1" thickBot="1">
      <c r="B219" s="1022" t="s">
        <v>105</v>
      </c>
      <c r="C219" s="1023"/>
      <c r="D219" s="1024"/>
      <c r="E219" s="964" t="s">
        <v>19</v>
      </c>
      <c r="F219" s="965"/>
      <c r="G219" s="965"/>
      <c r="H219" s="966"/>
      <c r="I219" s="967"/>
      <c r="J219" s="24">
        <f t="shared" ref="J219:Z219" si="45">J214-J218</f>
        <v>1.9999999999988916E-3</v>
      </c>
      <c r="K219" s="745">
        <f t="shared" si="45"/>
        <v>0</v>
      </c>
      <c r="L219" s="24">
        <f t="shared" si="45"/>
        <v>-2.0000000000006679E-3</v>
      </c>
      <c r="M219" s="24">
        <f>M214-M218</f>
        <v>0</v>
      </c>
      <c r="N219" s="24">
        <f>N214-N218</f>
        <v>0</v>
      </c>
      <c r="O219" s="745">
        <f t="shared" si="45"/>
        <v>0</v>
      </c>
      <c r="P219" s="24">
        <f t="shared" si="45"/>
        <v>8.0000000000097771E-3</v>
      </c>
      <c r="Q219" s="24">
        <f t="shared" si="45"/>
        <v>-3.5999999999916099E-3</v>
      </c>
      <c r="R219" s="24">
        <f>R214-R218</f>
        <v>8.0000000002655725E-4</v>
      </c>
      <c r="S219" s="745">
        <f t="shared" si="45"/>
        <v>0</v>
      </c>
      <c r="T219" s="24">
        <f>T214-T218</f>
        <v>-8.4000000000514774E-3</v>
      </c>
      <c r="U219" s="24">
        <f>U214-U218</f>
        <v>0</v>
      </c>
      <c r="V219" s="24">
        <f t="shared" si="45"/>
        <v>0</v>
      </c>
      <c r="W219" s="24">
        <f t="shared" si="45"/>
        <v>0</v>
      </c>
      <c r="X219" s="24">
        <f>X214-X218</f>
        <v>0</v>
      </c>
      <c r="Y219" s="24">
        <f t="shared" si="45"/>
        <v>0</v>
      </c>
      <c r="Z219" s="24">
        <f t="shared" si="45"/>
        <v>-3.200000000106229E-3</v>
      </c>
      <c r="AA219" s="489">
        <f>Z219</f>
        <v>-3.200000000106229E-3</v>
      </c>
      <c r="AD219" s="129"/>
      <c r="AE219" s="129"/>
      <c r="AF219" s="129"/>
    </row>
    <row r="220" spans="2:32" ht="18" customHeight="1">
      <c r="E220" s="938" t="s">
        <v>378</v>
      </c>
      <c r="F220" s="938"/>
      <c r="G220" s="938"/>
      <c r="H220" s="938"/>
      <c r="I220" s="938"/>
      <c r="J220" s="938"/>
      <c r="K220" s="938"/>
      <c r="L220" s="938"/>
      <c r="M220" s="938"/>
      <c r="N220" s="938"/>
      <c r="O220" s="938"/>
      <c r="P220" s="938"/>
      <c r="Q220" s="938"/>
      <c r="R220" s="938"/>
      <c r="S220" s="938"/>
      <c r="T220" s="938"/>
      <c r="U220" s="938"/>
      <c r="V220" s="938"/>
      <c r="W220" s="938"/>
      <c r="X220" s="15"/>
      <c r="Y220" s="15"/>
    </row>
    <row r="221" spans="2:32" ht="18" customHeight="1">
      <c r="J221" s="1"/>
      <c r="AA221" s="2"/>
      <c r="AB221" s="2"/>
      <c r="AC221" s="2"/>
      <c r="AD221" s="2"/>
      <c r="AE221" s="2"/>
      <c r="AF221" s="2"/>
    </row>
  </sheetData>
  <mergeCells count="308">
    <mergeCell ref="H202:I202"/>
    <mergeCell ref="C178:D185"/>
    <mergeCell ref="C186:D189"/>
    <mergeCell ref="H9:I9"/>
    <mergeCell ref="H10:I10"/>
    <mergeCell ref="H11:I11"/>
    <mergeCell ref="H12:I12"/>
    <mergeCell ref="E9:F9"/>
    <mergeCell ref="E10:F10"/>
    <mergeCell ref="E12:F12"/>
    <mergeCell ref="E11:F11"/>
    <mergeCell ref="H180:I180"/>
    <mergeCell ref="H181:I181"/>
    <mergeCell ref="H186:I186"/>
    <mergeCell ref="H187:I187"/>
    <mergeCell ref="H183:I183"/>
    <mergeCell ref="H184:I184"/>
    <mergeCell ref="H185:I185"/>
    <mergeCell ref="H182:I182"/>
    <mergeCell ref="E148:F148"/>
    <mergeCell ref="E160:G160"/>
    <mergeCell ref="E126:F126"/>
    <mergeCell ref="E128:F128"/>
    <mergeCell ref="E149:F149"/>
    <mergeCell ref="E161:G161"/>
    <mergeCell ref="E162:G162"/>
    <mergeCell ref="H173:I173"/>
    <mergeCell ref="H174:I174"/>
    <mergeCell ref="H175:I175"/>
    <mergeCell ref="H176:I176"/>
    <mergeCell ref="H177:I177"/>
    <mergeCell ref="H189:I189"/>
    <mergeCell ref="E137:F137"/>
    <mergeCell ref="B153:AA153"/>
    <mergeCell ref="E147:F147"/>
    <mergeCell ref="E140:F140"/>
    <mergeCell ref="E142:F142"/>
    <mergeCell ref="B151:AA152"/>
    <mergeCell ref="E156:G156"/>
    <mergeCell ref="C162:D166"/>
    <mergeCell ref="C167:D171"/>
    <mergeCell ref="E171:G171"/>
    <mergeCell ref="X154:X155"/>
    <mergeCell ref="B140:B149"/>
    <mergeCell ref="H172:I172"/>
    <mergeCell ref="V154:V155"/>
    <mergeCell ref="E168:G168"/>
    <mergeCell ref="C148:D149"/>
    <mergeCell ref="J56:Y56"/>
    <mergeCell ref="AM147:AN147"/>
    <mergeCell ref="C147:D147"/>
    <mergeCell ref="E144:F144"/>
    <mergeCell ref="E145:F145"/>
    <mergeCell ref="E139:F139"/>
    <mergeCell ref="E112:F112"/>
    <mergeCell ref="E130:F130"/>
    <mergeCell ref="E123:F123"/>
    <mergeCell ref="E134:F134"/>
    <mergeCell ref="E131:F131"/>
    <mergeCell ref="E118:F118"/>
    <mergeCell ref="E121:F121"/>
    <mergeCell ref="E120:F120"/>
    <mergeCell ref="E119:F119"/>
    <mergeCell ref="J117:Y117"/>
    <mergeCell ref="C118:D122"/>
    <mergeCell ref="C123:D127"/>
    <mergeCell ref="C140:D146"/>
    <mergeCell ref="E138:F138"/>
    <mergeCell ref="E136:F136"/>
    <mergeCell ref="E124:F124"/>
    <mergeCell ref="E68:I68"/>
    <mergeCell ref="E69:I69"/>
    <mergeCell ref="E70:I70"/>
    <mergeCell ref="B71:AA71"/>
    <mergeCell ref="B103:D103"/>
    <mergeCell ref="E105:F105"/>
    <mergeCell ref="E125:F125"/>
    <mergeCell ref="E115:F115"/>
    <mergeCell ref="C96:D98"/>
    <mergeCell ref="C104:D111"/>
    <mergeCell ref="C128:D139"/>
    <mergeCell ref="E96:F96"/>
    <mergeCell ref="F95:G95"/>
    <mergeCell ref="V75:V76"/>
    <mergeCell ref="E116:F116"/>
    <mergeCell ref="Z75:Z76"/>
    <mergeCell ref="B68:D70"/>
    <mergeCell ref="B118:B139"/>
    <mergeCell ref="C82:D95"/>
    <mergeCell ref="B104:B117"/>
    <mergeCell ref="C112:D117"/>
    <mergeCell ref="F80:G80"/>
    <mergeCell ref="E80:E81"/>
    <mergeCell ref="E107:F107"/>
    <mergeCell ref="C99:D102"/>
    <mergeCell ref="E104:F104"/>
    <mergeCell ref="AC154:AF154"/>
    <mergeCell ref="Z154:Z155"/>
    <mergeCell ref="S154:S155"/>
    <mergeCell ref="AA154:AA155"/>
    <mergeCell ref="Y154:Y155"/>
    <mergeCell ref="E111:F111"/>
    <mergeCell ref="N154:N155"/>
    <mergeCell ref="E133:F133"/>
    <mergeCell ref="W154:W155"/>
    <mergeCell ref="E132:F132"/>
    <mergeCell ref="R154:R155"/>
    <mergeCell ref="P154:P155"/>
    <mergeCell ref="E141:F141"/>
    <mergeCell ref="E113:F113"/>
    <mergeCell ref="M154:M155"/>
    <mergeCell ref="U154:U155"/>
    <mergeCell ref="J127:Y127"/>
    <mergeCell ref="J146:Y146"/>
    <mergeCell ref="O154:O155"/>
    <mergeCell ref="J154:J155"/>
    <mergeCell ref="T154:T155"/>
    <mergeCell ref="Q154:Q155"/>
    <mergeCell ref="E114:F114"/>
    <mergeCell ref="E129:F129"/>
    <mergeCell ref="E218:I218"/>
    <mergeCell ref="E209:I209"/>
    <mergeCell ref="E213:I213"/>
    <mergeCell ref="E215:I215"/>
    <mergeCell ref="B211:AA211"/>
    <mergeCell ref="B215:D218"/>
    <mergeCell ref="B219:D219"/>
    <mergeCell ref="B192:B193"/>
    <mergeCell ref="E206:I206"/>
    <mergeCell ref="E201:G201"/>
    <mergeCell ref="H203:I203"/>
    <mergeCell ref="E216:I216"/>
    <mergeCell ref="B194:D200"/>
    <mergeCell ref="E205:I205"/>
    <mergeCell ref="B201:D204"/>
    <mergeCell ref="B212:D214"/>
    <mergeCell ref="E202:G202"/>
    <mergeCell ref="E214:I214"/>
    <mergeCell ref="E207:I207"/>
    <mergeCell ref="C192:D193"/>
    <mergeCell ref="E204:Y204"/>
    <mergeCell ref="E212:I212"/>
    <mergeCell ref="E203:G203"/>
    <mergeCell ref="H201:I201"/>
    <mergeCell ref="B3:AA3"/>
    <mergeCell ref="F23:G23"/>
    <mergeCell ref="F66:G66"/>
    <mergeCell ref="H17:I17"/>
    <mergeCell ref="H20:I20"/>
    <mergeCell ref="F51:G65"/>
    <mergeCell ref="F24:G24"/>
    <mergeCell ref="H26:H30"/>
    <mergeCell ref="F22:G22"/>
    <mergeCell ref="J30:Y30"/>
    <mergeCell ref="T7:T8"/>
    <mergeCell ref="Q7:Q8"/>
    <mergeCell ref="C26:D67"/>
    <mergeCell ref="H63:H65"/>
    <mergeCell ref="J62:Y62"/>
    <mergeCell ref="H54:H56"/>
    <mergeCell ref="J59:Y59"/>
    <mergeCell ref="F25:G25"/>
    <mergeCell ref="N7:N8"/>
    <mergeCell ref="R7:R8"/>
    <mergeCell ref="F18:G20"/>
    <mergeCell ref="B13:B67"/>
    <mergeCell ref="F13:G13"/>
    <mergeCell ref="F14:G17"/>
    <mergeCell ref="J1:AA1"/>
    <mergeCell ref="P7:P8"/>
    <mergeCell ref="J75:J76"/>
    <mergeCell ref="Z7:Z8"/>
    <mergeCell ref="K7:K8"/>
    <mergeCell ref="AA7:AA8"/>
    <mergeCell ref="L7:L8"/>
    <mergeCell ref="B74:AA74"/>
    <mergeCell ref="AA75:AA76"/>
    <mergeCell ref="J2:AA2"/>
    <mergeCell ref="B6:AA6"/>
    <mergeCell ref="J7:J8"/>
    <mergeCell ref="J17:Y17"/>
    <mergeCell ref="J20:Y20"/>
    <mergeCell ref="B7:D8"/>
    <mergeCell ref="B4:AA5"/>
    <mergeCell ref="E7:I8"/>
    <mergeCell ref="B9:D12"/>
    <mergeCell ref="C13:D25"/>
    <mergeCell ref="E13:E21"/>
    <mergeCell ref="W7:W8"/>
    <mergeCell ref="V7:V8"/>
    <mergeCell ref="E75:I76"/>
    <mergeCell ref="O7:O8"/>
    <mergeCell ref="E220:W220"/>
    <mergeCell ref="AC7:AF7"/>
    <mergeCell ref="E190:I190"/>
    <mergeCell ref="E191:I191"/>
    <mergeCell ref="E217:I217"/>
    <mergeCell ref="E208:I208"/>
    <mergeCell ref="Y7:Y8"/>
    <mergeCell ref="E157:G157"/>
    <mergeCell ref="E135:F135"/>
    <mergeCell ref="E169:G169"/>
    <mergeCell ref="E170:G170"/>
    <mergeCell ref="E164:G164"/>
    <mergeCell ref="E143:F143"/>
    <mergeCell ref="AC75:AF75"/>
    <mergeCell ref="H36:H40"/>
    <mergeCell ref="F26:G50"/>
    <mergeCell ref="H41:H45"/>
    <mergeCell ref="F67:G67"/>
    <mergeCell ref="E22:E25"/>
    <mergeCell ref="J53:Y53"/>
    <mergeCell ref="H31:H35"/>
    <mergeCell ref="J35:Y35"/>
    <mergeCell ref="E219:I219"/>
    <mergeCell ref="E210:I210"/>
    <mergeCell ref="E163:G163"/>
    <mergeCell ref="R75:R76"/>
    <mergeCell ref="F77:G77"/>
    <mergeCell ref="C190:D191"/>
    <mergeCell ref="C156:D161"/>
    <mergeCell ref="B150:AA150"/>
    <mergeCell ref="B156:B171"/>
    <mergeCell ref="L154:L155"/>
    <mergeCell ref="K154:K155"/>
    <mergeCell ref="B154:D155"/>
    <mergeCell ref="E165:G165"/>
    <mergeCell ref="E166:G166"/>
    <mergeCell ref="E167:G167"/>
    <mergeCell ref="E154:I155"/>
    <mergeCell ref="B172:B189"/>
    <mergeCell ref="H178:I178"/>
    <mergeCell ref="H179:I179"/>
    <mergeCell ref="H188:I188"/>
    <mergeCell ref="B190:B191"/>
    <mergeCell ref="C172:D177"/>
    <mergeCell ref="E158:G158"/>
    <mergeCell ref="J122:Y122"/>
    <mergeCell ref="E110:F110"/>
    <mergeCell ref="E159:G159"/>
    <mergeCell ref="H57:H59"/>
    <mergeCell ref="E77:E79"/>
    <mergeCell ref="K75:K76"/>
    <mergeCell ref="Q75:Q76"/>
    <mergeCell ref="L75:L76"/>
    <mergeCell ref="O75:O76"/>
    <mergeCell ref="P75:P76"/>
    <mergeCell ref="B75:D76"/>
    <mergeCell ref="C77:D81"/>
    <mergeCell ref="H60:H62"/>
    <mergeCell ref="N75:N76"/>
    <mergeCell ref="B77:B102"/>
    <mergeCell ref="E100:G100"/>
    <mergeCell ref="E82:E85"/>
    <mergeCell ref="F82:G82"/>
    <mergeCell ref="F87:G87"/>
    <mergeCell ref="F88:G88"/>
    <mergeCell ref="F89:G89"/>
    <mergeCell ref="E90:E93"/>
    <mergeCell ref="F90:G90"/>
    <mergeCell ref="E26:E65"/>
    <mergeCell ref="J65:Y65"/>
    <mergeCell ref="J40:Y40"/>
    <mergeCell ref="H46:H50"/>
    <mergeCell ref="S7:S8"/>
    <mergeCell ref="E108:F108"/>
    <mergeCell ref="E109:F109"/>
    <mergeCell ref="E106:F106"/>
    <mergeCell ref="X7:X8"/>
    <mergeCell ref="X75:X76"/>
    <mergeCell ref="F78:G78"/>
    <mergeCell ref="F79:G79"/>
    <mergeCell ref="M7:M8"/>
    <mergeCell ref="M75:M76"/>
    <mergeCell ref="U7:U8"/>
    <mergeCell ref="U75:U76"/>
    <mergeCell ref="F21:G21"/>
    <mergeCell ref="J45:Y45"/>
    <mergeCell ref="J50:Y50"/>
    <mergeCell ref="H51:H53"/>
    <mergeCell ref="Y75:Y76"/>
    <mergeCell ref="E103:G103"/>
    <mergeCell ref="W75:W76"/>
    <mergeCell ref="S75:S76"/>
    <mergeCell ref="T75:T76"/>
    <mergeCell ref="E101:G101"/>
    <mergeCell ref="E102:G102"/>
    <mergeCell ref="B72:AA73"/>
    <mergeCell ref="AH77:AH79"/>
    <mergeCell ref="AH80:AH81"/>
    <mergeCell ref="F94:G94"/>
    <mergeCell ref="E94:E95"/>
    <mergeCell ref="AH94:AH95"/>
    <mergeCell ref="E98:F98"/>
    <mergeCell ref="E99:G99"/>
    <mergeCell ref="F81:G81"/>
    <mergeCell ref="E97:F97"/>
    <mergeCell ref="E86:E89"/>
    <mergeCell ref="F86:G86"/>
    <mergeCell ref="AH86:AH89"/>
    <mergeCell ref="AH90:AH93"/>
    <mergeCell ref="F91:G91"/>
    <mergeCell ref="F92:G92"/>
    <mergeCell ref="F93:G93"/>
    <mergeCell ref="AH82:AH85"/>
    <mergeCell ref="F83:G83"/>
    <mergeCell ref="F84:G84"/>
    <mergeCell ref="F85:G85"/>
  </mergeCells>
  <phoneticPr fontId="2"/>
  <printOptions horizontalCentered="1"/>
  <pageMargins left="0.78740157480314965" right="0.39370078740157483" top="0.11811023622047245" bottom="0.11811023622047245" header="0.19685039370078741" footer="0.19685039370078741"/>
  <pageSetup paperSize="9" scale="57" fitToHeight="0" orientation="portrait" r:id="rId1"/>
  <headerFooter alignWithMargins="0"/>
  <rowBreaks count="2" manualBreakCount="2">
    <brk id="70" max="26" man="1"/>
    <brk id="149" max="26" man="1"/>
  </rowBreaks>
  <colBreaks count="1" manualBreakCount="1">
    <brk id="27" max="1048575" man="1"/>
  </colBreaks>
  <ignoredErrors>
    <ignoredError sqref="Z13:Z15 Z51:Z52 Z57:Z58 Z60:Z61 Z63:Z64 Z67 Z111 Z36:Z39 Z81 Z134:Z139 Z167:Z169 Z18:Z19 Z21:Z25 Z113:Z115 Z156:Z165 Z107:Z109 Z128 Z130:Z132 Z77 Z118" formulaRange="1"/>
    <ignoredError sqref="Z62 Z65 Z40:Z50 Z20" formula="1" formulaRange="1"/>
    <ignoredError sqref="Z17 Z53 Z59 Z204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B1:S216"/>
  <sheetViews>
    <sheetView showGridLines="0" showZeros="0" view="pageBreakPreview" topLeftCell="A89" zoomScale="115" zoomScaleNormal="75" zoomScaleSheetLayoutView="115" workbookViewId="0">
      <selection activeCell="J159" sqref="J159:J160"/>
    </sheetView>
  </sheetViews>
  <sheetFormatPr defaultColWidth="3.6328125" defaultRowHeight="16" customHeight="1"/>
  <cols>
    <col min="1" max="1" width="2.6328125" style="3" customWidth="1"/>
    <col min="2" max="2" width="15.6328125" style="114" customWidth="1"/>
    <col min="3" max="3" width="10.6328125" style="114" customWidth="1"/>
    <col min="4" max="4" width="10.6328125" style="115" customWidth="1"/>
    <col min="5" max="5" width="10.6328125" style="114" customWidth="1"/>
    <col min="6" max="6" width="15.6328125" style="114" customWidth="1"/>
    <col min="7" max="9" width="3.90625" style="114" customWidth="1"/>
    <col min="10" max="11" width="10.6328125" style="114" customWidth="1"/>
    <col min="12" max="12" width="2.6328125" style="3" customWidth="1"/>
    <col min="13" max="14" width="3.6328125" style="3"/>
    <col min="15" max="15" width="13.90625" style="3" bestFit="1" customWidth="1"/>
    <col min="16" max="16" width="7" style="3" bestFit="1" customWidth="1"/>
    <col min="17" max="17" width="4" style="3" bestFit="1" customWidth="1"/>
    <col min="18" max="18" width="11.36328125" style="3" bestFit="1" customWidth="1"/>
    <col min="19" max="19" width="6" style="3" bestFit="1" customWidth="1"/>
    <col min="20" max="16384" width="3.6328125" style="3"/>
  </cols>
  <sheetData>
    <row r="1" spans="2:12" ht="16" customHeight="1"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0"/>
    </row>
    <row r="2" spans="2:12" ht="16" customHeight="1">
      <c r="B2" s="1143" t="s">
        <v>60</v>
      </c>
      <c r="C2" s="1143"/>
      <c r="D2" s="1143"/>
      <c r="E2" s="1143"/>
      <c r="F2" s="1143"/>
      <c r="G2" s="1143"/>
      <c r="H2" s="1143"/>
      <c r="I2" s="1143"/>
      <c r="J2" s="1143"/>
      <c r="K2" s="1143"/>
      <c r="L2" s="69"/>
    </row>
    <row r="3" spans="2:12" ht="16" customHeight="1">
      <c r="B3" s="1154" t="s">
        <v>61</v>
      </c>
      <c r="C3" s="1154"/>
      <c r="D3" s="1154"/>
      <c r="E3" s="1154"/>
      <c r="F3" s="1154"/>
      <c r="G3" s="1154"/>
      <c r="H3" s="1154"/>
      <c r="I3" s="1154"/>
      <c r="J3" s="1154"/>
      <c r="K3" s="1154"/>
      <c r="L3" s="5"/>
    </row>
    <row r="4" spans="2:12" ht="16" customHeight="1">
      <c r="B4" s="1154"/>
      <c r="C4" s="1154"/>
      <c r="D4" s="1154"/>
      <c r="E4" s="1154"/>
      <c r="F4" s="1154"/>
      <c r="G4" s="1154"/>
      <c r="H4" s="1154"/>
      <c r="I4" s="1154"/>
      <c r="J4" s="1154"/>
      <c r="K4" s="1154"/>
      <c r="L4" s="5"/>
    </row>
    <row r="5" spans="2:12" ht="16" customHeight="1" thickBot="1">
      <c r="B5" s="1144" t="str">
        <f>'総括表（土工事）'!$B$6:$AA$6</f>
        <v>長田(花山町2丁目他)配水管取替工事</v>
      </c>
      <c r="C5" s="1144"/>
      <c r="D5" s="1144"/>
      <c r="E5" s="1144"/>
      <c r="F5" s="1144"/>
      <c r="G5" s="1144"/>
      <c r="H5" s="1144"/>
      <c r="I5" s="1144"/>
      <c r="J5" s="1144"/>
      <c r="K5" s="1144"/>
      <c r="L5" s="111"/>
    </row>
    <row r="6" spans="2:12" s="7" customFormat="1" ht="16" customHeight="1" thickBot="1">
      <c r="B6" s="170" t="s">
        <v>48</v>
      </c>
      <c r="C6" s="171" t="s">
        <v>49</v>
      </c>
      <c r="D6" s="172" t="s">
        <v>73</v>
      </c>
      <c r="E6" s="71" t="s">
        <v>59</v>
      </c>
      <c r="F6" s="170" t="s">
        <v>48</v>
      </c>
      <c r="G6" s="1189" t="s">
        <v>49</v>
      </c>
      <c r="H6" s="1190"/>
      <c r="I6" s="1191"/>
      <c r="J6" s="172" t="s">
        <v>73</v>
      </c>
      <c r="K6" s="112" t="s">
        <v>59</v>
      </c>
      <c r="L6" s="70"/>
    </row>
    <row r="7" spans="2:12" ht="16" customHeight="1">
      <c r="B7" s="1145" t="s">
        <v>53</v>
      </c>
      <c r="C7" s="175">
        <v>75</v>
      </c>
      <c r="D7" s="656">
        <v>14.6</v>
      </c>
      <c r="E7" s="116" t="s">
        <v>398</v>
      </c>
      <c r="F7" s="1151" t="s">
        <v>26</v>
      </c>
      <c r="G7" s="1158">
        <v>75</v>
      </c>
      <c r="H7" s="1159"/>
      <c r="I7" s="1160"/>
      <c r="J7" s="638"/>
      <c r="K7" s="116"/>
      <c r="L7" s="106"/>
    </row>
    <row r="8" spans="2:12" ht="16" customHeight="1">
      <c r="B8" s="1146"/>
      <c r="C8" s="157">
        <v>100</v>
      </c>
      <c r="D8" s="653">
        <v>227.6</v>
      </c>
      <c r="E8" s="159"/>
      <c r="F8" s="1152"/>
      <c r="G8" s="1155">
        <v>100</v>
      </c>
      <c r="H8" s="1156"/>
      <c r="I8" s="1157"/>
      <c r="J8" s="636"/>
      <c r="K8" s="159"/>
      <c r="L8" s="106"/>
    </row>
    <row r="9" spans="2:12" ht="16" customHeight="1">
      <c r="B9" s="1146"/>
      <c r="C9" s="157">
        <v>150</v>
      </c>
      <c r="D9" s="653">
        <v>413.1</v>
      </c>
      <c r="E9" s="159"/>
      <c r="F9" s="1152"/>
      <c r="G9" s="1155">
        <v>150</v>
      </c>
      <c r="H9" s="1156"/>
      <c r="I9" s="1157"/>
      <c r="J9" s="636"/>
      <c r="K9" s="159"/>
      <c r="L9" s="106"/>
    </row>
    <row r="10" spans="2:12" ht="16" customHeight="1">
      <c r="B10" s="1146"/>
      <c r="C10" s="157">
        <v>200</v>
      </c>
      <c r="D10" s="653">
        <v>2.2999999999999998</v>
      </c>
      <c r="E10" s="159"/>
      <c r="F10" s="1152"/>
      <c r="G10" s="1155">
        <v>200</v>
      </c>
      <c r="H10" s="1156"/>
      <c r="I10" s="1157"/>
      <c r="J10" s="636"/>
      <c r="K10" s="159"/>
      <c r="L10" s="106"/>
    </row>
    <row r="11" spans="2:12" ht="16" customHeight="1">
      <c r="B11" s="1146"/>
      <c r="C11" s="157">
        <v>300</v>
      </c>
      <c r="D11" s="653">
        <v>370.3</v>
      </c>
      <c r="E11" s="159"/>
      <c r="F11" s="1152"/>
      <c r="G11" s="1155">
        <v>300</v>
      </c>
      <c r="H11" s="1156"/>
      <c r="I11" s="1157"/>
      <c r="J11" s="636"/>
      <c r="K11" s="159"/>
      <c r="L11" s="106"/>
    </row>
    <row r="12" spans="2:12" ht="16" customHeight="1">
      <c r="B12" s="1146"/>
      <c r="C12" s="157">
        <v>400</v>
      </c>
      <c r="D12" s="653"/>
      <c r="E12" s="159"/>
      <c r="F12" s="1152"/>
      <c r="G12" s="1155">
        <v>400</v>
      </c>
      <c r="H12" s="1156"/>
      <c r="I12" s="1157"/>
      <c r="J12" s="636"/>
      <c r="K12" s="159"/>
      <c r="L12" s="106"/>
    </row>
    <row r="13" spans="2:12" ht="16" customHeight="1">
      <c r="B13" s="1146"/>
      <c r="C13" s="157">
        <v>500</v>
      </c>
      <c r="D13" s="653"/>
      <c r="E13" s="159"/>
      <c r="F13" s="1152"/>
      <c r="G13" s="1155">
        <v>500</v>
      </c>
      <c r="H13" s="1156"/>
      <c r="I13" s="1157"/>
      <c r="J13" s="636"/>
      <c r="K13" s="159"/>
      <c r="L13" s="106"/>
    </row>
    <row r="14" spans="2:12" ht="16" customHeight="1">
      <c r="B14" s="1146"/>
      <c r="C14" s="157">
        <v>600</v>
      </c>
      <c r="D14" s="653"/>
      <c r="E14" s="159"/>
      <c r="F14" s="1152"/>
      <c r="G14" s="1155">
        <v>600</v>
      </c>
      <c r="H14" s="1156"/>
      <c r="I14" s="1157"/>
      <c r="J14" s="636"/>
      <c r="K14" s="159"/>
      <c r="L14" s="106"/>
    </row>
    <row r="15" spans="2:12" ht="16" customHeight="1">
      <c r="B15" s="1146"/>
      <c r="C15" s="157">
        <v>700</v>
      </c>
      <c r="D15" s="653"/>
      <c r="E15" s="159"/>
      <c r="F15" s="1152"/>
      <c r="G15" s="1155">
        <v>700</v>
      </c>
      <c r="H15" s="1156"/>
      <c r="I15" s="1157"/>
      <c r="J15" s="636"/>
      <c r="K15" s="159"/>
      <c r="L15" s="106"/>
    </row>
    <row r="16" spans="2:12" ht="16" customHeight="1">
      <c r="B16" s="1146"/>
      <c r="C16" s="157">
        <v>800</v>
      </c>
      <c r="D16" s="653"/>
      <c r="E16" s="159"/>
      <c r="F16" s="1152"/>
      <c r="G16" s="1155">
        <v>800</v>
      </c>
      <c r="H16" s="1156"/>
      <c r="I16" s="1157">
        <v>800</v>
      </c>
      <c r="J16" s="636"/>
      <c r="K16" s="159"/>
      <c r="L16" s="106"/>
    </row>
    <row r="17" spans="2:12" ht="16" customHeight="1" thickBot="1">
      <c r="B17" s="1147"/>
      <c r="C17" s="164">
        <v>900</v>
      </c>
      <c r="D17" s="655"/>
      <c r="E17" s="166"/>
      <c r="F17" s="1153"/>
      <c r="G17" s="1167">
        <v>900</v>
      </c>
      <c r="H17" s="1168"/>
      <c r="I17" s="1169">
        <v>900</v>
      </c>
      <c r="J17" s="637"/>
      <c r="K17" s="166"/>
      <c r="L17" s="106"/>
    </row>
    <row r="18" spans="2:12" ht="16" customHeight="1">
      <c r="B18" s="1145" t="s">
        <v>20</v>
      </c>
      <c r="C18" s="175">
        <v>75</v>
      </c>
      <c r="D18" s="656"/>
      <c r="E18" s="116"/>
      <c r="F18" s="1152" t="s">
        <v>57</v>
      </c>
      <c r="G18" s="1158">
        <v>75</v>
      </c>
      <c r="H18" s="1159"/>
      <c r="I18" s="1160"/>
      <c r="J18" s="656"/>
      <c r="K18" s="117"/>
      <c r="L18" s="106"/>
    </row>
    <row r="19" spans="2:12" ht="16" customHeight="1">
      <c r="B19" s="1146"/>
      <c r="C19" s="157">
        <v>100</v>
      </c>
      <c r="D19" s="653"/>
      <c r="E19" s="159"/>
      <c r="F19" s="1152"/>
      <c r="G19" s="1155">
        <v>100</v>
      </c>
      <c r="H19" s="1156"/>
      <c r="I19" s="1157"/>
      <c r="J19" s="653"/>
      <c r="K19" s="159"/>
      <c r="L19" s="106"/>
    </row>
    <row r="20" spans="2:12" ht="16" customHeight="1">
      <c r="B20" s="1146"/>
      <c r="C20" s="157">
        <v>150</v>
      </c>
      <c r="D20" s="653"/>
      <c r="E20" s="159"/>
      <c r="F20" s="1152"/>
      <c r="G20" s="1155">
        <v>150</v>
      </c>
      <c r="H20" s="1156"/>
      <c r="I20" s="1157"/>
      <c r="J20" s="653">
        <v>3</v>
      </c>
      <c r="K20" s="159"/>
      <c r="L20" s="106"/>
    </row>
    <row r="21" spans="2:12" ht="16" customHeight="1">
      <c r="B21" s="1146"/>
      <c r="C21" s="157">
        <v>200</v>
      </c>
      <c r="D21" s="653"/>
      <c r="E21" s="159"/>
      <c r="F21" s="1152"/>
      <c r="G21" s="1155">
        <v>200</v>
      </c>
      <c r="H21" s="1156"/>
      <c r="I21" s="1157"/>
      <c r="J21" s="653">
        <v>2</v>
      </c>
      <c r="K21" s="159"/>
      <c r="L21" s="106"/>
    </row>
    <row r="22" spans="2:12" ht="16" customHeight="1">
      <c r="B22" s="1146"/>
      <c r="C22" s="157">
        <v>300</v>
      </c>
      <c r="D22" s="653"/>
      <c r="E22" s="159"/>
      <c r="F22" s="1152"/>
      <c r="G22" s="1155">
        <v>300</v>
      </c>
      <c r="H22" s="1156"/>
      <c r="I22" s="1157"/>
      <c r="J22" s="653">
        <v>8</v>
      </c>
      <c r="K22" s="159"/>
      <c r="L22" s="106"/>
    </row>
    <row r="23" spans="2:12" ht="16" customHeight="1">
      <c r="B23" s="1146"/>
      <c r="C23" s="157">
        <v>400</v>
      </c>
      <c r="D23" s="653"/>
      <c r="E23" s="159"/>
      <c r="F23" s="1152"/>
      <c r="G23" s="1155">
        <v>400</v>
      </c>
      <c r="H23" s="1156"/>
      <c r="I23" s="1157"/>
      <c r="J23" s="653"/>
      <c r="K23" s="159"/>
      <c r="L23" s="106"/>
    </row>
    <row r="24" spans="2:12" ht="16" customHeight="1">
      <c r="B24" s="1146"/>
      <c r="C24" s="157">
        <v>500</v>
      </c>
      <c r="D24" s="653"/>
      <c r="E24" s="159"/>
      <c r="F24" s="1152"/>
      <c r="G24" s="1155">
        <v>500</v>
      </c>
      <c r="H24" s="1156"/>
      <c r="I24" s="1157"/>
      <c r="J24" s="653"/>
      <c r="K24" s="159"/>
      <c r="L24" s="106"/>
    </row>
    <row r="25" spans="2:12" ht="16" customHeight="1">
      <c r="B25" s="1146"/>
      <c r="C25" s="157">
        <v>600</v>
      </c>
      <c r="D25" s="653"/>
      <c r="E25" s="159"/>
      <c r="F25" s="1152"/>
      <c r="G25" s="1155">
        <v>600</v>
      </c>
      <c r="H25" s="1156"/>
      <c r="I25" s="1157"/>
      <c r="J25" s="653"/>
      <c r="K25" s="159"/>
      <c r="L25" s="106"/>
    </row>
    <row r="26" spans="2:12" ht="16" customHeight="1">
      <c r="B26" s="1146"/>
      <c r="C26" s="157">
        <v>700</v>
      </c>
      <c r="D26" s="653"/>
      <c r="E26" s="159"/>
      <c r="F26" s="1152"/>
      <c r="G26" s="1155">
        <v>700</v>
      </c>
      <c r="H26" s="1156"/>
      <c r="I26" s="1157"/>
      <c r="J26" s="653"/>
      <c r="K26" s="159"/>
      <c r="L26" s="106"/>
    </row>
    <row r="27" spans="2:12" ht="16" customHeight="1">
      <c r="B27" s="1146"/>
      <c r="C27" s="157">
        <v>800</v>
      </c>
      <c r="D27" s="653"/>
      <c r="E27" s="159"/>
      <c r="F27" s="1152"/>
      <c r="G27" s="1155">
        <v>800</v>
      </c>
      <c r="H27" s="1156"/>
      <c r="I27" s="1157">
        <v>800</v>
      </c>
      <c r="J27" s="653"/>
      <c r="K27" s="159"/>
      <c r="L27" s="106"/>
    </row>
    <row r="28" spans="2:12" ht="16" customHeight="1" thickBot="1">
      <c r="B28" s="1147"/>
      <c r="C28" s="164">
        <v>900</v>
      </c>
      <c r="D28" s="655"/>
      <c r="E28" s="166"/>
      <c r="F28" s="1153"/>
      <c r="G28" s="1167">
        <v>900</v>
      </c>
      <c r="H28" s="1168"/>
      <c r="I28" s="1169">
        <v>900</v>
      </c>
      <c r="J28" s="655"/>
      <c r="K28" s="166"/>
      <c r="L28" s="106"/>
    </row>
    <row r="29" spans="2:12" ht="16" customHeight="1">
      <c r="B29" s="1145" t="s">
        <v>54</v>
      </c>
      <c r="C29" s="175">
        <v>75</v>
      </c>
      <c r="D29" s="656">
        <v>14.6</v>
      </c>
      <c r="E29" s="116"/>
      <c r="F29" s="1148" t="s">
        <v>303</v>
      </c>
      <c r="G29" s="1158">
        <v>75</v>
      </c>
      <c r="H29" s="1159"/>
      <c r="I29" s="1160"/>
      <c r="J29" s="656">
        <v>4</v>
      </c>
      <c r="K29" s="116"/>
      <c r="L29" s="106"/>
    </row>
    <row r="30" spans="2:12" ht="16" customHeight="1">
      <c r="B30" s="1146"/>
      <c r="C30" s="157">
        <v>100</v>
      </c>
      <c r="D30" s="653">
        <v>41</v>
      </c>
      <c r="E30" s="159"/>
      <c r="F30" s="1149"/>
      <c r="G30" s="1155">
        <v>100</v>
      </c>
      <c r="H30" s="1156"/>
      <c r="I30" s="1157"/>
      <c r="J30" s="653">
        <v>56</v>
      </c>
      <c r="K30" s="159"/>
      <c r="L30" s="106"/>
    </row>
    <row r="31" spans="2:12" ht="16" customHeight="1">
      <c r="B31" s="1146"/>
      <c r="C31" s="157">
        <v>150</v>
      </c>
      <c r="D31" s="653">
        <v>243.5</v>
      </c>
      <c r="E31" s="159"/>
      <c r="F31" s="1149"/>
      <c r="G31" s="1155">
        <v>150</v>
      </c>
      <c r="H31" s="1156"/>
      <c r="I31" s="1157"/>
      <c r="J31" s="653">
        <v>84</v>
      </c>
      <c r="K31" s="159"/>
      <c r="L31" s="106"/>
    </row>
    <row r="32" spans="2:12" ht="16" customHeight="1">
      <c r="B32" s="1146"/>
      <c r="C32" s="157">
        <v>200</v>
      </c>
      <c r="D32" s="653">
        <v>353.7</v>
      </c>
      <c r="E32" s="159"/>
      <c r="F32" s="1149"/>
      <c r="G32" s="1155">
        <v>200</v>
      </c>
      <c r="H32" s="1156"/>
      <c r="I32" s="1157"/>
      <c r="J32" s="653"/>
      <c r="K32" s="159"/>
      <c r="L32" s="106"/>
    </row>
    <row r="33" spans="2:12" ht="16" customHeight="1">
      <c r="B33" s="1146"/>
      <c r="C33" s="157">
        <v>300</v>
      </c>
      <c r="D33" s="653">
        <v>371</v>
      </c>
      <c r="E33" s="159"/>
      <c r="F33" s="1149"/>
      <c r="G33" s="1155">
        <v>300</v>
      </c>
      <c r="H33" s="1156"/>
      <c r="I33" s="1157"/>
      <c r="J33" s="653">
        <v>65</v>
      </c>
      <c r="K33" s="159"/>
      <c r="L33" s="106"/>
    </row>
    <row r="34" spans="2:12" ht="16" customHeight="1" thickBot="1">
      <c r="B34" s="1146"/>
      <c r="C34" s="157">
        <v>400</v>
      </c>
      <c r="D34" s="653"/>
      <c r="E34" s="159"/>
      <c r="F34" s="1150"/>
      <c r="G34" s="1155">
        <v>400</v>
      </c>
      <c r="H34" s="1156"/>
      <c r="I34" s="1157"/>
      <c r="J34" s="655"/>
      <c r="K34" s="166"/>
      <c r="L34" s="106"/>
    </row>
    <row r="35" spans="2:12" ht="16" customHeight="1">
      <c r="B35" s="1146"/>
      <c r="C35" s="157">
        <v>500</v>
      </c>
      <c r="D35" s="653"/>
      <c r="E35" s="159"/>
      <c r="F35" s="1148" t="s">
        <v>304</v>
      </c>
      <c r="G35" s="1158">
        <v>75</v>
      </c>
      <c r="H35" s="1159"/>
      <c r="I35" s="1160"/>
      <c r="J35" s="656">
        <v>14</v>
      </c>
      <c r="K35" s="116"/>
      <c r="L35" s="106"/>
    </row>
    <row r="36" spans="2:12" ht="16" customHeight="1">
      <c r="B36" s="1146"/>
      <c r="C36" s="157">
        <v>600</v>
      </c>
      <c r="D36" s="653"/>
      <c r="E36" s="159"/>
      <c r="F36" s="1149"/>
      <c r="G36" s="1155">
        <v>100</v>
      </c>
      <c r="H36" s="1156"/>
      <c r="I36" s="1157"/>
      <c r="J36" s="653">
        <v>49</v>
      </c>
      <c r="K36" s="159"/>
      <c r="L36" s="106"/>
    </row>
    <row r="37" spans="2:12" ht="16" customHeight="1">
      <c r="B37" s="1146"/>
      <c r="C37" s="157">
        <v>700</v>
      </c>
      <c r="D37" s="653"/>
      <c r="E37" s="159"/>
      <c r="F37" s="1149"/>
      <c r="G37" s="1155">
        <v>150</v>
      </c>
      <c r="H37" s="1156"/>
      <c r="I37" s="1157"/>
      <c r="J37" s="653">
        <v>59</v>
      </c>
      <c r="K37" s="159"/>
      <c r="L37" s="106"/>
    </row>
    <row r="38" spans="2:12" ht="16" customHeight="1">
      <c r="B38" s="1146"/>
      <c r="C38" s="157">
        <v>800</v>
      </c>
      <c r="D38" s="653"/>
      <c r="E38" s="159"/>
      <c r="F38" s="1149"/>
      <c r="G38" s="1155">
        <v>200</v>
      </c>
      <c r="H38" s="1156"/>
      <c r="I38" s="1157"/>
      <c r="J38" s="653"/>
      <c r="K38" s="159"/>
      <c r="L38" s="106"/>
    </row>
    <row r="39" spans="2:12" ht="16" customHeight="1" thickBot="1">
      <c r="B39" s="1147"/>
      <c r="C39" s="164">
        <v>900</v>
      </c>
      <c r="D39" s="655"/>
      <c r="E39" s="166"/>
      <c r="F39" s="1149"/>
      <c r="G39" s="1155">
        <v>300</v>
      </c>
      <c r="H39" s="1156"/>
      <c r="I39" s="1157"/>
      <c r="J39" s="653">
        <v>55</v>
      </c>
      <c r="K39" s="159"/>
      <c r="L39" s="106"/>
    </row>
    <row r="40" spans="2:12" ht="16" customHeight="1" thickBot="1">
      <c r="B40" s="1145" t="s">
        <v>21</v>
      </c>
      <c r="C40" s="175">
        <v>75</v>
      </c>
      <c r="D40" s="656"/>
      <c r="E40" s="116"/>
      <c r="F40" s="1150"/>
      <c r="G40" s="1155">
        <v>400</v>
      </c>
      <c r="H40" s="1156"/>
      <c r="I40" s="1157"/>
      <c r="J40" s="655"/>
      <c r="K40" s="166"/>
      <c r="L40" s="106"/>
    </row>
    <row r="41" spans="2:12" ht="16" customHeight="1">
      <c r="B41" s="1146"/>
      <c r="C41" s="157">
        <v>100</v>
      </c>
      <c r="D41" s="653"/>
      <c r="E41" s="159"/>
      <c r="F41" s="1148" t="s">
        <v>338</v>
      </c>
      <c r="G41" s="1158">
        <v>75</v>
      </c>
      <c r="H41" s="1159"/>
      <c r="I41" s="1160"/>
      <c r="J41" s="168">
        <v>8</v>
      </c>
      <c r="K41" s="117"/>
      <c r="L41" s="106"/>
    </row>
    <row r="42" spans="2:12" ht="16" customHeight="1">
      <c r="B42" s="1146"/>
      <c r="C42" s="157">
        <v>150</v>
      </c>
      <c r="D42" s="653"/>
      <c r="E42" s="159"/>
      <c r="F42" s="1149"/>
      <c r="G42" s="1155">
        <v>100</v>
      </c>
      <c r="H42" s="1156"/>
      <c r="I42" s="1157"/>
      <c r="J42" s="158"/>
      <c r="K42" s="159"/>
      <c r="L42" s="106"/>
    </row>
    <row r="43" spans="2:12" ht="16" customHeight="1">
      <c r="B43" s="1146"/>
      <c r="C43" s="157">
        <v>200</v>
      </c>
      <c r="D43" s="653"/>
      <c r="E43" s="159"/>
      <c r="F43" s="1149"/>
      <c r="G43" s="1155">
        <v>150</v>
      </c>
      <c r="H43" s="1156"/>
      <c r="I43" s="1157"/>
      <c r="J43" s="158"/>
      <c r="K43" s="159"/>
      <c r="L43" s="106"/>
    </row>
    <row r="44" spans="2:12" ht="16" customHeight="1">
      <c r="B44" s="1146"/>
      <c r="C44" s="157">
        <v>300</v>
      </c>
      <c r="D44" s="653"/>
      <c r="E44" s="159"/>
      <c r="F44" s="1149"/>
      <c r="G44" s="1155">
        <v>200</v>
      </c>
      <c r="H44" s="1156"/>
      <c r="I44" s="1157"/>
      <c r="J44" s="158"/>
      <c r="K44" s="159"/>
      <c r="L44" s="106"/>
    </row>
    <row r="45" spans="2:12" ht="16" customHeight="1" thickBot="1">
      <c r="B45" s="1146"/>
      <c r="C45" s="157">
        <v>400</v>
      </c>
      <c r="D45" s="653"/>
      <c r="E45" s="159"/>
      <c r="F45" s="1150"/>
      <c r="G45" s="1155">
        <v>300</v>
      </c>
      <c r="H45" s="1156"/>
      <c r="I45" s="1157"/>
      <c r="J45" s="165">
        <v>6</v>
      </c>
      <c r="K45" s="166"/>
      <c r="L45" s="106"/>
    </row>
    <row r="46" spans="2:12" ht="16" customHeight="1">
      <c r="B46" s="1146"/>
      <c r="C46" s="157">
        <v>500</v>
      </c>
      <c r="D46" s="653"/>
      <c r="E46" s="159"/>
      <c r="F46" s="1204" t="s">
        <v>376</v>
      </c>
      <c r="G46" s="1158">
        <v>75</v>
      </c>
      <c r="H46" s="1159"/>
      <c r="I46" s="1160"/>
      <c r="J46" s="176"/>
      <c r="K46" s="116"/>
      <c r="L46" s="106"/>
    </row>
    <row r="47" spans="2:12" ht="16" customHeight="1">
      <c r="B47" s="1146"/>
      <c r="C47" s="157">
        <v>600</v>
      </c>
      <c r="D47" s="158"/>
      <c r="E47" s="159"/>
      <c r="F47" s="1205"/>
      <c r="G47" s="1155">
        <v>100</v>
      </c>
      <c r="H47" s="1156"/>
      <c r="I47" s="1157"/>
      <c r="J47" s="158"/>
      <c r="K47" s="159"/>
      <c r="L47" s="106"/>
    </row>
    <row r="48" spans="2:12" ht="16" customHeight="1">
      <c r="B48" s="1146"/>
      <c r="C48" s="157">
        <v>700</v>
      </c>
      <c r="D48" s="158"/>
      <c r="E48" s="159"/>
      <c r="F48" s="1205"/>
      <c r="G48" s="1155">
        <v>150</v>
      </c>
      <c r="H48" s="1156"/>
      <c r="I48" s="1157"/>
      <c r="J48" s="158"/>
      <c r="K48" s="159"/>
      <c r="L48" s="106"/>
    </row>
    <row r="49" spans="2:12" ht="16" customHeight="1">
      <c r="B49" s="1146"/>
      <c r="C49" s="157">
        <v>800</v>
      </c>
      <c r="D49" s="158"/>
      <c r="E49" s="159"/>
      <c r="F49" s="1205"/>
      <c r="G49" s="1155">
        <v>200</v>
      </c>
      <c r="H49" s="1156"/>
      <c r="I49" s="1157"/>
      <c r="J49" s="158"/>
      <c r="K49" s="159"/>
      <c r="L49" s="106"/>
    </row>
    <row r="50" spans="2:12" ht="16" customHeight="1" thickBot="1">
      <c r="B50" s="1147"/>
      <c r="C50" s="164">
        <v>900</v>
      </c>
      <c r="D50" s="165"/>
      <c r="E50" s="166"/>
      <c r="F50" s="1205"/>
      <c r="G50" s="1201">
        <v>300</v>
      </c>
      <c r="H50" s="1202"/>
      <c r="I50" s="1203"/>
      <c r="J50" s="772"/>
      <c r="K50" s="180"/>
      <c r="L50" s="106"/>
    </row>
    <row r="51" spans="2:12" ht="16" customHeight="1">
      <c r="B51" s="1151" t="s">
        <v>271</v>
      </c>
      <c r="C51" s="486">
        <v>50</v>
      </c>
      <c r="D51" s="487"/>
      <c r="E51" s="488"/>
      <c r="F51" s="1151" t="s">
        <v>58</v>
      </c>
      <c r="G51" s="1158">
        <v>75</v>
      </c>
      <c r="H51" s="1159"/>
      <c r="I51" s="1160"/>
      <c r="J51" s="774">
        <v>6</v>
      </c>
      <c r="K51" s="116" t="s">
        <v>396</v>
      </c>
      <c r="L51" s="106"/>
    </row>
    <row r="52" spans="2:12" ht="16" customHeight="1" thickBot="1">
      <c r="B52" s="1153"/>
      <c r="C52" s="164">
        <v>75</v>
      </c>
      <c r="D52" s="165"/>
      <c r="E52" s="166"/>
      <c r="F52" s="1152"/>
      <c r="G52" s="1161">
        <v>100</v>
      </c>
      <c r="H52" s="1162"/>
      <c r="I52" s="1163"/>
      <c r="J52" s="168"/>
      <c r="K52" s="117"/>
      <c r="L52" s="106"/>
    </row>
    <row r="53" spans="2:12" ht="16" customHeight="1">
      <c r="B53" s="1148" t="s">
        <v>272</v>
      </c>
      <c r="C53" s="486">
        <v>50</v>
      </c>
      <c r="D53" s="487"/>
      <c r="E53" s="488"/>
      <c r="F53" s="1152"/>
      <c r="G53" s="1155">
        <v>150</v>
      </c>
      <c r="H53" s="1156"/>
      <c r="I53" s="1157"/>
      <c r="J53" s="158">
        <v>1</v>
      </c>
      <c r="K53" s="159" t="s">
        <v>392</v>
      </c>
      <c r="L53" s="106"/>
    </row>
    <row r="54" spans="2:12" ht="16" customHeight="1" thickBot="1">
      <c r="B54" s="1153"/>
      <c r="C54" s="164">
        <v>75</v>
      </c>
      <c r="D54" s="165"/>
      <c r="E54" s="166"/>
      <c r="F54" s="1152"/>
      <c r="G54" s="1155">
        <v>200</v>
      </c>
      <c r="H54" s="1156"/>
      <c r="I54" s="1157"/>
      <c r="J54" s="158"/>
      <c r="K54" s="159"/>
      <c r="L54" s="106"/>
    </row>
    <row r="55" spans="2:12" ht="16" customHeight="1">
      <c r="B55" s="1148" t="s">
        <v>273</v>
      </c>
      <c r="C55" s="486">
        <v>50</v>
      </c>
      <c r="D55" s="487"/>
      <c r="E55" s="488"/>
      <c r="F55" s="1152"/>
      <c r="G55" s="1155">
        <v>300</v>
      </c>
      <c r="H55" s="1156"/>
      <c r="I55" s="1157"/>
      <c r="J55" s="158">
        <v>2</v>
      </c>
      <c r="K55" s="159" t="s">
        <v>392</v>
      </c>
      <c r="L55" s="106"/>
    </row>
    <row r="56" spans="2:12" ht="16" customHeight="1" thickBot="1">
      <c r="B56" s="1153"/>
      <c r="C56" s="164">
        <v>75</v>
      </c>
      <c r="D56" s="165"/>
      <c r="E56" s="166"/>
      <c r="F56" s="1152"/>
      <c r="G56" s="1155">
        <v>400</v>
      </c>
      <c r="H56" s="1156"/>
      <c r="I56" s="1157"/>
      <c r="J56" s="158"/>
      <c r="K56" s="159"/>
      <c r="L56" s="106"/>
    </row>
    <row r="57" spans="2:12" ht="16" customHeight="1" thickBot="1">
      <c r="B57" s="170" t="s">
        <v>276</v>
      </c>
      <c r="C57" s="600" t="s">
        <v>277</v>
      </c>
      <c r="D57" s="601"/>
      <c r="E57" s="602"/>
      <c r="F57" s="1152"/>
      <c r="G57" s="1155">
        <v>500</v>
      </c>
      <c r="H57" s="1156"/>
      <c r="I57" s="1157"/>
      <c r="J57" s="158"/>
      <c r="K57" s="159"/>
      <c r="L57" s="106"/>
    </row>
    <row r="58" spans="2:12" ht="16" customHeight="1">
      <c r="B58" s="1152" t="s">
        <v>278</v>
      </c>
      <c r="C58" s="167">
        <v>50</v>
      </c>
      <c r="D58" s="168"/>
      <c r="E58" s="173"/>
      <c r="F58" s="1152"/>
      <c r="G58" s="1155">
        <v>600</v>
      </c>
      <c r="H58" s="1156"/>
      <c r="I58" s="1157"/>
      <c r="J58" s="158"/>
      <c r="K58" s="159"/>
      <c r="L58" s="106"/>
    </row>
    <row r="59" spans="2:12" ht="16" customHeight="1" thickBot="1">
      <c r="B59" s="1152"/>
      <c r="C59" s="181">
        <v>75</v>
      </c>
      <c r="D59" s="179"/>
      <c r="E59" s="183"/>
      <c r="F59" s="1152"/>
      <c r="G59" s="1155">
        <v>700</v>
      </c>
      <c r="H59" s="1156"/>
      <c r="I59" s="1157"/>
      <c r="J59" s="158"/>
      <c r="K59" s="159"/>
      <c r="L59" s="106"/>
    </row>
    <row r="60" spans="2:12" ht="16" customHeight="1">
      <c r="B60" s="1145" t="s">
        <v>83</v>
      </c>
      <c r="C60" s="131" t="s">
        <v>22</v>
      </c>
      <c r="D60" s="656"/>
      <c r="E60" s="116"/>
      <c r="F60" s="1152"/>
      <c r="G60" s="1155">
        <v>800</v>
      </c>
      <c r="H60" s="1156"/>
      <c r="I60" s="1157"/>
      <c r="J60" s="158"/>
      <c r="K60" s="159"/>
      <c r="L60" s="106"/>
    </row>
    <row r="61" spans="2:12" ht="16" customHeight="1" thickBot="1">
      <c r="B61" s="1146"/>
      <c r="C61" s="132" t="s">
        <v>23</v>
      </c>
      <c r="D61" s="653"/>
      <c r="E61" s="159"/>
      <c r="F61" s="1152"/>
      <c r="G61" s="1201">
        <v>900</v>
      </c>
      <c r="H61" s="1202"/>
      <c r="I61" s="1203">
        <v>800</v>
      </c>
      <c r="J61" s="772"/>
      <c r="K61" s="180"/>
      <c r="L61" s="106"/>
    </row>
    <row r="62" spans="2:12" ht="16" customHeight="1">
      <c r="B62" s="1146"/>
      <c r="C62" s="132" t="s">
        <v>24</v>
      </c>
      <c r="D62" s="158">
        <v>8</v>
      </c>
      <c r="E62" s="159"/>
      <c r="F62" s="824"/>
      <c r="G62" s="1158"/>
      <c r="H62" s="1159"/>
      <c r="I62" s="1160"/>
      <c r="J62" s="774"/>
      <c r="K62" s="116"/>
    </row>
    <row r="63" spans="2:12" ht="16" customHeight="1" thickBot="1">
      <c r="B63" s="1147"/>
      <c r="C63" s="134" t="s">
        <v>25</v>
      </c>
      <c r="D63" s="165">
        <v>3</v>
      </c>
      <c r="E63" s="166"/>
      <c r="F63" s="652"/>
      <c r="G63" s="1161"/>
      <c r="H63" s="1162"/>
      <c r="I63" s="1163"/>
      <c r="J63" s="773"/>
      <c r="K63" s="117"/>
    </row>
    <row r="64" spans="2:12" ht="16" customHeight="1">
      <c r="B64" s="177"/>
      <c r="C64" s="169"/>
      <c r="D64" s="168"/>
      <c r="E64" s="599"/>
      <c r="F64" s="598"/>
      <c r="G64" s="1155"/>
      <c r="H64" s="1156"/>
      <c r="I64" s="1157"/>
      <c r="J64" s="158"/>
      <c r="K64" s="159"/>
    </row>
    <row r="65" spans="2:12" ht="16" customHeight="1" thickBot="1">
      <c r="B65" s="161"/>
      <c r="C65" s="162"/>
      <c r="D65" s="163"/>
      <c r="E65" s="174"/>
      <c r="F65" s="187"/>
      <c r="G65" s="1186"/>
      <c r="H65" s="1187"/>
      <c r="I65" s="1188"/>
      <c r="J65" s="769"/>
      <c r="K65" s="166"/>
      <c r="L65" s="110"/>
    </row>
    <row r="66" spans="2:12" ht="16" customHeight="1"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0"/>
    </row>
    <row r="67" spans="2:12" ht="16" customHeight="1">
      <c r="B67" s="1143" t="s">
        <v>62</v>
      </c>
      <c r="C67" s="1143"/>
      <c r="D67" s="1143"/>
      <c r="E67" s="1143"/>
      <c r="F67" s="1143"/>
      <c r="G67" s="1143"/>
      <c r="H67" s="1143"/>
      <c r="I67" s="1143"/>
      <c r="J67" s="1143"/>
      <c r="K67" s="1143"/>
      <c r="L67" s="69"/>
    </row>
    <row r="68" spans="2:12" ht="16" customHeight="1">
      <c r="B68" s="1154" t="s">
        <v>61</v>
      </c>
      <c r="C68" s="1154"/>
      <c r="D68" s="1154"/>
      <c r="E68" s="1154"/>
      <c r="F68" s="1154"/>
      <c r="G68" s="1154"/>
      <c r="H68" s="1154"/>
      <c r="I68" s="1154"/>
      <c r="J68" s="1154"/>
      <c r="K68" s="1154"/>
      <c r="L68" s="5"/>
    </row>
    <row r="69" spans="2:12" ht="16" customHeight="1">
      <c r="B69" s="1154"/>
      <c r="C69" s="1154"/>
      <c r="D69" s="1154"/>
      <c r="E69" s="1154"/>
      <c r="F69" s="1154"/>
      <c r="G69" s="1154"/>
      <c r="H69" s="1154"/>
      <c r="I69" s="1154"/>
      <c r="J69" s="1154"/>
      <c r="K69" s="1154"/>
      <c r="L69" s="5"/>
    </row>
    <row r="70" spans="2:12" ht="16" customHeight="1" thickBot="1">
      <c r="B70" s="1144" t="str">
        <f>'総括表（土工事）'!$B$6:$AA$6</f>
        <v>長田(花山町2丁目他)配水管取替工事</v>
      </c>
      <c r="C70" s="1144"/>
      <c r="D70" s="1144"/>
      <c r="E70" s="1144"/>
      <c r="F70" s="1144"/>
      <c r="G70" s="1144"/>
      <c r="H70" s="1144"/>
      <c r="I70" s="1144"/>
      <c r="J70" s="1144"/>
      <c r="K70" s="1144"/>
      <c r="L70" s="111"/>
    </row>
    <row r="71" spans="2:12" s="7" customFormat="1" ht="16" customHeight="1" thickBot="1">
      <c r="B71" s="170" t="s">
        <v>48</v>
      </c>
      <c r="C71" s="171" t="s">
        <v>49</v>
      </c>
      <c r="D71" s="172" t="s">
        <v>73</v>
      </c>
      <c r="E71" s="71" t="s">
        <v>59</v>
      </c>
      <c r="F71" s="170" t="s">
        <v>48</v>
      </c>
      <c r="G71" s="1189" t="s">
        <v>49</v>
      </c>
      <c r="H71" s="1190"/>
      <c r="I71" s="1191"/>
      <c r="J71" s="172" t="s">
        <v>73</v>
      </c>
      <c r="K71" s="112" t="s">
        <v>59</v>
      </c>
      <c r="L71" s="70"/>
    </row>
    <row r="72" spans="2:12" ht="16" customHeight="1">
      <c r="B72" s="1165" t="s">
        <v>67</v>
      </c>
      <c r="C72" s="169" t="s">
        <v>22</v>
      </c>
      <c r="D72" s="168"/>
      <c r="E72" s="173"/>
      <c r="F72" s="1170" t="s">
        <v>70</v>
      </c>
      <c r="G72" s="1158">
        <v>75</v>
      </c>
      <c r="H72" s="1159"/>
      <c r="I72" s="1160"/>
      <c r="J72" s="168">
        <v>2</v>
      </c>
      <c r="K72" s="117"/>
      <c r="L72" s="106"/>
    </row>
    <row r="73" spans="2:12" ht="16" customHeight="1">
      <c r="B73" s="1146"/>
      <c r="C73" s="132" t="s">
        <v>23</v>
      </c>
      <c r="D73" s="158"/>
      <c r="E73" s="65"/>
      <c r="F73" s="1146"/>
      <c r="G73" s="1155">
        <v>100</v>
      </c>
      <c r="H73" s="1156"/>
      <c r="I73" s="1157"/>
      <c r="J73" s="158"/>
      <c r="K73" s="159"/>
      <c r="L73" s="106"/>
    </row>
    <row r="74" spans="2:12" ht="16" customHeight="1">
      <c r="B74" s="1146"/>
      <c r="C74" s="132" t="s">
        <v>24</v>
      </c>
      <c r="D74" s="158"/>
      <c r="E74" s="65"/>
      <c r="F74" s="1146"/>
      <c r="G74" s="1155">
        <v>150</v>
      </c>
      <c r="H74" s="1156"/>
      <c r="I74" s="1157"/>
      <c r="J74" s="158">
        <v>1</v>
      </c>
      <c r="K74" s="159"/>
      <c r="L74" s="106"/>
    </row>
    <row r="75" spans="2:12" ht="16" customHeight="1" thickBot="1">
      <c r="B75" s="1166"/>
      <c r="C75" s="178" t="s">
        <v>25</v>
      </c>
      <c r="D75" s="179"/>
      <c r="E75" s="183"/>
      <c r="F75" s="1146"/>
      <c r="G75" s="1155">
        <v>200</v>
      </c>
      <c r="H75" s="1156"/>
      <c r="I75" s="1157"/>
      <c r="J75" s="158"/>
      <c r="K75" s="159"/>
      <c r="L75" s="106"/>
    </row>
    <row r="76" spans="2:12" ht="16" customHeight="1">
      <c r="B76" s="1164" t="s">
        <v>66</v>
      </c>
      <c r="C76" s="131" t="s">
        <v>27</v>
      </c>
      <c r="D76" s="176"/>
      <c r="E76" s="116"/>
      <c r="F76" s="1146"/>
      <c r="G76" s="1155">
        <v>300</v>
      </c>
      <c r="H76" s="1156"/>
      <c r="I76" s="1157"/>
      <c r="J76" s="158">
        <v>2</v>
      </c>
      <c r="K76" s="159"/>
      <c r="L76" s="106"/>
    </row>
    <row r="77" spans="2:12" ht="16" customHeight="1">
      <c r="B77" s="1146"/>
      <c r="C77" s="132" t="s">
        <v>28</v>
      </c>
      <c r="D77" s="158"/>
      <c r="E77" s="159"/>
      <c r="F77" s="1146"/>
      <c r="G77" s="1155">
        <v>400</v>
      </c>
      <c r="H77" s="1156"/>
      <c r="I77" s="1157"/>
      <c r="J77" s="158"/>
      <c r="K77" s="159"/>
      <c r="L77" s="106"/>
    </row>
    <row r="78" spans="2:12" s="7" customFormat="1" ht="16" customHeight="1">
      <c r="B78" s="1146"/>
      <c r="C78" s="132" t="s">
        <v>29</v>
      </c>
      <c r="D78" s="158"/>
      <c r="E78" s="159"/>
      <c r="F78" s="1146"/>
      <c r="G78" s="1155">
        <v>500</v>
      </c>
      <c r="H78" s="1156"/>
      <c r="I78" s="1157"/>
      <c r="J78" s="158"/>
      <c r="K78" s="159"/>
      <c r="L78" s="106"/>
    </row>
    <row r="79" spans="2:12" ht="16" customHeight="1" thickBot="1">
      <c r="B79" s="1147"/>
      <c r="C79" s="134" t="s">
        <v>30</v>
      </c>
      <c r="D79" s="165"/>
      <c r="E79" s="166"/>
      <c r="F79" s="1146"/>
      <c r="G79" s="1155">
        <v>600</v>
      </c>
      <c r="H79" s="1156"/>
      <c r="I79" s="1157"/>
      <c r="J79" s="158"/>
      <c r="K79" s="159"/>
      <c r="L79" s="106"/>
    </row>
    <row r="80" spans="2:12" ht="16" customHeight="1">
      <c r="B80" s="1165" t="s">
        <v>68</v>
      </c>
      <c r="C80" s="167">
        <v>75</v>
      </c>
      <c r="D80" s="168"/>
      <c r="E80" s="173"/>
      <c r="F80" s="1146"/>
      <c r="G80" s="1155">
        <v>700</v>
      </c>
      <c r="H80" s="1156"/>
      <c r="I80" s="1157"/>
      <c r="J80" s="158"/>
      <c r="K80" s="159"/>
      <c r="L80" s="106"/>
    </row>
    <row r="81" spans="2:12" ht="16" customHeight="1">
      <c r="B81" s="1146"/>
      <c r="C81" s="157">
        <v>100</v>
      </c>
      <c r="D81" s="158"/>
      <c r="E81" s="65"/>
      <c r="F81" s="1146"/>
      <c r="G81" s="1155">
        <v>800</v>
      </c>
      <c r="H81" s="1156"/>
      <c r="I81" s="1157">
        <v>800</v>
      </c>
      <c r="J81" s="158"/>
      <c r="K81" s="159"/>
      <c r="L81" s="106"/>
    </row>
    <row r="82" spans="2:12" ht="16" customHeight="1" thickBot="1">
      <c r="B82" s="1146"/>
      <c r="C82" s="157">
        <v>150</v>
      </c>
      <c r="D82" s="158"/>
      <c r="E82" s="65"/>
      <c r="F82" s="1166"/>
      <c r="G82" s="1167">
        <v>900</v>
      </c>
      <c r="H82" s="1168"/>
      <c r="I82" s="1169">
        <v>900</v>
      </c>
      <c r="J82" s="179"/>
      <c r="K82" s="180"/>
      <c r="L82" s="106"/>
    </row>
    <row r="83" spans="2:12" ht="16" customHeight="1">
      <c r="B83" s="1146"/>
      <c r="C83" s="157">
        <v>200</v>
      </c>
      <c r="D83" s="158"/>
      <c r="E83" s="65"/>
      <c r="F83" s="1164" t="s">
        <v>37</v>
      </c>
      <c r="G83" s="1158">
        <v>75</v>
      </c>
      <c r="H83" s="1159"/>
      <c r="I83" s="1160"/>
      <c r="J83" s="656">
        <v>10</v>
      </c>
      <c r="K83" s="116"/>
      <c r="L83" s="106"/>
    </row>
    <row r="84" spans="2:12" ht="16" customHeight="1">
      <c r="B84" s="1146"/>
      <c r="C84" s="157">
        <v>300</v>
      </c>
      <c r="D84" s="158"/>
      <c r="E84" s="65"/>
      <c r="F84" s="1146"/>
      <c r="G84" s="1155">
        <v>100</v>
      </c>
      <c r="H84" s="1156"/>
      <c r="I84" s="1157"/>
      <c r="J84" s="653">
        <v>29</v>
      </c>
      <c r="K84" s="159"/>
      <c r="L84" s="106"/>
    </row>
    <row r="85" spans="2:12" ht="16" customHeight="1">
      <c r="B85" s="1146"/>
      <c r="C85" s="157">
        <v>400</v>
      </c>
      <c r="D85" s="158"/>
      <c r="E85" s="65"/>
      <c r="F85" s="1146"/>
      <c r="G85" s="1155">
        <v>150</v>
      </c>
      <c r="H85" s="1156"/>
      <c r="I85" s="1157"/>
      <c r="J85" s="653">
        <v>37</v>
      </c>
      <c r="K85" s="159"/>
      <c r="L85" s="106"/>
    </row>
    <row r="86" spans="2:12" ht="16" customHeight="1">
      <c r="B86" s="1146"/>
      <c r="C86" s="157">
        <v>500</v>
      </c>
      <c r="D86" s="158"/>
      <c r="E86" s="65"/>
      <c r="F86" s="1146"/>
      <c r="G86" s="1155">
        <v>200</v>
      </c>
      <c r="H86" s="1156"/>
      <c r="I86" s="1157"/>
      <c r="J86" s="653"/>
      <c r="K86" s="159"/>
      <c r="L86" s="106"/>
    </row>
    <row r="87" spans="2:12" ht="16" customHeight="1">
      <c r="B87" s="1146"/>
      <c r="C87" s="157">
        <v>600</v>
      </c>
      <c r="D87" s="158"/>
      <c r="E87" s="65"/>
      <c r="F87" s="1146"/>
      <c r="G87" s="1155">
        <v>300</v>
      </c>
      <c r="H87" s="1156"/>
      <c r="I87" s="1157"/>
      <c r="J87" s="653">
        <v>37</v>
      </c>
      <c r="K87" s="159"/>
      <c r="L87" s="106"/>
    </row>
    <row r="88" spans="2:12" ht="16" customHeight="1" thickBot="1">
      <c r="B88" s="1146"/>
      <c r="C88" s="157">
        <v>700</v>
      </c>
      <c r="D88" s="158"/>
      <c r="E88" s="65"/>
      <c r="F88" s="1147"/>
      <c r="G88" s="1155">
        <v>400</v>
      </c>
      <c r="H88" s="1156"/>
      <c r="I88" s="1157"/>
      <c r="J88" s="655"/>
      <c r="K88" s="166"/>
      <c r="L88" s="106"/>
    </row>
    <row r="89" spans="2:12" ht="16" customHeight="1">
      <c r="B89" s="1146"/>
      <c r="C89" s="157">
        <v>800</v>
      </c>
      <c r="D89" s="158"/>
      <c r="E89" s="65"/>
      <c r="F89" s="1165" t="s">
        <v>63</v>
      </c>
      <c r="G89" s="1158">
        <v>75</v>
      </c>
      <c r="H89" s="1159"/>
      <c r="I89" s="1160"/>
      <c r="J89" s="654"/>
      <c r="K89" s="117"/>
      <c r="L89" s="106"/>
    </row>
    <row r="90" spans="2:12" ht="16" customHeight="1" thickBot="1">
      <c r="B90" s="1166"/>
      <c r="C90" s="181">
        <v>900</v>
      </c>
      <c r="D90" s="179"/>
      <c r="E90" s="183"/>
      <c r="F90" s="1146"/>
      <c r="G90" s="1155">
        <v>100</v>
      </c>
      <c r="H90" s="1156"/>
      <c r="I90" s="1157"/>
      <c r="J90" s="653"/>
      <c r="K90" s="159"/>
      <c r="L90" s="106"/>
    </row>
    <row r="91" spans="2:12" ht="16" customHeight="1">
      <c r="B91" s="1164" t="s">
        <v>123</v>
      </c>
      <c r="C91" s="175">
        <v>75</v>
      </c>
      <c r="D91" s="176"/>
      <c r="E91" s="116"/>
      <c r="F91" s="1146"/>
      <c r="G91" s="1155">
        <v>150</v>
      </c>
      <c r="H91" s="1156"/>
      <c r="I91" s="1157"/>
      <c r="J91" s="653">
        <v>4</v>
      </c>
      <c r="K91" s="159"/>
      <c r="L91" s="106"/>
    </row>
    <row r="92" spans="2:12" ht="16" customHeight="1">
      <c r="B92" s="1146"/>
      <c r="C92" s="157">
        <v>100</v>
      </c>
      <c r="D92" s="158"/>
      <c r="E92" s="159"/>
      <c r="F92" s="1146"/>
      <c r="G92" s="1155">
        <v>200</v>
      </c>
      <c r="H92" s="1156"/>
      <c r="I92" s="1157"/>
      <c r="J92" s="653">
        <v>2</v>
      </c>
      <c r="K92" s="159"/>
      <c r="L92" s="106"/>
    </row>
    <row r="93" spans="2:12" ht="16" customHeight="1">
      <c r="B93" s="1146"/>
      <c r="C93" s="157">
        <v>150</v>
      </c>
      <c r="D93" s="158"/>
      <c r="E93" s="159"/>
      <c r="F93" s="1146"/>
      <c r="G93" s="1155">
        <v>300</v>
      </c>
      <c r="H93" s="1156"/>
      <c r="I93" s="1157"/>
      <c r="J93" s="653">
        <v>3</v>
      </c>
      <c r="K93" s="159"/>
      <c r="L93" s="106"/>
    </row>
    <row r="94" spans="2:12" ht="16" customHeight="1">
      <c r="B94" s="1146"/>
      <c r="C94" s="157">
        <v>200</v>
      </c>
      <c r="D94" s="158"/>
      <c r="E94" s="159"/>
      <c r="F94" s="1146"/>
      <c r="G94" s="1155">
        <v>400</v>
      </c>
      <c r="H94" s="1156"/>
      <c r="I94" s="1157"/>
      <c r="J94" s="158"/>
      <c r="K94" s="159"/>
      <c r="L94" s="106"/>
    </row>
    <row r="95" spans="2:12" ht="16" customHeight="1">
      <c r="B95" s="1146"/>
      <c r="C95" s="157">
        <v>300</v>
      </c>
      <c r="D95" s="158"/>
      <c r="E95" s="159"/>
      <c r="F95" s="1146"/>
      <c r="G95" s="1155">
        <v>500</v>
      </c>
      <c r="H95" s="1156"/>
      <c r="I95" s="1157"/>
      <c r="J95" s="158"/>
      <c r="K95" s="159"/>
      <c r="L95" s="106"/>
    </row>
    <row r="96" spans="2:12" ht="16" customHeight="1">
      <c r="B96" s="1146"/>
      <c r="C96" s="157">
        <v>400</v>
      </c>
      <c r="D96" s="158"/>
      <c r="E96" s="159"/>
      <c r="F96" s="1146"/>
      <c r="G96" s="1155">
        <v>600</v>
      </c>
      <c r="H96" s="1156"/>
      <c r="I96" s="1157"/>
      <c r="J96" s="158"/>
      <c r="K96" s="159"/>
      <c r="L96" s="106"/>
    </row>
    <row r="97" spans="2:12" ht="16" customHeight="1">
      <c r="B97" s="1146"/>
      <c r="C97" s="157">
        <v>500</v>
      </c>
      <c r="D97" s="158"/>
      <c r="E97" s="159"/>
      <c r="F97" s="1146"/>
      <c r="G97" s="1155">
        <v>700</v>
      </c>
      <c r="H97" s="1156"/>
      <c r="I97" s="1157"/>
      <c r="J97" s="158"/>
      <c r="K97" s="159"/>
      <c r="L97" s="106"/>
    </row>
    <row r="98" spans="2:12" ht="16" customHeight="1">
      <c r="B98" s="1146"/>
      <c r="C98" s="157">
        <v>600</v>
      </c>
      <c r="D98" s="158"/>
      <c r="E98" s="159"/>
      <c r="F98" s="1146"/>
      <c r="G98" s="1155">
        <v>800</v>
      </c>
      <c r="H98" s="1156"/>
      <c r="I98" s="1157">
        <v>800</v>
      </c>
      <c r="J98" s="158"/>
      <c r="K98" s="159"/>
      <c r="L98" s="106"/>
    </row>
    <row r="99" spans="2:12" ht="16" customHeight="1" thickBot="1">
      <c r="B99" s="1146"/>
      <c r="C99" s="157">
        <v>700</v>
      </c>
      <c r="D99" s="158"/>
      <c r="E99" s="159"/>
      <c r="F99" s="1166"/>
      <c r="G99" s="1167">
        <v>900</v>
      </c>
      <c r="H99" s="1168"/>
      <c r="I99" s="1169">
        <v>900</v>
      </c>
      <c r="J99" s="179"/>
      <c r="K99" s="180"/>
      <c r="L99" s="106"/>
    </row>
    <row r="100" spans="2:12" ht="16" customHeight="1">
      <c r="B100" s="1146"/>
      <c r="C100" s="157">
        <v>800</v>
      </c>
      <c r="D100" s="158"/>
      <c r="E100" s="159"/>
      <c r="F100" s="1164" t="s">
        <v>201</v>
      </c>
      <c r="G100" s="1158">
        <v>75</v>
      </c>
      <c r="H100" s="1159"/>
      <c r="I100" s="1160"/>
      <c r="J100" s="176"/>
      <c r="K100" s="116"/>
      <c r="L100" s="106"/>
    </row>
    <row r="101" spans="2:12" ht="16" customHeight="1" thickBot="1">
      <c r="B101" s="1147"/>
      <c r="C101" s="164">
        <v>900</v>
      </c>
      <c r="D101" s="165"/>
      <c r="E101" s="166"/>
      <c r="F101" s="1146"/>
      <c r="G101" s="1155">
        <v>100</v>
      </c>
      <c r="H101" s="1156"/>
      <c r="I101" s="1157"/>
      <c r="J101" s="158"/>
      <c r="K101" s="159"/>
      <c r="L101" s="106"/>
    </row>
    <row r="102" spans="2:12" ht="16" customHeight="1">
      <c r="B102" s="1165" t="s">
        <v>305</v>
      </c>
      <c r="C102" s="169" t="s">
        <v>31</v>
      </c>
      <c r="D102" s="168"/>
      <c r="E102" s="173"/>
      <c r="F102" s="1146"/>
      <c r="G102" s="1155">
        <v>150</v>
      </c>
      <c r="H102" s="1156"/>
      <c r="I102" s="1157"/>
      <c r="J102" s="158"/>
      <c r="K102" s="159"/>
      <c r="L102" s="106"/>
    </row>
    <row r="103" spans="2:12" ht="16" customHeight="1">
      <c r="B103" s="1146"/>
      <c r="C103" s="132" t="s">
        <v>32</v>
      </c>
      <c r="D103" s="158"/>
      <c r="E103" s="65"/>
      <c r="F103" s="1146"/>
      <c r="G103" s="1155">
        <v>200</v>
      </c>
      <c r="H103" s="1156"/>
      <c r="I103" s="1157"/>
      <c r="J103" s="158"/>
      <c r="K103" s="159"/>
      <c r="L103" s="106"/>
    </row>
    <row r="104" spans="2:12" ht="16" customHeight="1">
      <c r="B104" s="1146"/>
      <c r="C104" s="132" t="s">
        <v>33</v>
      </c>
      <c r="D104" s="158"/>
      <c r="E104" s="65"/>
      <c r="F104" s="1146"/>
      <c r="G104" s="1155">
        <v>300</v>
      </c>
      <c r="H104" s="1156"/>
      <c r="I104" s="1157"/>
      <c r="J104" s="158"/>
      <c r="K104" s="159"/>
      <c r="L104" s="106"/>
    </row>
    <row r="105" spans="2:12" ht="16" customHeight="1" thickBot="1">
      <c r="B105" s="1166"/>
      <c r="C105" s="178" t="s">
        <v>34</v>
      </c>
      <c r="D105" s="179"/>
      <c r="E105" s="183"/>
      <c r="F105" s="1146"/>
      <c r="G105" s="1155">
        <v>400</v>
      </c>
      <c r="H105" s="1156"/>
      <c r="I105" s="1157"/>
      <c r="J105" s="158"/>
      <c r="K105" s="159"/>
      <c r="L105" s="106"/>
    </row>
    <row r="106" spans="2:12" ht="16" customHeight="1">
      <c r="B106" s="1164" t="s">
        <v>306</v>
      </c>
      <c r="C106" s="131" t="s">
        <v>31</v>
      </c>
      <c r="D106" s="176"/>
      <c r="E106" s="116"/>
      <c r="F106" s="1146"/>
      <c r="G106" s="1155">
        <v>500</v>
      </c>
      <c r="H106" s="1156"/>
      <c r="I106" s="1157"/>
      <c r="J106" s="158"/>
      <c r="K106" s="159"/>
      <c r="L106" s="106"/>
    </row>
    <row r="107" spans="2:12" ht="16" customHeight="1">
      <c r="B107" s="1146"/>
      <c r="C107" s="132" t="s">
        <v>32</v>
      </c>
      <c r="D107" s="158"/>
      <c r="E107" s="159"/>
      <c r="F107" s="1146"/>
      <c r="G107" s="1155">
        <v>600</v>
      </c>
      <c r="H107" s="1156"/>
      <c r="I107" s="1157"/>
      <c r="J107" s="158"/>
      <c r="K107" s="159"/>
      <c r="L107" s="106"/>
    </row>
    <row r="108" spans="2:12" ht="16" customHeight="1">
      <c r="B108" s="1146"/>
      <c r="C108" s="132" t="s">
        <v>33</v>
      </c>
      <c r="D108" s="158"/>
      <c r="E108" s="159"/>
      <c r="F108" s="1146"/>
      <c r="G108" s="1155">
        <v>700</v>
      </c>
      <c r="H108" s="1156"/>
      <c r="I108" s="1157"/>
      <c r="J108" s="158"/>
      <c r="K108" s="159"/>
      <c r="L108" s="106"/>
    </row>
    <row r="109" spans="2:12" ht="16" customHeight="1" thickBot="1">
      <c r="B109" s="1147"/>
      <c r="C109" s="134" t="s">
        <v>34</v>
      </c>
      <c r="D109" s="165"/>
      <c r="E109" s="166"/>
      <c r="F109" s="1146"/>
      <c r="G109" s="1155">
        <v>800</v>
      </c>
      <c r="H109" s="1156"/>
      <c r="I109" s="1157">
        <v>800</v>
      </c>
      <c r="J109" s="158"/>
      <c r="K109" s="159"/>
      <c r="L109" s="106"/>
    </row>
    <row r="110" spans="2:12" ht="16" customHeight="1" thickBot="1">
      <c r="B110" s="1165" t="s">
        <v>307</v>
      </c>
      <c r="C110" s="169" t="s">
        <v>31</v>
      </c>
      <c r="D110" s="168"/>
      <c r="E110" s="173"/>
      <c r="F110" s="1147"/>
      <c r="G110" s="1167">
        <v>900</v>
      </c>
      <c r="H110" s="1168"/>
      <c r="I110" s="1169">
        <v>900</v>
      </c>
      <c r="J110" s="165"/>
      <c r="K110" s="166"/>
      <c r="L110" s="106"/>
    </row>
    <row r="111" spans="2:12" ht="16" customHeight="1">
      <c r="B111" s="1146"/>
      <c r="C111" s="132" t="s">
        <v>32</v>
      </c>
      <c r="D111" s="158"/>
      <c r="E111" s="65"/>
      <c r="F111" s="1164" t="s">
        <v>202</v>
      </c>
      <c r="G111" s="1158">
        <v>75</v>
      </c>
      <c r="H111" s="1159"/>
      <c r="I111" s="1160"/>
      <c r="J111" s="487">
        <f>ROUNDUP(D29/6,0)</f>
        <v>3</v>
      </c>
      <c r="K111" s="116" t="s">
        <v>274</v>
      </c>
    </row>
    <row r="112" spans="2:12" ht="16" customHeight="1">
      <c r="B112" s="1146"/>
      <c r="C112" s="132" t="s">
        <v>33</v>
      </c>
      <c r="D112" s="158"/>
      <c r="E112" s="65"/>
      <c r="F112" s="1146"/>
      <c r="G112" s="1155">
        <v>100</v>
      </c>
      <c r="H112" s="1156"/>
      <c r="I112" s="1157"/>
      <c r="J112" s="158">
        <f>ROUNDUP(D30/6,0)</f>
        <v>7</v>
      </c>
      <c r="K112" s="159" t="s">
        <v>274</v>
      </c>
    </row>
    <row r="113" spans="2:11" ht="16" customHeight="1" thickBot="1">
      <c r="B113" s="1166"/>
      <c r="C113" s="178" t="s">
        <v>34</v>
      </c>
      <c r="D113" s="179"/>
      <c r="E113" s="183"/>
      <c r="F113" s="1146"/>
      <c r="G113" s="1155">
        <v>150</v>
      </c>
      <c r="H113" s="1156"/>
      <c r="I113" s="1157"/>
      <c r="J113" s="158">
        <f>ROUNDUP(D31/6,0)</f>
        <v>41</v>
      </c>
      <c r="K113" s="159" t="s">
        <v>274</v>
      </c>
    </row>
    <row r="114" spans="2:11" ht="16" customHeight="1">
      <c r="B114" s="1164" t="s">
        <v>308</v>
      </c>
      <c r="C114" s="131" t="s">
        <v>31</v>
      </c>
      <c r="D114" s="176"/>
      <c r="E114" s="116"/>
      <c r="F114" s="1146"/>
      <c r="G114" s="1155">
        <v>200</v>
      </c>
      <c r="H114" s="1156"/>
      <c r="I114" s="1157"/>
      <c r="J114" s="158">
        <f>ROUNDUP(D32/6,0)</f>
        <v>59</v>
      </c>
      <c r="K114" s="159" t="s">
        <v>274</v>
      </c>
    </row>
    <row r="115" spans="2:11" ht="16" customHeight="1">
      <c r="B115" s="1146"/>
      <c r="C115" s="132" t="s">
        <v>32</v>
      </c>
      <c r="D115" s="158"/>
      <c r="E115" s="159"/>
      <c r="F115" s="1146"/>
      <c r="G115" s="1155">
        <v>300</v>
      </c>
      <c r="H115" s="1156"/>
      <c r="I115" s="1157"/>
      <c r="J115" s="168">
        <f>ROUNDUP(D33/6,0)</f>
        <v>62</v>
      </c>
      <c r="K115" s="159" t="s">
        <v>274</v>
      </c>
    </row>
    <row r="116" spans="2:11" ht="16" customHeight="1">
      <c r="B116" s="1146"/>
      <c r="C116" s="132" t="s">
        <v>33</v>
      </c>
      <c r="D116" s="158"/>
      <c r="E116" s="159"/>
      <c r="F116" s="1146"/>
      <c r="G116" s="1155">
        <v>400</v>
      </c>
      <c r="H116" s="1156"/>
      <c r="I116" s="1157"/>
      <c r="J116" s="654"/>
      <c r="K116" s="159"/>
    </row>
    <row r="117" spans="2:11" ht="16" customHeight="1" thickBot="1">
      <c r="B117" s="1147"/>
      <c r="C117" s="134" t="s">
        <v>34</v>
      </c>
      <c r="D117" s="165"/>
      <c r="E117" s="166"/>
      <c r="F117" s="1146"/>
      <c r="G117" s="1155">
        <v>500</v>
      </c>
      <c r="H117" s="1156"/>
      <c r="I117" s="1157"/>
      <c r="J117" s="654"/>
      <c r="K117" s="159"/>
    </row>
    <row r="118" spans="2:11" ht="16" customHeight="1">
      <c r="B118" s="1164" t="s">
        <v>69</v>
      </c>
      <c r="C118" s="131" t="s">
        <v>31</v>
      </c>
      <c r="D118" s="176"/>
      <c r="E118" s="116"/>
      <c r="F118" s="1146"/>
      <c r="G118" s="1155">
        <v>600</v>
      </c>
      <c r="H118" s="1156"/>
      <c r="I118" s="1157"/>
      <c r="J118" s="158"/>
      <c r="K118" s="159"/>
    </row>
    <row r="119" spans="2:11" ht="16" customHeight="1">
      <c r="B119" s="1146"/>
      <c r="C119" s="132" t="s">
        <v>32</v>
      </c>
      <c r="D119" s="158"/>
      <c r="E119" s="159"/>
      <c r="F119" s="1146"/>
      <c r="G119" s="1155">
        <v>700</v>
      </c>
      <c r="H119" s="1156"/>
      <c r="I119" s="1157"/>
      <c r="J119" s="158"/>
      <c r="K119" s="159"/>
    </row>
    <row r="120" spans="2:11" ht="16" customHeight="1">
      <c r="B120" s="1146"/>
      <c r="C120" s="132" t="s">
        <v>33</v>
      </c>
      <c r="D120" s="158"/>
      <c r="E120" s="159"/>
      <c r="F120" s="1146"/>
      <c r="G120" s="1155">
        <v>800</v>
      </c>
      <c r="H120" s="1156"/>
      <c r="I120" s="1157">
        <v>800</v>
      </c>
      <c r="J120" s="158"/>
      <c r="K120" s="159"/>
    </row>
    <row r="121" spans="2:11" ht="16" customHeight="1" thickBot="1">
      <c r="B121" s="1146"/>
      <c r="C121" s="132" t="s">
        <v>34</v>
      </c>
      <c r="D121" s="158"/>
      <c r="E121" s="159"/>
      <c r="F121" s="1147"/>
      <c r="G121" s="1167">
        <v>900</v>
      </c>
      <c r="H121" s="1168"/>
      <c r="I121" s="1169">
        <v>900</v>
      </c>
      <c r="J121" s="165"/>
      <c r="K121" s="166"/>
    </row>
    <row r="122" spans="2:11" ht="16" customHeight="1">
      <c r="B122" s="1146"/>
      <c r="C122" s="132" t="s">
        <v>35</v>
      </c>
      <c r="D122" s="158"/>
      <c r="E122" s="159"/>
      <c r="F122" s="160" t="s">
        <v>279</v>
      </c>
      <c r="G122" s="1158">
        <v>50</v>
      </c>
      <c r="H122" s="1159"/>
      <c r="I122" s="1160"/>
      <c r="J122" s="158"/>
      <c r="K122" s="159"/>
    </row>
    <row r="123" spans="2:11" ht="16" customHeight="1" thickBot="1">
      <c r="B123" s="1147"/>
      <c r="C123" s="134" t="s">
        <v>36</v>
      </c>
      <c r="D123" s="165"/>
      <c r="E123" s="166"/>
      <c r="F123" s="160"/>
      <c r="G123" s="1155"/>
      <c r="H123" s="1156"/>
      <c r="I123" s="1157"/>
      <c r="J123" s="653"/>
      <c r="K123" s="159"/>
    </row>
    <row r="124" spans="2:11" ht="16" customHeight="1">
      <c r="B124" s="177"/>
      <c r="C124" s="167"/>
      <c r="D124" s="168"/>
      <c r="E124" s="173"/>
      <c r="F124" s="160"/>
      <c r="G124" s="1155"/>
      <c r="H124" s="1156"/>
      <c r="I124" s="1157"/>
      <c r="J124" s="158"/>
      <c r="K124" s="159"/>
    </row>
    <row r="125" spans="2:11" ht="16" customHeight="1">
      <c r="B125" s="160"/>
      <c r="C125" s="157"/>
      <c r="D125" s="158"/>
      <c r="E125" s="65"/>
      <c r="F125" s="160"/>
      <c r="G125" s="1155"/>
      <c r="H125" s="1156"/>
      <c r="I125" s="1157"/>
      <c r="J125" s="158"/>
      <c r="K125" s="159"/>
    </row>
    <row r="126" spans="2:11" ht="16" customHeight="1">
      <c r="B126" s="160"/>
      <c r="C126" s="157"/>
      <c r="D126" s="158"/>
      <c r="E126" s="65"/>
      <c r="F126" s="160"/>
      <c r="G126" s="1155"/>
      <c r="H126" s="1156"/>
      <c r="I126" s="1157"/>
      <c r="J126" s="158"/>
      <c r="K126" s="159"/>
    </row>
    <row r="127" spans="2:11" ht="16" customHeight="1">
      <c r="B127" s="160"/>
      <c r="C127" s="157"/>
      <c r="D127" s="158"/>
      <c r="E127" s="65"/>
      <c r="F127" s="160"/>
      <c r="G127" s="1155"/>
      <c r="H127" s="1156"/>
      <c r="I127" s="1157"/>
      <c r="J127" s="158"/>
      <c r="K127" s="159"/>
    </row>
    <row r="128" spans="2:11" ht="16" customHeight="1">
      <c r="B128" s="160"/>
      <c r="C128" s="157"/>
      <c r="D128" s="158"/>
      <c r="E128" s="65"/>
      <c r="F128" s="160"/>
      <c r="G128" s="1155"/>
      <c r="H128" s="1156"/>
      <c r="I128" s="1157"/>
      <c r="J128" s="158"/>
      <c r="K128" s="159"/>
    </row>
    <row r="129" spans="2:12" ht="16" customHeight="1">
      <c r="B129" s="160"/>
      <c r="C129" s="157"/>
      <c r="D129" s="158"/>
      <c r="E129" s="65"/>
      <c r="F129" s="160"/>
      <c r="G129" s="1155"/>
      <c r="H129" s="1156"/>
      <c r="I129" s="1157"/>
      <c r="J129" s="158"/>
      <c r="K129" s="159"/>
    </row>
    <row r="130" spans="2:12" ht="16" customHeight="1" thickBot="1">
      <c r="B130" s="182"/>
      <c r="C130" s="164"/>
      <c r="D130" s="165"/>
      <c r="E130" s="66"/>
      <c r="F130" s="182"/>
      <c r="G130" s="1167"/>
      <c r="H130" s="1168"/>
      <c r="I130" s="1169"/>
      <c r="J130" s="165"/>
      <c r="K130" s="166"/>
    </row>
    <row r="131" spans="2:12" ht="16" customHeight="1"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0"/>
    </row>
    <row r="132" spans="2:12" ht="16" customHeight="1">
      <c r="B132" s="1143" t="s">
        <v>71</v>
      </c>
      <c r="C132" s="1143"/>
      <c r="D132" s="1143"/>
      <c r="E132" s="1143"/>
      <c r="F132" s="1143"/>
      <c r="G132" s="1143"/>
      <c r="H132" s="1143"/>
      <c r="I132" s="1143"/>
      <c r="J132" s="1143"/>
      <c r="K132" s="1143"/>
      <c r="L132" s="69"/>
    </row>
    <row r="133" spans="2:12" ht="16" customHeight="1">
      <c r="B133" s="1154" t="s">
        <v>61</v>
      </c>
      <c r="C133" s="1154"/>
      <c r="D133" s="1154"/>
      <c r="E133" s="1154"/>
      <c r="F133" s="1154"/>
      <c r="G133" s="1154"/>
      <c r="H133" s="1154"/>
      <c r="I133" s="1154"/>
      <c r="J133" s="1154"/>
      <c r="K133" s="1154"/>
      <c r="L133" s="5"/>
    </row>
    <row r="134" spans="2:12" ht="16" customHeight="1">
      <c r="B134" s="1154"/>
      <c r="C134" s="1154"/>
      <c r="D134" s="1154"/>
      <c r="E134" s="1154"/>
      <c r="F134" s="1154"/>
      <c r="G134" s="1154"/>
      <c r="H134" s="1154"/>
      <c r="I134" s="1154"/>
      <c r="J134" s="1154"/>
      <c r="K134" s="1154"/>
      <c r="L134" s="5"/>
    </row>
    <row r="135" spans="2:12" ht="16" customHeight="1" thickBot="1">
      <c r="B135" s="1144" t="str">
        <f>'総括表（土工事）'!$B$6:$AA$6</f>
        <v>長田(花山町2丁目他)配水管取替工事</v>
      </c>
      <c r="C135" s="1144"/>
      <c r="D135" s="1144"/>
      <c r="E135" s="1144"/>
      <c r="F135" s="1144"/>
      <c r="G135" s="1144"/>
      <c r="H135" s="1144"/>
      <c r="I135" s="1144"/>
      <c r="J135" s="1144"/>
      <c r="K135" s="1144"/>
      <c r="L135" s="111"/>
    </row>
    <row r="136" spans="2:12" s="7" customFormat="1" ht="16" customHeight="1" thickBot="1">
      <c r="B136" s="170" t="s">
        <v>48</v>
      </c>
      <c r="C136" s="171" t="s">
        <v>49</v>
      </c>
      <c r="D136" s="172" t="s">
        <v>73</v>
      </c>
      <c r="E136" s="71" t="s">
        <v>59</v>
      </c>
      <c r="F136" s="170" t="s">
        <v>48</v>
      </c>
      <c r="G136" s="1189" t="s">
        <v>49</v>
      </c>
      <c r="H136" s="1190"/>
      <c r="I136" s="1191"/>
      <c r="J136" s="172" t="s">
        <v>73</v>
      </c>
      <c r="K136" s="112" t="s">
        <v>59</v>
      </c>
      <c r="L136" s="70"/>
    </row>
    <row r="137" spans="2:12" ht="16" customHeight="1">
      <c r="B137" s="1165" t="s">
        <v>309</v>
      </c>
      <c r="C137" s="169" t="s">
        <v>38</v>
      </c>
      <c r="D137" s="654">
        <v>10</v>
      </c>
      <c r="E137" s="173"/>
      <c r="F137" s="1170" t="s">
        <v>3</v>
      </c>
      <c r="G137" s="1177" t="s">
        <v>56</v>
      </c>
      <c r="H137" s="1178"/>
      <c r="I137" s="1179"/>
      <c r="J137" s="1176">
        <v>7</v>
      </c>
      <c r="K137" s="117" t="s">
        <v>393</v>
      </c>
    </row>
    <row r="138" spans="2:12" ht="16" customHeight="1">
      <c r="B138" s="1146"/>
      <c r="C138" s="132" t="s">
        <v>282</v>
      </c>
      <c r="D138" s="653">
        <v>29</v>
      </c>
      <c r="E138" s="65"/>
      <c r="F138" s="1146"/>
      <c r="G138" s="1180"/>
      <c r="H138" s="1181"/>
      <c r="I138" s="1182"/>
      <c r="J138" s="1171"/>
      <c r="K138" s="184" t="s">
        <v>399</v>
      </c>
    </row>
    <row r="139" spans="2:12" ht="16" customHeight="1">
      <c r="B139" s="1146"/>
      <c r="C139" s="132" t="s">
        <v>24</v>
      </c>
      <c r="D139" s="653">
        <v>37</v>
      </c>
      <c r="E139" s="65"/>
      <c r="F139" s="1146"/>
      <c r="G139" s="1183" t="s">
        <v>56</v>
      </c>
      <c r="H139" s="1184"/>
      <c r="I139" s="1185"/>
      <c r="J139" s="1171"/>
      <c r="K139" s="159"/>
    </row>
    <row r="140" spans="2:12" ht="16" customHeight="1" thickBot="1">
      <c r="B140" s="1166"/>
      <c r="C140" s="178" t="s">
        <v>35</v>
      </c>
      <c r="D140" s="179">
        <v>37</v>
      </c>
      <c r="E140" s="183"/>
      <c r="F140" s="1146"/>
      <c r="G140" s="1180"/>
      <c r="H140" s="1181"/>
      <c r="I140" s="1182"/>
      <c r="J140" s="1171"/>
      <c r="K140" s="184"/>
    </row>
    <row r="141" spans="2:12" ht="16" customHeight="1">
      <c r="B141" s="1164" t="s">
        <v>310</v>
      </c>
      <c r="C141" s="131" t="s">
        <v>267</v>
      </c>
      <c r="D141" s="176"/>
      <c r="E141" s="116"/>
      <c r="F141" s="1146"/>
      <c r="G141" s="1183" t="s">
        <v>56</v>
      </c>
      <c r="H141" s="1184"/>
      <c r="I141" s="1185"/>
      <c r="J141" s="1171"/>
      <c r="K141" s="159"/>
    </row>
    <row r="142" spans="2:12" ht="16" customHeight="1">
      <c r="B142" s="1146"/>
      <c r="C142" s="132" t="s">
        <v>264</v>
      </c>
      <c r="D142" s="158"/>
      <c r="E142" s="159"/>
      <c r="F142" s="1146"/>
      <c r="G142" s="1180"/>
      <c r="H142" s="1181"/>
      <c r="I142" s="1182"/>
      <c r="J142" s="1171"/>
      <c r="K142" s="184"/>
    </row>
    <row r="143" spans="2:12" ht="16" customHeight="1">
      <c r="B143" s="1146"/>
      <c r="C143" s="132" t="s">
        <v>265</v>
      </c>
      <c r="D143" s="158"/>
      <c r="E143" s="159"/>
      <c r="F143" s="1146"/>
      <c r="G143" s="1183" t="s">
        <v>56</v>
      </c>
      <c r="H143" s="1184"/>
      <c r="I143" s="1185"/>
      <c r="J143" s="1171"/>
      <c r="K143" s="159"/>
    </row>
    <row r="144" spans="2:12" ht="16" customHeight="1" thickBot="1">
      <c r="B144" s="1147"/>
      <c r="C144" s="134" t="s">
        <v>266</v>
      </c>
      <c r="D144" s="165"/>
      <c r="E144" s="166"/>
      <c r="F144" s="1166"/>
      <c r="G144" s="1186"/>
      <c r="H144" s="1187"/>
      <c r="I144" s="1188"/>
      <c r="J144" s="1174"/>
      <c r="K144" s="188"/>
    </row>
    <row r="145" spans="2:11" ht="16" customHeight="1">
      <c r="B145" s="1165" t="s">
        <v>311</v>
      </c>
      <c r="C145" s="169" t="s">
        <v>22</v>
      </c>
      <c r="D145" s="168"/>
      <c r="E145" s="173"/>
      <c r="F145" s="1145" t="s">
        <v>4</v>
      </c>
      <c r="G145" s="1177">
        <v>25</v>
      </c>
      <c r="H145" s="1178"/>
      <c r="I145" s="1179"/>
      <c r="J145" s="1173">
        <v>1</v>
      </c>
      <c r="K145" s="116" t="s">
        <v>393</v>
      </c>
    </row>
    <row r="146" spans="2:11" ht="16" customHeight="1">
      <c r="B146" s="1146"/>
      <c r="C146" s="132" t="s">
        <v>24</v>
      </c>
      <c r="D146" s="158"/>
      <c r="E146" s="65"/>
      <c r="F146" s="1146"/>
      <c r="G146" s="1180"/>
      <c r="H146" s="1181"/>
      <c r="I146" s="1182"/>
      <c r="J146" s="1171"/>
      <c r="K146" s="184" t="s">
        <v>399</v>
      </c>
    </row>
    <row r="147" spans="2:11" ht="16" customHeight="1">
      <c r="B147" s="1146"/>
      <c r="C147" s="132" t="s">
        <v>25</v>
      </c>
      <c r="D147" s="158"/>
      <c r="E147" s="65"/>
      <c r="F147" s="1146"/>
      <c r="G147" s="1183">
        <v>25</v>
      </c>
      <c r="H147" s="1184"/>
      <c r="I147" s="1185"/>
      <c r="J147" s="1171"/>
      <c r="K147" s="159"/>
    </row>
    <row r="148" spans="2:11" ht="16" customHeight="1" thickBot="1">
      <c r="B148" s="1166"/>
      <c r="C148" s="134" t="s">
        <v>35</v>
      </c>
      <c r="D148" s="179"/>
      <c r="E148" s="183"/>
      <c r="F148" s="1146"/>
      <c r="G148" s="1180"/>
      <c r="H148" s="1181"/>
      <c r="I148" s="1182"/>
      <c r="J148" s="1171"/>
      <c r="K148" s="184"/>
    </row>
    <row r="149" spans="2:11" ht="16" customHeight="1">
      <c r="B149" s="1164" t="s">
        <v>379</v>
      </c>
      <c r="C149" s="825">
        <v>400</v>
      </c>
      <c r="D149" s="176"/>
      <c r="E149" s="116"/>
      <c r="F149" s="1146"/>
      <c r="G149" s="1183">
        <v>75</v>
      </c>
      <c r="H149" s="1184"/>
      <c r="I149" s="1185"/>
      <c r="J149" s="1171"/>
      <c r="K149" s="159"/>
    </row>
    <row r="150" spans="2:11" ht="16" customHeight="1">
      <c r="B150" s="1146"/>
      <c r="C150" s="771">
        <v>500</v>
      </c>
      <c r="D150" s="158"/>
      <c r="E150" s="159"/>
      <c r="F150" s="1146"/>
      <c r="G150" s="1180"/>
      <c r="H150" s="1181"/>
      <c r="I150" s="1182"/>
      <c r="J150" s="1171"/>
      <c r="K150" s="184"/>
    </row>
    <row r="151" spans="2:11" ht="16" customHeight="1">
      <c r="B151" s="1146"/>
      <c r="C151" s="771">
        <v>600</v>
      </c>
      <c r="D151" s="158"/>
      <c r="E151" s="159"/>
      <c r="F151" s="1146"/>
      <c r="G151" s="1183">
        <v>75</v>
      </c>
      <c r="H151" s="1184"/>
      <c r="I151" s="1185"/>
      <c r="J151" s="1171"/>
      <c r="K151" s="159"/>
    </row>
    <row r="152" spans="2:11" ht="16" customHeight="1" thickBot="1">
      <c r="B152" s="1146"/>
      <c r="C152" s="771">
        <v>700</v>
      </c>
      <c r="D152" s="158"/>
      <c r="E152" s="159"/>
      <c r="F152" s="1147"/>
      <c r="G152" s="1186"/>
      <c r="H152" s="1187"/>
      <c r="I152" s="1188"/>
      <c r="J152" s="1172"/>
      <c r="K152" s="189"/>
    </row>
    <row r="153" spans="2:11" ht="16" customHeight="1">
      <c r="B153" s="1146"/>
      <c r="C153" s="771">
        <v>800</v>
      </c>
      <c r="D153" s="158"/>
      <c r="E153" s="159"/>
      <c r="F153" s="1170" t="s">
        <v>42</v>
      </c>
      <c r="G153" s="1192" t="s">
        <v>56</v>
      </c>
      <c r="H153" s="1193"/>
      <c r="I153" s="1194"/>
      <c r="J153" s="1176"/>
      <c r="K153" s="117"/>
    </row>
    <row r="154" spans="2:11" ht="16" customHeight="1" thickBot="1">
      <c r="B154" s="1147"/>
      <c r="C154" s="164">
        <v>900</v>
      </c>
      <c r="D154" s="165"/>
      <c r="E154" s="166"/>
      <c r="F154" s="1146"/>
      <c r="G154" s="1195"/>
      <c r="H154" s="1196"/>
      <c r="I154" s="1197"/>
      <c r="J154" s="1171"/>
      <c r="K154" s="184"/>
    </row>
    <row r="155" spans="2:11" ht="16" customHeight="1">
      <c r="B155" s="1165" t="s">
        <v>380</v>
      </c>
      <c r="C155" s="825">
        <v>400</v>
      </c>
      <c r="D155" s="168"/>
      <c r="E155" s="173"/>
      <c r="F155" s="1146"/>
      <c r="G155" s="1198" t="s">
        <v>56</v>
      </c>
      <c r="H155" s="1199"/>
      <c r="I155" s="1200"/>
      <c r="J155" s="1171"/>
      <c r="K155" s="159"/>
    </row>
    <row r="156" spans="2:11" ht="16" customHeight="1" thickBot="1">
      <c r="B156" s="1146"/>
      <c r="C156" s="771">
        <v>500</v>
      </c>
      <c r="D156" s="158"/>
      <c r="E156" s="65"/>
      <c r="F156" s="1166"/>
      <c r="G156" s="1206"/>
      <c r="H156" s="1207"/>
      <c r="I156" s="1208"/>
      <c r="J156" s="1174"/>
      <c r="K156" s="188"/>
    </row>
    <row r="157" spans="2:11" ht="16" customHeight="1">
      <c r="B157" s="1146"/>
      <c r="C157" s="771">
        <v>600</v>
      </c>
      <c r="D157" s="158"/>
      <c r="E157" s="65"/>
      <c r="F157" s="1145" t="s">
        <v>82</v>
      </c>
      <c r="G157" s="1192" t="s">
        <v>56</v>
      </c>
      <c r="H157" s="1193"/>
      <c r="I157" s="1194"/>
      <c r="J157" s="1175">
        <v>8</v>
      </c>
      <c r="K157" s="116" t="s">
        <v>394</v>
      </c>
    </row>
    <row r="158" spans="2:11" ht="16" customHeight="1">
      <c r="B158" s="1146"/>
      <c r="C158" s="771">
        <v>700</v>
      </c>
      <c r="D158" s="158"/>
      <c r="E158" s="65"/>
      <c r="F158" s="1146"/>
      <c r="G158" s="1195"/>
      <c r="H158" s="1196"/>
      <c r="I158" s="1197"/>
      <c r="J158" s="1176"/>
      <c r="K158" s="159" t="s">
        <v>395</v>
      </c>
    </row>
    <row r="159" spans="2:11" ht="16" customHeight="1">
      <c r="B159" s="1146"/>
      <c r="C159" s="771">
        <v>800</v>
      </c>
      <c r="D159" s="158"/>
      <c r="E159" s="65"/>
      <c r="F159" s="1146"/>
      <c r="G159" s="1198" t="s">
        <v>56</v>
      </c>
      <c r="H159" s="1199"/>
      <c r="I159" s="1200"/>
      <c r="J159" s="1171"/>
      <c r="K159" s="159"/>
    </row>
    <row r="160" spans="2:11" ht="16" customHeight="1" thickBot="1">
      <c r="B160" s="1166"/>
      <c r="C160" s="164">
        <v>900</v>
      </c>
      <c r="D160" s="179"/>
      <c r="E160" s="183"/>
      <c r="F160" s="1146"/>
      <c r="G160" s="1195"/>
      <c r="H160" s="1196"/>
      <c r="I160" s="1197"/>
      <c r="J160" s="1171"/>
      <c r="K160" s="159"/>
    </row>
    <row r="161" spans="2:19" ht="16" customHeight="1">
      <c r="B161" s="1164" t="s">
        <v>381</v>
      </c>
      <c r="C161" s="825">
        <v>400</v>
      </c>
      <c r="D161" s="176"/>
      <c r="E161" s="116"/>
      <c r="F161" s="1146"/>
      <c r="G161" s="1198" t="s">
        <v>56</v>
      </c>
      <c r="H161" s="1199"/>
      <c r="I161" s="1200"/>
      <c r="J161" s="1171"/>
      <c r="K161" s="159"/>
    </row>
    <row r="162" spans="2:19" ht="16" customHeight="1">
      <c r="B162" s="1146"/>
      <c r="C162" s="771">
        <v>500</v>
      </c>
      <c r="D162" s="158"/>
      <c r="E162" s="159"/>
      <c r="F162" s="1146"/>
      <c r="G162" s="1195"/>
      <c r="H162" s="1196"/>
      <c r="I162" s="1197"/>
      <c r="J162" s="1171"/>
      <c r="K162" s="159"/>
    </row>
    <row r="163" spans="2:19" ht="16" customHeight="1">
      <c r="B163" s="1146"/>
      <c r="C163" s="771">
        <v>600</v>
      </c>
      <c r="D163" s="158"/>
      <c r="E163" s="159"/>
      <c r="F163" s="1146"/>
      <c r="G163" s="1198" t="s">
        <v>56</v>
      </c>
      <c r="H163" s="1199"/>
      <c r="I163" s="1200"/>
      <c r="J163" s="1171"/>
      <c r="K163" s="159"/>
    </row>
    <row r="164" spans="2:19" ht="16" customHeight="1" thickBot="1">
      <c r="B164" s="1146"/>
      <c r="C164" s="771">
        <v>700</v>
      </c>
      <c r="D164" s="158"/>
      <c r="E164" s="159"/>
      <c r="F164" s="1147"/>
      <c r="G164" s="1206"/>
      <c r="H164" s="1207"/>
      <c r="I164" s="1208"/>
      <c r="J164" s="1172"/>
      <c r="K164" s="166"/>
    </row>
    <row r="165" spans="2:19" ht="16" customHeight="1">
      <c r="B165" s="1146"/>
      <c r="C165" s="771">
        <v>800</v>
      </c>
      <c r="D165" s="158"/>
      <c r="E165" s="159"/>
      <c r="F165" s="1145" t="s">
        <v>55</v>
      </c>
      <c r="G165" s="1177">
        <v>25</v>
      </c>
      <c r="H165" s="1178"/>
      <c r="I165" s="1179"/>
      <c r="J165" s="1173"/>
      <c r="K165" s="116"/>
    </row>
    <row r="166" spans="2:19" ht="16" customHeight="1" thickBot="1">
      <c r="B166" s="1147"/>
      <c r="C166" s="164">
        <v>900</v>
      </c>
      <c r="D166" s="165"/>
      <c r="E166" s="166"/>
      <c r="F166" s="1146"/>
      <c r="G166" s="1180"/>
      <c r="H166" s="1181"/>
      <c r="I166" s="1182"/>
      <c r="J166" s="1171"/>
      <c r="K166" s="159"/>
    </row>
    <row r="167" spans="2:19" ht="16" customHeight="1">
      <c r="B167" s="1165" t="s">
        <v>39</v>
      </c>
      <c r="C167" s="167">
        <v>75</v>
      </c>
      <c r="D167" s="654"/>
      <c r="E167" s="173"/>
      <c r="F167" s="1146"/>
      <c r="G167" s="1183">
        <v>25</v>
      </c>
      <c r="H167" s="1184"/>
      <c r="I167" s="1185"/>
      <c r="J167" s="1171"/>
      <c r="K167" s="159"/>
    </row>
    <row r="168" spans="2:19" ht="16" customHeight="1">
      <c r="B168" s="1146"/>
      <c r="C168" s="157">
        <v>100</v>
      </c>
      <c r="D168" s="653">
        <v>1</v>
      </c>
      <c r="E168" s="65"/>
      <c r="F168" s="1146"/>
      <c r="G168" s="1180"/>
      <c r="H168" s="1181"/>
      <c r="I168" s="1182"/>
      <c r="J168" s="1171"/>
      <c r="K168" s="159"/>
    </row>
    <row r="169" spans="2:19" ht="16" customHeight="1">
      <c r="B169" s="1146"/>
      <c r="C169" s="157">
        <v>150</v>
      </c>
      <c r="D169" s="653">
        <v>3</v>
      </c>
      <c r="E169" s="65"/>
      <c r="F169" s="1146"/>
      <c r="G169" s="1183">
        <v>75</v>
      </c>
      <c r="H169" s="1184"/>
      <c r="I169" s="1185"/>
      <c r="J169" s="1171"/>
      <c r="K169" s="159"/>
    </row>
    <row r="170" spans="2:19" ht="16" customHeight="1">
      <c r="B170" s="1146"/>
      <c r="C170" s="157">
        <v>200</v>
      </c>
      <c r="D170" s="158"/>
      <c r="E170" s="65"/>
      <c r="F170" s="1146"/>
      <c r="G170" s="1180"/>
      <c r="H170" s="1181"/>
      <c r="I170" s="1182"/>
      <c r="J170" s="1171"/>
      <c r="K170" s="159"/>
    </row>
    <row r="171" spans="2:19" ht="16" customHeight="1">
      <c r="B171" s="1146"/>
      <c r="C171" s="157">
        <v>300</v>
      </c>
      <c r="D171" s="158"/>
      <c r="E171" s="65"/>
      <c r="F171" s="1146"/>
      <c r="G171" s="1183">
        <v>75</v>
      </c>
      <c r="H171" s="1184"/>
      <c r="I171" s="1185"/>
      <c r="J171" s="1171"/>
      <c r="K171" s="159"/>
    </row>
    <row r="172" spans="2:19" ht="16" customHeight="1" thickBot="1">
      <c r="B172" s="1166"/>
      <c r="C172" s="181">
        <v>400</v>
      </c>
      <c r="D172" s="179"/>
      <c r="E172" s="183"/>
      <c r="F172" s="1147"/>
      <c r="G172" s="1186"/>
      <c r="H172" s="1187"/>
      <c r="I172" s="1188"/>
      <c r="J172" s="1172"/>
      <c r="K172" s="166"/>
      <c r="N172" s="109"/>
      <c r="O172" s="109"/>
      <c r="P172" s="109"/>
      <c r="Q172" s="109"/>
      <c r="R172" s="109"/>
      <c r="S172" s="109"/>
    </row>
    <row r="173" spans="2:19" ht="16" customHeight="1">
      <c r="B173" s="1164" t="s">
        <v>40</v>
      </c>
      <c r="C173" s="175">
        <v>75</v>
      </c>
      <c r="D173" s="176"/>
      <c r="E173" s="116"/>
      <c r="F173" s="1148" t="s">
        <v>326</v>
      </c>
      <c r="G173" s="643"/>
      <c r="H173" s="649" t="s">
        <v>136</v>
      </c>
      <c r="I173" s="644"/>
      <c r="J173" s="641"/>
      <c r="K173" s="642" t="str">
        <f>IFERROR(VLOOKUP(CONCATENATE(G173,I173),$O$173:$R$204,4,FALSE),"")</f>
        <v/>
      </c>
      <c r="N173" s="109"/>
      <c r="O173" s="770"/>
      <c r="P173" s="154"/>
      <c r="Q173" s="154"/>
      <c r="R173" s="154"/>
      <c r="S173" s="154"/>
    </row>
    <row r="174" spans="2:19" ht="16" customHeight="1">
      <c r="B174" s="1146"/>
      <c r="C174" s="157">
        <v>100</v>
      </c>
      <c r="D174" s="158"/>
      <c r="E174" s="159"/>
      <c r="F174" s="1152"/>
      <c r="G174" s="645"/>
      <c r="H174" s="650" t="s">
        <v>324</v>
      </c>
      <c r="I174" s="646"/>
      <c r="J174" s="185"/>
      <c r="K174" s="133" t="str">
        <f>IFERROR(VLOOKUP(CONCATENATE(G174,I174),$O$173:$R$204,4,FALSE),"")</f>
        <v/>
      </c>
      <c r="N174" s="109"/>
      <c r="O174" s="770"/>
      <c r="P174" s="154"/>
      <c r="Q174" s="154"/>
      <c r="R174" s="154"/>
      <c r="S174" s="154"/>
    </row>
    <row r="175" spans="2:19" ht="16" customHeight="1">
      <c r="B175" s="1146"/>
      <c r="C175" s="157">
        <v>150</v>
      </c>
      <c r="D175" s="158"/>
      <c r="E175" s="159"/>
      <c r="F175" s="1152"/>
      <c r="G175" s="645"/>
      <c r="H175" s="650" t="s">
        <v>324</v>
      </c>
      <c r="I175" s="646"/>
      <c r="J175" s="185"/>
      <c r="K175" s="133" t="str">
        <f t="shared" ref="K175:K182" si="0">IFERROR(VLOOKUP(CONCATENATE(G175,I175),$O$173:$R$204,4,FALSE),"")</f>
        <v/>
      </c>
      <c r="N175" s="109"/>
      <c r="O175" s="770"/>
      <c r="P175" s="154"/>
      <c r="Q175" s="154"/>
      <c r="R175" s="154"/>
      <c r="S175" s="154"/>
    </row>
    <row r="176" spans="2:19" ht="16" customHeight="1">
      <c r="B176" s="1146"/>
      <c r="C176" s="157">
        <v>200</v>
      </c>
      <c r="D176" s="158"/>
      <c r="E176" s="159"/>
      <c r="F176" s="1152"/>
      <c r="G176" s="645"/>
      <c r="H176" s="650" t="s">
        <v>324</v>
      </c>
      <c r="I176" s="646"/>
      <c r="J176" s="185"/>
      <c r="K176" s="133" t="str">
        <f t="shared" si="0"/>
        <v/>
      </c>
      <c r="N176" s="109"/>
      <c r="O176" s="770"/>
      <c r="P176" s="154"/>
      <c r="Q176" s="154"/>
      <c r="R176" s="154"/>
      <c r="S176" s="154"/>
    </row>
    <row r="177" spans="2:19" ht="16" customHeight="1">
      <c r="B177" s="1146"/>
      <c r="C177" s="157">
        <v>300</v>
      </c>
      <c r="D177" s="158">
        <v>2</v>
      </c>
      <c r="E177" s="159"/>
      <c r="F177" s="1152"/>
      <c r="G177" s="645"/>
      <c r="H177" s="650" t="s">
        <v>324</v>
      </c>
      <c r="I177" s="646"/>
      <c r="J177" s="185"/>
      <c r="K177" s="133" t="str">
        <f t="shared" si="0"/>
        <v/>
      </c>
      <c r="N177" s="109"/>
      <c r="O177" s="770"/>
      <c r="P177" s="154"/>
      <c r="Q177" s="154"/>
      <c r="R177" s="154"/>
      <c r="S177" s="154"/>
    </row>
    <row r="178" spans="2:19" ht="16" customHeight="1" thickBot="1">
      <c r="B178" s="1147"/>
      <c r="C178" s="164">
        <v>400</v>
      </c>
      <c r="D178" s="165"/>
      <c r="E178" s="166"/>
      <c r="F178" s="1152"/>
      <c r="G178" s="645"/>
      <c r="H178" s="650" t="s">
        <v>324</v>
      </c>
      <c r="I178" s="646"/>
      <c r="J178" s="185"/>
      <c r="K178" s="133" t="str">
        <f t="shared" si="0"/>
        <v/>
      </c>
      <c r="N178" s="109"/>
      <c r="O178" s="770"/>
      <c r="P178" s="154"/>
      <c r="Q178" s="154"/>
      <c r="R178" s="154"/>
      <c r="S178" s="154"/>
    </row>
    <row r="179" spans="2:19" ht="16" customHeight="1">
      <c r="B179" s="1170" t="s">
        <v>41</v>
      </c>
      <c r="C179" s="167">
        <v>500</v>
      </c>
      <c r="D179" s="168"/>
      <c r="E179" s="173"/>
      <c r="F179" s="1152"/>
      <c r="G179" s="645"/>
      <c r="H179" s="650" t="s">
        <v>324</v>
      </c>
      <c r="I179" s="646"/>
      <c r="J179" s="185"/>
      <c r="K179" s="133" t="str">
        <f t="shared" si="0"/>
        <v/>
      </c>
      <c r="N179" s="109"/>
      <c r="O179" s="770"/>
      <c r="P179" s="154"/>
      <c r="Q179" s="154"/>
      <c r="R179" s="154"/>
      <c r="S179" s="154"/>
    </row>
    <row r="180" spans="2:19" ht="16" customHeight="1">
      <c r="B180" s="1146"/>
      <c r="C180" s="157">
        <v>600</v>
      </c>
      <c r="D180" s="158"/>
      <c r="E180" s="65"/>
      <c r="F180" s="1152"/>
      <c r="G180" s="645"/>
      <c r="H180" s="650" t="s">
        <v>324</v>
      </c>
      <c r="I180" s="646"/>
      <c r="J180" s="185"/>
      <c r="K180" s="133" t="str">
        <f t="shared" si="0"/>
        <v/>
      </c>
      <c r="N180" s="109"/>
      <c r="O180" s="770"/>
      <c r="P180" s="154"/>
      <c r="Q180" s="154"/>
      <c r="R180" s="154"/>
      <c r="S180" s="154"/>
    </row>
    <row r="181" spans="2:19" ht="16" customHeight="1">
      <c r="B181" s="1146"/>
      <c r="C181" s="157">
        <v>700</v>
      </c>
      <c r="D181" s="158"/>
      <c r="E181" s="65"/>
      <c r="F181" s="1152"/>
      <c r="G181" s="645"/>
      <c r="H181" s="650" t="s">
        <v>324</v>
      </c>
      <c r="I181" s="646"/>
      <c r="J181" s="185"/>
      <c r="K181" s="133" t="str">
        <f t="shared" si="0"/>
        <v/>
      </c>
      <c r="N181" s="109"/>
      <c r="O181" s="770"/>
      <c r="P181" s="154"/>
      <c r="Q181" s="154"/>
      <c r="R181" s="154"/>
      <c r="S181" s="154"/>
    </row>
    <row r="182" spans="2:19" ht="16" customHeight="1">
      <c r="B182" s="1146"/>
      <c r="C182" s="157">
        <v>800</v>
      </c>
      <c r="D182" s="158"/>
      <c r="E182" s="65"/>
      <c r="F182" s="1152"/>
      <c r="G182" s="645"/>
      <c r="H182" s="650" t="s">
        <v>324</v>
      </c>
      <c r="I182" s="646"/>
      <c r="J182" s="185"/>
      <c r="K182" s="133" t="str">
        <f t="shared" si="0"/>
        <v/>
      </c>
      <c r="N182" s="109"/>
      <c r="O182" s="770"/>
      <c r="P182" s="154"/>
      <c r="Q182" s="154"/>
      <c r="R182" s="154"/>
      <c r="S182" s="154"/>
    </row>
    <row r="183" spans="2:19" ht="16" customHeight="1" thickBot="1">
      <c r="B183" s="1166"/>
      <c r="C183" s="181">
        <v>900</v>
      </c>
      <c r="D183" s="179"/>
      <c r="E183" s="183"/>
      <c r="F183" s="1153"/>
      <c r="G183" s="647"/>
      <c r="H183" s="651" t="s">
        <v>324</v>
      </c>
      <c r="I183" s="648"/>
      <c r="J183" s="186"/>
      <c r="K183" s="133" t="str">
        <f>IFERROR(VLOOKUP(CONCATENATE(G183,I183),$O$173:$R$204,4,FALSE),"")</f>
        <v/>
      </c>
      <c r="N183" s="109"/>
      <c r="O183" s="770"/>
      <c r="P183" s="154"/>
      <c r="Q183" s="154"/>
      <c r="R183" s="154"/>
      <c r="S183" s="154"/>
    </row>
    <row r="184" spans="2:19" ht="16" customHeight="1">
      <c r="B184" s="1145" t="s">
        <v>86</v>
      </c>
      <c r="C184" s="175">
        <v>75</v>
      </c>
      <c r="D184" s="656"/>
      <c r="E184" s="116"/>
      <c r="F184" s="1148" t="s">
        <v>325</v>
      </c>
      <c r="G184" s="1158">
        <v>75</v>
      </c>
      <c r="H184" s="1159"/>
      <c r="I184" s="1160"/>
      <c r="J184" s="641"/>
      <c r="K184" s="642"/>
      <c r="N184" s="109"/>
      <c r="O184" s="770"/>
      <c r="P184" s="154"/>
      <c r="Q184" s="154"/>
      <c r="R184" s="154"/>
      <c r="S184" s="154"/>
    </row>
    <row r="185" spans="2:19" ht="16" customHeight="1">
      <c r="B185" s="1146"/>
      <c r="C185" s="157">
        <v>100</v>
      </c>
      <c r="D185" s="653">
        <v>1</v>
      </c>
      <c r="E185" s="159"/>
      <c r="F185" s="1152"/>
      <c r="G185" s="1155">
        <v>100</v>
      </c>
      <c r="H185" s="1156"/>
      <c r="I185" s="1157"/>
      <c r="J185" s="185"/>
      <c r="K185" s="133"/>
      <c r="N185" s="109"/>
      <c r="O185" s="770"/>
      <c r="P185" s="154"/>
      <c r="Q185" s="154"/>
      <c r="R185" s="154"/>
      <c r="S185" s="154"/>
    </row>
    <row r="186" spans="2:19" ht="16" customHeight="1">
      <c r="B186" s="1146"/>
      <c r="C186" s="157">
        <v>150</v>
      </c>
      <c r="D186" s="653">
        <v>2</v>
      </c>
      <c r="E186" s="159"/>
      <c r="F186" s="1152"/>
      <c r="G186" s="1155">
        <v>150</v>
      </c>
      <c r="H186" s="1156"/>
      <c r="I186" s="1157"/>
      <c r="J186" s="185"/>
      <c r="K186" s="133"/>
      <c r="N186" s="109"/>
      <c r="O186" s="770"/>
      <c r="P186" s="154"/>
      <c r="Q186" s="154"/>
      <c r="R186" s="154"/>
      <c r="S186" s="154"/>
    </row>
    <row r="187" spans="2:19" ht="16" customHeight="1">
      <c r="B187" s="1146"/>
      <c r="C187" s="157">
        <v>200</v>
      </c>
      <c r="D187" s="653">
        <v>4</v>
      </c>
      <c r="E187" s="159"/>
      <c r="F187" s="1152"/>
      <c r="G187" s="1155">
        <v>200</v>
      </c>
      <c r="H187" s="1156"/>
      <c r="I187" s="1157"/>
      <c r="J187" s="185"/>
      <c r="K187" s="133"/>
      <c r="N187" s="109"/>
      <c r="O187" s="770"/>
      <c r="P187" s="154"/>
      <c r="Q187" s="154"/>
      <c r="R187" s="154"/>
      <c r="S187" s="154"/>
    </row>
    <row r="188" spans="2:19" ht="16" customHeight="1">
      <c r="B188" s="1146"/>
      <c r="C188" s="157">
        <v>300</v>
      </c>
      <c r="D188" s="653">
        <v>1</v>
      </c>
      <c r="E188" s="159"/>
      <c r="F188" s="1152"/>
      <c r="G188" s="1155">
        <v>250</v>
      </c>
      <c r="H188" s="1156"/>
      <c r="I188" s="1157"/>
      <c r="J188" s="185"/>
      <c r="K188" s="133"/>
      <c r="N188" s="109"/>
      <c r="O188" s="770"/>
      <c r="P188" s="154"/>
      <c r="Q188" s="154"/>
      <c r="R188" s="154"/>
      <c r="S188" s="154"/>
    </row>
    <row r="189" spans="2:19" ht="16" customHeight="1">
      <c r="B189" s="1146"/>
      <c r="C189" s="157">
        <v>400</v>
      </c>
      <c r="D189" s="158"/>
      <c r="E189" s="159"/>
      <c r="F189" s="1152"/>
      <c r="G189" s="1155">
        <v>300</v>
      </c>
      <c r="H189" s="1156"/>
      <c r="I189" s="1157"/>
      <c r="J189" s="185"/>
      <c r="K189" s="133"/>
      <c r="N189" s="109"/>
      <c r="O189" s="770"/>
      <c r="P189" s="154"/>
      <c r="Q189" s="154"/>
      <c r="R189" s="154"/>
      <c r="S189" s="154"/>
    </row>
    <row r="190" spans="2:19" ht="16" customHeight="1">
      <c r="B190" s="1146"/>
      <c r="C190" s="157">
        <v>500</v>
      </c>
      <c r="D190" s="158"/>
      <c r="E190" s="159"/>
      <c r="F190" s="1152"/>
      <c r="G190" s="1155">
        <v>350</v>
      </c>
      <c r="H190" s="1156"/>
      <c r="I190" s="1157"/>
      <c r="J190" s="185"/>
      <c r="K190" s="133"/>
      <c r="N190" s="109"/>
      <c r="O190" s="770"/>
      <c r="P190" s="154"/>
      <c r="Q190" s="154"/>
      <c r="R190" s="154"/>
      <c r="S190" s="154"/>
    </row>
    <row r="191" spans="2:19" ht="16" customHeight="1">
      <c r="B191" s="1146"/>
      <c r="C191" s="157">
        <v>600</v>
      </c>
      <c r="D191" s="158"/>
      <c r="E191" s="159"/>
      <c r="F191" s="1152"/>
      <c r="G191" s="1155">
        <v>400</v>
      </c>
      <c r="H191" s="1156"/>
      <c r="I191" s="1157"/>
      <c r="J191" s="185"/>
      <c r="K191" s="133"/>
      <c r="N191" s="109"/>
      <c r="O191" s="770"/>
      <c r="P191" s="154"/>
      <c r="Q191" s="154"/>
      <c r="R191" s="154"/>
      <c r="S191" s="154"/>
    </row>
    <row r="192" spans="2:19" ht="16" customHeight="1">
      <c r="B192" s="1146"/>
      <c r="C192" s="157">
        <v>700</v>
      </c>
      <c r="D192" s="158"/>
      <c r="E192" s="159"/>
      <c r="F192" s="1152"/>
      <c r="G192" s="1155">
        <v>450</v>
      </c>
      <c r="H192" s="1156"/>
      <c r="I192" s="1157"/>
      <c r="J192" s="185"/>
      <c r="K192" s="133"/>
      <c r="N192" s="109"/>
      <c r="O192" s="770"/>
      <c r="P192" s="154"/>
      <c r="Q192" s="154"/>
      <c r="R192" s="154"/>
      <c r="S192" s="154"/>
    </row>
    <row r="193" spans="2:19" ht="16" customHeight="1">
      <c r="B193" s="1146"/>
      <c r="C193" s="157">
        <v>800</v>
      </c>
      <c r="D193" s="158"/>
      <c r="E193" s="159"/>
      <c r="F193" s="1152"/>
      <c r="G193" s="1155">
        <v>500</v>
      </c>
      <c r="H193" s="1156"/>
      <c r="I193" s="1157">
        <v>800</v>
      </c>
      <c r="J193" s="185"/>
      <c r="K193" s="133"/>
      <c r="N193" s="109"/>
      <c r="O193" s="770"/>
      <c r="P193" s="154"/>
      <c r="Q193" s="154"/>
      <c r="R193" s="154"/>
      <c r="S193" s="109"/>
    </row>
    <row r="194" spans="2:19" ht="16" customHeight="1" thickBot="1">
      <c r="B194" s="1147"/>
      <c r="C194" s="164">
        <v>900</v>
      </c>
      <c r="D194" s="165"/>
      <c r="E194" s="166"/>
      <c r="F194" s="1153"/>
      <c r="G194" s="1167"/>
      <c r="H194" s="1168"/>
      <c r="I194" s="1169">
        <v>900</v>
      </c>
      <c r="J194" s="186"/>
      <c r="K194" s="135"/>
      <c r="N194" s="109"/>
      <c r="O194" s="770"/>
      <c r="P194" s="154"/>
      <c r="Q194" s="154"/>
      <c r="R194" s="154"/>
      <c r="S194" s="109"/>
    </row>
    <row r="195" spans="2:19" ht="16" customHeight="1">
      <c r="B195" s="693"/>
      <c r="C195" s="693"/>
      <c r="D195" s="694"/>
      <c r="E195" s="693"/>
      <c r="F195" s="693"/>
      <c r="G195" s="693"/>
      <c r="H195" s="693"/>
      <c r="I195" s="693"/>
      <c r="J195" s="694"/>
      <c r="K195" s="693"/>
      <c r="N195" s="109"/>
      <c r="O195" s="770"/>
      <c r="P195" s="154"/>
      <c r="Q195" s="154"/>
      <c r="R195" s="154"/>
      <c r="S195" s="109"/>
    </row>
    <row r="196" spans="2:19" ht="16" customHeight="1">
      <c r="D196" s="114"/>
      <c r="N196" s="109"/>
      <c r="O196" s="770"/>
      <c r="P196" s="154"/>
      <c r="Q196" s="154"/>
      <c r="R196" s="154"/>
      <c r="S196" s="109"/>
    </row>
    <row r="197" spans="2:19" ht="16" customHeight="1">
      <c r="D197" s="114"/>
      <c r="N197" s="109"/>
      <c r="O197" s="770"/>
      <c r="P197" s="154"/>
      <c r="Q197" s="154"/>
      <c r="R197" s="154"/>
      <c r="S197" s="109"/>
    </row>
    <row r="198" spans="2:19" ht="16" customHeight="1">
      <c r="D198" s="114"/>
      <c r="N198" s="109"/>
      <c r="O198" s="770"/>
      <c r="P198" s="154"/>
      <c r="Q198" s="154"/>
      <c r="R198" s="154"/>
      <c r="S198" s="109"/>
    </row>
    <row r="199" spans="2:19" ht="16" customHeight="1">
      <c r="D199" s="114"/>
      <c r="N199" s="109"/>
      <c r="O199" s="770"/>
      <c r="P199" s="154"/>
      <c r="Q199" s="154"/>
      <c r="R199" s="154"/>
      <c r="S199" s="109"/>
    </row>
    <row r="200" spans="2:19" ht="16" customHeight="1">
      <c r="D200" s="114"/>
      <c r="N200" s="109"/>
      <c r="O200" s="770"/>
      <c r="P200" s="154"/>
      <c r="Q200" s="154"/>
      <c r="R200" s="154"/>
      <c r="S200" s="109"/>
    </row>
    <row r="201" spans="2:19" ht="16" customHeight="1">
      <c r="D201" s="114"/>
      <c r="N201" s="109"/>
      <c r="O201" s="770"/>
      <c r="P201" s="154"/>
      <c r="Q201" s="154"/>
      <c r="R201" s="154"/>
      <c r="S201" s="109"/>
    </row>
    <row r="202" spans="2:19" ht="16" customHeight="1">
      <c r="D202" s="114"/>
      <c r="N202" s="109"/>
      <c r="O202" s="770"/>
      <c r="P202" s="154"/>
      <c r="Q202" s="154"/>
      <c r="R202" s="154"/>
      <c r="S202" s="109"/>
    </row>
    <row r="203" spans="2:19" ht="16" customHeight="1">
      <c r="D203" s="114"/>
      <c r="N203" s="109"/>
      <c r="O203" s="770"/>
      <c r="P203" s="154"/>
      <c r="Q203" s="154"/>
      <c r="R203" s="154"/>
      <c r="S203" s="109"/>
    </row>
    <row r="204" spans="2:19" ht="16" customHeight="1">
      <c r="D204" s="114"/>
      <c r="N204" s="109"/>
      <c r="O204" s="770"/>
      <c r="P204" s="154"/>
      <c r="Q204" s="154"/>
      <c r="R204" s="154"/>
      <c r="S204" s="109"/>
    </row>
    <row r="205" spans="2:19" ht="16" customHeight="1">
      <c r="D205" s="114"/>
      <c r="N205" s="109"/>
      <c r="O205" s="109"/>
      <c r="P205" s="109"/>
      <c r="Q205" s="109"/>
      <c r="R205" s="109"/>
      <c r="S205" s="109"/>
    </row>
    <row r="206" spans="2:19" ht="16" customHeight="1">
      <c r="D206" s="114"/>
    </row>
    <row r="207" spans="2:19" ht="16" customHeight="1">
      <c r="D207" s="114"/>
    </row>
    <row r="208" spans="2:19" ht="16" customHeight="1">
      <c r="D208" s="114"/>
    </row>
    <row r="209" spans="4:4" ht="16" customHeight="1">
      <c r="D209" s="114"/>
    </row>
    <row r="210" spans="4:4" ht="16" customHeight="1">
      <c r="D210" s="114"/>
    </row>
    <row r="211" spans="4:4" ht="16" customHeight="1">
      <c r="D211" s="114"/>
    </row>
    <row r="212" spans="4:4" ht="16" customHeight="1">
      <c r="D212" s="114"/>
    </row>
    <row r="213" spans="4:4" ht="16" customHeight="1">
      <c r="D213" s="114"/>
    </row>
    <row r="214" spans="4:4" ht="16" customHeight="1">
      <c r="D214" s="114"/>
    </row>
    <row r="215" spans="4:4" ht="16" customHeight="1">
      <c r="D215" s="114"/>
    </row>
    <row r="216" spans="4:4" ht="16" customHeight="1">
      <c r="D216" s="114"/>
    </row>
  </sheetData>
  <mergeCells count="224">
    <mergeCell ref="F46:F50"/>
    <mergeCell ref="F51:F61"/>
    <mergeCell ref="G190:I190"/>
    <mergeCell ref="G191:I191"/>
    <mergeCell ref="G192:I192"/>
    <mergeCell ref="G193:I193"/>
    <mergeCell ref="G194:I194"/>
    <mergeCell ref="G185:I185"/>
    <mergeCell ref="G186:I186"/>
    <mergeCell ref="G187:I187"/>
    <mergeCell ref="G188:I188"/>
    <mergeCell ref="G189:I189"/>
    <mergeCell ref="G184:I184"/>
    <mergeCell ref="G167:I168"/>
    <mergeCell ref="G169:I170"/>
    <mergeCell ref="G171:I172"/>
    <mergeCell ref="G147:I148"/>
    <mergeCell ref="G149:I150"/>
    <mergeCell ref="G151:I152"/>
    <mergeCell ref="G153:I154"/>
    <mergeCell ref="G155:I156"/>
    <mergeCell ref="G163:I164"/>
    <mergeCell ref="G165:I166"/>
    <mergeCell ref="G127:I127"/>
    <mergeCell ref="G128:I128"/>
    <mergeCell ref="G129:I129"/>
    <mergeCell ref="G130:I130"/>
    <mergeCell ref="G136:I136"/>
    <mergeCell ref="G122:I122"/>
    <mergeCell ref="G123:I123"/>
    <mergeCell ref="G124:I124"/>
    <mergeCell ref="G125:I125"/>
    <mergeCell ref="G126:I126"/>
    <mergeCell ref="B133:K134"/>
    <mergeCell ref="B132:K132"/>
    <mergeCell ref="G117:I117"/>
    <mergeCell ref="G118:I118"/>
    <mergeCell ref="G119:I119"/>
    <mergeCell ref="G120:I120"/>
    <mergeCell ref="G121:I121"/>
    <mergeCell ref="G112:I112"/>
    <mergeCell ref="G113:I113"/>
    <mergeCell ref="G114:I114"/>
    <mergeCell ref="G115:I115"/>
    <mergeCell ref="G116:I116"/>
    <mergeCell ref="G107:I107"/>
    <mergeCell ref="G108:I108"/>
    <mergeCell ref="G109:I109"/>
    <mergeCell ref="G110:I110"/>
    <mergeCell ref="G111:I111"/>
    <mergeCell ref="G102:I102"/>
    <mergeCell ref="G103:I103"/>
    <mergeCell ref="G104:I104"/>
    <mergeCell ref="G105:I105"/>
    <mergeCell ref="G106:I106"/>
    <mergeCell ref="G97:I97"/>
    <mergeCell ref="G98:I98"/>
    <mergeCell ref="G99:I99"/>
    <mergeCell ref="G100:I100"/>
    <mergeCell ref="G101:I101"/>
    <mergeCell ref="G92:I92"/>
    <mergeCell ref="G93:I93"/>
    <mergeCell ref="G94:I94"/>
    <mergeCell ref="G95:I95"/>
    <mergeCell ref="G96:I96"/>
    <mergeCell ref="G87:I87"/>
    <mergeCell ref="G88:I88"/>
    <mergeCell ref="G89:I89"/>
    <mergeCell ref="G90:I90"/>
    <mergeCell ref="G91:I91"/>
    <mergeCell ref="G82:I82"/>
    <mergeCell ref="G83:I83"/>
    <mergeCell ref="G84:I84"/>
    <mergeCell ref="G85:I85"/>
    <mergeCell ref="G86:I86"/>
    <mergeCell ref="G77:I77"/>
    <mergeCell ref="G78:I78"/>
    <mergeCell ref="G79:I79"/>
    <mergeCell ref="G80:I80"/>
    <mergeCell ref="G81:I81"/>
    <mergeCell ref="G72:I72"/>
    <mergeCell ref="G73:I73"/>
    <mergeCell ref="G74:I74"/>
    <mergeCell ref="G75:I75"/>
    <mergeCell ref="G76:I76"/>
    <mergeCell ref="G62:I62"/>
    <mergeCell ref="G63:I63"/>
    <mergeCell ref="G64:I64"/>
    <mergeCell ref="G65:I65"/>
    <mergeCell ref="G71:I71"/>
    <mergeCell ref="G57:I57"/>
    <mergeCell ref="G58:I58"/>
    <mergeCell ref="G59:I59"/>
    <mergeCell ref="G60:I60"/>
    <mergeCell ref="G61:I61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F173:F183"/>
    <mergeCell ref="F184:F194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157:I158"/>
    <mergeCell ref="G159:I160"/>
    <mergeCell ref="G161:I162"/>
    <mergeCell ref="G32:I32"/>
    <mergeCell ref="G33:I33"/>
    <mergeCell ref="G34:I34"/>
    <mergeCell ref="G35:I35"/>
    <mergeCell ref="G36:I36"/>
    <mergeCell ref="B173:B178"/>
    <mergeCell ref="B70:K70"/>
    <mergeCell ref="F83:F88"/>
    <mergeCell ref="J143:J144"/>
    <mergeCell ref="J137:J138"/>
    <mergeCell ref="B149:B154"/>
    <mergeCell ref="B137:B140"/>
    <mergeCell ref="B102:B105"/>
    <mergeCell ref="B145:B148"/>
    <mergeCell ref="J153:J154"/>
    <mergeCell ref="B76:B79"/>
    <mergeCell ref="B114:B117"/>
    <mergeCell ref="F72:F82"/>
    <mergeCell ref="B106:B109"/>
    <mergeCell ref="B80:B90"/>
    <mergeCell ref="J147:J148"/>
    <mergeCell ref="B135:K135"/>
    <mergeCell ref="B141:B144"/>
    <mergeCell ref="G137:I138"/>
    <mergeCell ref="G139:I140"/>
    <mergeCell ref="G141:I142"/>
    <mergeCell ref="G143:I144"/>
    <mergeCell ref="G145:I146"/>
    <mergeCell ref="F89:F99"/>
    <mergeCell ref="B184:B194"/>
    <mergeCell ref="B179:B183"/>
    <mergeCell ref="B167:B172"/>
    <mergeCell ref="J141:J142"/>
    <mergeCell ref="F137:F144"/>
    <mergeCell ref="J139:J140"/>
    <mergeCell ref="J171:J172"/>
    <mergeCell ref="F145:F152"/>
    <mergeCell ref="J145:J146"/>
    <mergeCell ref="J169:J170"/>
    <mergeCell ref="J159:J160"/>
    <mergeCell ref="J161:J162"/>
    <mergeCell ref="J163:J164"/>
    <mergeCell ref="J149:J150"/>
    <mergeCell ref="J155:J156"/>
    <mergeCell ref="J165:J166"/>
    <mergeCell ref="J167:J168"/>
    <mergeCell ref="J157:J158"/>
    <mergeCell ref="J151:J152"/>
    <mergeCell ref="B161:B166"/>
    <mergeCell ref="F157:F164"/>
    <mergeCell ref="F165:F172"/>
    <mergeCell ref="B155:B160"/>
    <mergeCell ref="F153:F156"/>
    <mergeCell ref="B91:B101"/>
    <mergeCell ref="F111:F121"/>
    <mergeCell ref="B7:B17"/>
    <mergeCell ref="B72:B75"/>
    <mergeCell ref="B18:B28"/>
    <mergeCell ref="B110:B113"/>
    <mergeCell ref="B68:K69"/>
    <mergeCell ref="B60:B63"/>
    <mergeCell ref="F100:F110"/>
    <mergeCell ref="B58:B59"/>
    <mergeCell ref="B55:B56"/>
    <mergeCell ref="B51:B52"/>
    <mergeCell ref="B118:B123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2:K2"/>
    <mergeCell ref="B5:K5"/>
    <mergeCell ref="B67:K67"/>
    <mergeCell ref="B40:B50"/>
    <mergeCell ref="B29:B39"/>
    <mergeCell ref="F41:F45"/>
    <mergeCell ref="F7:F17"/>
    <mergeCell ref="F18:F28"/>
    <mergeCell ref="F29:F34"/>
    <mergeCell ref="F35:F40"/>
    <mergeCell ref="B53:B54"/>
    <mergeCell ref="B3:K4"/>
    <mergeCell ref="G31:I3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G52:I52"/>
  </mergeCells>
  <phoneticPr fontId="2"/>
  <dataValidations count="2">
    <dataValidation type="list" allowBlank="1" showInputMessage="1" showErrorMessage="1" sqref="K155 K137 K139 K141 K143 K145 K147 K149 K151 K153">
      <formula1>"補修弁 有,補修弁 2有,補修弁 無"</formula1>
    </dataValidation>
    <dataValidation type="list" allowBlank="1" showInputMessage="1" showErrorMessage="1" sqref="K156 K138 K140 K142 K144 K146 K148 K150 K152 K154">
      <formula1>"F短管 有,F短管 2有,F短管 無"</formula1>
    </dataValidation>
  </dataValidations>
  <printOptions horizontalCentered="1"/>
  <pageMargins left="0.78740157480314965" right="0.39370078740157483" top="0.11811023622047244" bottom="0.11811023622047244" header="0.19685039370078741" footer="0.19685039370078741"/>
  <pageSetup paperSize="9" scale="83" fitToHeight="0" orientation="portrait" r:id="rId1"/>
  <headerFooter alignWithMargins="0"/>
  <rowBreaks count="2" manualBreakCount="2">
    <brk id="65" min="1" max="10" man="1"/>
    <brk id="130" min="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</sheetPr>
  <dimension ref="B1:AH172"/>
  <sheetViews>
    <sheetView showGridLines="0" showZeros="0" view="pageBreakPreview" topLeftCell="A105" zoomScale="85" zoomScaleNormal="100" zoomScaleSheetLayoutView="85" zoomScalePageLayoutView="25" workbookViewId="0">
      <selection activeCell="H80" sqref="H80:H93"/>
    </sheetView>
  </sheetViews>
  <sheetFormatPr defaultColWidth="9" defaultRowHeight="18" customHeight="1"/>
  <cols>
    <col min="1" max="1" width="2.6328125" style="2" customWidth="1"/>
    <col min="2" max="2" width="8" style="1" customWidth="1"/>
    <col min="3" max="3" width="17.08984375" style="1" customWidth="1"/>
    <col min="4" max="7" width="6.6328125" style="1" customWidth="1"/>
    <col min="8" max="8" width="9.90625" style="1" customWidth="1"/>
    <col min="9" max="10" width="12.6328125" style="1" customWidth="1"/>
    <col min="11" max="11" width="12.6328125" style="4" customWidth="1"/>
    <col min="12" max="12" width="12.6328125" style="8" customWidth="1"/>
    <col min="13" max="13" width="8.81640625" style="2" customWidth="1"/>
    <col min="14" max="14" width="2.6328125" style="154" customWidth="1"/>
    <col min="15" max="15" width="6.6328125" style="154" customWidth="1"/>
    <col min="16" max="18" width="6.6328125" style="2" customWidth="1"/>
    <col min="19" max="19" width="8.90625" style="2" customWidth="1"/>
    <col min="20" max="20" width="16.36328125" style="2" bestFit="1" customWidth="1"/>
    <col min="21" max="21" width="20.08984375" style="2" customWidth="1"/>
    <col min="22" max="22" width="7.08984375" style="2" bestFit="1" customWidth="1"/>
    <col min="23" max="23" width="5" style="2" bestFit="1" customWidth="1"/>
    <col min="24" max="24" width="9" style="2"/>
    <col min="25" max="25" width="15.6328125" style="2" bestFit="1" customWidth="1"/>
    <col min="26" max="16384" width="9" style="2"/>
  </cols>
  <sheetData>
    <row r="1" spans="2:24" ht="18" customHeight="1">
      <c r="B1" s="1143" t="s">
        <v>127</v>
      </c>
      <c r="C1" s="1143"/>
      <c r="D1" s="1143"/>
      <c r="E1" s="1143"/>
      <c r="F1" s="1143"/>
      <c r="G1" s="1143"/>
      <c r="H1" s="1143"/>
      <c r="I1" s="1143"/>
      <c r="J1" s="1143"/>
      <c r="K1" s="1143"/>
      <c r="L1" s="1143"/>
    </row>
    <row r="2" spans="2:24" ht="15" customHeight="1">
      <c r="B2" s="1260" t="s">
        <v>65</v>
      </c>
      <c r="C2" s="1260"/>
      <c r="D2" s="1260"/>
      <c r="E2" s="1260"/>
      <c r="F2" s="1260"/>
      <c r="G2" s="1260"/>
      <c r="H2" s="1260"/>
      <c r="I2" s="1260"/>
      <c r="J2" s="1260"/>
      <c r="K2" s="1260"/>
      <c r="L2" s="1260"/>
    </row>
    <row r="3" spans="2:24" ht="15" customHeight="1">
      <c r="B3" s="1260"/>
      <c r="C3" s="1260"/>
      <c r="D3" s="1260"/>
      <c r="E3" s="1260"/>
      <c r="F3" s="1260"/>
      <c r="G3" s="1260"/>
      <c r="H3" s="1260"/>
      <c r="I3" s="1260"/>
      <c r="J3" s="1260"/>
      <c r="K3" s="1260"/>
      <c r="L3" s="1260"/>
    </row>
    <row r="4" spans="2:24" ht="18" customHeight="1" thickBot="1">
      <c r="B4" s="1144" t="str">
        <f>'総括表（土工事）'!$B$6:$AA$6</f>
        <v>長田(花山町2丁目他)配水管取替工事</v>
      </c>
      <c r="C4" s="1144"/>
      <c r="D4" s="1144"/>
      <c r="E4" s="1144"/>
      <c r="F4" s="1144"/>
      <c r="G4" s="1144"/>
      <c r="H4" s="1144"/>
      <c r="I4" s="1144"/>
      <c r="J4" s="1144"/>
      <c r="K4" s="1144"/>
      <c r="L4" s="1144"/>
    </row>
    <row r="5" spans="2:24" ht="18" customHeight="1">
      <c r="B5" s="1036" t="s">
        <v>78</v>
      </c>
      <c r="C5" s="916"/>
      <c r="D5" s="915" t="s">
        <v>77</v>
      </c>
      <c r="E5" s="976"/>
      <c r="F5" s="976"/>
      <c r="G5" s="976"/>
      <c r="H5" s="916"/>
      <c r="I5" s="1269" t="s">
        <v>195</v>
      </c>
      <c r="J5" s="1269" t="s">
        <v>72</v>
      </c>
      <c r="K5" s="1256" t="s">
        <v>114</v>
      </c>
      <c r="L5" s="1265" t="s">
        <v>84</v>
      </c>
      <c r="O5" s="939" t="s">
        <v>108</v>
      </c>
      <c r="P5" s="940"/>
      <c r="Q5" s="940"/>
      <c r="R5" s="941"/>
    </row>
    <row r="6" spans="2:24" ht="18" customHeight="1" thickBot="1">
      <c r="B6" s="979"/>
      <c r="C6" s="980"/>
      <c r="D6" s="1044"/>
      <c r="E6" s="973"/>
      <c r="F6" s="973"/>
      <c r="G6" s="973"/>
      <c r="H6" s="980"/>
      <c r="I6" s="1270"/>
      <c r="J6" s="1270"/>
      <c r="K6" s="1257"/>
      <c r="L6" s="1266"/>
      <c r="O6" s="123">
        <v>0.1</v>
      </c>
      <c r="P6" s="124">
        <v>1</v>
      </c>
      <c r="Q6" s="124">
        <v>10</v>
      </c>
      <c r="R6" s="125">
        <v>100</v>
      </c>
    </row>
    <row r="7" spans="2:24" ht="18" customHeight="1">
      <c r="B7" s="1261" t="s">
        <v>237</v>
      </c>
      <c r="C7" s="1231"/>
      <c r="D7" s="981" t="s">
        <v>235</v>
      </c>
      <c r="E7" s="1274" t="s">
        <v>196</v>
      </c>
      <c r="F7" s="1125"/>
      <c r="G7" s="1125"/>
      <c r="H7" s="1126"/>
      <c r="I7" s="35">
        <v>563.20000000000005</v>
      </c>
      <c r="J7" s="35"/>
      <c r="K7" s="191">
        <f t="shared" ref="K7:K14" si="0">SUM(I7:J7)</f>
        <v>563.20000000000005</v>
      </c>
      <c r="L7" s="575">
        <f>SUM(O7:R7)</f>
        <v>560</v>
      </c>
      <c r="O7" s="126">
        <f>IF($K7&lt;1,ROUND($K7,1),0)</f>
        <v>0</v>
      </c>
      <c r="P7" s="512">
        <f>IF(AND($K7&gt;=1,$K7&lt;100),ROUND($K7,0),0)</f>
        <v>0</v>
      </c>
      <c r="Q7" s="512">
        <f>IF($K7&gt;=100,ROUND($K7,-1),0)</f>
        <v>560</v>
      </c>
      <c r="R7" s="513"/>
      <c r="X7" s="154"/>
    </row>
    <row r="8" spans="2:24" ht="18" customHeight="1">
      <c r="B8" s="1262"/>
      <c r="C8" s="1216"/>
      <c r="D8" s="959"/>
      <c r="E8" s="1308" t="s">
        <v>197</v>
      </c>
      <c r="F8" s="1127"/>
      <c r="G8" s="1127"/>
      <c r="H8" s="1128"/>
      <c r="I8" s="22"/>
      <c r="J8" s="22"/>
      <c r="K8" s="193">
        <f t="shared" si="0"/>
        <v>0</v>
      </c>
      <c r="L8" s="576">
        <f>SUM(O8:R8)</f>
        <v>0</v>
      </c>
      <c r="O8" s="127">
        <f>IF($K8&lt;1,ROUND($K8,1),0)</f>
        <v>0</v>
      </c>
      <c r="P8" s="514">
        <f>IF(AND($K8&gt;=1,$K8&lt;100),ROUND($K8,0),0)</f>
        <v>0</v>
      </c>
      <c r="Q8" s="514">
        <f>IF($K8&gt;=100,ROUND($K8,-1),0)</f>
        <v>0</v>
      </c>
      <c r="R8" s="515"/>
      <c r="X8" s="154"/>
    </row>
    <row r="9" spans="2:24" ht="18" customHeight="1">
      <c r="B9" s="1262"/>
      <c r="C9" s="1216"/>
      <c r="D9" s="1267" t="s">
        <v>236</v>
      </c>
      <c r="E9" s="1308" t="s">
        <v>196</v>
      </c>
      <c r="F9" s="1127"/>
      <c r="G9" s="1127"/>
      <c r="H9" s="1128"/>
      <c r="I9" s="22"/>
      <c r="J9" s="22"/>
      <c r="K9" s="193">
        <f t="shared" si="0"/>
        <v>0</v>
      </c>
      <c r="L9" s="576">
        <f>SUM(O9:R9)</f>
        <v>0</v>
      </c>
      <c r="O9" s="127">
        <f>IF($K9&lt;1,ROUND($K9,1),0)</f>
        <v>0</v>
      </c>
      <c r="P9" s="514">
        <f>IF(AND($K9&gt;=1,$K9&lt;100),ROUND($K9,0),0)</f>
        <v>0</v>
      </c>
      <c r="Q9" s="514">
        <f>IF($K9&gt;=100,ROUND($K9,-1),0)</f>
        <v>0</v>
      </c>
      <c r="R9" s="515"/>
      <c r="X9" s="154"/>
    </row>
    <row r="10" spans="2:24" ht="18" customHeight="1" thickBot="1">
      <c r="B10" s="1263"/>
      <c r="C10" s="1264"/>
      <c r="D10" s="1268"/>
      <c r="E10" s="1309" t="s">
        <v>197</v>
      </c>
      <c r="F10" s="1129"/>
      <c r="G10" s="1129"/>
      <c r="H10" s="1130"/>
      <c r="I10" s="38"/>
      <c r="J10" s="38"/>
      <c r="K10" s="196">
        <f t="shared" si="0"/>
        <v>0</v>
      </c>
      <c r="L10" s="577">
        <f>SUM(O10:R10)</f>
        <v>0</v>
      </c>
      <c r="O10" s="128">
        <f>IF($K10&lt;1,ROUND($K10,1),0)</f>
        <v>0</v>
      </c>
      <c r="P10" s="516">
        <f>IF(AND($K10&gt;=1,$K10&lt;100),ROUND($K10,0),0)</f>
        <v>0</v>
      </c>
      <c r="Q10" s="516">
        <f>IF($K10&gt;=100,ROUND($K10,-1),0)</f>
        <v>0</v>
      </c>
      <c r="R10" s="517"/>
      <c r="X10" s="154"/>
    </row>
    <row r="11" spans="2:24" ht="18" customHeight="1">
      <c r="B11" s="900" t="s">
        <v>245</v>
      </c>
      <c r="C11" s="1231" t="s">
        <v>116</v>
      </c>
      <c r="D11" s="1272" t="s">
        <v>243</v>
      </c>
      <c r="E11" s="1240" t="s">
        <v>238</v>
      </c>
      <c r="F11" s="1241"/>
      <c r="G11" s="436"/>
      <c r="H11" s="435">
        <v>4</v>
      </c>
      <c r="I11" s="364"/>
      <c r="J11" s="364"/>
      <c r="K11" s="191">
        <f t="shared" si="0"/>
        <v>0</v>
      </c>
      <c r="L11" s="578">
        <f>SUM(O11:R11)</f>
        <v>0</v>
      </c>
      <c r="O11" s="518">
        <f>IF($K11&lt;1,ROUND($K11,1),0)</f>
        <v>0</v>
      </c>
      <c r="P11" s="519">
        <f>IF(AND($K11&gt;=1,$K11&lt;1000),ROUND($K11,0),0)</f>
        <v>0</v>
      </c>
      <c r="Q11" s="519">
        <f>IF($K11&gt;=1000,ROUND($K11,-1),0)</f>
        <v>0</v>
      </c>
      <c r="R11" s="520"/>
      <c r="X11" s="154"/>
    </row>
    <row r="12" spans="2:24" ht="18" customHeight="1">
      <c r="B12" s="901"/>
      <c r="C12" s="1216"/>
      <c r="D12" s="1273"/>
      <c r="E12" s="869" t="s">
        <v>212</v>
      </c>
      <c r="F12" s="870"/>
      <c r="G12" s="431"/>
      <c r="H12" s="433">
        <v>5</v>
      </c>
      <c r="I12" s="317"/>
      <c r="J12" s="317"/>
      <c r="K12" s="193">
        <f t="shared" si="0"/>
        <v>0</v>
      </c>
      <c r="L12" s="444">
        <f t="shared" ref="L12:L17" si="1">SUM(P12:R12)</f>
        <v>0</v>
      </c>
      <c r="O12" s="197"/>
      <c r="P12" s="521"/>
      <c r="Q12" s="521"/>
      <c r="R12" s="522"/>
      <c r="X12" s="154"/>
    </row>
    <row r="13" spans="2:24" ht="18" customHeight="1">
      <c r="B13" s="901"/>
      <c r="C13" s="1216"/>
      <c r="D13" s="1273"/>
      <c r="E13" s="869"/>
      <c r="F13" s="870"/>
      <c r="G13" s="432"/>
      <c r="H13" s="437">
        <v>10</v>
      </c>
      <c r="I13" s="317"/>
      <c r="J13" s="317"/>
      <c r="K13" s="193">
        <f t="shared" si="0"/>
        <v>0</v>
      </c>
      <c r="L13" s="445">
        <f t="shared" si="1"/>
        <v>0</v>
      </c>
      <c r="O13" s="127"/>
      <c r="P13" s="514"/>
      <c r="Q13" s="514"/>
      <c r="R13" s="515"/>
      <c r="X13" s="154"/>
    </row>
    <row r="14" spans="2:24" ht="18" customHeight="1">
      <c r="B14" s="901"/>
      <c r="C14" s="1216"/>
      <c r="D14" s="1273"/>
      <c r="E14" s="869"/>
      <c r="F14" s="870"/>
      <c r="G14" s="441"/>
      <c r="H14" s="438"/>
      <c r="I14" s="317"/>
      <c r="J14" s="317"/>
      <c r="K14" s="193">
        <f t="shared" si="0"/>
        <v>0</v>
      </c>
      <c r="L14" s="445">
        <f t="shared" si="1"/>
        <v>0</v>
      </c>
      <c r="O14" s="127"/>
      <c r="P14" s="514"/>
      <c r="Q14" s="514"/>
      <c r="R14" s="515"/>
      <c r="X14" s="154"/>
    </row>
    <row r="15" spans="2:24" ht="18" customHeight="1">
      <c r="B15" s="901"/>
      <c r="C15" s="1216"/>
      <c r="D15" s="1273"/>
      <c r="E15" s="1004"/>
      <c r="F15" s="1005"/>
      <c r="G15" s="239"/>
      <c r="H15" s="379" t="s">
        <v>114</v>
      </c>
      <c r="I15" s="360"/>
      <c r="J15" s="361"/>
      <c r="K15" s="277">
        <f>SUM(K12:K14)</f>
        <v>0</v>
      </c>
      <c r="L15" s="579">
        <f>SUM(O15:R15)</f>
        <v>0</v>
      </c>
      <c r="O15" s="296">
        <f>IF($K15&lt;1,ROUND($K15,1),0)</f>
        <v>0</v>
      </c>
      <c r="P15" s="523">
        <f t="shared" ref="P15:P23" si="2">IF(AND($K15&gt;=1,$K15&lt;1000),ROUND($K15,0),0)</f>
        <v>0</v>
      </c>
      <c r="Q15" s="523">
        <f t="shared" ref="Q15:Q23" si="3">IF($K15&gt;=1000,ROUND($K15,-1),0)</f>
        <v>0</v>
      </c>
      <c r="R15" s="524"/>
      <c r="X15" s="154"/>
    </row>
    <row r="16" spans="2:24" ht="18" customHeight="1">
      <c r="B16" s="901"/>
      <c r="C16" s="1216"/>
      <c r="D16" s="1273"/>
      <c r="E16" s="869" t="s">
        <v>203</v>
      </c>
      <c r="F16" s="870"/>
      <c r="G16" s="439"/>
      <c r="H16" s="377">
        <v>15</v>
      </c>
      <c r="I16" s="320"/>
      <c r="J16" s="320"/>
      <c r="K16" s="276">
        <f>SUM(I16:J16)</f>
        <v>0</v>
      </c>
      <c r="L16" s="444">
        <f t="shared" si="1"/>
        <v>0</v>
      </c>
      <c r="O16" s="197"/>
      <c r="P16" s="521"/>
      <c r="Q16" s="521"/>
      <c r="R16" s="522"/>
      <c r="X16" s="154"/>
    </row>
    <row r="17" spans="2:24" ht="18" customHeight="1">
      <c r="B17" s="901"/>
      <c r="C17" s="1216"/>
      <c r="D17" s="1273"/>
      <c r="E17" s="869"/>
      <c r="F17" s="870"/>
      <c r="G17" s="440"/>
      <c r="H17" s="376">
        <v>14</v>
      </c>
      <c r="I17" s="317"/>
      <c r="J17" s="317"/>
      <c r="K17" s="193">
        <f>SUM(I17:J17)</f>
        <v>0</v>
      </c>
      <c r="L17" s="445">
        <f t="shared" si="1"/>
        <v>0</v>
      </c>
      <c r="O17" s="127"/>
      <c r="P17" s="514"/>
      <c r="Q17" s="514"/>
      <c r="R17" s="515"/>
      <c r="X17" s="154"/>
    </row>
    <row r="18" spans="2:24" ht="18" customHeight="1">
      <c r="B18" s="901"/>
      <c r="C18" s="1216"/>
      <c r="D18" s="1273"/>
      <c r="E18" s="1004"/>
      <c r="F18" s="1005"/>
      <c r="G18" s="239"/>
      <c r="H18" s="379" t="s">
        <v>114</v>
      </c>
      <c r="I18" s="362"/>
      <c r="J18" s="361"/>
      <c r="K18" s="277">
        <f>SUM(K16:K17)</f>
        <v>0</v>
      </c>
      <c r="L18" s="579">
        <f t="shared" ref="L18:L23" si="4">SUM(O18:R18)</f>
        <v>0</v>
      </c>
      <c r="O18" s="296">
        <f t="shared" ref="O18:O23" si="5">IF($K18&lt;1,ROUND($K18,1),0)</f>
        <v>0</v>
      </c>
      <c r="P18" s="523">
        <f t="shared" si="2"/>
        <v>0</v>
      </c>
      <c r="Q18" s="523">
        <f t="shared" si="3"/>
        <v>0</v>
      </c>
      <c r="R18" s="524"/>
      <c r="X18" s="154"/>
    </row>
    <row r="19" spans="2:24" ht="18" customHeight="1">
      <c r="B19" s="901"/>
      <c r="C19" s="1216"/>
      <c r="D19" s="1273"/>
      <c r="E19" s="1002" t="s">
        <v>204</v>
      </c>
      <c r="F19" s="1003"/>
      <c r="G19" s="447"/>
      <c r="H19" s="452">
        <v>20</v>
      </c>
      <c r="I19" s="442"/>
      <c r="J19" s="442"/>
      <c r="K19" s="443">
        <f t="shared" ref="K19:K28" si="6">SUM(I19:J19)</f>
        <v>0</v>
      </c>
      <c r="L19" s="580">
        <f t="shared" si="4"/>
        <v>0</v>
      </c>
      <c r="O19" s="525">
        <f t="shared" si="5"/>
        <v>0</v>
      </c>
      <c r="P19" s="526">
        <f t="shared" si="2"/>
        <v>0</v>
      </c>
      <c r="Q19" s="526">
        <f t="shared" si="3"/>
        <v>0</v>
      </c>
      <c r="R19" s="527"/>
      <c r="X19" s="154"/>
    </row>
    <row r="20" spans="2:24" ht="18" customHeight="1">
      <c r="B20" s="901"/>
      <c r="C20" s="1216"/>
      <c r="D20" s="958" t="s">
        <v>119</v>
      </c>
      <c r="E20" s="904" t="s">
        <v>238</v>
      </c>
      <c r="F20" s="1230"/>
      <c r="G20" s="240"/>
      <c r="H20" s="448">
        <v>4</v>
      </c>
      <c r="I20" s="316"/>
      <c r="J20" s="316"/>
      <c r="K20" s="294">
        <f t="shared" si="6"/>
        <v>0</v>
      </c>
      <c r="L20" s="581">
        <f t="shared" si="4"/>
        <v>0</v>
      </c>
      <c r="O20" s="197">
        <f t="shared" si="5"/>
        <v>0</v>
      </c>
      <c r="P20" s="521">
        <f t="shared" si="2"/>
        <v>0</v>
      </c>
      <c r="Q20" s="521">
        <f t="shared" si="3"/>
        <v>0</v>
      </c>
      <c r="R20" s="522"/>
      <c r="X20" s="154"/>
    </row>
    <row r="21" spans="2:24" ht="18" customHeight="1">
      <c r="B21" s="901"/>
      <c r="C21" s="1216"/>
      <c r="D21" s="1232"/>
      <c r="E21" s="856" t="s">
        <v>212</v>
      </c>
      <c r="F21" s="1236"/>
      <c r="G21" s="44"/>
      <c r="H21" s="449">
        <v>8</v>
      </c>
      <c r="I21" s="317"/>
      <c r="J21" s="317"/>
      <c r="K21" s="193">
        <f t="shared" si="6"/>
        <v>0</v>
      </c>
      <c r="L21" s="576">
        <f t="shared" si="4"/>
        <v>0</v>
      </c>
      <c r="O21" s="127">
        <f t="shared" si="5"/>
        <v>0</v>
      </c>
      <c r="P21" s="514">
        <f t="shared" si="2"/>
        <v>0</v>
      </c>
      <c r="Q21" s="514">
        <f t="shared" si="3"/>
        <v>0</v>
      </c>
      <c r="R21" s="515"/>
      <c r="X21" s="154"/>
    </row>
    <row r="22" spans="2:24" ht="18" customHeight="1">
      <c r="B22" s="901"/>
      <c r="C22" s="1216"/>
      <c r="D22" s="1232"/>
      <c r="E22" s="856" t="s">
        <v>203</v>
      </c>
      <c r="F22" s="1236"/>
      <c r="G22" s="44"/>
      <c r="H22" s="449">
        <v>14</v>
      </c>
      <c r="I22" s="317"/>
      <c r="J22" s="317"/>
      <c r="K22" s="193">
        <f t="shared" si="6"/>
        <v>0</v>
      </c>
      <c r="L22" s="576">
        <f t="shared" si="4"/>
        <v>0</v>
      </c>
      <c r="O22" s="127">
        <f t="shared" si="5"/>
        <v>0</v>
      </c>
      <c r="P22" s="514">
        <f t="shared" si="2"/>
        <v>0</v>
      </c>
      <c r="Q22" s="514">
        <f t="shared" si="3"/>
        <v>0</v>
      </c>
      <c r="R22" s="515"/>
      <c r="X22" s="154"/>
    </row>
    <row r="23" spans="2:24" ht="18" customHeight="1">
      <c r="B23" s="901"/>
      <c r="C23" s="1217"/>
      <c r="D23" s="960"/>
      <c r="E23" s="1219" t="s">
        <v>204</v>
      </c>
      <c r="F23" s="1239"/>
      <c r="G23" s="239"/>
      <c r="H23" s="450">
        <v>20</v>
      </c>
      <c r="I23" s="343"/>
      <c r="J23" s="343"/>
      <c r="K23" s="277">
        <f t="shared" si="6"/>
        <v>0</v>
      </c>
      <c r="L23" s="579">
        <f t="shared" si="4"/>
        <v>0</v>
      </c>
      <c r="O23" s="296">
        <f t="shared" si="5"/>
        <v>0</v>
      </c>
      <c r="P23" s="523">
        <f t="shared" si="2"/>
        <v>0</v>
      </c>
      <c r="Q23" s="523">
        <f t="shared" si="3"/>
        <v>0</v>
      </c>
      <c r="R23" s="524"/>
      <c r="X23" s="154"/>
    </row>
    <row r="24" spans="2:24" ht="18" customHeight="1">
      <c r="B24" s="901"/>
      <c r="C24" s="1303" t="s">
        <v>118</v>
      </c>
      <c r="D24" s="1271" t="s">
        <v>243</v>
      </c>
      <c r="E24" s="1312" t="s">
        <v>203</v>
      </c>
      <c r="F24" s="1313"/>
      <c r="G24" s="431"/>
      <c r="H24" s="433">
        <v>4</v>
      </c>
      <c r="I24" s="200">
        <v>184.7</v>
      </c>
      <c r="J24" s="200"/>
      <c r="K24" s="294">
        <f t="shared" si="6"/>
        <v>184.7</v>
      </c>
      <c r="L24" s="444">
        <f t="shared" ref="L24:L30" si="7">SUM(P24:R24)</f>
        <v>0</v>
      </c>
      <c r="O24" s="197"/>
      <c r="P24" s="521"/>
      <c r="Q24" s="521"/>
      <c r="R24" s="522"/>
      <c r="X24" s="154"/>
    </row>
    <row r="25" spans="2:24" ht="18" customHeight="1">
      <c r="B25" s="901"/>
      <c r="C25" s="1304"/>
      <c r="D25" s="982"/>
      <c r="E25" s="1314"/>
      <c r="F25" s="1315"/>
      <c r="G25" s="432"/>
      <c r="H25" s="437">
        <v>5</v>
      </c>
      <c r="I25" s="52">
        <v>1515.66</v>
      </c>
      <c r="J25" s="52"/>
      <c r="K25" s="193">
        <f t="shared" si="6"/>
        <v>1515.66</v>
      </c>
      <c r="L25" s="445">
        <f t="shared" si="7"/>
        <v>0</v>
      </c>
      <c r="O25" s="127"/>
      <c r="P25" s="514"/>
      <c r="Q25" s="514"/>
      <c r="R25" s="515"/>
      <c r="X25" s="154"/>
    </row>
    <row r="26" spans="2:24" ht="18" customHeight="1">
      <c r="B26" s="901"/>
      <c r="C26" s="1304"/>
      <c r="D26" s="982"/>
      <c r="E26" s="1314"/>
      <c r="F26" s="1315"/>
      <c r="G26" s="432"/>
      <c r="H26" s="437">
        <v>10</v>
      </c>
      <c r="I26" s="52">
        <v>2735.46</v>
      </c>
      <c r="J26" s="52"/>
      <c r="K26" s="193">
        <f t="shared" si="6"/>
        <v>2735.46</v>
      </c>
      <c r="L26" s="445">
        <f t="shared" si="7"/>
        <v>0</v>
      </c>
      <c r="O26" s="127"/>
      <c r="P26" s="514"/>
      <c r="Q26" s="514"/>
      <c r="R26" s="515"/>
      <c r="X26" s="154"/>
    </row>
    <row r="27" spans="2:24" ht="18" customHeight="1">
      <c r="B27" s="901"/>
      <c r="C27" s="1304"/>
      <c r="D27" s="982"/>
      <c r="E27" s="1314"/>
      <c r="F27" s="1315"/>
      <c r="G27" s="441"/>
      <c r="H27" s="674">
        <v>14</v>
      </c>
      <c r="I27" s="52"/>
      <c r="J27" s="52"/>
      <c r="K27" s="193">
        <f t="shared" si="6"/>
        <v>0</v>
      </c>
      <c r="L27" s="445">
        <f t="shared" si="7"/>
        <v>0</v>
      </c>
      <c r="O27" s="127"/>
      <c r="P27" s="514"/>
      <c r="Q27" s="514"/>
      <c r="R27" s="515"/>
      <c r="X27" s="154"/>
    </row>
    <row r="28" spans="2:24" ht="18" customHeight="1">
      <c r="B28" s="901"/>
      <c r="C28" s="1304"/>
      <c r="D28" s="982"/>
      <c r="E28" s="1314"/>
      <c r="F28" s="1315"/>
      <c r="G28" s="672"/>
      <c r="H28" s="378">
        <v>15</v>
      </c>
      <c r="I28" s="324">
        <v>40.380000000000003</v>
      </c>
      <c r="J28" s="324"/>
      <c r="K28" s="193">
        <f t="shared" si="6"/>
        <v>40.380000000000003</v>
      </c>
      <c r="L28" s="673"/>
      <c r="O28" s="296"/>
      <c r="P28" s="523"/>
      <c r="Q28" s="523"/>
      <c r="R28" s="524"/>
      <c r="X28" s="154"/>
    </row>
    <row r="29" spans="2:24" ht="18" customHeight="1">
      <c r="B29" s="901"/>
      <c r="C29" s="1304"/>
      <c r="D29" s="982"/>
      <c r="E29" s="1314"/>
      <c r="F29" s="1315"/>
      <c r="G29" s="432"/>
      <c r="H29" s="378"/>
      <c r="I29" s="324"/>
      <c r="J29" s="324"/>
      <c r="K29" s="276">
        <f>SUM(I29:J29)</f>
        <v>0</v>
      </c>
      <c r="L29" s="444">
        <f t="shared" si="7"/>
        <v>0</v>
      </c>
      <c r="O29" s="197"/>
      <c r="P29" s="521"/>
      <c r="Q29" s="521"/>
      <c r="R29" s="522"/>
      <c r="X29" s="154"/>
    </row>
    <row r="30" spans="2:24" ht="18" customHeight="1">
      <c r="B30" s="901"/>
      <c r="C30" s="1304"/>
      <c r="D30" s="982"/>
      <c r="E30" s="1314"/>
      <c r="F30" s="1315"/>
      <c r="G30" s="440"/>
      <c r="H30" s="674"/>
      <c r="I30" s="319"/>
      <c r="J30" s="319"/>
      <c r="K30" s="193">
        <f>SUM(I30:J30)</f>
        <v>0</v>
      </c>
      <c r="L30" s="445">
        <f t="shared" si="7"/>
        <v>0</v>
      </c>
      <c r="O30" s="127"/>
      <c r="P30" s="514"/>
      <c r="Q30" s="514"/>
      <c r="R30" s="515"/>
      <c r="X30" s="154"/>
    </row>
    <row r="31" spans="2:24" ht="18" customHeight="1">
      <c r="B31" s="901"/>
      <c r="C31" s="1304"/>
      <c r="D31" s="982"/>
      <c r="E31" s="1316"/>
      <c r="F31" s="1317"/>
      <c r="G31" s="239"/>
      <c r="H31" s="379" t="s">
        <v>114</v>
      </c>
      <c r="I31" s="362"/>
      <c r="J31" s="361"/>
      <c r="K31" s="277">
        <f>SUM(K24:K30)</f>
        <v>4476.2</v>
      </c>
      <c r="L31" s="640">
        <f>SUM(O31:R31)</f>
        <v>4480</v>
      </c>
      <c r="O31" s="296">
        <f t="shared" ref="O31:O58" si="8">IF($K31&lt;1,ROUND($K31,1),0)</f>
        <v>0</v>
      </c>
      <c r="P31" s="523">
        <f t="shared" ref="P31:P37" si="9">IF(AND($K31&gt;=1,$K31&lt;1000),ROUND($K31,0),0)</f>
        <v>0</v>
      </c>
      <c r="Q31" s="523">
        <f t="shared" ref="Q31:Q37" si="10">IF($K31&gt;=1000,ROUND($K31,-1),0)</f>
        <v>4480</v>
      </c>
      <c r="R31" s="524"/>
      <c r="X31" s="154"/>
    </row>
    <row r="32" spans="2:24" ht="18" customHeight="1">
      <c r="B32" s="901"/>
      <c r="C32" s="1304"/>
      <c r="D32" s="1224"/>
      <c r="E32" s="984" t="s">
        <v>204</v>
      </c>
      <c r="F32" s="985"/>
      <c r="G32" s="446"/>
      <c r="H32" s="451">
        <v>20</v>
      </c>
      <c r="I32" s="454"/>
      <c r="J32" s="454"/>
      <c r="K32" s="355">
        <f>SUM(I32:J32)</f>
        <v>0</v>
      </c>
      <c r="L32" s="639">
        <f t="shared" ref="L32:L66" si="11">SUM(O32:R32)</f>
        <v>0</v>
      </c>
      <c r="O32" s="525">
        <f t="shared" si="8"/>
        <v>0</v>
      </c>
      <c r="P32" s="526">
        <f t="shared" si="9"/>
        <v>0</v>
      </c>
      <c r="Q32" s="526">
        <f t="shared" si="10"/>
        <v>0</v>
      </c>
      <c r="R32" s="527"/>
      <c r="X32" s="154"/>
    </row>
    <row r="33" spans="2:24" ht="18" customHeight="1">
      <c r="B33" s="901"/>
      <c r="C33" s="1304"/>
      <c r="D33" s="958" t="s">
        <v>119</v>
      </c>
      <c r="E33" s="904" t="s">
        <v>212</v>
      </c>
      <c r="F33" s="1230"/>
      <c r="G33" s="240"/>
      <c r="H33" s="448">
        <v>8</v>
      </c>
      <c r="I33" s="318"/>
      <c r="J33" s="318"/>
      <c r="K33" s="294">
        <f>SUM(I33:J33)</f>
        <v>0</v>
      </c>
      <c r="L33" s="581">
        <f t="shared" si="11"/>
        <v>0</v>
      </c>
      <c r="O33" s="197">
        <f t="shared" si="8"/>
        <v>0</v>
      </c>
      <c r="P33" s="521">
        <f t="shared" si="9"/>
        <v>0</v>
      </c>
      <c r="Q33" s="521">
        <f t="shared" si="10"/>
        <v>0</v>
      </c>
      <c r="R33" s="522"/>
      <c r="X33" s="154"/>
    </row>
    <row r="34" spans="2:24" ht="18" customHeight="1">
      <c r="B34" s="901"/>
      <c r="C34" s="1304"/>
      <c r="D34" s="1232"/>
      <c r="E34" s="856" t="s">
        <v>203</v>
      </c>
      <c r="F34" s="1236"/>
      <c r="G34" s="44"/>
      <c r="H34" s="449">
        <v>14</v>
      </c>
      <c r="I34" s="319">
        <v>8.1</v>
      </c>
      <c r="J34" s="319"/>
      <c r="K34" s="193">
        <f>SUM(I34:J34)</f>
        <v>8.1</v>
      </c>
      <c r="L34" s="576">
        <f t="shared" si="11"/>
        <v>8</v>
      </c>
      <c r="O34" s="127">
        <f t="shared" si="8"/>
        <v>0</v>
      </c>
      <c r="P34" s="514">
        <f t="shared" si="9"/>
        <v>8</v>
      </c>
      <c r="Q34" s="514">
        <f t="shared" si="10"/>
        <v>0</v>
      </c>
      <c r="R34" s="515"/>
      <c r="X34" s="154"/>
    </row>
    <row r="35" spans="2:24" ht="18" customHeight="1" thickBot="1">
      <c r="B35" s="902"/>
      <c r="C35" s="1305"/>
      <c r="D35" s="1233"/>
      <c r="E35" s="1306" t="s">
        <v>204</v>
      </c>
      <c r="F35" s="1307"/>
      <c r="G35" s="45"/>
      <c r="H35" s="453">
        <v>20</v>
      </c>
      <c r="I35" s="455"/>
      <c r="J35" s="455"/>
      <c r="K35" s="196">
        <f>SUM(I35:J35)</f>
        <v>0</v>
      </c>
      <c r="L35" s="577">
        <f t="shared" si="11"/>
        <v>0</v>
      </c>
      <c r="O35" s="128">
        <f t="shared" si="8"/>
        <v>0</v>
      </c>
      <c r="P35" s="516">
        <f t="shared" si="9"/>
        <v>0</v>
      </c>
      <c r="Q35" s="516">
        <f t="shared" si="10"/>
        <v>0</v>
      </c>
      <c r="R35" s="517"/>
      <c r="X35" s="154"/>
    </row>
    <row r="36" spans="2:24" ht="18" customHeight="1">
      <c r="B36" s="1242" t="s">
        <v>190</v>
      </c>
      <c r="C36" s="1243"/>
      <c r="D36" s="1234" t="s">
        <v>190</v>
      </c>
      <c r="E36" s="1235"/>
      <c r="F36" s="1235"/>
      <c r="G36" s="1301">
        <v>5</v>
      </c>
      <c r="H36" s="1302"/>
      <c r="I36" s="51"/>
      <c r="J36" s="51"/>
      <c r="K36" s="191">
        <f t="shared" ref="K36:K43" si="12">SUM(I36:J36)</f>
        <v>0</v>
      </c>
      <c r="L36" s="575">
        <f t="shared" si="11"/>
        <v>0</v>
      </c>
      <c r="O36" s="126">
        <f t="shared" si="8"/>
        <v>0</v>
      </c>
      <c r="P36" s="512">
        <f t="shared" si="9"/>
        <v>0</v>
      </c>
      <c r="Q36" s="512">
        <f t="shared" si="10"/>
        <v>0</v>
      </c>
      <c r="R36" s="513"/>
      <c r="X36" s="154"/>
    </row>
    <row r="37" spans="2:24" ht="18" customHeight="1" thickBot="1">
      <c r="B37" s="1244"/>
      <c r="C37" s="1076"/>
      <c r="D37" s="1135" t="s">
        <v>191</v>
      </c>
      <c r="E37" s="1136"/>
      <c r="F37" s="1136"/>
      <c r="G37" s="1237">
        <v>5</v>
      </c>
      <c r="H37" s="1238"/>
      <c r="I37" s="241"/>
      <c r="J37" s="241"/>
      <c r="K37" s="196">
        <f t="shared" si="12"/>
        <v>0</v>
      </c>
      <c r="L37" s="577">
        <f t="shared" si="11"/>
        <v>0</v>
      </c>
      <c r="O37" s="128">
        <f t="shared" si="8"/>
        <v>0</v>
      </c>
      <c r="P37" s="516">
        <f t="shared" si="9"/>
        <v>0</v>
      </c>
      <c r="Q37" s="516">
        <f t="shared" si="10"/>
        <v>0</v>
      </c>
      <c r="R37" s="517"/>
    </row>
    <row r="38" spans="2:24" ht="18" customHeight="1">
      <c r="B38" s="975" t="s">
        <v>183</v>
      </c>
      <c r="C38" s="895"/>
      <c r="D38" s="1108" t="s">
        <v>109</v>
      </c>
      <c r="E38" s="1108"/>
      <c r="F38" s="1108"/>
      <c r="G38" s="1108"/>
      <c r="H38" s="1108"/>
      <c r="I38" s="51"/>
      <c r="J38" s="51">
        <v>2.4900000000000002</v>
      </c>
      <c r="K38" s="191">
        <f t="shared" si="12"/>
        <v>2.4900000000000002</v>
      </c>
      <c r="L38" s="575">
        <f t="shared" si="11"/>
        <v>2</v>
      </c>
      <c r="O38" s="126">
        <f t="shared" si="8"/>
        <v>0</v>
      </c>
      <c r="P38" s="512">
        <f>IF($K38&gt;=1,ROUND($K38,0),0)</f>
        <v>2</v>
      </c>
      <c r="Q38" s="512"/>
      <c r="R38" s="530"/>
    </row>
    <row r="39" spans="2:24" ht="18" customHeight="1" thickBot="1">
      <c r="B39" s="1034"/>
      <c r="C39" s="992"/>
      <c r="D39" s="1318" t="s">
        <v>110</v>
      </c>
      <c r="E39" s="1318"/>
      <c r="F39" s="1318"/>
      <c r="G39" s="1318"/>
      <c r="H39" s="1318"/>
      <c r="I39" s="241"/>
      <c r="J39" s="241"/>
      <c r="K39" s="196">
        <f t="shared" si="12"/>
        <v>0</v>
      </c>
      <c r="L39" s="577">
        <f t="shared" si="11"/>
        <v>0</v>
      </c>
      <c r="O39" s="128">
        <f t="shared" si="8"/>
        <v>0</v>
      </c>
      <c r="P39" s="516">
        <f>IF($K39&gt;=1,ROUND($K39,0),0)</f>
        <v>0</v>
      </c>
      <c r="Q39" s="516"/>
      <c r="R39" s="532"/>
    </row>
    <row r="40" spans="2:24" ht="18" customHeight="1">
      <c r="B40" s="900" t="s">
        <v>349</v>
      </c>
      <c r="C40" s="1231" t="s">
        <v>350</v>
      </c>
      <c r="D40" s="1221" t="s">
        <v>351</v>
      </c>
      <c r="E40" s="856" t="s">
        <v>203</v>
      </c>
      <c r="F40" s="1218"/>
      <c r="G40" s="100">
        <f t="shared" ref="G40:G51" si="13">V40</f>
        <v>4.2</v>
      </c>
      <c r="H40" s="777"/>
      <c r="I40" s="482"/>
      <c r="J40" s="482"/>
      <c r="K40" s="193">
        <f t="shared" si="12"/>
        <v>0</v>
      </c>
      <c r="L40" s="576">
        <f t="shared" si="11"/>
        <v>0</v>
      </c>
      <c r="O40" s="127">
        <f t="shared" si="8"/>
        <v>0</v>
      </c>
      <c r="P40" s="514">
        <f t="shared" ref="P40:P58" si="14">IF($K40&gt;=1,ROUND($K40,0),0)</f>
        <v>0</v>
      </c>
      <c r="Q40" s="514"/>
      <c r="R40" s="531"/>
      <c r="T40" s="841" t="s">
        <v>352</v>
      </c>
      <c r="U40" s="338" t="s">
        <v>203</v>
      </c>
      <c r="V40" s="493">
        <v>4.2</v>
      </c>
      <c r="W40" s="17" t="s">
        <v>87</v>
      </c>
    </row>
    <row r="41" spans="2:24" ht="18" customHeight="1">
      <c r="B41" s="901"/>
      <c r="C41" s="1216"/>
      <c r="D41" s="1222"/>
      <c r="E41" s="856" t="s">
        <v>204</v>
      </c>
      <c r="F41" s="1218"/>
      <c r="G41" s="100">
        <f t="shared" si="13"/>
        <v>4.2</v>
      </c>
      <c r="H41" s="777"/>
      <c r="I41" s="482"/>
      <c r="J41" s="482"/>
      <c r="K41" s="193">
        <f t="shared" si="12"/>
        <v>0</v>
      </c>
      <c r="L41" s="576">
        <f t="shared" si="11"/>
        <v>0</v>
      </c>
      <c r="O41" s="127">
        <f t="shared" si="8"/>
        <v>0</v>
      </c>
      <c r="P41" s="514">
        <f t="shared" si="14"/>
        <v>0</v>
      </c>
      <c r="Q41" s="514"/>
      <c r="R41" s="531"/>
      <c r="T41" s="840"/>
      <c r="U41" s="338" t="s">
        <v>204</v>
      </c>
      <c r="V41" s="493">
        <v>4.2</v>
      </c>
      <c r="W41" s="17" t="s">
        <v>87</v>
      </c>
    </row>
    <row r="42" spans="2:24" ht="18" customHeight="1">
      <c r="B42" s="901"/>
      <c r="C42" s="1216"/>
      <c r="D42" s="1223" t="s">
        <v>353</v>
      </c>
      <c r="E42" s="676" t="s">
        <v>358</v>
      </c>
      <c r="F42" s="677"/>
      <c r="G42" s="299">
        <v>4.2</v>
      </c>
      <c r="H42" s="778"/>
      <c r="I42" s="678"/>
      <c r="J42" s="678"/>
      <c r="K42" s="193">
        <f t="shared" si="12"/>
        <v>0</v>
      </c>
      <c r="L42" s="576">
        <f t="shared" si="11"/>
        <v>0</v>
      </c>
      <c r="O42" s="127">
        <f>IF($K42&lt;1,ROUND($K42,1),0)</f>
        <v>0</v>
      </c>
      <c r="P42" s="514">
        <f t="shared" si="14"/>
        <v>0</v>
      </c>
      <c r="Q42" s="514"/>
      <c r="R42" s="531"/>
      <c r="T42" s="841" t="s">
        <v>348</v>
      </c>
      <c r="U42" s="339" t="s">
        <v>358</v>
      </c>
      <c r="V42" s="493">
        <v>4.2</v>
      </c>
      <c r="W42" s="17" t="s">
        <v>360</v>
      </c>
    </row>
    <row r="43" spans="2:24" ht="18" customHeight="1" thickBot="1">
      <c r="B43" s="901"/>
      <c r="C43" s="1217"/>
      <c r="D43" s="1224"/>
      <c r="E43" s="1219" t="s">
        <v>361</v>
      </c>
      <c r="F43" s="1220"/>
      <c r="G43" s="257">
        <f t="shared" si="13"/>
        <v>4.2</v>
      </c>
      <c r="H43" s="826"/>
      <c r="I43" s="485"/>
      <c r="J43" s="485"/>
      <c r="K43" s="277">
        <f t="shared" si="12"/>
        <v>0</v>
      </c>
      <c r="L43" s="579">
        <f t="shared" si="11"/>
        <v>0</v>
      </c>
      <c r="O43" s="296">
        <f>IF($K43&lt;1,ROUND($K43,1),0)</f>
        <v>0</v>
      </c>
      <c r="P43" s="523">
        <f t="shared" si="14"/>
        <v>0</v>
      </c>
      <c r="Q43" s="523"/>
      <c r="R43" s="546"/>
      <c r="T43" s="842"/>
      <c r="U43" s="347" t="s">
        <v>359</v>
      </c>
      <c r="V43" s="493">
        <v>4.2</v>
      </c>
      <c r="W43" s="17" t="s">
        <v>87</v>
      </c>
    </row>
    <row r="44" spans="2:24" ht="18" customHeight="1">
      <c r="B44" s="901"/>
      <c r="C44" s="1215" t="s">
        <v>354</v>
      </c>
      <c r="D44" s="1209" t="s">
        <v>345</v>
      </c>
      <c r="E44" s="856" t="s">
        <v>203</v>
      </c>
      <c r="F44" s="1218"/>
      <c r="G44" s="100">
        <f t="shared" si="13"/>
        <v>0</v>
      </c>
      <c r="H44" s="777"/>
      <c r="I44" s="52">
        <v>353.91</v>
      </c>
      <c r="J44" s="52"/>
      <c r="K44" s="193">
        <f t="shared" ref="K44:K54" si="15">SUM(I44:J44)</f>
        <v>353.91</v>
      </c>
      <c r="L44" s="576">
        <f t="shared" si="11"/>
        <v>354</v>
      </c>
      <c r="O44" s="127">
        <f t="shared" si="8"/>
        <v>0</v>
      </c>
      <c r="P44" s="514">
        <f t="shared" si="14"/>
        <v>354</v>
      </c>
      <c r="Q44" s="514"/>
      <c r="R44" s="531"/>
      <c r="T44" s="1211" t="s">
        <v>355</v>
      </c>
      <c r="U44" s="338" t="s">
        <v>203</v>
      </c>
      <c r="V44" s="33"/>
      <c r="W44" s="17" t="s">
        <v>87</v>
      </c>
    </row>
    <row r="45" spans="2:24" ht="18" customHeight="1">
      <c r="B45" s="901"/>
      <c r="C45" s="1216"/>
      <c r="D45" s="1210"/>
      <c r="E45" s="843" t="s">
        <v>204</v>
      </c>
      <c r="F45" s="1225"/>
      <c r="G45" s="299">
        <f t="shared" si="13"/>
        <v>0</v>
      </c>
      <c r="H45" s="778"/>
      <c r="I45" s="198"/>
      <c r="J45" s="198"/>
      <c r="K45" s="193">
        <f t="shared" si="15"/>
        <v>0</v>
      </c>
      <c r="L45" s="576">
        <f t="shared" si="11"/>
        <v>0</v>
      </c>
      <c r="O45" s="127">
        <f t="shared" si="8"/>
        <v>0</v>
      </c>
      <c r="P45" s="514">
        <f t="shared" si="14"/>
        <v>0</v>
      </c>
      <c r="Q45" s="514"/>
      <c r="R45" s="531"/>
      <c r="T45" s="1212"/>
      <c r="U45" s="339" t="s">
        <v>204</v>
      </c>
      <c r="V45" s="33"/>
      <c r="W45" s="456" t="s">
        <v>87</v>
      </c>
    </row>
    <row r="46" spans="2:24" ht="18" customHeight="1">
      <c r="B46" s="901"/>
      <c r="C46" s="1216"/>
      <c r="D46" s="1213" t="s">
        <v>346</v>
      </c>
      <c r="E46" s="856" t="s">
        <v>203</v>
      </c>
      <c r="F46" s="1218"/>
      <c r="G46" s="100">
        <f>V46</f>
        <v>0</v>
      </c>
      <c r="H46" s="777"/>
      <c r="I46" s="198">
        <v>8.86</v>
      </c>
      <c r="J46" s="198"/>
      <c r="K46" s="193">
        <f t="shared" si="15"/>
        <v>8.86</v>
      </c>
      <c r="L46" s="576">
        <f t="shared" si="11"/>
        <v>9</v>
      </c>
      <c r="O46" s="127">
        <f t="shared" si="8"/>
        <v>0</v>
      </c>
      <c r="P46" s="514">
        <f t="shared" si="14"/>
        <v>9</v>
      </c>
      <c r="Q46" s="514"/>
      <c r="R46" s="531"/>
      <c r="T46" s="1214" t="s">
        <v>356</v>
      </c>
      <c r="U46" s="338" t="s">
        <v>203</v>
      </c>
      <c r="V46" s="33"/>
      <c r="W46" s="17" t="s">
        <v>87</v>
      </c>
    </row>
    <row r="47" spans="2:24" ht="18" customHeight="1">
      <c r="B47" s="901"/>
      <c r="C47" s="1216"/>
      <c r="D47" s="1210"/>
      <c r="E47" s="856" t="s">
        <v>204</v>
      </c>
      <c r="F47" s="1218"/>
      <c r="G47" s="100">
        <f>V47</f>
        <v>0</v>
      </c>
      <c r="H47" s="777"/>
      <c r="I47" s="198"/>
      <c r="J47" s="198"/>
      <c r="K47" s="193">
        <f t="shared" si="15"/>
        <v>0</v>
      </c>
      <c r="L47" s="576">
        <f t="shared" si="11"/>
        <v>0</v>
      </c>
      <c r="O47" s="127">
        <f t="shared" si="8"/>
        <v>0</v>
      </c>
      <c r="P47" s="514">
        <f t="shared" si="14"/>
        <v>0</v>
      </c>
      <c r="Q47" s="514"/>
      <c r="R47" s="531"/>
      <c r="T47" s="1212"/>
      <c r="U47" s="338" t="s">
        <v>204</v>
      </c>
      <c r="V47" s="33"/>
      <c r="W47" s="17" t="s">
        <v>87</v>
      </c>
    </row>
    <row r="48" spans="2:24" ht="18" customHeight="1">
      <c r="B48" s="901"/>
      <c r="C48" s="1216"/>
      <c r="D48" s="853" t="s">
        <v>347</v>
      </c>
      <c r="E48" s="856" t="s">
        <v>203</v>
      </c>
      <c r="F48" s="1218"/>
      <c r="G48" s="100">
        <f t="shared" si="13"/>
        <v>0</v>
      </c>
      <c r="H48" s="777"/>
      <c r="I48" s="52">
        <v>1.1299999999999999</v>
      </c>
      <c r="J48" s="52"/>
      <c r="K48" s="193">
        <f t="shared" si="15"/>
        <v>1.1299999999999999</v>
      </c>
      <c r="L48" s="576">
        <f t="shared" si="11"/>
        <v>1</v>
      </c>
      <c r="O48" s="127">
        <f t="shared" si="8"/>
        <v>0</v>
      </c>
      <c r="P48" s="514">
        <f t="shared" si="14"/>
        <v>1</v>
      </c>
      <c r="Q48" s="514"/>
      <c r="R48" s="531"/>
      <c r="T48" s="1214" t="s">
        <v>357</v>
      </c>
      <c r="U48" s="338" t="s">
        <v>203</v>
      </c>
      <c r="V48" s="33"/>
      <c r="W48" s="17" t="s">
        <v>87</v>
      </c>
    </row>
    <row r="49" spans="2:23" ht="18" customHeight="1">
      <c r="B49" s="901"/>
      <c r="C49" s="1216"/>
      <c r="D49" s="855"/>
      <c r="E49" s="856" t="s">
        <v>204</v>
      </c>
      <c r="F49" s="1218"/>
      <c r="G49" s="100">
        <f t="shared" si="13"/>
        <v>0</v>
      </c>
      <c r="H49" s="777"/>
      <c r="I49" s="52"/>
      <c r="J49" s="52"/>
      <c r="K49" s="193">
        <f t="shared" si="15"/>
        <v>0</v>
      </c>
      <c r="L49" s="576">
        <f t="shared" si="11"/>
        <v>0</v>
      </c>
      <c r="O49" s="127">
        <f t="shared" si="8"/>
        <v>0</v>
      </c>
      <c r="P49" s="514">
        <f t="shared" si="14"/>
        <v>0</v>
      </c>
      <c r="Q49" s="514"/>
      <c r="R49" s="531"/>
      <c r="T49" s="1212"/>
      <c r="U49" s="338" t="s">
        <v>204</v>
      </c>
      <c r="V49" s="33"/>
      <c r="W49" s="17" t="s">
        <v>87</v>
      </c>
    </row>
    <row r="50" spans="2:23" ht="18" customHeight="1" thickBot="1">
      <c r="B50" s="901"/>
      <c r="C50" s="1216"/>
      <c r="D50" s="845" t="s">
        <v>363</v>
      </c>
      <c r="E50" s="843" t="s">
        <v>362</v>
      </c>
      <c r="F50" s="1225"/>
      <c r="G50" s="299">
        <f t="shared" ref="G50" si="16">V50</f>
        <v>0</v>
      </c>
      <c r="H50" s="778"/>
      <c r="I50" s="198"/>
      <c r="J50" s="52">
        <v>2.4900000000000002</v>
      </c>
      <c r="K50" s="350">
        <f t="shared" ref="K50" si="17">SUM(I50:J50)</f>
        <v>2.4900000000000002</v>
      </c>
      <c r="L50" s="679">
        <f t="shared" ref="L50" si="18">SUM(O50:R50)</f>
        <v>2</v>
      </c>
      <c r="O50" s="632">
        <f t="shared" si="8"/>
        <v>0</v>
      </c>
      <c r="P50" s="633">
        <f t="shared" si="14"/>
        <v>2</v>
      </c>
      <c r="Q50" s="633"/>
      <c r="R50" s="634"/>
      <c r="T50" s="841" t="s">
        <v>348</v>
      </c>
      <c r="U50" s="347" t="s">
        <v>362</v>
      </c>
      <c r="V50" s="415"/>
      <c r="W50" s="18" t="s">
        <v>87</v>
      </c>
    </row>
    <row r="51" spans="2:23" ht="18" customHeight="1" thickBot="1">
      <c r="B51" s="901"/>
      <c r="C51" s="1217"/>
      <c r="D51" s="846"/>
      <c r="E51" s="1219" t="s">
        <v>361</v>
      </c>
      <c r="F51" s="1220"/>
      <c r="G51" s="257">
        <f t="shared" si="13"/>
        <v>0</v>
      </c>
      <c r="H51" s="826"/>
      <c r="I51" s="56"/>
      <c r="J51" s="680"/>
      <c r="K51" s="277">
        <f t="shared" si="15"/>
        <v>0</v>
      </c>
      <c r="L51" s="579">
        <f t="shared" si="11"/>
        <v>0</v>
      </c>
      <c r="O51" s="296">
        <f t="shared" si="8"/>
        <v>0</v>
      </c>
      <c r="P51" s="681">
        <f t="shared" si="14"/>
        <v>0</v>
      </c>
      <c r="Q51" s="681"/>
      <c r="R51" s="682"/>
      <c r="T51" s="842"/>
      <c r="U51" s="347" t="s">
        <v>361</v>
      </c>
      <c r="V51" s="415"/>
      <c r="W51" s="18" t="s">
        <v>87</v>
      </c>
    </row>
    <row r="52" spans="2:23" ht="18" customHeight="1">
      <c r="B52" s="901"/>
      <c r="C52" s="1310" t="s">
        <v>184</v>
      </c>
      <c r="D52" s="1077" t="s">
        <v>239</v>
      </c>
      <c r="E52" s="905"/>
      <c r="F52" s="240" t="s">
        <v>118</v>
      </c>
      <c r="G52" s="457" t="s">
        <v>247</v>
      </c>
      <c r="H52" s="827"/>
      <c r="I52" s="475"/>
      <c r="J52" s="475"/>
      <c r="K52" s="294">
        <f t="shared" si="15"/>
        <v>0</v>
      </c>
      <c r="L52" s="581">
        <f t="shared" si="11"/>
        <v>0</v>
      </c>
      <c r="O52" s="197">
        <f t="shared" si="8"/>
        <v>0</v>
      </c>
      <c r="P52" s="521">
        <f t="shared" si="14"/>
        <v>0</v>
      </c>
      <c r="Q52" s="521"/>
      <c r="R52" s="548"/>
    </row>
    <row r="53" spans="2:23" ht="18" customHeight="1">
      <c r="B53" s="901"/>
      <c r="C53" s="1311"/>
      <c r="D53" s="1099" t="s">
        <v>240</v>
      </c>
      <c r="E53" s="1225"/>
      <c r="F53" s="298" t="s">
        <v>118</v>
      </c>
      <c r="G53" s="458" t="s">
        <v>247</v>
      </c>
      <c r="H53" s="828"/>
      <c r="I53" s="476"/>
      <c r="J53" s="476"/>
      <c r="K53" s="350">
        <f>SUM(I53:J53)</f>
        <v>0</v>
      </c>
      <c r="L53" s="576">
        <f t="shared" si="11"/>
        <v>0</v>
      </c>
      <c r="O53" s="127">
        <f t="shared" si="8"/>
        <v>0</v>
      </c>
      <c r="P53" s="514">
        <f t="shared" si="14"/>
        <v>0</v>
      </c>
      <c r="Q53" s="514"/>
      <c r="R53" s="531"/>
    </row>
    <row r="54" spans="2:23" ht="18" customHeight="1">
      <c r="B54" s="901"/>
      <c r="C54" s="1063"/>
      <c r="D54" s="847" t="s">
        <v>241</v>
      </c>
      <c r="E54" s="1220"/>
      <c r="F54" s="239" t="s">
        <v>118</v>
      </c>
      <c r="G54" s="459" t="s">
        <v>247</v>
      </c>
      <c r="H54" s="829"/>
      <c r="I54" s="477"/>
      <c r="J54" s="477"/>
      <c r="K54" s="277">
        <f t="shared" si="15"/>
        <v>0</v>
      </c>
      <c r="L54" s="579">
        <f t="shared" si="11"/>
        <v>0</v>
      </c>
      <c r="O54" s="296">
        <f t="shared" si="8"/>
        <v>0</v>
      </c>
      <c r="P54" s="523">
        <f t="shared" si="14"/>
        <v>0</v>
      </c>
      <c r="Q54" s="523"/>
      <c r="R54" s="546"/>
    </row>
    <row r="55" spans="2:23" ht="18" customHeight="1">
      <c r="B55" s="901"/>
      <c r="C55" s="1215" t="s">
        <v>246</v>
      </c>
      <c r="D55" s="849" t="s">
        <v>260</v>
      </c>
      <c r="E55" s="850"/>
      <c r="F55" s="850"/>
      <c r="G55" s="299">
        <f>V55</f>
        <v>0</v>
      </c>
      <c r="H55" s="778"/>
      <c r="I55" s="476"/>
      <c r="J55" s="476"/>
      <c r="K55" s="193">
        <f>SUM(I55:J55)</f>
        <v>0</v>
      </c>
      <c r="L55" s="581">
        <f t="shared" si="11"/>
        <v>0</v>
      </c>
      <c r="O55" s="197">
        <f t="shared" si="8"/>
        <v>0</v>
      </c>
      <c r="P55" s="521">
        <f t="shared" si="14"/>
        <v>0</v>
      </c>
      <c r="Q55" s="521"/>
      <c r="R55" s="548"/>
      <c r="T55" s="473"/>
      <c r="U55" s="339" t="s">
        <v>204</v>
      </c>
      <c r="V55" s="33"/>
      <c r="W55" s="456" t="s">
        <v>87</v>
      </c>
    </row>
    <row r="56" spans="2:23" ht="18" customHeight="1">
      <c r="B56" s="901"/>
      <c r="C56" s="1216"/>
      <c r="D56" s="881" t="s">
        <v>261</v>
      </c>
      <c r="E56" s="882"/>
      <c r="F56" s="882"/>
      <c r="G56" s="100">
        <f>V56</f>
        <v>0</v>
      </c>
      <c r="H56" s="777"/>
      <c r="I56" s="476"/>
      <c r="J56" s="476"/>
      <c r="K56" s="193">
        <f>SUM(I56:J56)</f>
        <v>0</v>
      </c>
      <c r="L56" s="576">
        <f t="shared" si="11"/>
        <v>0</v>
      </c>
      <c r="O56" s="127">
        <f t="shared" si="8"/>
        <v>0</v>
      </c>
      <c r="P56" s="514">
        <f t="shared" si="14"/>
        <v>0</v>
      </c>
      <c r="Q56" s="514"/>
      <c r="R56" s="531"/>
      <c r="T56" s="471"/>
      <c r="U56" s="338" t="s">
        <v>204</v>
      </c>
      <c r="V56" s="33"/>
      <c r="W56" s="17" t="s">
        <v>87</v>
      </c>
    </row>
    <row r="57" spans="2:23" ht="18" customHeight="1">
      <c r="B57" s="901"/>
      <c r="C57" s="1216"/>
      <c r="D57" s="881" t="s">
        <v>262</v>
      </c>
      <c r="E57" s="882"/>
      <c r="F57" s="882"/>
      <c r="G57" s="100">
        <f>V57</f>
        <v>0</v>
      </c>
      <c r="H57" s="777"/>
      <c r="I57" s="478"/>
      <c r="J57" s="478"/>
      <c r="K57" s="193">
        <f>SUM(I57:J57)</f>
        <v>0</v>
      </c>
      <c r="L57" s="576">
        <f t="shared" si="11"/>
        <v>0</v>
      </c>
      <c r="O57" s="127">
        <f t="shared" si="8"/>
        <v>0</v>
      </c>
      <c r="P57" s="514">
        <f t="shared" si="14"/>
        <v>0</v>
      </c>
      <c r="Q57" s="514"/>
      <c r="R57" s="531"/>
      <c r="T57" s="471"/>
      <c r="U57" s="338" t="s">
        <v>204</v>
      </c>
      <c r="V57" s="33"/>
      <c r="W57" s="17" t="s">
        <v>87</v>
      </c>
    </row>
    <row r="58" spans="2:23" ht="18" customHeight="1" thickBot="1">
      <c r="B58" s="902"/>
      <c r="C58" s="1264"/>
      <c r="D58" s="1319" t="s">
        <v>263</v>
      </c>
      <c r="E58" s="1320"/>
      <c r="F58" s="1320"/>
      <c r="G58" s="299">
        <f>V58</f>
        <v>0</v>
      </c>
      <c r="H58" s="778"/>
      <c r="I58" s="479"/>
      <c r="J58" s="479"/>
      <c r="K58" s="196">
        <f>SUM(I58:J58)</f>
        <v>0</v>
      </c>
      <c r="L58" s="577">
        <f t="shared" si="11"/>
        <v>0</v>
      </c>
      <c r="O58" s="128">
        <f t="shared" si="8"/>
        <v>0</v>
      </c>
      <c r="P58" s="516">
        <f t="shared" si="14"/>
        <v>0</v>
      </c>
      <c r="Q58" s="516"/>
      <c r="R58" s="532"/>
      <c r="T58" s="472"/>
      <c r="U58" s="347" t="s">
        <v>118</v>
      </c>
      <c r="V58" s="415"/>
      <c r="W58" s="18" t="s">
        <v>87</v>
      </c>
    </row>
    <row r="59" spans="2:23" ht="18" customHeight="1" thickBot="1">
      <c r="B59" s="1251" t="s">
        <v>248</v>
      </c>
      <c r="C59" s="1252"/>
      <c r="D59" s="1323" t="s">
        <v>192</v>
      </c>
      <c r="E59" s="1324"/>
      <c r="F59" s="1324"/>
      <c r="G59" s="480"/>
      <c r="H59" s="481">
        <v>5</v>
      </c>
      <c r="I59" s="495">
        <f>I37*H59/100</f>
        <v>0</v>
      </c>
      <c r="J59" s="495"/>
      <c r="K59" s="496">
        <f t="shared" ref="K59:K66" si="19">SUM(I59:J59)</f>
        <v>0</v>
      </c>
      <c r="L59" s="582">
        <f t="shared" si="11"/>
        <v>0</v>
      </c>
      <c r="O59" s="428"/>
      <c r="P59" s="551">
        <f>IF($K59&lt;1000,ROUND($K59,0),0)</f>
        <v>0</v>
      </c>
      <c r="Q59" s="551">
        <f>IF($K59&gt;=1000,ROUND($K59,-1),0)</f>
        <v>0</v>
      </c>
      <c r="R59" s="552"/>
    </row>
    <row r="60" spans="2:23" ht="18" customHeight="1">
      <c r="B60" s="1245" t="s">
        <v>336</v>
      </c>
      <c r="C60" s="1248" t="s">
        <v>193</v>
      </c>
      <c r="D60" s="42" t="s">
        <v>331</v>
      </c>
      <c r="E60" s="43"/>
      <c r="F60" s="43" t="s">
        <v>116</v>
      </c>
      <c r="G60" s="68"/>
      <c r="H60" s="786"/>
      <c r="I60" s="364"/>
      <c r="J60" s="364"/>
      <c r="K60" s="191">
        <f t="shared" si="19"/>
        <v>0</v>
      </c>
      <c r="L60" s="575">
        <f t="shared" si="11"/>
        <v>0</v>
      </c>
      <c r="O60" s="126">
        <f t="shared" ref="O60:O73" si="20">IF($K60&lt;1,ROUND($K60,1),0)</f>
        <v>0</v>
      </c>
      <c r="P60" s="512">
        <f t="shared" ref="P60:P73" si="21">IF(AND($K60&gt;=1,$K60&lt;10),ROUND($K60,0),0)</f>
        <v>0</v>
      </c>
      <c r="Q60" s="512">
        <f>IF(AND($K60&gt;=10,$K60&lt;1000),ROUND($K60,-1),0)</f>
        <v>0</v>
      </c>
      <c r="R60" s="530">
        <f>IF($K60&gt;=1000,ROUND($K60,-2),0)</f>
        <v>0</v>
      </c>
    </row>
    <row r="61" spans="2:23" ht="18" customHeight="1">
      <c r="B61" s="1246"/>
      <c r="C61" s="1249"/>
      <c r="D61" s="610" t="s">
        <v>331</v>
      </c>
      <c r="E61" s="611"/>
      <c r="F61" s="611" t="s">
        <v>118</v>
      </c>
      <c r="G61" s="353"/>
      <c r="H61" s="798"/>
      <c r="I61" s="198"/>
      <c r="J61" s="198"/>
      <c r="K61" s="350">
        <f>SUM(I61:J61)</f>
        <v>0</v>
      </c>
      <c r="L61" s="576">
        <f t="shared" ref="L61" si="22">SUM(O61:R61)</f>
        <v>0</v>
      </c>
      <c r="O61" s="127">
        <f t="shared" si="20"/>
        <v>0</v>
      </c>
      <c r="P61" s="514">
        <f t="shared" si="21"/>
        <v>0</v>
      </c>
      <c r="Q61" s="514">
        <f>IF(AND($K61&gt;=10,$K61&lt;1000),ROUND($K61,-1),0)</f>
        <v>0</v>
      </c>
      <c r="R61" s="531">
        <f>IF($K61&gt;=1000,ROUND($K61,-2),0)</f>
        <v>0</v>
      </c>
    </row>
    <row r="62" spans="2:23" ht="18" customHeight="1">
      <c r="B62" s="1246"/>
      <c r="C62" s="1249"/>
      <c r="D62" s="297" t="s">
        <v>331</v>
      </c>
      <c r="E62" s="298"/>
      <c r="F62" s="298" t="s">
        <v>118</v>
      </c>
      <c r="G62" s="353"/>
      <c r="H62" s="798"/>
      <c r="I62" s="198">
        <v>15.58</v>
      </c>
      <c r="J62" s="198"/>
      <c r="K62" s="350">
        <f>SUM(I62:J62)</f>
        <v>15.58</v>
      </c>
      <c r="L62" s="576">
        <f t="shared" si="11"/>
        <v>20</v>
      </c>
      <c r="O62" s="127">
        <f t="shared" si="20"/>
        <v>0</v>
      </c>
      <c r="P62" s="514">
        <f t="shared" si="21"/>
        <v>0</v>
      </c>
      <c r="Q62" s="514">
        <f>IF(AND($K62&gt;=10,$K62&lt;1000),ROUND($K62,-1),0)</f>
        <v>20</v>
      </c>
      <c r="R62" s="531">
        <f>IF($K62&gt;=1000,ROUND($K62,-2),0)</f>
        <v>0</v>
      </c>
    </row>
    <row r="63" spans="2:23" ht="18" customHeight="1" thickBot="1">
      <c r="B63" s="1246"/>
      <c r="C63" s="1250"/>
      <c r="D63" s="238" t="s">
        <v>331</v>
      </c>
      <c r="E63" s="239"/>
      <c r="F63" s="239" t="s">
        <v>118</v>
      </c>
      <c r="G63" s="250"/>
      <c r="H63" s="798"/>
      <c r="I63" s="56">
        <v>213.8</v>
      </c>
      <c r="J63" s="56"/>
      <c r="K63" s="277">
        <f>SUM(I63:J63)</f>
        <v>213.8</v>
      </c>
      <c r="L63" s="579">
        <f t="shared" si="11"/>
        <v>210</v>
      </c>
      <c r="O63" s="296">
        <f t="shared" si="20"/>
        <v>0</v>
      </c>
      <c r="P63" s="523">
        <f t="shared" si="21"/>
        <v>0</v>
      </c>
      <c r="Q63" s="523">
        <f>IF(AND($K63&gt;=10,$K63&lt;1000),ROUND($K63,-1),0)</f>
        <v>210</v>
      </c>
      <c r="R63" s="546">
        <f>IF($K63&gt;=1000,ROUND($K63,-2),0)</f>
        <v>0</v>
      </c>
    </row>
    <row r="64" spans="2:23" ht="18" customHeight="1">
      <c r="B64" s="1246"/>
      <c r="C64" s="1327" t="s">
        <v>200</v>
      </c>
      <c r="D64" s="657" t="str">
        <f t="shared" ref="D64:D66" si="23">T64</f>
        <v>廃路盤材</v>
      </c>
      <c r="E64" s="237"/>
      <c r="F64" s="237" t="s">
        <v>116</v>
      </c>
      <c r="G64" s="258">
        <f t="shared" ref="G64:G66" si="24">V64</f>
        <v>4.2</v>
      </c>
      <c r="H64" s="781"/>
      <c r="I64" s="320"/>
      <c r="J64" s="320"/>
      <c r="K64" s="294">
        <f t="shared" si="19"/>
        <v>0</v>
      </c>
      <c r="L64" s="581">
        <f t="shared" si="11"/>
        <v>0</v>
      </c>
      <c r="O64" s="197">
        <f t="shared" si="20"/>
        <v>0</v>
      </c>
      <c r="P64" s="521">
        <f t="shared" si="21"/>
        <v>0</v>
      </c>
      <c r="Q64" s="521">
        <f t="shared" ref="Q64:Q73" si="25">IF($K64&gt;=10,ROUND($K64,-1),0)</f>
        <v>0</v>
      </c>
      <c r="R64" s="548"/>
      <c r="T64" s="208" t="s">
        <v>329</v>
      </c>
      <c r="U64" s="820" t="s">
        <v>116</v>
      </c>
      <c r="V64" s="492">
        <v>4.2</v>
      </c>
      <c r="W64" s="16" t="s">
        <v>87</v>
      </c>
    </row>
    <row r="65" spans="2:34" ht="18" customHeight="1">
      <c r="B65" s="1246"/>
      <c r="C65" s="1327"/>
      <c r="D65" s="658" t="str">
        <f t="shared" si="23"/>
        <v>廃路盤材</v>
      </c>
      <c r="E65" s="298"/>
      <c r="F65" s="298" t="s">
        <v>118</v>
      </c>
      <c r="G65" s="299">
        <f t="shared" si="24"/>
        <v>4.2</v>
      </c>
      <c r="H65" s="798"/>
      <c r="I65" s="476"/>
      <c r="J65" s="476"/>
      <c r="K65" s="350">
        <f t="shared" si="19"/>
        <v>0</v>
      </c>
      <c r="L65" s="576">
        <f t="shared" si="11"/>
        <v>0</v>
      </c>
      <c r="O65" s="127">
        <f t="shared" si="20"/>
        <v>0</v>
      </c>
      <c r="P65" s="514">
        <f t="shared" si="21"/>
        <v>0</v>
      </c>
      <c r="Q65" s="514">
        <f t="shared" si="25"/>
        <v>0</v>
      </c>
      <c r="R65" s="531"/>
      <c r="T65" s="209" t="s">
        <v>330</v>
      </c>
      <c r="U65" s="813">
        <v>0.35</v>
      </c>
      <c r="V65" s="493">
        <v>4.2</v>
      </c>
      <c r="W65" s="17" t="s">
        <v>87</v>
      </c>
    </row>
    <row r="66" spans="2:34" ht="18" customHeight="1" thickBot="1">
      <c r="B66" s="1247"/>
      <c r="C66" s="1329"/>
      <c r="D66" s="659" t="str">
        <f t="shared" si="23"/>
        <v>廃路盤材</v>
      </c>
      <c r="E66" s="45"/>
      <c r="F66" s="45" t="s">
        <v>118</v>
      </c>
      <c r="G66" s="101">
        <f t="shared" si="24"/>
        <v>4.2</v>
      </c>
      <c r="H66" s="798"/>
      <c r="I66" s="479"/>
      <c r="J66" s="479"/>
      <c r="K66" s="196">
        <f t="shared" si="19"/>
        <v>0</v>
      </c>
      <c r="L66" s="577">
        <f t="shared" si="11"/>
        <v>0</v>
      </c>
      <c r="O66" s="128">
        <f t="shared" si="20"/>
        <v>0</v>
      </c>
      <c r="P66" s="516">
        <f t="shared" si="21"/>
        <v>0</v>
      </c>
      <c r="Q66" s="516">
        <f t="shared" si="25"/>
        <v>0</v>
      </c>
      <c r="R66" s="532"/>
      <c r="T66" s="210" t="s">
        <v>330</v>
      </c>
      <c r="U66" s="817">
        <v>0.6</v>
      </c>
      <c r="V66" s="494">
        <v>4.2</v>
      </c>
      <c r="W66" s="18" t="s">
        <v>87</v>
      </c>
    </row>
    <row r="67" spans="2:34" ht="18" customHeight="1">
      <c r="B67" s="1245" t="s">
        <v>337</v>
      </c>
      <c r="C67" s="1248" t="s">
        <v>193</v>
      </c>
      <c r="D67" s="42" t="s">
        <v>332</v>
      </c>
      <c r="E67" s="43"/>
      <c r="F67" s="43" t="s">
        <v>116</v>
      </c>
      <c r="G67" s="68"/>
      <c r="H67" s="786"/>
      <c r="I67" s="364"/>
      <c r="J67" s="364"/>
      <c r="K67" s="191">
        <f t="shared" ref="K67" si="26">SUM(I67:J67)</f>
        <v>0</v>
      </c>
      <c r="L67" s="575">
        <f t="shared" ref="L67:L73" si="27">SUM(O67:R67)</f>
        <v>0</v>
      </c>
      <c r="O67" s="126">
        <f t="shared" si="20"/>
        <v>0</v>
      </c>
      <c r="P67" s="512">
        <f t="shared" si="21"/>
        <v>0</v>
      </c>
      <c r="Q67" s="512">
        <f>IF(AND($K67&gt;=10,$K67&lt;1000),ROUND($K67,-1),0)</f>
        <v>0</v>
      </c>
      <c r="R67" s="530">
        <f>IF($K67&gt;=1000,ROUND($K67,-2),0)</f>
        <v>0</v>
      </c>
      <c r="U67" s="746"/>
    </row>
    <row r="68" spans="2:34" ht="18" customHeight="1">
      <c r="B68" s="1246"/>
      <c r="C68" s="1249"/>
      <c r="D68" s="664" t="s">
        <v>332</v>
      </c>
      <c r="E68" s="665"/>
      <c r="F68" s="665" t="s">
        <v>118</v>
      </c>
      <c r="G68" s="353"/>
      <c r="H68" s="798"/>
      <c r="I68" s="198"/>
      <c r="J68" s="198"/>
      <c r="K68" s="350">
        <f>SUM(I68:J68)</f>
        <v>0</v>
      </c>
      <c r="L68" s="576">
        <f t="shared" si="27"/>
        <v>0</v>
      </c>
      <c r="O68" s="127">
        <f t="shared" si="20"/>
        <v>0</v>
      </c>
      <c r="P68" s="514">
        <f t="shared" si="21"/>
        <v>0</v>
      </c>
      <c r="Q68" s="514">
        <f>IF(AND($K68&gt;=10,$K68&lt;1000),ROUND($K68,-1),0)</f>
        <v>0</v>
      </c>
      <c r="R68" s="531">
        <f>IF($K68&gt;=1000,ROUND($K68,-2),0)</f>
        <v>0</v>
      </c>
      <c r="U68" s="746"/>
    </row>
    <row r="69" spans="2:34" ht="18" customHeight="1">
      <c r="B69" s="1246"/>
      <c r="C69" s="1249"/>
      <c r="D69" s="664" t="s">
        <v>332</v>
      </c>
      <c r="E69" s="665"/>
      <c r="F69" s="665" t="s">
        <v>118</v>
      </c>
      <c r="G69" s="353"/>
      <c r="H69" s="798"/>
      <c r="I69" s="198">
        <v>12.9</v>
      </c>
      <c r="J69" s="198"/>
      <c r="K69" s="350">
        <f>SUM(I69:J69)</f>
        <v>12.9</v>
      </c>
      <c r="L69" s="576">
        <f t="shared" si="27"/>
        <v>10</v>
      </c>
      <c r="O69" s="127">
        <f t="shared" si="20"/>
        <v>0</v>
      </c>
      <c r="P69" s="514">
        <f t="shared" si="21"/>
        <v>0</v>
      </c>
      <c r="Q69" s="514">
        <f>IF(AND($K69&gt;=10,$K69&lt;1000),ROUND($K69,-1),0)</f>
        <v>10</v>
      </c>
      <c r="R69" s="531">
        <f>IF($K69&gt;=1000,ROUND($K69,-2),0)</f>
        <v>0</v>
      </c>
      <c r="U69" s="746"/>
    </row>
    <row r="70" spans="2:34" ht="18" customHeight="1" thickBot="1">
      <c r="B70" s="1246"/>
      <c r="C70" s="1250"/>
      <c r="D70" s="238" t="s">
        <v>332</v>
      </c>
      <c r="E70" s="239"/>
      <c r="F70" s="239" t="s">
        <v>118</v>
      </c>
      <c r="G70" s="250"/>
      <c r="H70" s="798"/>
      <c r="I70" s="56"/>
      <c r="J70" s="56"/>
      <c r="K70" s="277">
        <f>SUM(I70:J70)</f>
        <v>0</v>
      </c>
      <c r="L70" s="579">
        <f t="shared" si="27"/>
        <v>0</v>
      </c>
      <c r="O70" s="296">
        <f t="shared" si="20"/>
        <v>0</v>
      </c>
      <c r="P70" s="523">
        <f t="shared" si="21"/>
        <v>0</v>
      </c>
      <c r="Q70" s="523">
        <f>IF(AND($K70&gt;=10,$K70&lt;1000),ROUND($K70,-1),0)</f>
        <v>0</v>
      </c>
      <c r="R70" s="546">
        <f>IF($K70&gt;=1000,ROUND($K70,-2),0)</f>
        <v>0</v>
      </c>
      <c r="U70" s="746"/>
    </row>
    <row r="71" spans="2:34" ht="18" customHeight="1">
      <c r="B71" s="1246"/>
      <c r="C71" s="1327" t="s">
        <v>200</v>
      </c>
      <c r="D71" s="657" t="str">
        <f t="shared" ref="D71:D73" si="28">T71</f>
        <v>土砂</v>
      </c>
      <c r="E71" s="666"/>
      <c r="F71" s="666" t="s">
        <v>116</v>
      </c>
      <c r="G71" s="258">
        <f t="shared" ref="G71:G73" si="29">V71</f>
        <v>4.2</v>
      </c>
      <c r="H71" s="781"/>
      <c r="I71" s="320"/>
      <c r="J71" s="320"/>
      <c r="K71" s="294">
        <f t="shared" ref="K71:K73" si="30">SUM(I71:J71)</f>
        <v>0</v>
      </c>
      <c r="L71" s="581">
        <f t="shared" si="27"/>
        <v>0</v>
      </c>
      <c r="O71" s="197">
        <f t="shared" si="20"/>
        <v>0</v>
      </c>
      <c r="P71" s="521">
        <f t="shared" si="21"/>
        <v>0</v>
      </c>
      <c r="Q71" s="521">
        <f t="shared" si="25"/>
        <v>0</v>
      </c>
      <c r="R71" s="548"/>
      <c r="T71" s="208" t="s">
        <v>106</v>
      </c>
      <c r="U71" s="820" t="s">
        <v>116</v>
      </c>
      <c r="V71" s="492">
        <v>4.2</v>
      </c>
      <c r="W71" s="16" t="s">
        <v>87</v>
      </c>
    </row>
    <row r="72" spans="2:34" ht="18" customHeight="1">
      <c r="B72" s="1246"/>
      <c r="C72" s="1327"/>
      <c r="D72" s="658" t="str">
        <f t="shared" si="28"/>
        <v>土砂</v>
      </c>
      <c r="E72" s="665"/>
      <c r="F72" s="665" t="s">
        <v>118</v>
      </c>
      <c r="G72" s="299">
        <f t="shared" si="29"/>
        <v>4.2</v>
      </c>
      <c r="H72" s="798"/>
      <c r="I72" s="476"/>
      <c r="J72" s="476"/>
      <c r="K72" s="350">
        <f t="shared" si="30"/>
        <v>0</v>
      </c>
      <c r="L72" s="576">
        <f t="shared" si="27"/>
        <v>0</v>
      </c>
      <c r="O72" s="127">
        <f t="shared" si="20"/>
        <v>0</v>
      </c>
      <c r="P72" s="514">
        <f t="shared" si="21"/>
        <v>0</v>
      </c>
      <c r="Q72" s="514">
        <f t="shared" si="25"/>
        <v>0</v>
      </c>
      <c r="R72" s="531"/>
      <c r="T72" s="209" t="s">
        <v>106</v>
      </c>
      <c r="U72" s="813">
        <v>0.35</v>
      </c>
      <c r="V72" s="493">
        <v>4.2</v>
      </c>
      <c r="W72" s="17" t="s">
        <v>87</v>
      </c>
    </row>
    <row r="73" spans="2:34" ht="18" customHeight="1" thickBot="1">
      <c r="B73" s="1247"/>
      <c r="C73" s="1329"/>
      <c r="D73" s="659" t="str">
        <f t="shared" si="28"/>
        <v>土砂</v>
      </c>
      <c r="E73" s="663"/>
      <c r="F73" s="663" t="s">
        <v>118</v>
      </c>
      <c r="G73" s="101">
        <f t="shared" si="29"/>
        <v>4.2</v>
      </c>
      <c r="H73" s="830"/>
      <c r="I73" s="479"/>
      <c r="J73" s="479"/>
      <c r="K73" s="196">
        <f t="shared" si="30"/>
        <v>0</v>
      </c>
      <c r="L73" s="577">
        <f t="shared" si="27"/>
        <v>0</v>
      </c>
      <c r="O73" s="128">
        <f t="shared" si="20"/>
        <v>0</v>
      </c>
      <c r="P73" s="516">
        <f t="shared" si="21"/>
        <v>0</v>
      </c>
      <c r="Q73" s="516">
        <f t="shared" si="25"/>
        <v>0</v>
      </c>
      <c r="R73" s="532"/>
      <c r="T73" s="210" t="s">
        <v>106</v>
      </c>
      <c r="U73" s="817">
        <v>0.6</v>
      </c>
      <c r="V73" s="494">
        <v>4.2</v>
      </c>
      <c r="W73" s="18" t="s">
        <v>87</v>
      </c>
    </row>
    <row r="74" spans="2:34" s="3" customFormat="1" ht="18" customHeight="1">
      <c r="B74" s="1143" t="s">
        <v>206</v>
      </c>
      <c r="C74" s="1143"/>
      <c r="D74" s="1143"/>
      <c r="E74" s="1143"/>
      <c r="F74" s="1143"/>
      <c r="G74" s="1143"/>
      <c r="H74" s="1143"/>
      <c r="I74" s="1143"/>
      <c r="J74" s="1143"/>
      <c r="K74" s="1143"/>
      <c r="L74" s="1143"/>
      <c r="M74" s="6"/>
      <c r="N74" s="151"/>
      <c r="O74" s="119"/>
      <c r="P74" s="2"/>
      <c r="Q74" s="2"/>
      <c r="R74" s="2"/>
      <c r="S74" s="2"/>
      <c r="T74" s="2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2:34" s="3" customFormat="1" ht="18" customHeight="1">
      <c r="B75" s="1260" t="s">
        <v>65</v>
      </c>
      <c r="C75" s="1260"/>
      <c r="D75" s="1260"/>
      <c r="E75" s="1260"/>
      <c r="F75" s="1260"/>
      <c r="G75" s="1260"/>
      <c r="H75" s="1260"/>
      <c r="I75" s="1260"/>
      <c r="J75" s="1260"/>
      <c r="K75" s="1260"/>
      <c r="L75" s="1260"/>
      <c r="M75" s="6"/>
      <c r="N75" s="151"/>
      <c r="T75" s="2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2:34" s="3" customFormat="1" ht="18" customHeight="1">
      <c r="B76" s="1260"/>
      <c r="C76" s="1260"/>
      <c r="D76" s="1260"/>
      <c r="E76" s="1260"/>
      <c r="F76" s="1260"/>
      <c r="G76" s="1260"/>
      <c r="H76" s="1260"/>
      <c r="I76" s="1260"/>
      <c r="J76" s="1260"/>
      <c r="K76" s="1260"/>
      <c r="L76" s="1260"/>
      <c r="M76" s="5"/>
      <c r="N76" s="152"/>
      <c r="T76" s="2"/>
      <c r="U76" s="6"/>
      <c r="V76" s="6"/>
      <c r="W76" s="6"/>
      <c r="X76" s="6"/>
      <c r="Y76" s="6"/>
      <c r="Z76" s="5"/>
      <c r="AA76" s="5"/>
      <c r="AB76" s="5"/>
      <c r="AC76" s="5"/>
      <c r="AD76" s="5"/>
      <c r="AE76" s="5"/>
      <c r="AF76" s="5"/>
      <c r="AG76" s="5"/>
      <c r="AH76" s="5"/>
    </row>
    <row r="77" spans="2:34" s="3" customFormat="1" ht="18" customHeight="1" thickBot="1">
      <c r="B77" s="1144" t="str">
        <f>'総括表（土工事）'!$B$6:$AA$6</f>
        <v>長田(花山町2丁目他)配水管取替工事</v>
      </c>
      <c r="C77" s="1144"/>
      <c r="D77" s="1144"/>
      <c r="E77" s="1144"/>
      <c r="F77" s="1144"/>
      <c r="G77" s="1144"/>
      <c r="H77" s="1144"/>
      <c r="I77" s="1144"/>
      <c r="J77" s="1144"/>
      <c r="K77" s="1144"/>
      <c r="L77" s="1144"/>
      <c r="N77" s="109"/>
      <c r="T77" s="2"/>
      <c r="U77" s="6"/>
      <c r="V77" s="6"/>
      <c r="W77" s="6"/>
      <c r="X77" s="6"/>
      <c r="Y77" s="6"/>
    </row>
    <row r="78" spans="2:34" s="3" customFormat="1" ht="18" customHeight="1">
      <c r="B78" s="1036" t="s">
        <v>78</v>
      </c>
      <c r="C78" s="916"/>
      <c r="D78" s="1269" t="s">
        <v>77</v>
      </c>
      <c r="E78" s="1269"/>
      <c r="F78" s="1269"/>
      <c r="G78" s="1269"/>
      <c r="H78" s="1269"/>
      <c r="I78" s="1269" t="s">
        <v>195</v>
      </c>
      <c r="J78" s="1269" t="s">
        <v>72</v>
      </c>
      <c r="K78" s="1256" t="s">
        <v>114</v>
      </c>
      <c r="L78" s="1265" t="s">
        <v>84</v>
      </c>
      <c r="M78" s="1321" t="s">
        <v>16</v>
      </c>
      <c r="N78" s="119"/>
      <c r="O78" s="939" t="s">
        <v>108</v>
      </c>
      <c r="P78" s="940"/>
      <c r="Q78" s="940"/>
      <c r="R78" s="941"/>
      <c r="T78" s="2"/>
      <c r="U78" s="6"/>
      <c r="V78" s="6"/>
      <c r="W78" s="6"/>
      <c r="X78" s="6"/>
      <c r="Y78" s="6"/>
    </row>
    <row r="79" spans="2:34" ht="18" customHeight="1" thickBot="1">
      <c r="B79" s="979"/>
      <c r="C79" s="980"/>
      <c r="D79" s="1279"/>
      <c r="E79" s="1279"/>
      <c r="F79" s="1279"/>
      <c r="G79" s="1279"/>
      <c r="H79" s="1279"/>
      <c r="I79" s="1279"/>
      <c r="J79" s="1279"/>
      <c r="K79" s="1325"/>
      <c r="L79" s="1275"/>
      <c r="M79" s="1322"/>
      <c r="N79" s="119"/>
      <c r="O79" s="588">
        <v>0.1</v>
      </c>
      <c r="P79" s="589">
        <v>1</v>
      </c>
      <c r="Q79" s="589">
        <v>10</v>
      </c>
      <c r="R79" s="590">
        <v>100</v>
      </c>
      <c r="U79" s="6"/>
      <c r="V79" s="6"/>
      <c r="W79" s="6"/>
      <c r="X79" s="6"/>
      <c r="Y79" s="6"/>
    </row>
    <row r="80" spans="2:34" ht="18" customHeight="1">
      <c r="B80" s="1330" t="s">
        <v>333</v>
      </c>
      <c r="C80" s="1326" t="s">
        <v>249</v>
      </c>
      <c r="D80" s="660" t="str">
        <f t="shared" ref="D80:D83" si="31">T80</f>
        <v>廃路盤材</v>
      </c>
      <c r="E80" s="43"/>
      <c r="F80" s="43" t="s">
        <v>116</v>
      </c>
      <c r="G80" s="99">
        <f t="shared" ref="G80:G83" si="32">V80</f>
        <v>0</v>
      </c>
      <c r="H80" s="786"/>
      <c r="I80" s="364"/>
      <c r="J80" s="364"/>
      <c r="K80" s="191">
        <f t="shared" ref="K80" si="33">SUM(I80:J80)</f>
        <v>0</v>
      </c>
      <c r="L80" s="575">
        <f t="shared" ref="L80:L86" si="34">SUM(O80:R80)</f>
        <v>0</v>
      </c>
      <c r="M80" s="668"/>
      <c r="O80" s="126">
        <f t="shared" ref="O80:O93" si="35">IF($K80&lt;1,ROUND($K80,1),0)</f>
        <v>0</v>
      </c>
      <c r="P80" s="512">
        <f t="shared" ref="P80:P93" si="36">IF(AND($K80&gt;=1,$K80&lt;10),ROUND($K80,0),0)</f>
        <v>0</v>
      </c>
      <c r="Q80" s="512">
        <f t="shared" ref="Q80:Q83" si="37">IF($K80&gt;=10,ROUND($K80,-1),0)</f>
        <v>0</v>
      </c>
      <c r="R80" s="530"/>
      <c r="T80" s="208" t="s">
        <v>330</v>
      </c>
      <c r="U80" s="820" t="s">
        <v>116</v>
      </c>
      <c r="V80" s="492"/>
      <c r="W80" s="16" t="s">
        <v>87</v>
      </c>
      <c r="X80" s="6"/>
      <c r="Y80" s="6"/>
    </row>
    <row r="81" spans="2:25" ht="18" customHeight="1">
      <c r="B81" s="1331"/>
      <c r="C81" s="1327"/>
      <c r="D81" s="658" t="str">
        <f t="shared" si="31"/>
        <v>廃路盤材</v>
      </c>
      <c r="E81" s="665"/>
      <c r="F81" s="665" t="s">
        <v>118</v>
      </c>
      <c r="G81" s="299">
        <f t="shared" si="32"/>
        <v>0</v>
      </c>
      <c r="H81" s="798"/>
      <c r="I81" s="198"/>
      <c r="J81" s="198"/>
      <c r="K81" s="350">
        <f>SUM(I81:J81)</f>
        <v>0</v>
      </c>
      <c r="L81" s="576">
        <f t="shared" si="34"/>
        <v>0</v>
      </c>
      <c r="M81" s="668"/>
      <c r="O81" s="127">
        <f t="shared" si="35"/>
        <v>0</v>
      </c>
      <c r="P81" s="514">
        <f t="shared" si="36"/>
        <v>0</v>
      </c>
      <c r="Q81" s="514">
        <f t="shared" si="37"/>
        <v>0</v>
      </c>
      <c r="R81" s="531"/>
      <c r="T81" s="209" t="s">
        <v>330</v>
      </c>
      <c r="U81" s="813">
        <v>0.35</v>
      </c>
      <c r="V81" s="493"/>
      <c r="W81" s="17" t="s">
        <v>87</v>
      </c>
      <c r="X81" s="6"/>
      <c r="Y81" s="6"/>
    </row>
    <row r="82" spans="2:25" ht="18" customHeight="1">
      <c r="B82" s="1331"/>
      <c r="C82" s="1327"/>
      <c r="D82" s="658" t="str">
        <f t="shared" si="31"/>
        <v>廃路盤材</v>
      </c>
      <c r="E82" s="665"/>
      <c r="F82" s="665" t="s">
        <v>118</v>
      </c>
      <c r="G82" s="299">
        <f t="shared" si="32"/>
        <v>0</v>
      </c>
      <c r="H82" s="798"/>
      <c r="I82" s="198">
        <v>15.58</v>
      </c>
      <c r="J82" s="198"/>
      <c r="K82" s="350">
        <f>SUM(I82:J82)</f>
        <v>15.58</v>
      </c>
      <c r="L82" s="576">
        <f t="shared" si="34"/>
        <v>20</v>
      </c>
      <c r="M82" s="668"/>
      <c r="O82" s="127">
        <f t="shared" si="35"/>
        <v>0</v>
      </c>
      <c r="P82" s="514">
        <f t="shared" si="36"/>
        <v>0</v>
      </c>
      <c r="Q82" s="514">
        <f t="shared" si="37"/>
        <v>20</v>
      </c>
      <c r="R82" s="531"/>
      <c r="T82" s="209" t="s">
        <v>330</v>
      </c>
      <c r="U82" s="813">
        <v>0.35</v>
      </c>
      <c r="V82" s="493"/>
      <c r="W82" s="17" t="s">
        <v>87</v>
      </c>
      <c r="X82" s="6"/>
      <c r="Y82" s="6"/>
    </row>
    <row r="83" spans="2:25" ht="18" customHeight="1" thickBot="1">
      <c r="B83" s="1331"/>
      <c r="C83" s="1328"/>
      <c r="D83" s="661" t="str">
        <f t="shared" si="31"/>
        <v>廃路盤材</v>
      </c>
      <c r="E83" s="239"/>
      <c r="F83" s="239" t="s">
        <v>118</v>
      </c>
      <c r="G83" s="257">
        <f t="shared" si="32"/>
        <v>0</v>
      </c>
      <c r="H83" s="783"/>
      <c r="I83" s="56">
        <v>213.8</v>
      </c>
      <c r="J83" s="56"/>
      <c r="K83" s="277">
        <f t="shared" ref="K83" si="38">SUM(I83:J83)</f>
        <v>213.8</v>
      </c>
      <c r="L83" s="579">
        <f t="shared" si="34"/>
        <v>210</v>
      </c>
      <c r="M83" s="668"/>
      <c r="O83" s="296">
        <f t="shared" si="35"/>
        <v>0</v>
      </c>
      <c r="P83" s="523">
        <f t="shared" si="36"/>
        <v>0</v>
      </c>
      <c r="Q83" s="523">
        <f t="shared" si="37"/>
        <v>210</v>
      </c>
      <c r="R83" s="546"/>
      <c r="T83" s="210" t="s">
        <v>330</v>
      </c>
      <c r="U83" s="817">
        <v>0.6</v>
      </c>
      <c r="V83" s="494"/>
      <c r="W83" s="18" t="s">
        <v>87</v>
      </c>
      <c r="X83" s="6"/>
      <c r="Y83" s="6"/>
    </row>
    <row r="84" spans="2:25" ht="18" customHeight="1" thickBot="1">
      <c r="B84" s="1331"/>
      <c r="C84" s="314" t="s">
        <v>199</v>
      </c>
      <c r="D84" s="326" t="s">
        <v>331</v>
      </c>
      <c r="E84" s="329"/>
      <c r="F84" s="329" t="s">
        <v>118</v>
      </c>
      <c r="G84" s="329"/>
      <c r="H84" s="800"/>
      <c r="I84" s="354">
        <f>SUM(I77:I79)</f>
        <v>0</v>
      </c>
      <c r="J84" s="354">
        <f>SUM(J77:J79)</f>
        <v>0</v>
      </c>
      <c r="K84" s="355">
        <f>SUM(I84:J84)</f>
        <v>0</v>
      </c>
      <c r="L84" s="580">
        <f t="shared" si="34"/>
        <v>0</v>
      </c>
      <c r="M84" s="668"/>
      <c r="O84" s="525">
        <f t="shared" si="35"/>
        <v>0</v>
      </c>
      <c r="P84" s="526">
        <f t="shared" si="36"/>
        <v>0</v>
      </c>
      <c r="Q84" s="526">
        <f>IF(AND($K84&gt;=10,$K84&lt;1000),ROUND($K84,-1),0)</f>
        <v>0</v>
      </c>
      <c r="R84" s="554">
        <f>IF($K84&gt;=1000,ROUND($K84,-2),0)</f>
        <v>0</v>
      </c>
      <c r="U84" s="746"/>
      <c r="X84" s="6"/>
      <c r="Y84" s="6"/>
    </row>
    <row r="85" spans="2:25" ht="18" customHeight="1">
      <c r="B85" s="1331"/>
      <c r="C85" s="1327" t="s">
        <v>250</v>
      </c>
      <c r="D85" s="657" t="str">
        <f>T85</f>
        <v>廃路盤材</v>
      </c>
      <c r="E85" s="666"/>
      <c r="F85" s="666" t="s">
        <v>118</v>
      </c>
      <c r="G85" s="258">
        <f>V85</f>
        <v>0</v>
      </c>
      <c r="H85" s="782"/>
      <c r="I85" s="414">
        <f>I84</f>
        <v>0</v>
      </c>
      <c r="J85" s="414">
        <f>J84</f>
        <v>0</v>
      </c>
      <c r="K85" s="276">
        <f>SUM(I85:J85)</f>
        <v>0</v>
      </c>
      <c r="L85" s="581">
        <f t="shared" si="34"/>
        <v>0</v>
      </c>
      <c r="M85" s="668"/>
      <c r="O85" s="197">
        <f t="shared" si="35"/>
        <v>0</v>
      </c>
      <c r="P85" s="521">
        <f t="shared" si="36"/>
        <v>0</v>
      </c>
      <c r="Q85" s="521">
        <f>IF($K85&gt;=10,ROUND($K85,-1),0)</f>
        <v>0</v>
      </c>
      <c r="R85" s="548"/>
      <c r="T85" s="208" t="s">
        <v>329</v>
      </c>
      <c r="U85" s="820" t="s">
        <v>116</v>
      </c>
      <c r="V85" s="492"/>
      <c r="W85" s="16" t="s">
        <v>87</v>
      </c>
      <c r="X85" s="6"/>
      <c r="Y85" s="6"/>
    </row>
    <row r="86" spans="2:25" ht="18" customHeight="1" thickBot="1">
      <c r="B86" s="1332"/>
      <c r="C86" s="1329"/>
      <c r="D86" s="662">
        <f>T86</f>
        <v>0</v>
      </c>
      <c r="E86" s="356"/>
      <c r="F86" s="663" t="s">
        <v>118</v>
      </c>
      <c r="G86" s="101">
        <f>V86</f>
        <v>0</v>
      </c>
      <c r="H86" s="830"/>
      <c r="I86" s="323"/>
      <c r="J86" s="323"/>
      <c r="K86" s="196">
        <f>SUM(I86:J86)</f>
        <v>0</v>
      </c>
      <c r="L86" s="577">
        <f t="shared" si="34"/>
        <v>0</v>
      </c>
      <c r="M86" s="668"/>
      <c r="O86" s="128">
        <f t="shared" si="35"/>
        <v>0</v>
      </c>
      <c r="P86" s="516">
        <f t="shared" si="36"/>
        <v>0</v>
      </c>
      <c r="Q86" s="516">
        <f>IF($K86&gt;=10,ROUND($K86,-1),0)</f>
        <v>0</v>
      </c>
      <c r="R86" s="532"/>
      <c r="T86" s="210"/>
      <c r="U86" s="817">
        <v>0.6</v>
      </c>
      <c r="V86" s="494"/>
      <c r="W86" s="18" t="s">
        <v>87</v>
      </c>
      <c r="X86" s="6"/>
      <c r="Y86" s="6"/>
    </row>
    <row r="87" spans="2:25" ht="18" customHeight="1">
      <c r="B87" s="1245" t="s">
        <v>334</v>
      </c>
      <c r="C87" s="1326" t="s">
        <v>249</v>
      </c>
      <c r="D87" s="660" t="str">
        <f t="shared" ref="D87:D90" si="39">T87</f>
        <v>土砂</v>
      </c>
      <c r="E87" s="43"/>
      <c r="F87" s="43" t="s">
        <v>116</v>
      </c>
      <c r="G87" s="99">
        <f t="shared" ref="G87:G90" si="40">V87</f>
        <v>0</v>
      </c>
      <c r="H87" s="786"/>
      <c r="I87" s="364"/>
      <c r="J87" s="364"/>
      <c r="K87" s="191">
        <f t="shared" ref="K87" si="41">SUM(I87:J87)</f>
        <v>0</v>
      </c>
      <c r="L87" s="575">
        <f t="shared" ref="L87:L93" si="42">SUM(O87:R87)</f>
        <v>0</v>
      </c>
      <c r="M87" s="668"/>
      <c r="O87" s="126">
        <f t="shared" si="35"/>
        <v>0</v>
      </c>
      <c r="P87" s="512">
        <f t="shared" si="36"/>
        <v>0</v>
      </c>
      <c r="Q87" s="512">
        <f t="shared" ref="Q87:Q90" si="43">IF($K87&gt;=10,ROUND($K87,-1),0)</f>
        <v>0</v>
      </c>
      <c r="R87" s="530"/>
      <c r="T87" s="351" t="s">
        <v>106</v>
      </c>
      <c r="U87" s="831" t="s">
        <v>116</v>
      </c>
      <c r="V87" s="497"/>
      <c r="W87" s="352" t="s">
        <v>87</v>
      </c>
      <c r="X87" s="6"/>
      <c r="Y87" s="6"/>
    </row>
    <row r="88" spans="2:25" ht="18" customHeight="1">
      <c r="B88" s="1246"/>
      <c r="C88" s="1327"/>
      <c r="D88" s="658" t="str">
        <f t="shared" si="39"/>
        <v>土砂</v>
      </c>
      <c r="E88" s="670"/>
      <c r="F88" s="670" t="s">
        <v>118</v>
      </c>
      <c r="G88" s="299">
        <f t="shared" si="40"/>
        <v>0</v>
      </c>
      <c r="H88" s="798"/>
      <c r="I88" s="198"/>
      <c r="J88" s="198"/>
      <c r="K88" s="350">
        <f>SUM(I88:J88)</f>
        <v>0</v>
      </c>
      <c r="L88" s="576">
        <f t="shared" si="42"/>
        <v>0</v>
      </c>
      <c r="M88" s="668"/>
      <c r="O88" s="127">
        <f t="shared" si="35"/>
        <v>0</v>
      </c>
      <c r="P88" s="514">
        <f t="shared" si="36"/>
        <v>0</v>
      </c>
      <c r="Q88" s="514">
        <f t="shared" si="43"/>
        <v>0</v>
      </c>
      <c r="R88" s="531"/>
      <c r="T88" s="209" t="s">
        <v>106</v>
      </c>
      <c r="U88" s="813">
        <v>0.35</v>
      </c>
      <c r="V88" s="493"/>
      <c r="W88" s="17" t="s">
        <v>87</v>
      </c>
      <c r="X88" s="6"/>
      <c r="Y88" s="6"/>
    </row>
    <row r="89" spans="2:25" ht="18" customHeight="1">
      <c r="B89" s="1246"/>
      <c r="C89" s="1327"/>
      <c r="D89" s="658" t="str">
        <f t="shared" si="39"/>
        <v>土砂</v>
      </c>
      <c r="E89" s="670"/>
      <c r="F89" s="670" t="s">
        <v>118</v>
      </c>
      <c r="G89" s="299">
        <f t="shared" si="40"/>
        <v>0</v>
      </c>
      <c r="H89" s="798"/>
      <c r="I89" s="198">
        <v>12.9</v>
      </c>
      <c r="J89" s="198"/>
      <c r="K89" s="350">
        <f>SUM(I89:J89)</f>
        <v>12.9</v>
      </c>
      <c r="L89" s="576">
        <f t="shared" si="42"/>
        <v>10</v>
      </c>
      <c r="M89" s="668"/>
      <c r="O89" s="127">
        <f t="shared" si="35"/>
        <v>0</v>
      </c>
      <c r="P89" s="514">
        <f t="shared" si="36"/>
        <v>0</v>
      </c>
      <c r="Q89" s="514">
        <f t="shared" si="43"/>
        <v>10</v>
      </c>
      <c r="R89" s="531"/>
      <c r="T89" s="209" t="s">
        <v>106</v>
      </c>
      <c r="U89" s="813">
        <v>0.35</v>
      </c>
      <c r="V89" s="493"/>
      <c r="W89" s="17" t="s">
        <v>87</v>
      </c>
      <c r="X89" s="6"/>
      <c r="Y89" s="6"/>
    </row>
    <row r="90" spans="2:25" ht="18" customHeight="1" thickBot="1">
      <c r="B90" s="1246"/>
      <c r="C90" s="1328"/>
      <c r="D90" s="661" t="str">
        <f t="shared" si="39"/>
        <v>土砂</v>
      </c>
      <c r="E90" s="239"/>
      <c r="F90" s="239" t="s">
        <v>118</v>
      </c>
      <c r="G90" s="257">
        <f t="shared" si="40"/>
        <v>0</v>
      </c>
      <c r="H90" s="783"/>
      <c r="I90" s="56"/>
      <c r="J90" s="56"/>
      <c r="K90" s="277">
        <f t="shared" ref="K90" si="44">SUM(I90:J90)</f>
        <v>0</v>
      </c>
      <c r="L90" s="579">
        <f t="shared" si="42"/>
        <v>0</v>
      </c>
      <c r="M90" s="668"/>
      <c r="O90" s="296">
        <f t="shared" si="35"/>
        <v>0</v>
      </c>
      <c r="P90" s="523">
        <f t="shared" si="36"/>
        <v>0</v>
      </c>
      <c r="Q90" s="523">
        <f t="shared" si="43"/>
        <v>0</v>
      </c>
      <c r="R90" s="546"/>
      <c r="T90" s="210" t="s">
        <v>106</v>
      </c>
      <c r="U90" s="817">
        <v>0.6</v>
      </c>
      <c r="V90" s="494"/>
      <c r="W90" s="18" t="s">
        <v>87</v>
      </c>
      <c r="X90" s="6"/>
      <c r="Y90" s="6"/>
    </row>
    <row r="91" spans="2:25" ht="18" customHeight="1" thickBot="1">
      <c r="B91" s="1246"/>
      <c r="C91" s="314" t="s">
        <v>199</v>
      </c>
      <c r="D91" s="326" t="s">
        <v>335</v>
      </c>
      <c r="E91" s="329"/>
      <c r="F91" s="329" t="s">
        <v>118</v>
      </c>
      <c r="G91" s="329"/>
      <c r="H91" s="800"/>
      <c r="I91" s="354">
        <f>SUM(I84:I86)</f>
        <v>0</v>
      </c>
      <c r="J91" s="354">
        <f>SUM(J84:J86)</f>
        <v>0</v>
      </c>
      <c r="K91" s="355">
        <f>SUM(I91:J91)</f>
        <v>0</v>
      </c>
      <c r="L91" s="580">
        <f t="shared" si="42"/>
        <v>0</v>
      </c>
      <c r="M91" s="668"/>
      <c r="O91" s="525">
        <f t="shared" si="35"/>
        <v>0</v>
      </c>
      <c r="P91" s="526">
        <f t="shared" si="36"/>
        <v>0</v>
      </c>
      <c r="Q91" s="526">
        <f>IF(AND($K91&gt;=10,$K91&lt;1000),ROUND($K91,-1),0)</f>
        <v>0</v>
      </c>
      <c r="R91" s="554">
        <f>IF($K91&gt;=1000,ROUND($K91,-2),0)</f>
        <v>0</v>
      </c>
      <c r="U91" s="746"/>
      <c r="X91" s="6"/>
      <c r="Y91" s="6"/>
    </row>
    <row r="92" spans="2:25" ht="18" customHeight="1">
      <c r="B92" s="1246"/>
      <c r="C92" s="1327" t="s">
        <v>250</v>
      </c>
      <c r="D92" s="657" t="str">
        <f>T92</f>
        <v>土砂</v>
      </c>
      <c r="E92" s="671"/>
      <c r="F92" s="671" t="s">
        <v>118</v>
      </c>
      <c r="G92" s="258">
        <f>V92</f>
        <v>0</v>
      </c>
      <c r="H92" s="782"/>
      <c r="I92" s="414">
        <f>I91</f>
        <v>0</v>
      </c>
      <c r="J92" s="414">
        <f>J91</f>
        <v>0</v>
      </c>
      <c r="K92" s="276">
        <f>SUM(I92:J92)</f>
        <v>0</v>
      </c>
      <c r="L92" s="581">
        <f t="shared" si="42"/>
        <v>0</v>
      </c>
      <c r="M92" s="668"/>
      <c r="O92" s="197">
        <f t="shared" si="35"/>
        <v>0</v>
      </c>
      <c r="P92" s="521">
        <f t="shared" si="36"/>
        <v>0</v>
      </c>
      <c r="Q92" s="521">
        <f>IF($K92&gt;=10,ROUND($K92,-1),0)</f>
        <v>0</v>
      </c>
      <c r="R92" s="548"/>
      <c r="T92" s="208" t="s">
        <v>106</v>
      </c>
      <c r="U92" s="820" t="s">
        <v>116</v>
      </c>
      <c r="V92" s="492"/>
      <c r="W92" s="16" t="s">
        <v>87</v>
      </c>
      <c r="X92" s="6"/>
      <c r="Y92" s="6"/>
    </row>
    <row r="93" spans="2:25" ht="18" customHeight="1" thickBot="1">
      <c r="B93" s="1247"/>
      <c r="C93" s="1329"/>
      <c r="D93" s="662">
        <f>T93</f>
        <v>0</v>
      </c>
      <c r="E93" s="356"/>
      <c r="F93" s="669" t="s">
        <v>118</v>
      </c>
      <c r="G93" s="101">
        <f>V93</f>
        <v>0</v>
      </c>
      <c r="H93" s="830"/>
      <c r="I93" s="323"/>
      <c r="J93" s="323"/>
      <c r="K93" s="196">
        <f>SUM(I93:J93)</f>
        <v>0</v>
      </c>
      <c r="L93" s="577">
        <f t="shared" si="42"/>
        <v>0</v>
      </c>
      <c r="M93" s="668"/>
      <c r="O93" s="128">
        <f t="shared" si="35"/>
        <v>0</v>
      </c>
      <c r="P93" s="516">
        <f t="shared" si="36"/>
        <v>0</v>
      </c>
      <c r="Q93" s="516">
        <f>IF($K93&gt;=10,ROUND($K93,-1),0)</f>
        <v>0</v>
      </c>
      <c r="R93" s="532"/>
      <c r="T93" s="210"/>
      <c r="U93" s="817">
        <v>0.6</v>
      </c>
      <c r="V93" s="494"/>
      <c r="W93" s="18" t="s">
        <v>87</v>
      </c>
      <c r="X93" s="6"/>
      <c r="Y93" s="6"/>
    </row>
    <row r="94" spans="2:25" ht="18" customHeight="1" thickBot="1">
      <c r="B94" s="888" t="s">
        <v>64</v>
      </c>
      <c r="C94" s="889"/>
      <c r="D94" s="1335" t="s">
        <v>384</v>
      </c>
      <c r="E94" s="1336"/>
      <c r="F94" s="1336"/>
      <c r="G94" s="142" t="s">
        <v>124</v>
      </c>
      <c r="H94" s="832" t="s">
        <v>328</v>
      </c>
      <c r="I94" s="190">
        <v>3.92</v>
      </c>
      <c r="J94" s="190"/>
      <c r="K94" s="191">
        <f>SUM(I94:J94)</f>
        <v>3.92</v>
      </c>
      <c r="L94" s="585">
        <f>SUM(O94:R94)</f>
        <v>4</v>
      </c>
      <c r="M94" s="667">
        <v>15</v>
      </c>
      <c r="N94" s="153"/>
      <c r="O94" s="126">
        <f t="shared" ref="O94:O113" si="45">IF($K94&lt;1,ROUND($K94,1),0)</f>
        <v>0</v>
      </c>
      <c r="P94" s="512">
        <f>IF(AND($K94&gt;=1,$K94&lt;1000),ROUND($K94,0),0)</f>
        <v>4</v>
      </c>
      <c r="Q94" s="512">
        <f>IF($K94&gt;=1000,ROUND($K94,-1),0)</f>
        <v>0</v>
      </c>
      <c r="R94" s="513"/>
      <c r="U94" s="6"/>
      <c r="V94" s="6"/>
      <c r="W94" s="6"/>
      <c r="X94" s="6"/>
      <c r="Y94" s="6"/>
    </row>
    <row r="95" spans="2:25" ht="18" customHeight="1">
      <c r="B95" s="1339"/>
      <c r="C95" s="1342"/>
      <c r="D95" s="1333" t="s">
        <v>384</v>
      </c>
      <c r="E95" s="1334"/>
      <c r="F95" s="1334"/>
      <c r="G95" s="143" t="s">
        <v>125</v>
      </c>
      <c r="H95" s="144" t="s">
        <v>328</v>
      </c>
      <c r="I95" s="192">
        <v>40.380000000000003</v>
      </c>
      <c r="J95" s="192"/>
      <c r="K95" s="193">
        <f>SUM(I95:J95)</f>
        <v>40.380000000000003</v>
      </c>
      <c r="L95" s="586">
        <f>SUM(O95:R95)</f>
        <v>40</v>
      </c>
      <c r="M95" s="288">
        <v>20</v>
      </c>
      <c r="N95" s="150"/>
      <c r="O95" s="197">
        <f t="shared" si="45"/>
        <v>0</v>
      </c>
      <c r="P95" s="521">
        <f t="shared" ref="P95:P113" si="46">IF(AND($K95&gt;=1,$K95&lt;1000),ROUND($K95,0),0)</f>
        <v>40</v>
      </c>
      <c r="Q95" s="521">
        <f t="shared" ref="Q95:Q113" si="47">IF($K95&gt;=1000,ROUND($K95,-1),0)</f>
        <v>0</v>
      </c>
      <c r="R95" s="522"/>
      <c r="T95" s="218" t="s">
        <v>135</v>
      </c>
      <c r="U95" s="155" t="s">
        <v>138</v>
      </c>
      <c r="V95" s="233" t="s">
        <v>181</v>
      </c>
      <c r="W95" s="155" t="s">
        <v>79</v>
      </c>
      <c r="X95" s="155" t="s">
        <v>90</v>
      </c>
      <c r="Y95" s="156" t="s">
        <v>91</v>
      </c>
    </row>
    <row r="96" spans="2:25" ht="18" customHeight="1">
      <c r="B96" s="1339"/>
      <c r="C96" s="1342"/>
      <c r="D96" s="1291" t="s">
        <v>268</v>
      </c>
      <c r="E96" s="1292"/>
      <c r="F96" s="1292"/>
      <c r="G96" s="145" t="s">
        <v>124</v>
      </c>
      <c r="H96" s="146" t="s">
        <v>328</v>
      </c>
      <c r="I96" s="194">
        <v>1513.86</v>
      </c>
      <c r="J96" s="194"/>
      <c r="K96" s="193">
        <f t="shared" ref="K96:K113" si="48">SUM(I96:J96)</f>
        <v>1513.86</v>
      </c>
      <c r="L96" s="586">
        <f t="shared" ref="L96:L112" si="49">SUM(O96:R96)</f>
        <v>1510</v>
      </c>
      <c r="M96" s="288">
        <v>10</v>
      </c>
      <c r="N96" s="150"/>
      <c r="O96" s="197">
        <f t="shared" si="45"/>
        <v>0</v>
      </c>
      <c r="P96" s="521">
        <f t="shared" si="46"/>
        <v>0</v>
      </c>
      <c r="Q96" s="521">
        <f t="shared" si="47"/>
        <v>1510</v>
      </c>
      <c r="R96" s="522"/>
      <c r="T96" s="221" t="s">
        <v>141</v>
      </c>
      <c r="U96" s="219" t="s">
        <v>139</v>
      </c>
      <c r="V96" s="232">
        <v>12.19</v>
      </c>
      <c r="W96" s="499"/>
      <c r="X96" s="236">
        <f>ROUNDDOWN(V96*W96,1)</f>
        <v>0</v>
      </c>
      <c r="Y96" s="217"/>
    </row>
    <row r="97" spans="2:25" ht="18" customHeight="1">
      <c r="B97" s="1339"/>
      <c r="C97" s="1342"/>
      <c r="D97" s="1293" t="s">
        <v>268</v>
      </c>
      <c r="E97" s="1294"/>
      <c r="F97" s="1294"/>
      <c r="G97" s="143" t="s">
        <v>125</v>
      </c>
      <c r="H97" s="144" t="s">
        <v>328</v>
      </c>
      <c r="I97" s="192">
        <v>2717.74</v>
      </c>
      <c r="J97" s="192"/>
      <c r="K97" s="193">
        <f t="shared" si="48"/>
        <v>2717.74</v>
      </c>
      <c r="L97" s="586">
        <f t="shared" si="49"/>
        <v>2720</v>
      </c>
      <c r="M97" s="288">
        <v>15</v>
      </c>
      <c r="N97" s="150"/>
      <c r="O97" s="197">
        <f t="shared" si="45"/>
        <v>0</v>
      </c>
      <c r="P97" s="521">
        <f t="shared" si="46"/>
        <v>0</v>
      </c>
      <c r="Q97" s="521">
        <f t="shared" si="47"/>
        <v>2720</v>
      </c>
      <c r="R97" s="522"/>
      <c r="T97" s="220" t="s">
        <v>136</v>
      </c>
      <c r="U97" s="219" t="s">
        <v>140</v>
      </c>
      <c r="V97" s="232">
        <v>9.4700000000000006</v>
      </c>
      <c r="W97" s="499"/>
      <c r="X97" s="236">
        <f t="shared" ref="X97:X159" si="50">ROUNDDOWN(V97*W97,1)</f>
        <v>0</v>
      </c>
      <c r="Y97" s="217"/>
    </row>
    <row r="98" spans="2:25" ht="18" customHeight="1">
      <c r="B98" s="1339"/>
      <c r="C98" s="1342"/>
      <c r="D98" s="1291" t="s">
        <v>385</v>
      </c>
      <c r="E98" s="1292"/>
      <c r="F98" s="1292"/>
      <c r="G98" s="145" t="s">
        <v>388</v>
      </c>
      <c r="H98" s="146" t="s">
        <v>400</v>
      </c>
      <c r="I98" s="194">
        <v>184.7</v>
      </c>
      <c r="J98" s="194"/>
      <c r="K98" s="193">
        <f t="shared" si="48"/>
        <v>184.7</v>
      </c>
      <c r="L98" s="586">
        <f t="shared" si="49"/>
        <v>185</v>
      </c>
      <c r="M98" s="288">
        <v>19</v>
      </c>
      <c r="N98" s="150"/>
      <c r="O98" s="197">
        <f t="shared" si="45"/>
        <v>0</v>
      </c>
      <c r="P98" s="521">
        <f t="shared" si="46"/>
        <v>185</v>
      </c>
      <c r="Q98" s="521">
        <f t="shared" si="47"/>
        <v>0</v>
      </c>
      <c r="R98" s="522"/>
      <c r="T98" s="222">
        <v>20</v>
      </c>
      <c r="U98" s="219" t="s">
        <v>142</v>
      </c>
      <c r="V98" s="232">
        <v>15.1</v>
      </c>
      <c r="W98" s="499"/>
      <c r="X98" s="236">
        <f t="shared" si="50"/>
        <v>0</v>
      </c>
      <c r="Y98" s="217"/>
    </row>
    <row r="99" spans="2:25" ht="18" customHeight="1">
      <c r="B99" s="1339"/>
      <c r="C99" s="1342"/>
      <c r="D99" s="1293" t="s">
        <v>387</v>
      </c>
      <c r="E99" s="1294"/>
      <c r="F99" s="1294"/>
      <c r="G99" s="143" t="s">
        <v>124</v>
      </c>
      <c r="H99" s="144" t="s">
        <v>327</v>
      </c>
      <c r="I99" s="192">
        <v>1.8</v>
      </c>
      <c r="J99" s="192"/>
      <c r="K99" s="193">
        <f t="shared" si="48"/>
        <v>1.8</v>
      </c>
      <c r="L99" s="586">
        <f t="shared" si="49"/>
        <v>2</v>
      </c>
      <c r="M99" s="288">
        <v>10</v>
      </c>
      <c r="N99" s="150"/>
      <c r="O99" s="197">
        <f t="shared" si="45"/>
        <v>0</v>
      </c>
      <c r="P99" s="521">
        <f t="shared" si="46"/>
        <v>2</v>
      </c>
      <c r="Q99" s="521">
        <f t="shared" si="47"/>
        <v>0</v>
      </c>
      <c r="R99" s="522"/>
      <c r="T99" s="222">
        <v>30</v>
      </c>
      <c r="U99" s="219" t="s">
        <v>140</v>
      </c>
      <c r="V99" s="232">
        <v>15.7</v>
      </c>
      <c r="W99" s="499"/>
      <c r="X99" s="236">
        <f t="shared" si="50"/>
        <v>0</v>
      </c>
      <c r="Y99" s="217"/>
    </row>
    <row r="100" spans="2:25" ht="18" customHeight="1">
      <c r="B100" s="1339"/>
      <c r="C100" s="1342"/>
      <c r="D100" s="1291" t="s">
        <v>386</v>
      </c>
      <c r="E100" s="1292"/>
      <c r="F100" s="1292"/>
      <c r="G100" s="145" t="s">
        <v>125</v>
      </c>
      <c r="H100" s="146" t="s">
        <v>327</v>
      </c>
      <c r="I100" s="194">
        <v>13.8</v>
      </c>
      <c r="J100" s="194"/>
      <c r="K100" s="193">
        <f t="shared" si="48"/>
        <v>13.8</v>
      </c>
      <c r="L100" s="586">
        <f t="shared" si="49"/>
        <v>14</v>
      </c>
      <c r="M100" s="288">
        <v>15</v>
      </c>
      <c r="N100" s="150"/>
      <c r="O100" s="197">
        <f t="shared" si="45"/>
        <v>0</v>
      </c>
      <c r="P100" s="521">
        <f t="shared" si="46"/>
        <v>14</v>
      </c>
      <c r="Q100" s="521">
        <f t="shared" si="47"/>
        <v>0</v>
      </c>
      <c r="R100" s="522"/>
      <c r="T100" s="222">
        <v>40</v>
      </c>
      <c r="U100" s="219" t="s">
        <v>140</v>
      </c>
      <c r="V100" s="232">
        <v>19.100000000000001</v>
      </c>
      <c r="W100" s="499"/>
      <c r="X100" s="236">
        <f t="shared" si="50"/>
        <v>0</v>
      </c>
      <c r="Y100" s="217"/>
    </row>
    <row r="101" spans="2:25" ht="18" customHeight="1">
      <c r="B101" s="1339"/>
      <c r="C101" s="1342"/>
      <c r="D101" s="1293" t="s">
        <v>389</v>
      </c>
      <c r="E101" s="1294"/>
      <c r="F101" s="1294"/>
      <c r="G101" s="143" t="s">
        <v>388</v>
      </c>
      <c r="H101" s="144" t="s">
        <v>327</v>
      </c>
      <c r="I101" s="192">
        <v>8.1</v>
      </c>
      <c r="J101" s="192"/>
      <c r="K101" s="193">
        <f t="shared" si="48"/>
        <v>8.1</v>
      </c>
      <c r="L101" s="586">
        <f t="shared" si="49"/>
        <v>8</v>
      </c>
      <c r="M101" s="288">
        <v>14</v>
      </c>
      <c r="N101" s="150"/>
      <c r="O101" s="197">
        <f t="shared" si="45"/>
        <v>0</v>
      </c>
      <c r="P101" s="521">
        <f t="shared" si="46"/>
        <v>8</v>
      </c>
      <c r="Q101" s="521">
        <f t="shared" si="47"/>
        <v>0</v>
      </c>
      <c r="R101" s="522"/>
      <c r="T101" s="222">
        <v>50</v>
      </c>
      <c r="U101" s="219" t="s">
        <v>140</v>
      </c>
      <c r="V101" s="232">
        <v>17.899999999999999</v>
      </c>
      <c r="W101" s="499"/>
      <c r="X101" s="236">
        <f t="shared" si="50"/>
        <v>0</v>
      </c>
      <c r="Y101" s="217"/>
    </row>
    <row r="102" spans="2:25" ht="18" customHeight="1">
      <c r="B102" s="1339"/>
      <c r="C102" s="1342"/>
      <c r="D102" s="1291"/>
      <c r="E102" s="1292"/>
      <c r="F102" s="1292"/>
      <c r="G102" s="145"/>
      <c r="H102" s="146"/>
      <c r="I102" s="194"/>
      <c r="J102" s="194"/>
      <c r="K102" s="193">
        <f t="shared" si="48"/>
        <v>0</v>
      </c>
      <c r="L102" s="586">
        <f t="shared" si="49"/>
        <v>0</v>
      </c>
      <c r="M102" s="288"/>
      <c r="N102" s="150"/>
      <c r="O102" s="197">
        <f t="shared" si="45"/>
        <v>0</v>
      </c>
      <c r="P102" s="521">
        <f t="shared" si="46"/>
        <v>0</v>
      </c>
      <c r="Q102" s="521">
        <f t="shared" si="47"/>
        <v>0</v>
      </c>
      <c r="R102" s="522"/>
      <c r="T102" s="222">
        <v>60</v>
      </c>
      <c r="U102" s="219" t="s">
        <v>140</v>
      </c>
      <c r="V102" s="232">
        <v>21</v>
      </c>
      <c r="W102" s="499"/>
      <c r="X102" s="236">
        <f t="shared" si="50"/>
        <v>0</v>
      </c>
      <c r="Y102" s="217"/>
    </row>
    <row r="103" spans="2:25" ht="18" customHeight="1">
      <c r="B103" s="1339"/>
      <c r="C103" s="1342"/>
      <c r="D103" s="1293"/>
      <c r="E103" s="1294"/>
      <c r="F103" s="1294"/>
      <c r="G103" s="143"/>
      <c r="H103" s="144"/>
      <c r="I103" s="192"/>
      <c r="J103" s="192"/>
      <c r="K103" s="193">
        <f t="shared" si="48"/>
        <v>0</v>
      </c>
      <c r="L103" s="586">
        <f t="shared" si="49"/>
        <v>0</v>
      </c>
      <c r="M103" s="288"/>
      <c r="N103" s="150"/>
      <c r="O103" s="197">
        <f t="shared" si="45"/>
        <v>0</v>
      </c>
      <c r="P103" s="521">
        <f t="shared" si="46"/>
        <v>0</v>
      </c>
      <c r="Q103" s="521">
        <f t="shared" si="47"/>
        <v>0</v>
      </c>
      <c r="R103" s="522"/>
      <c r="T103" s="222" t="s">
        <v>145</v>
      </c>
      <c r="U103" s="219" t="s">
        <v>143</v>
      </c>
      <c r="V103" s="232">
        <v>7.63</v>
      </c>
      <c r="W103" s="499"/>
      <c r="X103" s="236">
        <f t="shared" si="50"/>
        <v>0</v>
      </c>
      <c r="Y103" s="217"/>
    </row>
    <row r="104" spans="2:25" ht="18" customHeight="1">
      <c r="B104" s="1339"/>
      <c r="C104" s="1342"/>
      <c r="D104" s="1291"/>
      <c r="E104" s="1292"/>
      <c r="F104" s="1292"/>
      <c r="G104" s="145"/>
      <c r="H104" s="146"/>
      <c r="I104" s="194"/>
      <c r="J104" s="194"/>
      <c r="K104" s="193">
        <f t="shared" si="48"/>
        <v>0</v>
      </c>
      <c r="L104" s="586">
        <f t="shared" si="49"/>
        <v>0</v>
      </c>
      <c r="M104" s="288"/>
      <c r="N104" s="150"/>
      <c r="O104" s="197">
        <f t="shared" si="45"/>
        <v>0</v>
      </c>
      <c r="P104" s="521">
        <f t="shared" si="46"/>
        <v>0</v>
      </c>
      <c r="Q104" s="521">
        <f t="shared" si="47"/>
        <v>0</v>
      </c>
      <c r="R104" s="522"/>
      <c r="T104" s="222" t="s">
        <v>146</v>
      </c>
      <c r="U104" s="219" t="s">
        <v>140</v>
      </c>
      <c r="V104" s="232">
        <v>7.02</v>
      </c>
      <c r="W104" s="499"/>
      <c r="X104" s="236">
        <f t="shared" si="50"/>
        <v>0</v>
      </c>
      <c r="Y104" s="217"/>
    </row>
    <row r="105" spans="2:25" ht="18" customHeight="1">
      <c r="B105" s="1339"/>
      <c r="C105" s="1342"/>
      <c r="D105" s="1293"/>
      <c r="E105" s="1294"/>
      <c r="F105" s="1294"/>
      <c r="G105" s="143"/>
      <c r="H105" s="144"/>
      <c r="I105" s="192"/>
      <c r="J105" s="192"/>
      <c r="K105" s="193">
        <f t="shared" si="48"/>
        <v>0</v>
      </c>
      <c r="L105" s="586">
        <f t="shared" si="49"/>
        <v>0</v>
      </c>
      <c r="M105" s="288"/>
      <c r="N105" s="150"/>
      <c r="O105" s="197">
        <f t="shared" si="45"/>
        <v>0</v>
      </c>
      <c r="P105" s="521">
        <f t="shared" si="46"/>
        <v>0</v>
      </c>
      <c r="Q105" s="521">
        <f t="shared" si="47"/>
        <v>0</v>
      </c>
      <c r="R105" s="522"/>
      <c r="T105" s="222" t="s">
        <v>270</v>
      </c>
      <c r="U105" s="219" t="s">
        <v>140</v>
      </c>
      <c r="V105" s="232">
        <v>15.1</v>
      </c>
      <c r="W105" s="499"/>
      <c r="X105" s="236">
        <f t="shared" si="50"/>
        <v>0</v>
      </c>
      <c r="Y105" s="217"/>
    </row>
    <row r="106" spans="2:25" ht="18" customHeight="1">
      <c r="B106" s="1339"/>
      <c r="C106" s="1342"/>
      <c r="D106" s="1291"/>
      <c r="E106" s="1292"/>
      <c r="F106" s="1292"/>
      <c r="G106" s="145"/>
      <c r="H106" s="146"/>
      <c r="I106" s="194"/>
      <c r="J106" s="194"/>
      <c r="K106" s="193">
        <f t="shared" si="48"/>
        <v>0</v>
      </c>
      <c r="L106" s="586">
        <f t="shared" si="49"/>
        <v>0</v>
      </c>
      <c r="M106" s="288"/>
      <c r="N106" s="150"/>
      <c r="O106" s="197">
        <f t="shared" si="45"/>
        <v>0</v>
      </c>
      <c r="P106" s="521">
        <f t="shared" si="46"/>
        <v>0</v>
      </c>
      <c r="Q106" s="521">
        <f t="shared" si="47"/>
        <v>0</v>
      </c>
      <c r="R106" s="522"/>
      <c r="T106" s="222" t="s">
        <v>148</v>
      </c>
      <c r="U106" s="219" t="s">
        <v>140</v>
      </c>
      <c r="V106" s="232">
        <v>13.5</v>
      </c>
      <c r="W106" s="499"/>
      <c r="X106" s="236">
        <f t="shared" si="50"/>
        <v>0</v>
      </c>
      <c r="Y106" s="217"/>
    </row>
    <row r="107" spans="2:25" ht="18" customHeight="1">
      <c r="B107" s="1339"/>
      <c r="C107" s="1342"/>
      <c r="D107" s="1293"/>
      <c r="E107" s="1294"/>
      <c r="F107" s="1294"/>
      <c r="G107" s="143"/>
      <c r="H107" s="144"/>
      <c r="I107" s="192"/>
      <c r="J107" s="192"/>
      <c r="K107" s="193">
        <f t="shared" si="48"/>
        <v>0</v>
      </c>
      <c r="L107" s="586">
        <f t="shared" si="49"/>
        <v>0</v>
      </c>
      <c r="M107" s="288"/>
      <c r="N107" s="150"/>
      <c r="O107" s="197">
        <f t="shared" si="45"/>
        <v>0</v>
      </c>
      <c r="P107" s="521">
        <f t="shared" si="46"/>
        <v>0</v>
      </c>
      <c r="Q107" s="521">
        <f t="shared" si="47"/>
        <v>0</v>
      </c>
      <c r="R107" s="522"/>
      <c r="T107" s="222" t="s">
        <v>149</v>
      </c>
      <c r="U107" s="219" t="s">
        <v>140</v>
      </c>
      <c r="V107" s="232">
        <v>13.54</v>
      </c>
      <c r="W107" s="499"/>
      <c r="X107" s="236">
        <f t="shared" si="50"/>
        <v>0</v>
      </c>
      <c r="Y107" s="217"/>
    </row>
    <row r="108" spans="2:25" ht="18" customHeight="1">
      <c r="B108" s="1339"/>
      <c r="C108" s="1342"/>
      <c r="D108" s="1291"/>
      <c r="E108" s="1292"/>
      <c r="F108" s="1292"/>
      <c r="G108" s="145"/>
      <c r="H108" s="146"/>
      <c r="I108" s="194"/>
      <c r="J108" s="194"/>
      <c r="K108" s="193">
        <f t="shared" si="48"/>
        <v>0</v>
      </c>
      <c r="L108" s="586">
        <f t="shared" si="49"/>
        <v>0</v>
      </c>
      <c r="M108" s="288"/>
      <c r="N108" s="150"/>
      <c r="O108" s="197">
        <f t="shared" si="45"/>
        <v>0</v>
      </c>
      <c r="P108" s="521">
        <f t="shared" si="46"/>
        <v>0</v>
      </c>
      <c r="Q108" s="521">
        <f t="shared" si="47"/>
        <v>0</v>
      </c>
      <c r="R108" s="522"/>
      <c r="T108" s="222" t="s">
        <v>150</v>
      </c>
      <c r="U108" s="219" t="s">
        <v>140</v>
      </c>
      <c r="V108" s="232">
        <v>9.81</v>
      </c>
      <c r="W108" s="499"/>
      <c r="X108" s="236">
        <f t="shared" si="50"/>
        <v>0</v>
      </c>
      <c r="Y108" s="217"/>
    </row>
    <row r="109" spans="2:25" ht="18" customHeight="1">
      <c r="B109" s="1339"/>
      <c r="C109" s="1342"/>
      <c r="D109" s="1293"/>
      <c r="E109" s="1294"/>
      <c r="F109" s="1294"/>
      <c r="G109" s="143"/>
      <c r="H109" s="144"/>
      <c r="I109" s="192"/>
      <c r="J109" s="192"/>
      <c r="K109" s="193">
        <f t="shared" si="48"/>
        <v>0</v>
      </c>
      <c r="L109" s="586">
        <f t="shared" si="49"/>
        <v>0</v>
      </c>
      <c r="M109" s="288"/>
      <c r="N109" s="150"/>
      <c r="O109" s="197">
        <f t="shared" si="45"/>
        <v>0</v>
      </c>
      <c r="P109" s="521">
        <f t="shared" si="46"/>
        <v>0</v>
      </c>
      <c r="Q109" s="521">
        <f t="shared" si="47"/>
        <v>0</v>
      </c>
      <c r="R109" s="522"/>
      <c r="T109" s="222" t="str">
        <f>"7－9"</f>
        <v>7－9</v>
      </c>
      <c r="U109" s="219" t="s">
        <v>144</v>
      </c>
      <c r="V109" s="232">
        <v>5.13</v>
      </c>
      <c r="W109" s="499"/>
      <c r="X109" s="236">
        <f t="shared" si="50"/>
        <v>0</v>
      </c>
      <c r="Y109" s="217"/>
    </row>
    <row r="110" spans="2:25" ht="18" customHeight="1">
      <c r="B110" s="1339"/>
      <c r="C110" s="1342"/>
      <c r="D110" s="1291"/>
      <c r="E110" s="1292"/>
      <c r="F110" s="1292"/>
      <c r="G110" s="145"/>
      <c r="H110" s="146"/>
      <c r="I110" s="194"/>
      <c r="J110" s="194"/>
      <c r="K110" s="193">
        <f t="shared" si="48"/>
        <v>0</v>
      </c>
      <c r="L110" s="586">
        <f t="shared" si="49"/>
        <v>0</v>
      </c>
      <c r="M110" s="288"/>
      <c r="N110" s="150"/>
      <c r="O110" s="197">
        <f t="shared" si="45"/>
        <v>0</v>
      </c>
      <c r="P110" s="521">
        <f t="shared" si="46"/>
        <v>0</v>
      </c>
      <c r="Q110" s="521">
        <f t="shared" si="47"/>
        <v>0</v>
      </c>
      <c r="R110" s="522"/>
      <c r="T110" s="222" t="str">
        <f>"17－19"</f>
        <v>17－19</v>
      </c>
      <c r="U110" s="219" t="s">
        <v>140</v>
      </c>
      <c r="V110" s="232">
        <v>7.13</v>
      </c>
      <c r="W110" s="499"/>
      <c r="X110" s="236">
        <f t="shared" si="50"/>
        <v>0</v>
      </c>
      <c r="Y110" s="217"/>
    </row>
    <row r="111" spans="2:25" ht="18" customHeight="1">
      <c r="B111" s="1339"/>
      <c r="C111" s="1342"/>
      <c r="D111" s="1293"/>
      <c r="E111" s="1294"/>
      <c r="F111" s="1294"/>
      <c r="G111" s="143"/>
      <c r="H111" s="144"/>
      <c r="I111" s="192"/>
      <c r="J111" s="192"/>
      <c r="K111" s="193">
        <f t="shared" si="48"/>
        <v>0</v>
      </c>
      <c r="L111" s="586">
        <f t="shared" si="49"/>
        <v>0</v>
      </c>
      <c r="M111" s="288"/>
      <c r="N111" s="150"/>
      <c r="O111" s="197">
        <f t="shared" si="45"/>
        <v>0</v>
      </c>
      <c r="P111" s="521">
        <f t="shared" si="46"/>
        <v>0</v>
      </c>
      <c r="Q111" s="521">
        <f t="shared" si="47"/>
        <v>0</v>
      </c>
      <c r="R111" s="522"/>
      <c r="T111" s="222" t="s">
        <v>153</v>
      </c>
      <c r="U111" s="219" t="s">
        <v>152</v>
      </c>
      <c r="V111" s="232">
        <v>10.92</v>
      </c>
      <c r="W111" s="499"/>
      <c r="X111" s="236">
        <f t="shared" si="50"/>
        <v>0</v>
      </c>
      <c r="Y111" s="217"/>
    </row>
    <row r="112" spans="2:25" ht="18" customHeight="1">
      <c r="B112" s="1339"/>
      <c r="C112" s="1342"/>
      <c r="D112" s="1291"/>
      <c r="E112" s="1292"/>
      <c r="F112" s="1292"/>
      <c r="G112" s="145"/>
      <c r="H112" s="146"/>
      <c r="I112" s="194"/>
      <c r="J112" s="194"/>
      <c r="K112" s="193">
        <f t="shared" si="48"/>
        <v>0</v>
      </c>
      <c r="L112" s="586">
        <f t="shared" si="49"/>
        <v>0</v>
      </c>
      <c r="M112" s="288"/>
      <c r="N112" s="150"/>
      <c r="O112" s="197">
        <f t="shared" si="45"/>
        <v>0</v>
      </c>
      <c r="P112" s="521">
        <f t="shared" si="46"/>
        <v>0</v>
      </c>
      <c r="Q112" s="521">
        <f t="shared" si="47"/>
        <v>0</v>
      </c>
      <c r="R112" s="522"/>
      <c r="T112" s="222" t="s">
        <v>154</v>
      </c>
      <c r="U112" s="219" t="s">
        <v>140</v>
      </c>
      <c r="V112" s="232">
        <v>10.68</v>
      </c>
      <c r="W112" s="499"/>
      <c r="X112" s="236">
        <f t="shared" si="50"/>
        <v>0</v>
      </c>
      <c r="Y112" s="217"/>
    </row>
    <row r="113" spans="2:25" ht="12.5" thickBot="1">
      <c r="B113" s="891"/>
      <c r="C113" s="892"/>
      <c r="D113" s="1258"/>
      <c r="E113" s="1259"/>
      <c r="F113" s="1259"/>
      <c r="G113" s="147"/>
      <c r="H113" s="144"/>
      <c r="I113" s="195"/>
      <c r="J113" s="195"/>
      <c r="K113" s="193">
        <f t="shared" si="48"/>
        <v>0</v>
      </c>
      <c r="L113" s="587">
        <f>SUM(O113:R113)</f>
        <v>0</v>
      </c>
      <c r="M113" s="287"/>
      <c r="N113" s="150"/>
      <c r="O113" s="295">
        <f t="shared" si="45"/>
        <v>0</v>
      </c>
      <c r="P113" s="528">
        <f t="shared" si="46"/>
        <v>0</v>
      </c>
      <c r="Q113" s="528">
        <f t="shared" si="47"/>
        <v>0</v>
      </c>
      <c r="R113" s="529"/>
      <c r="T113" s="222" t="s">
        <v>155</v>
      </c>
      <c r="U113" s="219" t="s">
        <v>140</v>
      </c>
      <c r="V113" s="232">
        <v>10.92</v>
      </c>
      <c r="W113" s="499"/>
      <c r="X113" s="236">
        <f t="shared" si="50"/>
        <v>0</v>
      </c>
      <c r="Y113" s="217"/>
    </row>
    <row r="114" spans="2:25" ht="12">
      <c r="B114" s="888" t="s">
        <v>85</v>
      </c>
      <c r="C114" s="890"/>
      <c r="D114" s="510" t="s">
        <v>296</v>
      </c>
      <c r="E114" s="509" t="s">
        <v>295</v>
      </c>
      <c r="F114" s="1340" t="s">
        <v>299</v>
      </c>
      <c r="G114" s="1341"/>
      <c r="H114" s="500"/>
      <c r="I114" s="583"/>
      <c r="J114" s="583"/>
      <c r="K114" s="584">
        <f>SUM(I114:J114)</f>
        <v>0</v>
      </c>
      <c r="L114" s="585"/>
      <c r="O114" s="126"/>
      <c r="P114" s="512"/>
      <c r="Q114" s="512"/>
      <c r="R114" s="513"/>
      <c r="T114" s="222" t="s">
        <v>156</v>
      </c>
      <c r="U114" s="219" t="s">
        <v>140</v>
      </c>
      <c r="V114" s="232">
        <v>6.3</v>
      </c>
      <c r="W114" s="499"/>
      <c r="X114" s="236">
        <f t="shared" si="50"/>
        <v>0</v>
      </c>
      <c r="Y114" s="217"/>
    </row>
    <row r="115" spans="2:25" ht="18" customHeight="1">
      <c r="B115" s="1339"/>
      <c r="C115" s="1062"/>
      <c r="D115" s="1298" t="s">
        <v>283</v>
      </c>
      <c r="E115" s="503" t="s">
        <v>284</v>
      </c>
      <c r="F115" s="1289" t="s">
        <v>300</v>
      </c>
      <c r="G115" s="1290"/>
      <c r="H115" s="506" t="s">
        <v>285</v>
      </c>
      <c r="I115" s="139">
        <v>346.6</v>
      </c>
      <c r="J115" s="139"/>
      <c r="K115" s="140">
        <f>SUM(I115:J115)</f>
        <v>346.6</v>
      </c>
      <c r="L115" s="586">
        <f>SUM(O115:R115)</f>
        <v>350</v>
      </c>
      <c r="O115" s="197">
        <f t="shared" ref="O115:O129" si="51">IF($K115&lt;1,ROUND($K115,1),0)</f>
        <v>0</v>
      </c>
      <c r="P115" s="521">
        <f>IF(AND($K115&gt;=1,$K115&lt;100),ROUND($K115,0),0)</f>
        <v>0</v>
      </c>
      <c r="Q115" s="521">
        <f>IF($K115&gt;=100,ROUND($K115,-1),0)</f>
        <v>350</v>
      </c>
      <c r="R115" s="522"/>
      <c r="T115" s="222" t="s">
        <v>157</v>
      </c>
      <c r="U115" s="219" t="s">
        <v>140</v>
      </c>
      <c r="V115" s="232">
        <v>13.27</v>
      </c>
      <c r="W115" s="499"/>
      <c r="X115" s="236">
        <f t="shared" si="50"/>
        <v>0</v>
      </c>
      <c r="Y115" s="217"/>
    </row>
    <row r="116" spans="2:25" ht="18" customHeight="1">
      <c r="B116" s="1339"/>
      <c r="C116" s="1062"/>
      <c r="D116" s="1299"/>
      <c r="E116" s="508" t="s">
        <v>284</v>
      </c>
      <c r="F116" s="1287" t="s">
        <v>300</v>
      </c>
      <c r="G116" s="1288"/>
      <c r="H116" s="504" t="s">
        <v>286</v>
      </c>
      <c r="I116" s="138"/>
      <c r="J116" s="138"/>
      <c r="K116" s="140">
        <f t="shared" ref="K116:K128" si="52">SUM(I116:J116)</f>
        <v>0</v>
      </c>
      <c r="L116" s="586">
        <f t="shared" ref="L116:L129" si="53">SUM(O116:R116)</f>
        <v>0</v>
      </c>
      <c r="O116" s="197">
        <f t="shared" si="51"/>
        <v>0</v>
      </c>
      <c r="P116" s="521">
        <f t="shared" ref="P116:P129" si="54">IF(AND($K116&gt;=1,$K116&lt;100),ROUND($K116,0),0)</f>
        <v>0</v>
      </c>
      <c r="Q116" s="521">
        <f t="shared" ref="Q116:Q129" si="55">IF($K116&gt;=100,ROUND($K116,-1),0)</f>
        <v>0</v>
      </c>
      <c r="R116" s="522"/>
      <c r="T116" s="222" t="s">
        <v>147</v>
      </c>
      <c r="U116" s="219" t="s">
        <v>140</v>
      </c>
      <c r="V116" s="232">
        <v>15.1</v>
      </c>
      <c r="W116" s="499"/>
      <c r="X116" s="236">
        <f t="shared" si="50"/>
        <v>0</v>
      </c>
      <c r="Y116" s="217"/>
    </row>
    <row r="117" spans="2:25" ht="18" customHeight="1">
      <c r="B117" s="1339"/>
      <c r="C117" s="1062"/>
      <c r="D117" s="1299"/>
      <c r="E117" s="503" t="s">
        <v>284</v>
      </c>
      <c r="F117" s="1289" t="s">
        <v>301</v>
      </c>
      <c r="G117" s="1290"/>
      <c r="H117" s="504" t="s">
        <v>287</v>
      </c>
      <c r="I117" s="139"/>
      <c r="J117" s="139"/>
      <c r="K117" s="140">
        <f t="shared" si="52"/>
        <v>0</v>
      </c>
      <c r="L117" s="586">
        <f t="shared" si="53"/>
        <v>0</v>
      </c>
      <c r="O117" s="197">
        <f t="shared" si="51"/>
        <v>0</v>
      </c>
      <c r="P117" s="521">
        <f t="shared" si="54"/>
        <v>0</v>
      </c>
      <c r="Q117" s="521">
        <f t="shared" si="55"/>
        <v>0</v>
      </c>
      <c r="R117" s="522"/>
      <c r="T117" s="222" t="s">
        <v>148</v>
      </c>
      <c r="U117" s="219" t="s">
        <v>140</v>
      </c>
      <c r="V117" s="232">
        <v>13.5</v>
      </c>
      <c r="W117" s="499"/>
      <c r="X117" s="236">
        <f t="shared" si="50"/>
        <v>0</v>
      </c>
      <c r="Y117" s="217"/>
    </row>
    <row r="118" spans="2:25" ht="18" customHeight="1">
      <c r="B118" s="1339"/>
      <c r="C118" s="1062"/>
      <c r="D118" s="1300"/>
      <c r="E118" s="505" t="s">
        <v>284</v>
      </c>
      <c r="F118" s="1287" t="s">
        <v>300</v>
      </c>
      <c r="G118" s="1288"/>
      <c r="H118" s="504" t="s">
        <v>288</v>
      </c>
      <c r="I118" s="138"/>
      <c r="J118" s="138"/>
      <c r="K118" s="140">
        <f t="shared" si="52"/>
        <v>0</v>
      </c>
      <c r="L118" s="586">
        <f t="shared" si="53"/>
        <v>0</v>
      </c>
      <c r="O118" s="197">
        <f t="shared" si="51"/>
        <v>0</v>
      </c>
      <c r="P118" s="521">
        <f t="shared" si="54"/>
        <v>0</v>
      </c>
      <c r="Q118" s="521">
        <f t="shared" si="55"/>
        <v>0</v>
      </c>
      <c r="R118" s="522"/>
      <c r="T118" s="222" t="str">
        <f>"22－6"</f>
        <v>22－6</v>
      </c>
      <c r="U118" s="219" t="s">
        <v>151</v>
      </c>
      <c r="V118" s="232">
        <v>7.9</v>
      </c>
      <c r="W118" s="499"/>
      <c r="X118" s="236">
        <f t="shared" si="50"/>
        <v>0</v>
      </c>
      <c r="Y118" s="217"/>
    </row>
    <row r="119" spans="2:25" ht="18" customHeight="1">
      <c r="B119" s="1339"/>
      <c r="C119" s="1062"/>
      <c r="D119" s="1298" t="s">
        <v>126</v>
      </c>
      <c r="E119" s="503" t="s">
        <v>284</v>
      </c>
      <c r="F119" s="1289" t="s">
        <v>300</v>
      </c>
      <c r="G119" s="1290"/>
      <c r="H119" s="506" t="s">
        <v>289</v>
      </c>
      <c r="I119" s="139">
        <v>151.19999999999999</v>
      </c>
      <c r="J119" s="139"/>
      <c r="K119" s="140">
        <f t="shared" si="52"/>
        <v>151.19999999999999</v>
      </c>
      <c r="L119" s="586">
        <f t="shared" si="53"/>
        <v>150</v>
      </c>
      <c r="O119" s="197">
        <f t="shared" si="51"/>
        <v>0</v>
      </c>
      <c r="P119" s="521">
        <f t="shared" si="54"/>
        <v>0</v>
      </c>
      <c r="Q119" s="521">
        <f t="shared" si="55"/>
        <v>150</v>
      </c>
      <c r="R119" s="522"/>
      <c r="T119" s="226" t="s">
        <v>158</v>
      </c>
      <c r="U119" s="219" t="s">
        <v>159</v>
      </c>
      <c r="V119" s="232">
        <v>13.55</v>
      </c>
      <c r="W119" s="499"/>
      <c r="X119" s="236">
        <f t="shared" si="50"/>
        <v>0</v>
      </c>
      <c r="Y119" s="217"/>
    </row>
    <row r="120" spans="2:25" ht="18" customHeight="1">
      <c r="B120" s="1339"/>
      <c r="C120" s="1062"/>
      <c r="D120" s="1299"/>
      <c r="E120" s="505" t="s">
        <v>284</v>
      </c>
      <c r="F120" s="1287" t="s">
        <v>300</v>
      </c>
      <c r="G120" s="1288"/>
      <c r="H120" s="504" t="s">
        <v>286</v>
      </c>
      <c r="I120" s="138">
        <v>138</v>
      </c>
      <c r="J120" s="138"/>
      <c r="K120" s="140">
        <f t="shared" si="52"/>
        <v>138</v>
      </c>
      <c r="L120" s="586">
        <f t="shared" si="53"/>
        <v>140</v>
      </c>
      <c r="O120" s="197">
        <f t="shared" si="51"/>
        <v>0</v>
      </c>
      <c r="P120" s="521">
        <f t="shared" si="54"/>
        <v>0</v>
      </c>
      <c r="Q120" s="521">
        <f t="shared" si="55"/>
        <v>140</v>
      </c>
      <c r="R120" s="522"/>
      <c r="T120" s="226" t="s">
        <v>158</v>
      </c>
      <c r="U120" s="219" t="s">
        <v>160</v>
      </c>
      <c r="V120" s="232">
        <v>14.56</v>
      </c>
      <c r="W120" s="499"/>
      <c r="X120" s="236">
        <f t="shared" si="50"/>
        <v>0</v>
      </c>
      <c r="Y120" s="217"/>
    </row>
    <row r="121" spans="2:25" ht="18" customHeight="1">
      <c r="B121" s="1339"/>
      <c r="C121" s="1062"/>
      <c r="D121" s="1299"/>
      <c r="E121" s="503" t="s">
        <v>284</v>
      </c>
      <c r="F121" s="1289" t="s">
        <v>300</v>
      </c>
      <c r="G121" s="1290"/>
      <c r="H121" s="504" t="s">
        <v>287</v>
      </c>
      <c r="I121" s="139"/>
      <c r="J121" s="139"/>
      <c r="K121" s="140">
        <f t="shared" si="52"/>
        <v>0</v>
      </c>
      <c r="L121" s="586">
        <f t="shared" si="53"/>
        <v>0</v>
      </c>
      <c r="O121" s="197">
        <f t="shared" si="51"/>
        <v>0</v>
      </c>
      <c r="P121" s="521">
        <f t="shared" si="54"/>
        <v>0</v>
      </c>
      <c r="Q121" s="521">
        <f t="shared" si="55"/>
        <v>0</v>
      </c>
      <c r="R121" s="522"/>
      <c r="T121" s="222"/>
      <c r="U121" s="219"/>
      <c r="V121" s="118"/>
      <c r="W121" s="499"/>
      <c r="X121" s="236">
        <f t="shared" si="50"/>
        <v>0</v>
      </c>
      <c r="Y121" s="17"/>
    </row>
    <row r="122" spans="2:25" ht="18" customHeight="1">
      <c r="B122" s="1339"/>
      <c r="C122" s="1062"/>
      <c r="D122" s="1300"/>
      <c r="E122" s="505" t="s">
        <v>284</v>
      </c>
      <c r="F122" s="1287" t="s">
        <v>300</v>
      </c>
      <c r="G122" s="1288"/>
      <c r="H122" s="504" t="s">
        <v>288</v>
      </c>
      <c r="I122" s="138"/>
      <c r="J122" s="138"/>
      <c r="K122" s="140">
        <f>SUM(I122:J122)</f>
        <v>0</v>
      </c>
      <c r="L122" s="586">
        <f t="shared" si="53"/>
        <v>0</v>
      </c>
      <c r="O122" s="197">
        <f t="shared" si="51"/>
        <v>0</v>
      </c>
      <c r="P122" s="521">
        <f t="shared" si="54"/>
        <v>0</v>
      </c>
      <c r="Q122" s="521">
        <f t="shared" si="55"/>
        <v>0</v>
      </c>
      <c r="R122" s="522"/>
      <c r="T122" s="222" t="s">
        <v>107</v>
      </c>
      <c r="U122" s="219" t="s">
        <v>163</v>
      </c>
      <c r="V122" s="118">
        <v>5.7</v>
      </c>
      <c r="W122" s="499"/>
      <c r="X122" s="236">
        <f t="shared" si="50"/>
        <v>0</v>
      </c>
      <c r="Y122" s="17"/>
    </row>
    <row r="123" spans="2:25" ht="18" customHeight="1">
      <c r="B123" s="1339"/>
      <c r="C123" s="1062"/>
      <c r="D123" s="1298" t="s">
        <v>290</v>
      </c>
      <c r="E123" s="503" t="s">
        <v>284</v>
      </c>
      <c r="F123" s="1289" t="s">
        <v>300</v>
      </c>
      <c r="G123" s="1290"/>
      <c r="H123" s="506" t="s">
        <v>289</v>
      </c>
      <c r="I123" s="139"/>
      <c r="J123" s="139"/>
      <c r="K123" s="140">
        <f>SUM(I123:J123)</f>
        <v>0</v>
      </c>
      <c r="L123" s="586">
        <f t="shared" si="53"/>
        <v>0</v>
      </c>
      <c r="N123" s="119"/>
      <c r="O123" s="197">
        <f t="shared" si="51"/>
        <v>0</v>
      </c>
      <c r="P123" s="521">
        <f t="shared" si="54"/>
        <v>0</v>
      </c>
      <c r="Q123" s="521">
        <f t="shared" si="55"/>
        <v>0</v>
      </c>
      <c r="R123" s="522"/>
      <c r="T123" s="222" t="s">
        <v>161</v>
      </c>
      <c r="U123" s="219" t="s">
        <v>140</v>
      </c>
      <c r="V123" s="118">
        <v>6.92</v>
      </c>
      <c r="W123" s="499"/>
      <c r="X123" s="236">
        <f t="shared" si="50"/>
        <v>0</v>
      </c>
      <c r="Y123" s="17"/>
    </row>
    <row r="124" spans="2:25" ht="18" customHeight="1">
      <c r="B124" s="1339"/>
      <c r="C124" s="1062"/>
      <c r="D124" s="1299"/>
      <c r="E124" s="505" t="s">
        <v>284</v>
      </c>
      <c r="F124" s="1287" t="s">
        <v>300</v>
      </c>
      <c r="G124" s="1288"/>
      <c r="H124" s="504" t="s">
        <v>286</v>
      </c>
      <c r="I124" s="138"/>
      <c r="J124" s="138"/>
      <c r="K124" s="140">
        <f>SUM(I124:J124)</f>
        <v>0</v>
      </c>
      <c r="L124" s="586">
        <f t="shared" si="53"/>
        <v>0</v>
      </c>
      <c r="N124" s="153"/>
      <c r="O124" s="197">
        <f t="shared" si="51"/>
        <v>0</v>
      </c>
      <c r="P124" s="521">
        <f t="shared" si="54"/>
        <v>0</v>
      </c>
      <c r="Q124" s="521">
        <f t="shared" si="55"/>
        <v>0</v>
      </c>
      <c r="R124" s="522"/>
      <c r="T124" s="223" t="s">
        <v>162</v>
      </c>
      <c r="U124" s="219" t="s">
        <v>140</v>
      </c>
      <c r="V124" s="118">
        <v>7.48</v>
      </c>
      <c r="W124" s="499"/>
      <c r="X124" s="236">
        <f t="shared" si="50"/>
        <v>0</v>
      </c>
      <c r="Y124" s="17"/>
    </row>
    <row r="125" spans="2:25" ht="18" customHeight="1">
      <c r="B125" s="1339"/>
      <c r="C125" s="1062"/>
      <c r="D125" s="1299"/>
      <c r="E125" s="503" t="s">
        <v>284</v>
      </c>
      <c r="F125" s="1289" t="s">
        <v>300</v>
      </c>
      <c r="G125" s="1290"/>
      <c r="H125" s="504" t="s">
        <v>287</v>
      </c>
      <c r="I125" s="139"/>
      <c r="J125" s="139"/>
      <c r="K125" s="140">
        <f>SUM(I125:J125)</f>
        <v>0</v>
      </c>
      <c r="L125" s="586">
        <f t="shared" si="53"/>
        <v>0</v>
      </c>
      <c r="M125" s="253"/>
      <c r="N125" s="150"/>
      <c r="O125" s="197">
        <f t="shared" si="51"/>
        <v>0</v>
      </c>
      <c r="P125" s="521">
        <f t="shared" si="54"/>
        <v>0</v>
      </c>
      <c r="Q125" s="521">
        <f t="shared" si="55"/>
        <v>0</v>
      </c>
      <c r="R125" s="522"/>
      <c r="T125" s="227"/>
      <c r="U125" s="219"/>
      <c r="V125" s="118"/>
      <c r="W125" s="499"/>
      <c r="X125" s="236">
        <f t="shared" si="50"/>
        <v>0</v>
      </c>
      <c r="Y125" s="17"/>
    </row>
    <row r="126" spans="2:25" ht="18" customHeight="1">
      <c r="B126" s="1339"/>
      <c r="C126" s="1062"/>
      <c r="D126" s="1300"/>
      <c r="E126" s="505" t="s">
        <v>284</v>
      </c>
      <c r="F126" s="1287" t="s">
        <v>300</v>
      </c>
      <c r="G126" s="1288"/>
      <c r="H126" s="504" t="s">
        <v>288</v>
      </c>
      <c r="I126" s="138">
        <v>91.7</v>
      </c>
      <c r="J126" s="138"/>
      <c r="K126" s="140">
        <f t="shared" si="52"/>
        <v>91.7</v>
      </c>
      <c r="L126" s="586">
        <f t="shared" si="53"/>
        <v>92</v>
      </c>
      <c r="M126" s="289"/>
      <c r="N126" s="150"/>
      <c r="O126" s="197">
        <f t="shared" si="51"/>
        <v>0</v>
      </c>
      <c r="P126" s="521">
        <f t="shared" si="54"/>
        <v>92</v>
      </c>
      <c r="Q126" s="521">
        <f t="shared" si="55"/>
        <v>0</v>
      </c>
      <c r="R126" s="522"/>
      <c r="T126" s="227" t="s">
        <v>107</v>
      </c>
      <c r="U126" s="219" t="s">
        <v>140</v>
      </c>
      <c r="V126" s="118">
        <v>3.2</v>
      </c>
      <c r="W126" s="499"/>
      <c r="X126" s="236">
        <f t="shared" si="50"/>
        <v>0</v>
      </c>
      <c r="Y126" s="17" t="s">
        <v>92</v>
      </c>
    </row>
    <row r="127" spans="2:25" ht="18" customHeight="1">
      <c r="B127" s="1339"/>
      <c r="C127" s="1062"/>
      <c r="D127" s="511" t="s">
        <v>297</v>
      </c>
      <c r="E127" s="503" t="s">
        <v>284</v>
      </c>
      <c r="F127" s="1289" t="s">
        <v>300</v>
      </c>
      <c r="G127" s="1290"/>
      <c r="H127" s="507" t="s">
        <v>291</v>
      </c>
      <c r="I127" s="275">
        <f>X167</f>
        <v>57.900000000000006</v>
      </c>
      <c r="J127" s="139"/>
      <c r="K127" s="140">
        <f>SUM(I127:J127)</f>
        <v>57.900000000000006</v>
      </c>
      <c r="L127" s="586">
        <f t="shared" si="53"/>
        <v>58</v>
      </c>
      <c r="M127" s="289"/>
      <c r="N127" s="150"/>
      <c r="O127" s="197">
        <f t="shared" si="51"/>
        <v>0</v>
      </c>
      <c r="P127" s="521">
        <f t="shared" si="54"/>
        <v>58</v>
      </c>
      <c r="Q127" s="521">
        <f t="shared" si="55"/>
        <v>0</v>
      </c>
      <c r="R127" s="522"/>
      <c r="T127" s="222" t="s">
        <v>161</v>
      </c>
      <c r="U127" s="219" t="s">
        <v>140</v>
      </c>
      <c r="V127" s="118">
        <v>3.75</v>
      </c>
      <c r="W127" s="499"/>
      <c r="X127" s="236">
        <f t="shared" si="50"/>
        <v>0</v>
      </c>
      <c r="Y127" s="17" t="s">
        <v>92</v>
      </c>
    </row>
    <row r="128" spans="2:25" ht="18" customHeight="1">
      <c r="B128" s="1339"/>
      <c r="C128" s="1062"/>
      <c r="D128" s="511" t="s">
        <v>298</v>
      </c>
      <c r="E128" s="503" t="s">
        <v>284</v>
      </c>
      <c r="F128" s="503"/>
      <c r="G128" s="501" t="s">
        <v>198</v>
      </c>
      <c r="H128" s="502"/>
      <c r="I128" s="139"/>
      <c r="J128" s="139"/>
      <c r="K128" s="140">
        <f t="shared" si="52"/>
        <v>0</v>
      </c>
      <c r="L128" s="586">
        <f t="shared" si="53"/>
        <v>0</v>
      </c>
      <c r="M128" s="289"/>
      <c r="N128" s="150"/>
      <c r="O128" s="197">
        <f t="shared" si="51"/>
        <v>0</v>
      </c>
      <c r="P128" s="521">
        <f t="shared" si="54"/>
        <v>0</v>
      </c>
      <c r="Q128" s="521">
        <f t="shared" si="55"/>
        <v>0</v>
      </c>
      <c r="R128" s="522"/>
      <c r="T128" s="222" t="s">
        <v>162</v>
      </c>
      <c r="U128" s="219" t="s">
        <v>140</v>
      </c>
      <c r="V128" s="118">
        <v>4.0199999999999996</v>
      </c>
      <c r="W128" s="499"/>
      <c r="X128" s="236">
        <f t="shared" si="50"/>
        <v>0</v>
      </c>
      <c r="Y128" s="17" t="s">
        <v>92</v>
      </c>
    </row>
    <row r="129" spans="2:25" ht="18" customHeight="1" thickBot="1">
      <c r="B129" s="891"/>
      <c r="C129" s="893"/>
      <c r="D129" s="591"/>
      <c r="E129" s="592"/>
      <c r="F129" s="593"/>
      <c r="G129" s="594" t="s">
        <v>198</v>
      </c>
      <c r="H129" s="595"/>
      <c r="I129" s="596"/>
      <c r="J129" s="596"/>
      <c r="K129" s="597">
        <f>SUM(I129:J129)</f>
        <v>0</v>
      </c>
      <c r="L129" s="587">
        <f t="shared" si="53"/>
        <v>0</v>
      </c>
      <c r="M129" s="289"/>
      <c r="N129" s="150"/>
      <c r="O129" s="295">
        <f t="shared" si="51"/>
        <v>0</v>
      </c>
      <c r="P129" s="528">
        <f t="shared" si="54"/>
        <v>0</v>
      </c>
      <c r="Q129" s="528">
        <f t="shared" si="55"/>
        <v>0</v>
      </c>
      <c r="R129" s="529"/>
      <c r="T129" s="222"/>
      <c r="U129" s="219"/>
      <c r="V129" s="118"/>
      <c r="W129" s="499"/>
      <c r="X129" s="279"/>
      <c r="Y129" s="280"/>
    </row>
    <row r="130" spans="2:25" ht="18" customHeight="1">
      <c r="B130" s="1036" t="s">
        <v>111</v>
      </c>
      <c r="C130" s="916"/>
      <c r="D130" s="1280" t="s">
        <v>275</v>
      </c>
      <c r="E130" s="1281"/>
      <c r="F130" s="1281"/>
      <c r="G130" s="1281"/>
      <c r="H130" s="1282"/>
      <c r="I130" s="278">
        <v>9.8000000000000007</v>
      </c>
      <c r="J130" s="278"/>
      <c r="K130" s="148">
        <f>IF(SUM(I130:J130)=0,"",SUM(I130:J130))</f>
        <v>9.8000000000000007</v>
      </c>
      <c r="L130" s="149">
        <f>IF(K130="","",ROUND(K130,0))</f>
        <v>10</v>
      </c>
      <c r="M130" s="289"/>
      <c r="N130" s="150"/>
      <c r="O130" s="104"/>
      <c r="P130" s="108"/>
      <c r="Q130" s="108"/>
      <c r="R130" s="274"/>
      <c r="T130" s="222" t="s">
        <v>156</v>
      </c>
      <c r="U130" s="219" t="s">
        <v>164</v>
      </c>
      <c r="V130" s="118">
        <v>7.5</v>
      </c>
      <c r="W130" s="499"/>
      <c r="X130" s="236">
        <f>ROUNDDOWN(V130*W130,1)</f>
        <v>0</v>
      </c>
      <c r="Y130" s="17" t="s">
        <v>165</v>
      </c>
    </row>
    <row r="131" spans="2:25" ht="18" customHeight="1">
      <c r="B131" s="977"/>
      <c r="C131" s="918"/>
      <c r="D131" s="1253" t="s">
        <v>390</v>
      </c>
      <c r="E131" s="1254"/>
      <c r="F131" s="1254"/>
      <c r="G131" s="1254"/>
      <c r="H131" s="1255"/>
      <c r="I131" s="139">
        <v>10.6</v>
      </c>
      <c r="J131" s="139"/>
      <c r="K131" s="140">
        <f t="shared" ref="K131:K142" si="56">IF(SUM(I131:J131)=0,"",SUM(I131:J131))</f>
        <v>10.6</v>
      </c>
      <c r="L131" s="141">
        <f t="shared" ref="L131:L142" si="57">IF(K131="","",ROUND(K131,0))</f>
        <v>11</v>
      </c>
      <c r="M131" s="289"/>
      <c r="N131" s="150"/>
      <c r="O131" s="104"/>
      <c r="P131" s="108"/>
      <c r="Q131" s="108"/>
      <c r="R131" s="274"/>
      <c r="T131" s="222" t="s">
        <v>166</v>
      </c>
      <c r="U131" s="219" t="s">
        <v>140</v>
      </c>
      <c r="V131" s="118">
        <v>22.2</v>
      </c>
      <c r="W131" s="499"/>
      <c r="X131" s="236">
        <f>ROUNDDOWN(V131*W131,1)</f>
        <v>0</v>
      </c>
      <c r="Y131" s="17" t="s">
        <v>165</v>
      </c>
    </row>
    <row r="132" spans="2:25" ht="18" customHeight="1">
      <c r="B132" s="977"/>
      <c r="C132" s="918"/>
      <c r="D132" s="1253"/>
      <c r="E132" s="1254"/>
      <c r="F132" s="1254"/>
      <c r="G132" s="1254"/>
      <c r="H132" s="1255"/>
      <c r="I132" s="139"/>
      <c r="J132" s="139"/>
      <c r="K132" s="140" t="str">
        <f t="shared" si="56"/>
        <v/>
      </c>
      <c r="L132" s="141" t="str">
        <f t="shared" si="57"/>
        <v/>
      </c>
      <c r="M132" s="289"/>
      <c r="N132" s="150"/>
      <c r="O132" s="104"/>
      <c r="P132" s="108"/>
      <c r="Q132" s="108"/>
      <c r="R132" s="274"/>
      <c r="T132" s="222" t="s">
        <v>167</v>
      </c>
      <c r="U132" s="219" t="s">
        <v>140</v>
      </c>
      <c r="V132" s="118">
        <v>8.3000000000000007</v>
      </c>
      <c r="W132" s="499"/>
      <c r="X132" s="236">
        <f t="shared" si="50"/>
        <v>0</v>
      </c>
      <c r="Y132" s="17"/>
    </row>
    <row r="133" spans="2:25" ht="18" customHeight="1">
      <c r="B133" s="977"/>
      <c r="C133" s="918"/>
      <c r="D133" s="1253"/>
      <c r="E133" s="1254"/>
      <c r="F133" s="1254"/>
      <c r="G133" s="1254"/>
      <c r="H133" s="1255"/>
      <c r="I133" s="139"/>
      <c r="J133" s="139"/>
      <c r="K133" s="140" t="str">
        <f t="shared" si="56"/>
        <v/>
      </c>
      <c r="L133" s="141" t="str">
        <f t="shared" si="57"/>
        <v/>
      </c>
      <c r="M133" s="289"/>
      <c r="N133" s="150"/>
      <c r="O133" s="104"/>
      <c r="P133" s="108"/>
      <c r="Q133" s="108"/>
      <c r="R133" s="274"/>
      <c r="T133" s="228" t="s">
        <v>166</v>
      </c>
      <c r="U133" s="219" t="s">
        <v>140</v>
      </c>
      <c r="V133" s="118">
        <v>9.6999999999999993</v>
      </c>
      <c r="W133" s="499"/>
      <c r="X133" s="236">
        <f t="shared" si="50"/>
        <v>0</v>
      </c>
      <c r="Y133" s="17"/>
    </row>
    <row r="134" spans="2:25" ht="18" customHeight="1">
      <c r="B134" s="977"/>
      <c r="C134" s="918"/>
      <c r="D134" s="1253"/>
      <c r="E134" s="1254"/>
      <c r="F134" s="1254"/>
      <c r="G134" s="1254"/>
      <c r="H134" s="1255"/>
      <c r="I134" s="139"/>
      <c r="J134" s="139"/>
      <c r="K134" s="140" t="str">
        <f t="shared" si="56"/>
        <v/>
      </c>
      <c r="L134" s="141" t="str">
        <f t="shared" si="57"/>
        <v/>
      </c>
      <c r="M134" s="289"/>
      <c r="N134" s="150"/>
      <c r="O134" s="104"/>
      <c r="P134" s="108"/>
      <c r="Q134" s="108"/>
      <c r="R134" s="274"/>
      <c r="T134" s="229" t="s">
        <v>173</v>
      </c>
      <c r="U134" s="219" t="s">
        <v>94</v>
      </c>
      <c r="V134" s="118">
        <v>6.25</v>
      </c>
      <c r="W134" s="499"/>
      <c r="X134" s="236">
        <f t="shared" si="50"/>
        <v>0</v>
      </c>
      <c r="Y134" s="17" t="s">
        <v>98</v>
      </c>
    </row>
    <row r="135" spans="2:25" ht="18" customHeight="1">
      <c r="B135" s="977"/>
      <c r="C135" s="918"/>
      <c r="D135" s="1253"/>
      <c r="E135" s="1254"/>
      <c r="F135" s="1254"/>
      <c r="G135" s="1254"/>
      <c r="H135" s="1255"/>
      <c r="I135" s="139"/>
      <c r="J135" s="139"/>
      <c r="K135" s="140" t="str">
        <f t="shared" ref="K135:K140" si="58">IF(SUM(I135:J135)=0,"",SUM(I135:J135))</f>
        <v/>
      </c>
      <c r="L135" s="141" t="str">
        <f t="shared" si="57"/>
        <v/>
      </c>
      <c r="M135" s="289"/>
      <c r="N135" s="150"/>
      <c r="T135" s="230" t="s">
        <v>174</v>
      </c>
      <c r="U135" s="219" t="s">
        <v>95</v>
      </c>
      <c r="V135" s="118">
        <v>6.66</v>
      </c>
      <c r="W135" s="499"/>
      <c r="X135" s="236">
        <f t="shared" si="50"/>
        <v>0</v>
      </c>
      <c r="Y135" s="17" t="s">
        <v>98</v>
      </c>
    </row>
    <row r="136" spans="2:25" ht="18" customHeight="1">
      <c r="B136" s="977"/>
      <c r="C136" s="918"/>
      <c r="D136" s="1253"/>
      <c r="E136" s="1254"/>
      <c r="F136" s="1254"/>
      <c r="G136" s="1254"/>
      <c r="H136" s="1255"/>
      <c r="I136" s="139"/>
      <c r="J136" s="139"/>
      <c r="K136" s="140" t="str">
        <f t="shared" si="58"/>
        <v/>
      </c>
      <c r="L136" s="141" t="str">
        <f t="shared" si="57"/>
        <v/>
      </c>
      <c r="M136" s="289"/>
      <c r="N136" s="150"/>
      <c r="T136" s="230"/>
      <c r="U136" s="219" t="s">
        <v>96</v>
      </c>
      <c r="V136" s="118">
        <v>9.15</v>
      </c>
      <c r="W136" s="499"/>
      <c r="X136" s="236">
        <f t="shared" si="50"/>
        <v>0</v>
      </c>
      <c r="Y136" s="17" t="s">
        <v>98</v>
      </c>
    </row>
    <row r="137" spans="2:25" ht="18" customHeight="1">
      <c r="B137" s="977"/>
      <c r="C137" s="918"/>
      <c r="D137" s="1253"/>
      <c r="E137" s="1254"/>
      <c r="F137" s="1254"/>
      <c r="G137" s="1254"/>
      <c r="H137" s="1255"/>
      <c r="I137" s="139"/>
      <c r="J137" s="139"/>
      <c r="K137" s="140" t="str">
        <f t="shared" si="58"/>
        <v/>
      </c>
      <c r="L137" s="141" t="str">
        <f t="shared" si="57"/>
        <v/>
      </c>
      <c r="M137" s="289"/>
      <c r="N137" s="150"/>
      <c r="T137" s="230"/>
      <c r="U137" s="219" t="s">
        <v>97</v>
      </c>
      <c r="V137" s="118">
        <v>9.65</v>
      </c>
      <c r="W137" s="499"/>
      <c r="X137" s="236">
        <f t="shared" si="50"/>
        <v>0</v>
      </c>
      <c r="Y137" s="17" t="s">
        <v>98</v>
      </c>
    </row>
    <row r="138" spans="2:25" ht="18" customHeight="1">
      <c r="B138" s="977"/>
      <c r="C138" s="918"/>
      <c r="D138" s="1253"/>
      <c r="E138" s="1254"/>
      <c r="F138" s="1254"/>
      <c r="G138" s="1254"/>
      <c r="H138" s="1255"/>
      <c r="I138" s="139"/>
      <c r="J138" s="139"/>
      <c r="K138" s="140" t="str">
        <f t="shared" si="58"/>
        <v/>
      </c>
      <c r="L138" s="141" t="str">
        <f t="shared" si="57"/>
        <v/>
      </c>
      <c r="M138" s="289"/>
      <c r="N138" s="150"/>
      <c r="T138" s="229" t="s">
        <v>173</v>
      </c>
      <c r="U138" s="219" t="s">
        <v>94</v>
      </c>
      <c r="V138" s="118">
        <v>5</v>
      </c>
      <c r="W138" s="499"/>
      <c r="X138" s="236">
        <f t="shared" si="50"/>
        <v>0</v>
      </c>
      <c r="Y138" s="17" t="s">
        <v>100</v>
      </c>
    </row>
    <row r="139" spans="2:25" ht="18" customHeight="1">
      <c r="B139" s="977"/>
      <c r="C139" s="918"/>
      <c r="D139" s="1253"/>
      <c r="E139" s="1254"/>
      <c r="F139" s="1254"/>
      <c r="G139" s="1254"/>
      <c r="H139" s="1255"/>
      <c r="I139" s="139"/>
      <c r="J139" s="139"/>
      <c r="K139" s="140" t="str">
        <f t="shared" si="58"/>
        <v/>
      </c>
      <c r="L139" s="141" t="str">
        <f t="shared" si="57"/>
        <v/>
      </c>
      <c r="M139" s="289"/>
      <c r="N139" s="150"/>
      <c r="T139" s="230" t="s">
        <v>174</v>
      </c>
      <c r="U139" s="219" t="s">
        <v>95</v>
      </c>
      <c r="V139" s="118">
        <v>5.66</v>
      </c>
      <c r="W139" s="499"/>
      <c r="X139" s="236">
        <f t="shared" si="50"/>
        <v>0</v>
      </c>
      <c r="Y139" s="17" t="s">
        <v>100</v>
      </c>
    </row>
    <row r="140" spans="2:25" ht="18" customHeight="1">
      <c r="B140" s="977"/>
      <c r="C140" s="918"/>
      <c r="D140" s="1253"/>
      <c r="E140" s="1254"/>
      <c r="F140" s="1254"/>
      <c r="G140" s="1254"/>
      <c r="H140" s="1255"/>
      <c r="I140" s="139"/>
      <c r="J140" s="139"/>
      <c r="K140" s="140" t="str">
        <f t="shared" si="58"/>
        <v/>
      </c>
      <c r="L140" s="141" t="str">
        <f t="shared" si="57"/>
        <v/>
      </c>
      <c r="M140" s="289"/>
      <c r="N140" s="150"/>
      <c r="T140" s="230"/>
      <c r="U140" s="219" t="s">
        <v>96</v>
      </c>
      <c r="V140" s="118">
        <v>7.32</v>
      </c>
      <c r="W140" s="499"/>
      <c r="X140" s="236">
        <f t="shared" si="50"/>
        <v>0</v>
      </c>
      <c r="Y140" s="17" t="s">
        <v>100</v>
      </c>
    </row>
    <row r="141" spans="2:25" ht="18" customHeight="1">
      <c r="B141" s="977"/>
      <c r="C141" s="918"/>
      <c r="D141" s="1253"/>
      <c r="E141" s="1254"/>
      <c r="F141" s="1254"/>
      <c r="G141" s="1254"/>
      <c r="H141" s="1255"/>
      <c r="I141" s="139"/>
      <c r="J141" s="139"/>
      <c r="K141" s="140" t="str">
        <f t="shared" si="56"/>
        <v/>
      </c>
      <c r="L141" s="141" t="str">
        <f t="shared" si="57"/>
        <v/>
      </c>
      <c r="M141" s="289"/>
      <c r="N141" s="150"/>
      <c r="T141" s="229" t="s">
        <v>173</v>
      </c>
      <c r="U141" s="219" t="s">
        <v>94</v>
      </c>
      <c r="V141" s="118">
        <v>3.75</v>
      </c>
      <c r="W141" s="499"/>
      <c r="X141" s="236">
        <f t="shared" si="50"/>
        <v>0</v>
      </c>
      <c r="Y141" s="17" t="s">
        <v>99</v>
      </c>
    </row>
    <row r="142" spans="2:25" ht="18" customHeight="1" thickBot="1">
      <c r="B142" s="1337"/>
      <c r="C142" s="1338"/>
      <c r="D142" s="1295"/>
      <c r="E142" s="1296"/>
      <c r="F142" s="1296"/>
      <c r="G142" s="1296"/>
      <c r="H142" s="1297"/>
      <c r="I142" s="357"/>
      <c r="J142" s="357"/>
      <c r="K142" s="358" t="str">
        <f t="shared" si="56"/>
        <v/>
      </c>
      <c r="L142" s="359" t="str">
        <f t="shared" si="57"/>
        <v/>
      </c>
      <c r="M142" s="289"/>
      <c r="N142" s="150"/>
      <c r="T142" s="230" t="s">
        <v>174</v>
      </c>
      <c r="U142" s="219" t="s">
        <v>95</v>
      </c>
      <c r="V142" s="118">
        <v>4.21</v>
      </c>
      <c r="W142" s="499"/>
      <c r="X142" s="236">
        <f t="shared" si="50"/>
        <v>0</v>
      </c>
      <c r="Y142" s="17" t="s">
        <v>99</v>
      </c>
    </row>
    <row r="143" spans="2:25" ht="18" customHeight="1" thickTop="1">
      <c r="B143" s="1037" t="s">
        <v>103</v>
      </c>
      <c r="C143" s="1039"/>
      <c r="D143" s="1047" t="s">
        <v>8</v>
      </c>
      <c r="E143" s="1048"/>
      <c r="F143" s="1049"/>
      <c r="G143" s="1049"/>
      <c r="H143" s="1050"/>
      <c r="I143" s="27">
        <f>SUM(I40:I51,I60:I63,I67:I70)+I59</f>
        <v>606.17999999999995</v>
      </c>
      <c r="J143" s="27">
        <f>SUM(J40:J51,J60:J63)+($H59*J59)/100</f>
        <v>2.4900000000000002</v>
      </c>
      <c r="K143" s="28"/>
      <c r="L143" s="281">
        <f t="shared" ref="L143:L149" si="59">K143</f>
        <v>0</v>
      </c>
      <c r="M143" s="289"/>
      <c r="T143" s="230"/>
      <c r="U143" s="219" t="s">
        <v>96</v>
      </c>
      <c r="V143" s="118">
        <v>5.08</v>
      </c>
      <c r="W143" s="499"/>
      <c r="X143" s="236">
        <f t="shared" si="50"/>
        <v>0</v>
      </c>
      <c r="Y143" s="17" t="s">
        <v>99</v>
      </c>
    </row>
    <row r="144" spans="2:25" ht="18" customHeight="1">
      <c r="B144" s="977"/>
      <c r="C144" s="918"/>
      <c r="D144" s="944" t="s">
        <v>9</v>
      </c>
      <c r="E144" s="945"/>
      <c r="F144" s="946"/>
      <c r="G144" s="946"/>
      <c r="H144" s="947"/>
      <c r="I144" s="22"/>
      <c r="J144" s="22"/>
      <c r="K144" s="30"/>
      <c r="L144" s="282">
        <f t="shared" si="59"/>
        <v>0</v>
      </c>
      <c r="T144" s="229" t="s">
        <v>173</v>
      </c>
      <c r="U144" s="219" t="s">
        <v>94</v>
      </c>
      <c r="V144" s="118">
        <v>2.5</v>
      </c>
      <c r="W144" s="499"/>
      <c r="X144" s="236">
        <f t="shared" si="50"/>
        <v>0</v>
      </c>
      <c r="Y144" s="17" t="s">
        <v>101</v>
      </c>
    </row>
    <row r="145" spans="2:25" ht="18" customHeight="1">
      <c r="B145" s="1020"/>
      <c r="C145" s="920"/>
      <c r="D145" s="1283" t="s">
        <v>17</v>
      </c>
      <c r="E145" s="1284"/>
      <c r="F145" s="1285"/>
      <c r="G145" s="1285"/>
      <c r="H145" s="1286"/>
      <c r="I145" s="50">
        <f>SUM(I143:I144)</f>
        <v>606.17999999999995</v>
      </c>
      <c r="J145" s="50">
        <f>SUM(J143:J144)</f>
        <v>2.4900000000000002</v>
      </c>
      <c r="K145" s="31">
        <f>SUM(I145:J145)</f>
        <v>608.66999999999996</v>
      </c>
      <c r="L145" s="283">
        <f t="shared" si="59"/>
        <v>608.66999999999996</v>
      </c>
      <c r="T145" s="230" t="s">
        <v>174</v>
      </c>
      <c r="U145" s="219" t="s">
        <v>95</v>
      </c>
      <c r="V145" s="118">
        <v>2.5</v>
      </c>
      <c r="W145" s="499"/>
      <c r="X145" s="236">
        <f t="shared" si="50"/>
        <v>0</v>
      </c>
      <c r="Y145" s="17" t="s">
        <v>101</v>
      </c>
    </row>
    <row r="146" spans="2:25" ht="18" customHeight="1">
      <c r="B146" s="1017" t="s">
        <v>104</v>
      </c>
      <c r="C146" s="1019"/>
      <c r="D146" s="1010" t="s">
        <v>10</v>
      </c>
      <c r="E146" s="1011"/>
      <c r="F146" s="1012"/>
      <c r="G146" s="1012"/>
      <c r="H146" s="1013"/>
      <c r="I146" s="21">
        <f>SUMPRODUCT(I94:I113,$M94:$M113)/100</f>
        <v>606.18799999999999</v>
      </c>
      <c r="J146" s="21">
        <f>SUMPRODUCT(J94:J113,$M94:$M113)/100</f>
        <v>0</v>
      </c>
      <c r="K146" s="29"/>
      <c r="L146" s="284">
        <f t="shared" si="59"/>
        <v>0</v>
      </c>
      <c r="T146" s="230"/>
      <c r="U146" s="219" t="s">
        <v>96</v>
      </c>
      <c r="V146" s="118">
        <v>3.88</v>
      </c>
      <c r="W146" s="499"/>
      <c r="X146" s="236">
        <f t="shared" si="50"/>
        <v>0</v>
      </c>
      <c r="Y146" s="17" t="s">
        <v>101</v>
      </c>
    </row>
    <row r="147" spans="2:25" ht="18" customHeight="1">
      <c r="B147" s="977"/>
      <c r="C147" s="918"/>
      <c r="D147" s="944" t="s">
        <v>11</v>
      </c>
      <c r="E147" s="945"/>
      <c r="F147" s="946"/>
      <c r="G147" s="946"/>
      <c r="H147" s="947"/>
      <c r="I147" s="22"/>
      <c r="J147" s="22"/>
      <c r="K147" s="30"/>
      <c r="L147" s="282">
        <f t="shared" si="59"/>
        <v>0</v>
      </c>
      <c r="T147" s="229" t="s">
        <v>173</v>
      </c>
      <c r="U147" s="219" t="s">
        <v>94</v>
      </c>
      <c r="V147" s="118">
        <v>1.08</v>
      </c>
      <c r="W147" s="499"/>
      <c r="X147" s="236">
        <f t="shared" si="50"/>
        <v>0</v>
      </c>
      <c r="Y147" s="17" t="s">
        <v>102</v>
      </c>
    </row>
    <row r="148" spans="2:25" ht="18" customHeight="1">
      <c r="B148" s="977"/>
      <c r="C148" s="918"/>
      <c r="D148" s="944" t="s">
        <v>12</v>
      </c>
      <c r="E148" s="945"/>
      <c r="F148" s="946"/>
      <c r="G148" s="946"/>
      <c r="H148" s="947"/>
      <c r="I148" s="22"/>
      <c r="J148" s="22"/>
      <c r="K148" s="30"/>
      <c r="L148" s="282">
        <f t="shared" si="59"/>
        <v>0</v>
      </c>
      <c r="T148" s="230" t="s">
        <v>174</v>
      </c>
      <c r="U148" s="219" t="s">
        <v>95</v>
      </c>
      <c r="V148" s="118">
        <v>1.19</v>
      </c>
      <c r="W148" s="499"/>
      <c r="X148" s="236">
        <f t="shared" si="50"/>
        <v>0</v>
      </c>
      <c r="Y148" s="17" t="s">
        <v>102</v>
      </c>
    </row>
    <row r="149" spans="2:25" ht="18" customHeight="1">
      <c r="B149" s="1020"/>
      <c r="C149" s="920"/>
      <c r="D149" s="1283" t="s">
        <v>18</v>
      </c>
      <c r="E149" s="1284"/>
      <c r="F149" s="1285"/>
      <c r="G149" s="1285"/>
      <c r="H149" s="1286"/>
      <c r="I149" s="50">
        <f>SUM(I146:I148)</f>
        <v>606.18799999999999</v>
      </c>
      <c r="J149" s="50">
        <f>SUM(J146:J148)</f>
        <v>0</v>
      </c>
      <c r="K149" s="31">
        <f>SUM(I149:I149)</f>
        <v>606.18799999999999</v>
      </c>
      <c r="L149" s="490">
        <f t="shared" si="59"/>
        <v>606.18799999999999</v>
      </c>
      <c r="T149" s="230"/>
      <c r="U149" s="219" t="s">
        <v>96</v>
      </c>
      <c r="V149" s="118">
        <v>1.44</v>
      </c>
      <c r="W149" s="499"/>
      <c r="X149" s="236">
        <f t="shared" si="50"/>
        <v>0</v>
      </c>
      <c r="Y149" s="17" t="s">
        <v>102</v>
      </c>
    </row>
    <row r="150" spans="2:25" ht="18" customHeight="1" thickBot="1">
      <c r="B150" s="1022" t="s">
        <v>105</v>
      </c>
      <c r="C150" s="1024"/>
      <c r="D150" s="1226" t="s">
        <v>19</v>
      </c>
      <c r="E150" s="1227"/>
      <c r="F150" s="1228"/>
      <c r="G150" s="1228"/>
      <c r="H150" s="1229"/>
      <c r="I150" s="498">
        <f>I145-I149</f>
        <v>-8.0000000000381988E-3</v>
      </c>
      <c r="J150" s="498">
        <f>J145-J149</f>
        <v>2.4900000000000002</v>
      </c>
      <c r="K150" s="498">
        <f>K145-K149</f>
        <v>2.4819999999999709</v>
      </c>
      <c r="L150" s="491">
        <f>K150</f>
        <v>2.4819999999999709</v>
      </c>
      <c r="T150" s="231" t="s">
        <v>175</v>
      </c>
      <c r="U150" s="219" t="s">
        <v>94</v>
      </c>
      <c r="V150" s="118">
        <v>5.25</v>
      </c>
      <c r="W150" s="499"/>
      <c r="X150" s="236">
        <f t="shared" si="50"/>
        <v>0</v>
      </c>
      <c r="Y150" s="17" t="s">
        <v>168</v>
      </c>
    </row>
    <row r="151" spans="2:25" ht="18" customHeight="1">
      <c r="T151" s="228"/>
      <c r="U151" s="219" t="s">
        <v>95</v>
      </c>
      <c r="V151" s="118">
        <v>5.66</v>
      </c>
      <c r="W151" s="499"/>
      <c r="X151" s="236">
        <f t="shared" si="50"/>
        <v>0</v>
      </c>
      <c r="Y151" s="17" t="s">
        <v>168</v>
      </c>
    </row>
    <row r="152" spans="2:25" ht="18" customHeight="1">
      <c r="T152" s="228"/>
      <c r="U152" s="219" t="s">
        <v>96</v>
      </c>
      <c r="V152" s="118">
        <v>7.91</v>
      </c>
      <c r="W152" s="499"/>
      <c r="X152" s="236">
        <f t="shared" si="50"/>
        <v>0</v>
      </c>
      <c r="Y152" s="17" t="s">
        <v>168</v>
      </c>
    </row>
    <row r="153" spans="2:25" ht="18" customHeight="1">
      <c r="T153" s="228" t="s">
        <v>170</v>
      </c>
      <c r="U153" s="219" t="s">
        <v>169</v>
      </c>
      <c r="V153" s="118">
        <v>13.97</v>
      </c>
      <c r="W153" s="499">
        <v>1</v>
      </c>
      <c r="X153" s="236">
        <f t="shared" si="50"/>
        <v>13.9</v>
      </c>
      <c r="Y153" s="17"/>
    </row>
    <row r="154" spans="2:25" ht="18" customHeight="1">
      <c r="T154" s="228" t="s">
        <v>171</v>
      </c>
      <c r="U154" s="219" t="s">
        <v>140</v>
      </c>
      <c r="V154" s="118">
        <v>14.01</v>
      </c>
      <c r="W154" s="499">
        <v>1</v>
      </c>
      <c r="X154" s="236">
        <f t="shared" si="50"/>
        <v>14</v>
      </c>
      <c r="Y154" s="17"/>
    </row>
    <row r="155" spans="2:25" ht="18" customHeight="1">
      <c r="T155" s="228" t="s">
        <v>172</v>
      </c>
      <c r="U155" s="219" t="s">
        <v>140</v>
      </c>
      <c r="V155" s="118">
        <v>13.32</v>
      </c>
      <c r="W155" s="499">
        <v>1</v>
      </c>
      <c r="X155" s="236">
        <f t="shared" si="50"/>
        <v>13.3</v>
      </c>
      <c r="Y155" s="17"/>
    </row>
    <row r="156" spans="2:25" ht="18" customHeight="1">
      <c r="T156" s="228" t="s">
        <v>176</v>
      </c>
      <c r="U156" s="219" t="s">
        <v>140</v>
      </c>
      <c r="V156" s="118">
        <v>9.51</v>
      </c>
      <c r="W156" s="234">
        <v>1</v>
      </c>
      <c r="X156" s="236">
        <f t="shared" si="50"/>
        <v>9.5</v>
      </c>
      <c r="Y156" s="17"/>
    </row>
    <row r="157" spans="2:25" ht="18" customHeight="1">
      <c r="T157" s="228" t="s">
        <v>177</v>
      </c>
      <c r="U157" s="219" t="s">
        <v>140</v>
      </c>
      <c r="V157" s="118">
        <v>9.8699999999999992</v>
      </c>
      <c r="W157" s="234"/>
      <c r="X157" s="236">
        <f t="shared" si="50"/>
        <v>0</v>
      </c>
      <c r="Y157" s="17"/>
    </row>
    <row r="158" spans="2:25" ht="18" customHeight="1">
      <c r="T158" s="228" t="s">
        <v>178</v>
      </c>
      <c r="U158" s="219" t="s">
        <v>140</v>
      </c>
      <c r="V158" s="118">
        <v>3</v>
      </c>
      <c r="W158" s="234"/>
      <c r="X158" s="236">
        <f t="shared" si="50"/>
        <v>0</v>
      </c>
      <c r="Y158" s="17"/>
    </row>
    <row r="159" spans="2:25" ht="18" customHeight="1">
      <c r="T159" s="228" t="s">
        <v>179</v>
      </c>
      <c r="U159" s="219" t="s">
        <v>140</v>
      </c>
      <c r="V159" s="118">
        <v>6.7</v>
      </c>
      <c r="W159" s="234"/>
      <c r="X159" s="236">
        <f t="shared" si="50"/>
        <v>0</v>
      </c>
      <c r="Y159" s="17"/>
    </row>
    <row r="160" spans="2:25" ht="18" customHeight="1">
      <c r="T160" s="226" t="s">
        <v>180</v>
      </c>
      <c r="U160" s="219" t="s">
        <v>137</v>
      </c>
      <c r="V160" s="118">
        <v>16.510000000000002</v>
      </c>
      <c r="W160" s="234"/>
      <c r="X160" s="236">
        <f t="shared" ref="X160:X166" si="60">ROUNDDOWN(V160*W160,1)</f>
        <v>0</v>
      </c>
      <c r="Y160" s="17" t="s">
        <v>93</v>
      </c>
    </row>
    <row r="161" spans="20:25" ht="18" customHeight="1">
      <c r="T161" s="228" t="s">
        <v>319</v>
      </c>
      <c r="U161" s="219" t="s">
        <v>323</v>
      </c>
      <c r="V161" s="118">
        <v>2.3660000000000001</v>
      </c>
      <c r="W161" s="234"/>
      <c r="X161" s="236">
        <f t="shared" si="60"/>
        <v>0</v>
      </c>
      <c r="Y161" s="17"/>
    </row>
    <row r="162" spans="20:25" ht="18" customHeight="1">
      <c r="T162" s="228" t="s">
        <v>320</v>
      </c>
      <c r="U162" s="219" t="s">
        <v>140</v>
      </c>
      <c r="V162" s="118">
        <v>0.4</v>
      </c>
      <c r="W162" s="234"/>
      <c r="X162" s="236">
        <f t="shared" si="60"/>
        <v>0</v>
      </c>
      <c r="Y162" s="17"/>
    </row>
    <row r="163" spans="20:25" ht="18" customHeight="1">
      <c r="T163" s="228" t="s">
        <v>321</v>
      </c>
      <c r="U163" s="219" t="s">
        <v>140</v>
      </c>
      <c r="V163" s="118">
        <v>1.6060000000000001</v>
      </c>
      <c r="W163" s="234"/>
      <c r="X163" s="236">
        <f t="shared" si="60"/>
        <v>0</v>
      </c>
      <c r="Y163" s="17"/>
    </row>
    <row r="164" spans="20:25" ht="18" customHeight="1">
      <c r="T164" s="228">
        <v>3</v>
      </c>
      <c r="U164" s="219" t="s">
        <v>140</v>
      </c>
      <c r="V164" s="118">
        <v>2.7330000000000001</v>
      </c>
      <c r="W164" s="234"/>
      <c r="X164" s="236">
        <f t="shared" si="60"/>
        <v>0</v>
      </c>
      <c r="Y164" s="17"/>
    </row>
    <row r="165" spans="20:25" ht="18" customHeight="1">
      <c r="T165" s="228" t="s">
        <v>322</v>
      </c>
      <c r="U165" s="219" t="s">
        <v>140</v>
      </c>
      <c r="V165" s="118">
        <v>3.242</v>
      </c>
      <c r="W165" s="234"/>
      <c r="X165" s="236">
        <f t="shared" si="60"/>
        <v>0</v>
      </c>
      <c r="Y165" s="17"/>
    </row>
    <row r="166" spans="20:25" ht="18" customHeight="1" thickBot="1">
      <c r="T166" s="224" t="s">
        <v>391</v>
      </c>
      <c r="U166" s="225"/>
      <c r="V166" s="118">
        <v>7.2</v>
      </c>
      <c r="W166" s="234">
        <v>1</v>
      </c>
      <c r="X166" s="236">
        <f t="shared" si="60"/>
        <v>7.2</v>
      </c>
      <c r="Y166" s="17"/>
    </row>
    <row r="167" spans="20:25" ht="18" customHeight="1" thickBot="1">
      <c r="T167" s="154"/>
      <c r="U167" s="1276" t="s">
        <v>182</v>
      </c>
      <c r="V167" s="1277"/>
      <c r="W167" s="1278"/>
      <c r="X167" s="235">
        <f>SUM(X96:X128,X130:X166)</f>
        <v>57.900000000000006</v>
      </c>
      <c r="Y167" s="18"/>
    </row>
    <row r="168" spans="20:25" ht="18" customHeight="1">
      <c r="T168" s="154"/>
    </row>
    <row r="169" spans="20:25" ht="18" customHeight="1">
      <c r="T169" s="154" t="s">
        <v>284</v>
      </c>
      <c r="V169" s="2" t="s">
        <v>300</v>
      </c>
    </row>
    <row r="170" spans="20:25" ht="18" customHeight="1">
      <c r="T170" s="154" t="s">
        <v>292</v>
      </c>
      <c r="V170" s="2" t="s">
        <v>301</v>
      </c>
    </row>
    <row r="171" spans="20:25" ht="18" customHeight="1">
      <c r="T171" s="154" t="s">
        <v>293</v>
      </c>
    </row>
    <row r="172" spans="20:25" ht="18" customHeight="1">
      <c r="T172" s="154" t="s">
        <v>294</v>
      </c>
    </row>
  </sheetData>
  <mergeCells count="170">
    <mergeCell ref="B130:C142"/>
    <mergeCell ref="D102:F102"/>
    <mergeCell ref="B74:L74"/>
    <mergeCell ref="F120:G120"/>
    <mergeCell ref="F121:G121"/>
    <mergeCell ref="B114:C129"/>
    <mergeCell ref="D119:D122"/>
    <mergeCell ref="D123:D126"/>
    <mergeCell ref="F124:G124"/>
    <mergeCell ref="F125:G125"/>
    <mergeCell ref="F126:G126"/>
    <mergeCell ref="F127:G127"/>
    <mergeCell ref="F119:G119"/>
    <mergeCell ref="D98:F98"/>
    <mergeCell ref="D99:F99"/>
    <mergeCell ref="D134:H134"/>
    <mergeCell ref="D132:H132"/>
    <mergeCell ref="F114:G114"/>
    <mergeCell ref="B94:C113"/>
    <mergeCell ref="D111:F111"/>
    <mergeCell ref="D112:F112"/>
    <mergeCell ref="D96:F96"/>
    <mergeCell ref="D107:F107"/>
    <mergeCell ref="D105:F105"/>
    <mergeCell ref="B40:B58"/>
    <mergeCell ref="D110:F110"/>
    <mergeCell ref="B75:L76"/>
    <mergeCell ref="D97:F97"/>
    <mergeCell ref="C60:C63"/>
    <mergeCell ref="D104:F104"/>
    <mergeCell ref="D109:F109"/>
    <mergeCell ref="D108:F108"/>
    <mergeCell ref="B87:B93"/>
    <mergeCell ref="C87:C90"/>
    <mergeCell ref="C92:C93"/>
    <mergeCell ref="C71:C73"/>
    <mergeCell ref="B60:B66"/>
    <mergeCell ref="B80:B86"/>
    <mergeCell ref="D95:F95"/>
    <mergeCell ref="D94:F94"/>
    <mergeCell ref="C80:C83"/>
    <mergeCell ref="C85:C86"/>
    <mergeCell ref="C64:C66"/>
    <mergeCell ref="B78:C79"/>
    <mergeCell ref="D101:F101"/>
    <mergeCell ref="C40:C43"/>
    <mergeCell ref="O78:R78"/>
    <mergeCell ref="D53:E53"/>
    <mergeCell ref="M78:M79"/>
    <mergeCell ref="D52:E52"/>
    <mergeCell ref="D59:F59"/>
    <mergeCell ref="K78:K79"/>
    <mergeCell ref="D57:F57"/>
    <mergeCell ref="I78:I79"/>
    <mergeCell ref="C55:C58"/>
    <mergeCell ref="F116:G116"/>
    <mergeCell ref="D131:H131"/>
    <mergeCell ref="F117:G117"/>
    <mergeCell ref="D136:H136"/>
    <mergeCell ref="B5:C6"/>
    <mergeCell ref="G36:H36"/>
    <mergeCell ref="E44:F44"/>
    <mergeCell ref="B11:B35"/>
    <mergeCell ref="C24:C35"/>
    <mergeCell ref="E35:F35"/>
    <mergeCell ref="E33:F33"/>
    <mergeCell ref="E8:H8"/>
    <mergeCell ref="E9:H9"/>
    <mergeCell ref="E10:H10"/>
    <mergeCell ref="C52:C54"/>
    <mergeCell ref="B38:C39"/>
    <mergeCell ref="E24:F31"/>
    <mergeCell ref="D38:H38"/>
    <mergeCell ref="D39:H39"/>
    <mergeCell ref="E46:F46"/>
    <mergeCell ref="D54:E54"/>
    <mergeCell ref="D58:F58"/>
    <mergeCell ref="D55:F55"/>
    <mergeCell ref="E51:F51"/>
    <mergeCell ref="U167:W167"/>
    <mergeCell ref="D141:H141"/>
    <mergeCell ref="J78:J79"/>
    <mergeCell ref="D130:H130"/>
    <mergeCell ref="D144:H144"/>
    <mergeCell ref="D145:H145"/>
    <mergeCell ref="F122:G122"/>
    <mergeCell ref="F123:G123"/>
    <mergeCell ref="D140:H140"/>
    <mergeCell ref="D147:H147"/>
    <mergeCell ref="D148:H148"/>
    <mergeCell ref="D149:H149"/>
    <mergeCell ref="D133:H133"/>
    <mergeCell ref="F118:G118"/>
    <mergeCell ref="D135:H135"/>
    <mergeCell ref="D106:F106"/>
    <mergeCell ref="D103:F103"/>
    <mergeCell ref="D138:H138"/>
    <mergeCell ref="D78:H79"/>
    <mergeCell ref="D100:F100"/>
    <mergeCell ref="D142:H142"/>
    <mergeCell ref="D139:H139"/>
    <mergeCell ref="D115:D118"/>
    <mergeCell ref="F115:G115"/>
    <mergeCell ref="O5:R5"/>
    <mergeCell ref="K5:K6"/>
    <mergeCell ref="E32:F32"/>
    <mergeCell ref="E21:F21"/>
    <mergeCell ref="D113:F113"/>
    <mergeCell ref="B1:L1"/>
    <mergeCell ref="B2:L3"/>
    <mergeCell ref="B4:L4"/>
    <mergeCell ref="B7:C10"/>
    <mergeCell ref="D7:D8"/>
    <mergeCell ref="L5:L6"/>
    <mergeCell ref="D9:D10"/>
    <mergeCell ref="D5:H6"/>
    <mergeCell ref="J5:J6"/>
    <mergeCell ref="I5:I6"/>
    <mergeCell ref="D24:D32"/>
    <mergeCell ref="E16:F18"/>
    <mergeCell ref="D11:D19"/>
    <mergeCell ref="D20:D23"/>
    <mergeCell ref="E7:H7"/>
    <mergeCell ref="E45:F45"/>
    <mergeCell ref="L78:L79"/>
    <mergeCell ref="D56:F56"/>
    <mergeCell ref="B77:L77"/>
    <mergeCell ref="B150:C150"/>
    <mergeCell ref="D150:H150"/>
    <mergeCell ref="E19:F19"/>
    <mergeCell ref="E20:F20"/>
    <mergeCell ref="B143:C145"/>
    <mergeCell ref="D143:H143"/>
    <mergeCell ref="B146:C149"/>
    <mergeCell ref="D146:H146"/>
    <mergeCell ref="C11:C23"/>
    <mergeCell ref="D33:D35"/>
    <mergeCell ref="D36:F36"/>
    <mergeCell ref="E22:F22"/>
    <mergeCell ref="G37:H37"/>
    <mergeCell ref="E23:F23"/>
    <mergeCell ref="E11:F11"/>
    <mergeCell ref="E12:F15"/>
    <mergeCell ref="D37:F37"/>
    <mergeCell ref="E34:F34"/>
    <mergeCell ref="B36:C37"/>
    <mergeCell ref="B67:B73"/>
    <mergeCell ref="C67:C70"/>
    <mergeCell ref="B59:C59"/>
    <mergeCell ref="D137:H137"/>
    <mergeCell ref="E40:F40"/>
    <mergeCell ref="T40:T41"/>
    <mergeCell ref="D44:D45"/>
    <mergeCell ref="T44:T45"/>
    <mergeCell ref="D46:D47"/>
    <mergeCell ref="T46:T47"/>
    <mergeCell ref="D48:D49"/>
    <mergeCell ref="T48:T49"/>
    <mergeCell ref="C44:C51"/>
    <mergeCell ref="E41:F41"/>
    <mergeCell ref="E43:F43"/>
    <mergeCell ref="E47:F47"/>
    <mergeCell ref="E48:F48"/>
    <mergeCell ref="E49:F49"/>
    <mergeCell ref="D40:D41"/>
    <mergeCell ref="D42:D43"/>
    <mergeCell ref="T42:T43"/>
    <mergeCell ref="E50:F50"/>
    <mergeCell ref="D50:D51"/>
    <mergeCell ref="T50:T51"/>
  </mergeCells>
  <phoneticPr fontId="2"/>
  <dataValidations count="5">
    <dataValidation type="list" allowBlank="1" showInputMessage="1" showErrorMessage="1" sqref="G94:G97 G103:G113 G99:G100">
      <formula1>"掘削部,影響部"</formula1>
    </dataValidation>
    <dataValidation type="list" allowBlank="1" showInputMessage="1" showErrorMessage="1" sqref="E128:F128 E115:E127">
      <formula1>$T$169:$T$172</formula1>
    </dataValidation>
    <dataValidation type="list" allowBlank="1" showInputMessage="1" showErrorMessage="1" sqref="F115:G127">
      <formula1>$V$169:$V$170</formula1>
    </dataValidation>
    <dataValidation type="list" allowBlank="1" showInputMessage="1" showErrorMessage="1" sqref="H94:H113">
      <formula1>"W&lt;1.4,1.4≦W&lt;2.4,2.4≦W,1.4≦W≦3.0,3.0&lt;W"</formula1>
    </dataValidation>
    <dataValidation type="list" allowBlank="1" showInputMessage="1" showErrorMessage="1" sqref="G98 G102 G101">
      <formula1>"掘削部,影響部,新設部"</formula1>
    </dataValidation>
  </dataValidations>
  <printOptions horizontalCentered="1"/>
  <pageMargins left="0.78740157480314965" right="0.39370078740157483" top="0.19685039370078741" bottom="0.19685039370078741" header="0.19685039370078741" footer="0.19685039370078741"/>
  <pageSetup paperSize="9" scale="61" fitToHeight="0" orientation="portrait" r:id="rId1"/>
  <headerFooter alignWithMargins="0"/>
  <rowBreaks count="1" manualBreakCount="1">
    <brk id="73" min="1" max="11" man="1"/>
  </rowBreaks>
  <colBreaks count="1" manualBreakCount="1">
    <brk id="13" max="144" man="1"/>
  </colBreaks>
  <ignoredErrors>
    <ignoredError sqref="K43 K59:K60 K64:K66" formulaRange="1"/>
    <ignoredError sqref="K24:K27 K40:K41 K12:K19 K36:K39" formula="1" formulaRange="1"/>
    <ignoredError sqref="I150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総括表（土工事）</vt:lpstr>
      <vt:lpstr>総括表（管工事）</vt:lpstr>
      <vt:lpstr>総括表（舗装工事）</vt:lpstr>
      <vt:lpstr>'総括表（管工事）'!Print_Area</vt:lpstr>
      <vt:lpstr>'総括表（土工事）'!Print_Area</vt:lpstr>
      <vt:lpstr>'総括表（舗装工事）'!Print_Area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 俊吾</dc:creator>
  <cp:lastModifiedBy>Windows ユーザー</cp:lastModifiedBy>
  <cp:lastPrinted>2025-06-17T02:20:56Z</cp:lastPrinted>
  <dcterms:created xsi:type="dcterms:W3CDTF">2000-07-13T05:26:51Z</dcterms:created>
  <dcterms:modified xsi:type="dcterms:W3CDTF">2025-07-02T07:17:00Z</dcterms:modified>
</cp:coreProperties>
</file>
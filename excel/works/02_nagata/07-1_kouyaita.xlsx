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s2.kobe.local\work2\26_水道局\11_西部水道管理事務所\西部担当\05管理共有\※【絶対消さないでください】04工事共有\01請負工事\◆施工中の工事\長田（花山町２丁目他）配水管取替工事\当初設計\数量計算書（業者用）\"/>
    </mc:Choice>
  </mc:AlternateContent>
  <bookViews>
    <workbookView minimized="1" xWindow="0" yWindow="0" windowWidth="28800" windowHeight="11650" activeTab="1"/>
  </bookViews>
  <sheets>
    <sheet name="軽量鋼矢板(昼間)" sheetId="1" r:id="rId1"/>
    <sheet name="使用回数・運搬重量" sheetId="2" r:id="rId2"/>
  </sheets>
  <definedNames>
    <definedName name="_xlnm.Print_Area" localSheetId="0">'軽量鋼矢板(昼間)'!$A$1:$BB$21</definedName>
    <definedName name="_xlnm.Print_Area" localSheetId="1">使用回数・運搬重量!$B$2:$N$56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11" i="1" l="1"/>
  <c r="AU10" i="1" s="1"/>
  <c r="AY10" i="1" s="1"/>
  <c r="AI11" i="1"/>
  <c r="AB11" i="1"/>
  <c r="AF11" i="1" s="1"/>
  <c r="AI10" i="1"/>
  <c r="AF10" i="1"/>
  <c r="AB10" i="1"/>
  <c r="AL9" i="1"/>
  <c r="AY8" i="1"/>
  <c r="AU7" i="1" s="1"/>
  <c r="AY7" i="1" s="1"/>
  <c r="AI8" i="1"/>
  <c r="AB8" i="1"/>
  <c r="AF8" i="1" s="1"/>
  <c r="AI7" i="1"/>
  <c r="AB7" i="1"/>
  <c r="AF7" i="1" s="1"/>
  <c r="AL6" i="1"/>
  <c r="AL39" i="1" l="1"/>
  <c r="AB40" i="1"/>
  <c r="AF40" i="1" s="1"/>
  <c r="AI40" i="1"/>
  <c r="AB41" i="1"/>
  <c r="AF41" i="1" s="1"/>
  <c r="AI41" i="1"/>
  <c r="AY41" i="1"/>
  <c r="AU40" i="1" s="1"/>
  <c r="AY40" i="1" s="1"/>
  <c r="AY28" i="1"/>
  <c r="AU27" i="1" s="1"/>
  <c r="AY27" i="1" s="1"/>
  <c r="AI28" i="1"/>
  <c r="AB28" i="1"/>
  <c r="AF28" i="1" s="1"/>
  <c r="AI27" i="1"/>
  <c r="AB27" i="1"/>
  <c r="AF27" i="1" s="1"/>
  <c r="AL26" i="1"/>
  <c r="AY21" i="1"/>
  <c r="AU20" i="1" s="1"/>
  <c r="AY20" i="1" s="1"/>
  <c r="AI21" i="1"/>
  <c r="AB21" i="1"/>
  <c r="AF21" i="1" s="1"/>
  <c r="AI20" i="1"/>
  <c r="AB20" i="1"/>
  <c r="AF20" i="1" s="1"/>
  <c r="AL19" i="1"/>
  <c r="AY51" i="1"/>
  <c r="AU50" i="1" s="1"/>
  <c r="AY50" i="1" s="1"/>
  <c r="AI51" i="1"/>
  <c r="AB51" i="1"/>
  <c r="AF51" i="1" s="1"/>
  <c r="AI50" i="1"/>
  <c r="AB50" i="1"/>
  <c r="AF50" i="1" s="1"/>
  <c r="AL49" i="1"/>
  <c r="AY18" i="1" l="1"/>
  <c r="AI18" i="1"/>
  <c r="AB18" i="1"/>
  <c r="AF18" i="1" s="1"/>
  <c r="AI17" i="1"/>
  <c r="AB17" i="1"/>
  <c r="AF17" i="1" s="1"/>
  <c r="AL16" i="1"/>
  <c r="AU17" i="1" l="1"/>
  <c r="AY17" i="1" s="1"/>
  <c r="L55" i="2"/>
  <c r="M55" i="2"/>
  <c r="N55" i="2"/>
  <c r="G55" i="2"/>
  <c r="N36" i="2"/>
  <c r="M36" i="2"/>
  <c r="L36" i="2"/>
  <c r="I36" i="2"/>
  <c r="H36" i="2"/>
  <c r="H37" i="2" s="1"/>
  <c r="G36" i="2"/>
  <c r="N24" i="2"/>
  <c r="M24" i="2"/>
  <c r="L24" i="2"/>
  <c r="G24" i="2"/>
  <c r="AB48" i="1" l="1"/>
  <c r="N12" i="2" l="1"/>
  <c r="M12" i="2"/>
  <c r="L12" i="2"/>
  <c r="G12" i="2"/>
  <c r="N44" i="2" l="1"/>
  <c r="N47" i="2" s="1"/>
  <c r="M44" i="2"/>
  <c r="M47" i="2" s="1"/>
  <c r="G44" i="2"/>
  <c r="G47" i="2" s="1"/>
  <c r="L44" i="2"/>
  <c r="L47" i="2" s="1"/>
  <c r="AI48" i="1"/>
  <c r="AI47" i="1"/>
  <c r="AI38" i="1"/>
  <c r="AI31" i="1"/>
  <c r="AI37" i="1"/>
  <c r="AB31" i="1" l="1"/>
  <c r="AB38" i="1"/>
  <c r="AY48" i="1"/>
  <c r="AL46" i="1"/>
  <c r="AF48" i="1"/>
  <c r="AB47" i="1"/>
  <c r="AF47" i="1" s="1"/>
  <c r="K36" i="2" l="1"/>
  <c r="K37" i="2" s="1"/>
  <c r="AU47" i="1"/>
  <c r="AY47" i="1" s="1"/>
  <c r="AB30" i="1"/>
  <c r="AI30" i="1"/>
  <c r="J36" i="2" l="1"/>
  <c r="I37" i="2" s="1"/>
  <c r="I24" i="2"/>
  <c r="AB37" i="1"/>
  <c r="AF37" i="1" s="1"/>
  <c r="I12" i="2"/>
  <c r="I44" i="2" s="1"/>
  <c r="AY31" i="1"/>
  <c r="K24" i="2" s="1"/>
  <c r="AL29" i="1"/>
  <c r="AY38" i="1"/>
  <c r="AL36" i="1"/>
  <c r="AF31" i="1"/>
  <c r="AF30" i="1"/>
  <c r="AF38" i="1"/>
  <c r="AU30" i="1" l="1"/>
  <c r="AY30" i="1" s="1"/>
  <c r="AU37" i="1"/>
  <c r="AY37" i="1" s="1"/>
  <c r="K12" i="2"/>
  <c r="J24" i="2" l="1"/>
  <c r="I25" i="2" s="1"/>
  <c r="K44" i="2"/>
  <c r="K45" i="2" s="1"/>
  <c r="H24" i="2"/>
  <c r="H25" i="2" s="1"/>
  <c r="J12" i="2"/>
  <c r="H12" i="2"/>
  <c r="H13" i="2" s="1"/>
  <c r="I13" i="2" l="1"/>
  <c r="J44" i="2"/>
  <c r="I45" i="2" s="1"/>
  <c r="K47" i="2"/>
  <c r="K55" i="2"/>
  <c r="H44" i="2"/>
  <c r="H45" i="2" s="1"/>
  <c r="I55" i="2" l="1"/>
  <c r="H47" i="2"/>
  <c r="H55" i="2"/>
  <c r="G56" i="2" l="1"/>
</calcChain>
</file>

<file path=xl/comments1.xml><?xml version="1.0" encoding="utf-8"?>
<comments xmlns="http://schemas.openxmlformats.org/spreadsheetml/2006/main">
  <authors>
    <author>Windows ユーザー</author>
  </authors>
  <commentList>
    <comment ref="I47" authorId="0" shapeId="0">
      <text>
        <r>
          <rPr>
            <b/>
            <sz val="9"/>
            <color indexed="81"/>
            <rFont val="MS P ゴシック"/>
            <family val="3"/>
            <charset val="128"/>
          </rPr>
          <t>4.50m→1回</t>
        </r>
      </text>
    </comment>
  </commentList>
</comments>
</file>

<file path=xl/sharedStrings.xml><?xml version="1.0" encoding="utf-8"?>
<sst xmlns="http://schemas.openxmlformats.org/spreadsheetml/2006/main" count="403" uniqueCount="54">
  <si>
    <t>矢板長</t>
    <rPh sb="0" eb="2">
      <t>ヤイタ</t>
    </rPh>
    <rPh sb="2" eb="3">
      <t>チョウ</t>
    </rPh>
    <phoneticPr fontId="1"/>
  </si>
  <si>
    <t>継手堀部：</t>
    <rPh sb="0" eb="1">
      <t>ツギ</t>
    </rPh>
    <rPh sb="1" eb="2">
      <t>テ</t>
    </rPh>
    <rPh sb="2" eb="3">
      <t>ホリ</t>
    </rPh>
    <rPh sb="3" eb="4">
      <t>ブ</t>
    </rPh>
    <phoneticPr fontId="1"/>
  </si>
  <si>
    <t>土被り</t>
    <rPh sb="0" eb="1">
      <t>ド</t>
    </rPh>
    <rPh sb="1" eb="2">
      <t>カブ</t>
    </rPh>
    <phoneticPr fontId="1"/>
  </si>
  <si>
    <t>管径</t>
    <rPh sb="0" eb="1">
      <t>カン</t>
    </rPh>
    <rPh sb="1" eb="2">
      <t>ケイ</t>
    </rPh>
    <phoneticPr fontId="1"/>
  </si>
  <si>
    <t>継手堀</t>
    <rPh sb="0" eb="1">
      <t>ツギ</t>
    </rPh>
    <rPh sb="1" eb="2">
      <t>テ</t>
    </rPh>
    <rPh sb="2" eb="3">
      <t>ホリ</t>
    </rPh>
    <phoneticPr fontId="1"/>
  </si>
  <si>
    <t>矢板深</t>
    <rPh sb="0" eb="2">
      <t>ヤイタ</t>
    </rPh>
    <rPh sb="2" eb="3">
      <t>フカ</t>
    </rPh>
    <phoneticPr fontId="1"/>
  </si>
  <si>
    <t>根入深</t>
    <rPh sb="0" eb="1">
      <t>ネ</t>
    </rPh>
    <rPh sb="1" eb="2">
      <t>イ</t>
    </rPh>
    <rPh sb="2" eb="3">
      <t>フカ</t>
    </rPh>
    <phoneticPr fontId="1"/>
  </si>
  <si>
    <t>一般部：</t>
    <rPh sb="0" eb="2">
      <t>イッパン</t>
    </rPh>
    <rPh sb="2" eb="3">
      <t>ブ</t>
    </rPh>
    <phoneticPr fontId="1"/>
  </si>
  <si>
    <t>+</t>
    <phoneticPr fontId="1"/>
  </si>
  <si>
    <t>=</t>
    <phoneticPr fontId="1"/>
  </si>
  <si>
    <t>→</t>
    <phoneticPr fontId="1"/>
  </si>
  <si>
    <t>-</t>
    <phoneticPr fontId="1"/>
  </si>
  <si>
    <t>×</t>
    <phoneticPr fontId="1"/>
  </si>
  <si>
    <t>□管路部　軽量鋼矢板</t>
    <rPh sb="1" eb="3">
      <t>カンロ</t>
    </rPh>
    <rPh sb="3" eb="4">
      <t>ブ</t>
    </rPh>
    <rPh sb="5" eb="7">
      <t>ケイリョウ</t>
    </rPh>
    <rPh sb="7" eb="8">
      <t>コウ</t>
    </rPh>
    <rPh sb="8" eb="10">
      <t>ヤイタ</t>
    </rPh>
    <phoneticPr fontId="1"/>
  </si>
  <si>
    <t>延長は縦断図より(連絡部含む)</t>
    <rPh sb="0" eb="2">
      <t>エンチョウ</t>
    </rPh>
    <rPh sb="3" eb="5">
      <t>ジュウダン</t>
    </rPh>
    <rPh sb="5" eb="6">
      <t>ズ</t>
    </rPh>
    <rPh sb="9" eb="11">
      <t>レンラク</t>
    </rPh>
    <rPh sb="11" eb="12">
      <t>ブ</t>
    </rPh>
    <rPh sb="12" eb="13">
      <t>フク</t>
    </rPh>
    <phoneticPr fontId="1"/>
  </si>
  <si>
    <t>土被りは縦断図より</t>
    <rPh sb="0" eb="2">
      <t>ドカブ</t>
    </rPh>
    <rPh sb="4" eb="6">
      <t>ジュウダン</t>
    </rPh>
    <rPh sb="6" eb="7">
      <t>ズ</t>
    </rPh>
    <phoneticPr fontId="1"/>
  </si>
  <si>
    <t>路線名</t>
    <rPh sb="0" eb="2">
      <t>ロセン</t>
    </rPh>
    <rPh sb="2" eb="3">
      <t>メイ</t>
    </rPh>
    <phoneticPr fontId="1"/>
  </si>
  <si>
    <t>掘削深</t>
    <rPh sb="0" eb="2">
      <t>クッサク</t>
    </rPh>
    <rPh sb="2" eb="3">
      <t>シン</t>
    </rPh>
    <phoneticPr fontId="1"/>
  </si>
  <si>
    <t>①軽量鋼矢板延長集計表</t>
    <rPh sb="1" eb="3">
      <t>ケイリョウ</t>
    </rPh>
    <rPh sb="3" eb="4">
      <t>コウ</t>
    </rPh>
    <rPh sb="4" eb="5">
      <t>ヤ</t>
    </rPh>
    <rPh sb="5" eb="6">
      <t>イタ</t>
    </rPh>
    <rPh sb="6" eb="8">
      <t>エンチョウ</t>
    </rPh>
    <rPh sb="8" eb="10">
      <t>シュウケイ</t>
    </rPh>
    <rPh sb="10" eb="11">
      <t>ヒョウ</t>
    </rPh>
    <phoneticPr fontId="1"/>
  </si>
  <si>
    <t>口径</t>
    <rPh sb="0" eb="2">
      <t>コウケイ</t>
    </rPh>
    <phoneticPr fontId="1"/>
  </si>
  <si>
    <t>側点
（追加距離）</t>
    <rPh sb="0" eb="1">
      <t>ソク</t>
    </rPh>
    <rPh sb="1" eb="2">
      <t>テン</t>
    </rPh>
    <rPh sb="4" eb="6">
      <t>ツイカ</t>
    </rPh>
    <rPh sb="6" eb="8">
      <t>キョリ</t>
    </rPh>
    <phoneticPr fontId="1"/>
  </si>
  <si>
    <t>掘削幅</t>
    <rPh sb="0" eb="2">
      <t>クッサク</t>
    </rPh>
    <rPh sb="2" eb="3">
      <t>ハバ</t>
    </rPh>
    <phoneticPr fontId="1"/>
  </si>
  <si>
    <r>
      <t>矢 板</t>
    </r>
    <r>
      <rPr>
        <sz val="11"/>
        <rFont val="ＭＳ Ｐゴシック"/>
        <family val="3"/>
        <charset val="128"/>
      </rPr>
      <t xml:space="preserve"> </t>
    </r>
    <r>
      <rPr>
        <sz val="11"/>
        <rFont val="ＭＳ Ｐゴシック"/>
        <family val="3"/>
        <charset val="128"/>
      </rPr>
      <t>長</t>
    </r>
    <r>
      <rPr>
        <sz val="11"/>
        <rFont val="ＭＳ Ｐゴシック"/>
        <family val="3"/>
        <charset val="128"/>
      </rPr>
      <t xml:space="preserve"> (m)</t>
    </r>
    <rPh sb="0" eb="1">
      <t>ヤ</t>
    </rPh>
    <rPh sb="2" eb="3">
      <t>イタ</t>
    </rPh>
    <rPh sb="4" eb="5">
      <t>チョウ</t>
    </rPh>
    <phoneticPr fontId="1"/>
  </si>
  <si>
    <t>Ｂ＜1.50ｍ</t>
    <phoneticPr fontId="1"/>
  </si>
  <si>
    <t>掘1.3以下</t>
    <rPh sb="0" eb="1">
      <t>クツ</t>
    </rPh>
    <rPh sb="4" eb="6">
      <t>イカ</t>
    </rPh>
    <phoneticPr fontId="1"/>
  </si>
  <si>
    <t>掘1.8以下</t>
    <rPh sb="0" eb="1">
      <t>クツ</t>
    </rPh>
    <rPh sb="4" eb="6">
      <t>イカ</t>
    </rPh>
    <phoneticPr fontId="1"/>
  </si>
  <si>
    <t>掘1.8～2.0以下</t>
    <rPh sb="0" eb="1">
      <t>クツ</t>
    </rPh>
    <rPh sb="8" eb="10">
      <t>イカ</t>
    </rPh>
    <phoneticPr fontId="1"/>
  </si>
  <si>
    <t>掘2.0～2.3以下</t>
    <rPh sb="0" eb="1">
      <t>クツ</t>
    </rPh>
    <rPh sb="8" eb="10">
      <t>イカ</t>
    </rPh>
    <phoneticPr fontId="1"/>
  </si>
  <si>
    <t>掘2.8以下</t>
    <rPh sb="0" eb="1">
      <t>クツ</t>
    </rPh>
    <rPh sb="4" eb="6">
      <t>イカ</t>
    </rPh>
    <phoneticPr fontId="1"/>
  </si>
  <si>
    <t>掘3.3以下</t>
    <rPh sb="0" eb="1">
      <t>クツ</t>
    </rPh>
    <rPh sb="4" eb="6">
      <t>イカ</t>
    </rPh>
    <phoneticPr fontId="1"/>
  </si>
  <si>
    <t>掘3.5以下</t>
    <rPh sb="0" eb="1">
      <t>クツ</t>
    </rPh>
    <rPh sb="4" eb="6">
      <t>イカ</t>
    </rPh>
    <phoneticPr fontId="1"/>
  </si>
  <si>
    <t>掘3.5～3.8以下</t>
    <rPh sb="0" eb="1">
      <t>クツ</t>
    </rPh>
    <rPh sb="8" eb="10">
      <t>イカ</t>
    </rPh>
    <phoneticPr fontId="1"/>
  </si>
  <si>
    <t>1.50ｍ≦Ｂ＜2.40ｍ</t>
    <phoneticPr fontId="1"/>
  </si>
  <si>
    <t>Ｂ＜1.50ｍ</t>
  </si>
  <si>
    <t>2.40ｍ≦Ｂ＜3.80ｍ</t>
    <phoneticPr fontId="1"/>
  </si>
  <si>
    <t>3.80ｍ≦Ｂ＜4.30ｍ</t>
    <phoneticPr fontId="1"/>
  </si>
  <si>
    <t>延長合計(m)</t>
    <rPh sb="2" eb="4">
      <t>ゴウケイ</t>
    </rPh>
    <phoneticPr fontId="1"/>
  </si>
  <si>
    <t>②運搬重量</t>
    <rPh sb="1" eb="3">
      <t>ウンパン</t>
    </rPh>
    <rPh sb="3" eb="5">
      <t>ジュウリョウ</t>
    </rPh>
    <phoneticPr fontId="1"/>
  </si>
  <si>
    <t>日当り最大使用延長</t>
    <rPh sb="0" eb="1">
      <t>ニチ</t>
    </rPh>
    <rPh sb="1" eb="2">
      <t>アタ</t>
    </rPh>
    <rPh sb="3" eb="5">
      <t>サイダイ</t>
    </rPh>
    <rPh sb="5" eb="7">
      <t>シヨウ</t>
    </rPh>
    <rPh sb="7" eb="9">
      <t>エンチョウ</t>
    </rPh>
    <phoneticPr fontId="1"/>
  </si>
  <si>
    <t>重量(t) 　　　　 単位重量=</t>
    <rPh sb="0" eb="2">
      <t>ジュウリョウ</t>
    </rPh>
    <rPh sb="11" eb="13">
      <t>タンイ</t>
    </rPh>
    <rPh sb="13" eb="15">
      <t>ジュウリョウ</t>
    </rPh>
    <phoneticPr fontId="1"/>
  </si>
  <si>
    <t>運搬重量合計(t)</t>
    <rPh sb="0" eb="2">
      <t>ウンパン</t>
    </rPh>
    <rPh sb="2" eb="4">
      <t>ジュウリョウ</t>
    </rPh>
    <rPh sb="4" eb="6">
      <t>ゴウケイ</t>
    </rPh>
    <phoneticPr fontId="1"/>
  </si>
  <si>
    <t>使用回数合計（回）</t>
    <rPh sb="0" eb="2">
      <t>シヨウ</t>
    </rPh>
    <rPh sb="2" eb="4">
      <t>カイスウ</t>
    </rPh>
    <rPh sb="4" eb="6">
      <t>ゴウケイ</t>
    </rPh>
    <rPh sb="7" eb="8">
      <t>カイ</t>
    </rPh>
    <phoneticPr fontId="1"/>
  </si>
  <si>
    <t>※日当り最大使用延長は日進量。ただし、日進量未満は最大使用延長とする。</t>
    <rPh sb="1" eb="2">
      <t>ニチ</t>
    </rPh>
    <rPh sb="2" eb="3">
      <t>アタ</t>
    </rPh>
    <rPh sb="4" eb="6">
      <t>サイダイ</t>
    </rPh>
    <rPh sb="6" eb="8">
      <t>シヨウ</t>
    </rPh>
    <rPh sb="8" eb="10">
      <t>エンチョウ</t>
    </rPh>
    <rPh sb="11" eb="13">
      <t>ニッシン</t>
    </rPh>
    <rPh sb="13" eb="14">
      <t>リョウ</t>
    </rPh>
    <rPh sb="19" eb="21">
      <t>ニッシン</t>
    </rPh>
    <rPh sb="21" eb="22">
      <t>リョウ</t>
    </rPh>
    <rPh sb="22" eb="24">
      <t>ミマン</t>
    </rPh>
    <rPh sb="25" eb="27">
      <t>サイダイ</t>
    </rPh>
    <rPh sb="27" eb="29">
      <t>シヨウ</t>
    </rPh>
    <rPh sb="29" eb="31">
      <t>エンチョウ</t>
    </rPh>
    <phoneticPr fontId="1"/>
  </si>
  <si>
    <t>【φ</t>
    <phoneticPr fontId="1"/>
  </si>
  <si>
    <t>】</t>
    <phoneticPr fontId="1"/>
  </si>
  <si>
    <t>使用延長</t>
    <phoneticPr fontId="1"/>
  </si>
  <si>
    <r>
      <t>日進量(m/日)</t>
    </r>
    <r>
      <rPr>
        <sz val="9"/>
        <color rgb="FFFF0000"/>
        <rFont val="ＭＳ Ｐゴシック"/>
        <family val="3"/>
        <charset val="128"/>
      </rPr>
      <t>※日進量は別途確認すること</t>
    </r>
    <rPh sb="0" eb="2">
      <t>ニッシン</t>
    </rPh>
    <rPh sb="2" eb="3">
      <t>リョウ</t>
    </rPh>
    <rPh sb="6" eb="7">
      <t>ニチ</t>
    </rPh>
    <rPh sb="9" eb="11">
      <t>ニッシン</t>
    </rPh>
    <rPh sb="11" eb="12">
      <t>リョウ</t>
    </rPh>
    <rPh sb="13" eb="15">
      <t>ベット</t>
    </rPh>
    <rPh sb="15" eb="17">
      <t>カクニン</t>
    </rPh>
    <phoneticPr fontId="1"/>
  </si>
  <si>
    <t>口径</t>
    <rPh sb="0" eb="2">
      <t>コウケイ</t>
    </rPh>
    <phoneticPr fontId="1"/>
  </si>
  <si>
    <t>日進量（m/日）</t>
    <rPh sb="0" eb="2">
      <t>ニッシン</t>
    </rPh>
    <rPh sb="2" eb="3">
      <t>リョウ</t>
    </rPh>
    <phoneticPr fontId="1"/>
  </si>
  <si>
    <t>市街地</t>
    <rPh sb="0" eb="3">
      <t>シガイチ</t>
    </rPh>
    <phoneticPr fontId="1"/>
  </si>
  <si>
    <t>団地</t>
    <rPh sb="0" eb="2">
      <t>ダンチ</t>
    </rPh>
    <phoneticPr fontId="1"/>
  </si>
  <si>
    <t>取替</t>
    <rPh sb="0" eb="2">
      <t>トリカエ</t>
    </rPh>
    <phoneticPr fontId="1"/>
  </si>
  <si>
    <t>新設</t>
    <rPh sb="0" eb="2">
      <t>シンセツ</t>
    </rPh>
    <phoneticPr fontId="1"/>
  </si>
  <si>
    <t>撤去</t>
    <rPh sb="0" eb="2">
      <t>テッキョ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</si>
</sst>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76" formatCode="0.00&quot;m&quot;"/>
    <numFmt numFmtId="177" formatCode="&quot;H=&quot;0.0&quot;m&quot;"/>
    <numFmt numFmtId="178" formatCode="0.0&quot; m&quot;"/>
    <numFmt numFmtId="179" formatCode="0&quot; 箇所&quot;"/>
    <numFmt numFmtId="180" formatCode="0.00_ "/>
    <numFmt numFmtId="181" formatCode="0.0_);[Red]\(0.0\)"/>
    <numFmt numFmtId="182" formatCode="0.00&quot; m&quot;"/>
    <numFmt numFmtId="183" formatCode="0.00_);[Red]\(0.00\)"/>
    <numFmt numFmtId="184" formatCode="0_);[Red]\(0\)"/>
    <numFmt numFmtId="185" formatCode="0.0000&quot;(t/㎡)&quot;"/>
    <numFmt numFmtId="186" formatCode="0.0_ "/>
    <numFmt numFmtId="187" formatCode="0.0"/>
  </numFmts>
  <fonts count="12">
    <font>
      <sz val="11"/>
      <name val="ＭＳ Ｐゴシック"/>
      <family val="3"/>
      <charset val="128"/>
    </font>
    <font>
      <sz val="6"/>
      <name val="ＭＳ Ｐゴシック"/>
      <family val="3"/>
      <charset val="128"/>
    </font>
    <font>
      <sz val="11"/>
      <name val="ＭＳ Ｐゴシック"/>
      <family val="3"/>
      <charset val="128"/>
    </font>
    <font>
      <sz val="14"/>
      <name val="ＭＳ Ｐゴシック"/>
      <family val="3"/>
      <charset val="128"/>
    </font>
    <font>
      <sz val="10"/>
      <name val="ＭＳ Ｐゴシック"/>
      <family val="3"/>
      <charset val="128"/>
    </font>
    <font>
      <sz val="9"/>
      <name val="ＭＳ Ｐゴシック"/>
      <family val="3"/>
      <charset val="128"/>
    </font>
    <font>
      <b/>
      <sz val="10"/>
      <name val="ＭＳ Ｐゴシック"/>
      <family val="3"/>
      <charset val="128"/>
    </font>
    <font>
      <b/>
      <sz val="11"/>
      <name val="ＭＳ Ｐゴシック"/>
      <family val="3"/>
      <charset val="128"/>
    </font>
    <font>
      <sz val="9"/>
      <color rgb="FFFF0000"/>
      <name val="ＭＳ Ｐゴシック"/>
      <family val="3"/>
      <charset val="128"/>
    </font>
    <font>
      <b/>
      <sz val="9"/>
      <color indexed="81"/>
      <name val="MS P ゴシック"/>
      <family val="3"/>
      <charset val="128"/>
    </font>
    <font>
      <sz val="11"/>
      <color rgb="FFFF0000"/>
      <name val="ＭＳ Ｐゴシック"/>
      <family val="3"/>
      <charset val="128"/>
    </font>
    <font>
      <b/>
      <sz val="11"/>
      <color rgb="FFFF0000"/>
      <name val="ＭＳ Ｐゴシック"/>
      <family val="3"/>
      <charset val="128"/>
    </font>
  </fonts>
  <fills count="5">
    <fill>
      <patternFill patternType="none"/>
    </fill>
    <fill>
      <patternFill patternType="gray125"/>
    </fill>
    <fill>
      <patternFill patternType="solid">
        <fgColor indexed="43"/>
        <bgColor indexed="64"/>
      </patternFill>
    </fill>
    <fill>
      <patternFill patternType="solid">
        <fgColor theme="9" tint="0.59999389629810485"/>
        <bgColor indexed="64"/>
      </patternFill>
    </fill>
    <fill>
      <patternFill patternType="solid">
        <fgColor rgb="FFFFFF99"/>
        <bgColor indexed="64"/>
      </patternFill>
    </fill>
  </fills>
  <borders count="71">
    <border>
      <left/>
      <right/>
      <top/>
      <bottom/>
      <diagonal/>
    </border>
    <border>
      <left/>
      <right/>
      <top style="thin">
        <color indexed="64"/>
      </top>
      <bottom/>
      <diagonal/>
    </border>
    <border>
      <left/>
      <right/>
      <top/>
      <bottom style="thin">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double">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double">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style="hair">
        <color auto="1"/>
      </left>
      <right style="hair">
        <color auto="1"/>
      </right>
      <top style="hair">
        <color auto="1"/>
      </top>
      <bottom style="hair">
        <color auto="1"/>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thin">
        <color indexed="64"/>
      </left>
      <right style="hair">
        <color auto="1"/>
      </right>
      <top style="thin">
        <color indexed="64"/>
      </top>
      <bottom/>
      <diagonal/>
    </border>
    <border>
      <left style="hair">
        <color auto="1"/>
      </left>
      <right style="hair">
        <color auto="1"/>
      </right>
      <top style="thin">
        <color indexed="64"/>
      </top>
      <bottom/>
      <diagonal/>
    </border>
    <border>
      <left style="hair">
        <color auto="1"/>
      </left>
      <right style="thin">
        <color indexed="64"/>
      </right>
      <top style="thin">
        <color indexed="64"/>
      </top>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indexed="64"/>
      </bottom>
      <diagonal/>
    </border>
    <border>
      <left style="thin">
        <color indexed="64"/>
      </left>
      <right style="thin">
        <color indexed="64"/>
      </right>
      <top/>
      <bottom style="hair">
        <color auto="1"/>
      </bottom>
      <diagonal/>
    </border>
    <border>
      <left style="thin">
        <color indexed="64"/>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indexed="64"/>
      </right>
      <top/>
      <bottom style="hair">
        <color auto="1"/>
      </bottom>
      <diagonal/>
    </border>
    <border>
      <left style="medium">
        <color indexed="64"/>
      </left>
      <right/>
      <top/>
      <bottom/>
      <diagonal/>
    </border>
    <border>
      <left style="medium">
        <color indexed="64"/>
      </left>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style="medium">
        <color indexed="64"/>
      </left>
      <right/>
      <top/>
      <bottom style="double">
        <color indexed="64"/>
      </bottom>
      <diagonal/>
    </border>
  </borders>
  <cellStyleXfs count="1">
    <xf numFmtId="0" fontId="0" fillId="0" borderId="0">
      <alignment vertical="center"/>
    </xf>
  </cellStyleXfs>
  <cellXfs count="272">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shrinkToFit="1"/>
    </xf>
    <xf numFmtId="0" fontId="3" fillId="0" borderId="0" xfId="0" applyFont="1" applyAlignment="1">
      <alignment horizontal="left" vertical="center"/>
    </xf>
    <xf numFmtId="180" fontId="2" fillId="0" borderId="14" xfId="0" applyNumberFormat="1" applyFont="1" applyBorder="1" applyAlignment="1">
      <alignment horizontal="center" vertical="center"/>
    </xf>
    <xf numFmtId="180" fontId="0" fillId="0" borderId="14" xfId="0" applyNumberFormat="1" applyBorder="1" applyAlignment="1">
      <alignment horizontal="center" vertical="center"/>
    </xf>
    <xf numFmtId="0" fontId="0" fillId="0" borderId="0" xfId="0" applyAlignment="1">
      <alignment horizontal="left" vertical="center"/>
    </xf>
    <xf numFmtId="180" fontId="4" fillId="0" borderId="14" xfId="0" applyNumberFormat="1" applyFont="1"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shrinkToFit="1"/>
    </xf>
    <xf numFmtId="183" fontId="2" fillId="0" borderId="14" xfId="0" applyNumberFormat="1" applyFont="1" applyBorder="1" applyAlignment="1">
      <alignment horizontal="center" vertical="center"/>
    </xf>
    <xf numFmtId="0" fontId="0" fillId="0" borderId="14" xfId="0" applyBorder="1" applyAlignment="1">
      <alignment horizontal="left" vertical="center"/>
    </xf>
    <xf numFmtId="0" fontId="0" fillId="0" borderId="22" xfId="0" applyBorder="1" applyAlignment="1">
      <alignment horizontal="left" vertical="center"/>
    </xf>
    <xf numFmtId="0" fontId="0" fillId="0" borderId="22" xfId="0" applyBorder="1" applyAlignment="1">
      <alignment horizontal="center" vertical="center" shrinkToFit="1"/>
    </xf>
    <xf numFmtId="183" fontId="2" fillId="0" borderId="22" xfId="0" applyNumberFormat="1" applyFont="1" applyBorder="1" applyAlignment="1">
      <alignment horizontal="center" vertical="center"/>
    </xf>
    <xf numFmtId="181" fontId="2" fillId="0" borderId="18" xfId="0" applyNumberFormat="1" applyFont="1" applyBorder="1" applyAlignment="1">
      <alignment horizontal="center" vertical="center"/>
    </xf>
    <xf numFmtId="181" fontId="2" fillId="0" borderId="29" xfId="0" applyNumberFormat="1" applyFont="1" applyBorder="1" applyAlignment="1">
      <alignment horizontal="center" vertical="center"/>
    </xf>
    <xf numFmtId="180" fontId="0" fillId="0" borderId="38" xfId="0" applyNumberFormat="1" applyBorder="1" applyAlignment="1">
      <alignment horizontal="center" vertical="center"/>
    </xf>
    <xf numFmtId="186" fontId="0" fillId="0" borderId="18" xfId="0" applyNumberFormat="1" applyBorder="1" applyAlignment="1">
      <alignment horizontal="center" vertical="center"/>
    </xf>
    <xf numFmtId="186" fontId="0" fillId="0" borderId="40" xfId="0" applyNumberFormat="1" applyBorder="1" applyAlignment="1">
      <alignment horizontal="center" vertical="center"/>
    </xf>
    <xf numFmtId="180" fontId="4" fillId="0" borderId="29" xfId="0" applyNumberFormat="1" applyFont="1" applyBorder="1" applyAlignment="1">
      <alignment horizontal="center" vertical="center"/>
    </xf>
    <xf numFmtId="180" fontId="4" fillId="0" borderId="41" xfId="0" applyNumberFormat="1" applyFont="1" applyBorder="1" applyAlignment="1">
      <alignment horizontal="center" vertical="center"/>
    </xf>
    <xf numFmtId="183" fontId="2" fillId="3" borderId="14" xfId="0" applyNumberFormat="1" applyFont="1" applyFill="1" applyBorder="1" applyAlignment="1">
      <alignment horizontal="center" vertical="center"/>
    </xf>
    <xf numFmtId="185" fontId="0" fillId="3" borderId="28" xfId="0" applyNumberFormat="1" applyFill="1" applyBorder="1" applyAlignment="1">
      <alignment vertical="center" shrinkToFit="1"/>
    </xf>
    <xf numFmtId="0" fontId="4" fillId="0" borderId="0" xfId="0" applyFont="1">
      <alignment vertical="center"/>
    </xf>
    <xf numFmtId="0" fontId="4" fillId="0" borderId="0" xfId="0" applyFont="1" applyAlignment="1">
      <alignment horizontal="center" vertical="center"/>
    </xf>
    <xf numFmtId="0" fontId="4" fillId="0" borderId="0" xfId="0" applyFont="1" applyAlignment="1">
      <alignment horizontal="right" vertical="center"/>
    </xf>
    <xf numFmtId="0" fontId="4" fillId="0" borderId="1" xfId="0" applyFont="1" applyBorder="1" applyAlignment="1">
      <alignment horizontal="center" vertical="center" shrinkToFit="1"/>
    </xf>
    <xf numFmtId="0" fontId="4" fillId="0" borderId="10" xfId="0" applyFont="1" applyBorder="1">
      <alignment vertical="center"/>
    </xf>
    <xf numFmtId="0" fontId="4" fillId="0" borderId="0" xfId="0" applyFont="1" applyAlignment="1">
      <alignment horizontal="center" vertical="center" shrinkToFit="1"/>
    </xf>
    <xf numFmtId="0" fontId="4" fillId="0" borderId="7" xfId="0" applyFont="1" applyBorder="1" applyAlignment="1">
      <alignment horizontal="center" vertical="center"/>
    </xf>
    <xf numFmtId="0" fontId="4" fillId="0" borderId="2" xfId="0" applyFont="1" applyBorder="1" applyAlignment="1">
      <alignment horizontal="center" vertical="center" shrinkToFit="1"/>
    </xf>
    <xf numFmtId="0" fontId="4" fillId="0" borderId="8" xfId="0" applyFont="1" applyBorder="1">
      <alignment vertical="center"/>
    </xf>
    <xf numFmtId="0" fontId="4" fillId="0" borderId="2" xfId="0" applyFont="1" applyBorder="1" applyAlignment="1">
      <alignment horizontal="center" vertical="center"/>
    </xf>
    <xf numFmtId="0" fontId="4" fillId="0" borderId="9" xfId="0" applyFont="1" applyBorder="1">
      <alignment vertical="center"/>
    </xf>
    <xf numFmtId="177" fontId="4" fillId="0" borderId="0" xfId="0" applyNumberFormat="1" applyFont="1" applyAlignment="1">
      <alignment horizontal="center" vertical="center"/>
    </xf>
    <xf numFmtId="0" fontId="4" fillId="0" borderId="7" xfId="0" applyFont="1" applyBorder="1">
      <alignment vertical="center"/>
    </xf>
    <xf numFmtId="0" fontId="4" fillId="0" borderId="11" xfId="0" applyFont="1" applyBorder="1">
      <alignment vertical="center"/>
    </xf>
    <xf numFmtId="187" fontId="0" fillId="0" borderId="42" xfId="0" applyNumberFormat="1" applyBorder="1" applyAlignment="1">
      <alignment horizontal="center" vertical="center"/>
    </xf>
    <xf numFmtId="187" fontId="0" fillId="0" borderId="46" xfId="0" applyNumberFormat="1" applyBorder="1" applyAlignment="1">
      <alignment horizontal="center" vertical="center"/>
    </xf>
    <xf numFmtId="187" fontId="0" fillId="0" borderId="47" xfId="0" applyNumberFormat="1" applyBorder="1" applyAlignment="1">
      <alignment horizontal="center" vertical="center"/>
    </xf>
    <xf numFmtId="187" fontId="0" fillId="0" borderId="48" xfId="0" applyNumberFormat="1" applyBorder="1" applyAlignment="1">
      <alignment horizontal="center" vertical="center"/>
    </xf>
    <xf numFmtId="187" fontId="0" fillId="0" borderId="49" xfId="0" applyNumberFormat="1"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187" fontId="0" fillId="0" borderId="50" xfId="0" applyNumberFormat="1" applyBorder="1" applyAlignment="1">
      <alignment horizontal="center" vertical="center"/>
    </xf>
    <xf numFmtId="0" fontId="0" fillId="0" borderId="48"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1" fontId="0" fillId="0" borderId="57" xfId="0" applyNumberFormat="1" applyBorder="1" applyAlignment="1">
      <alignment horizontal="center" vertical="center"/>
    </xf>
    <xf numFmtId="187" fontId="0" fillId="0" borderId="58" xfId="0" applyNumberFormat="1" applyBorder="1" applyAlignment="1">
      <alignment horizontal="center" vertical="center"/>
    </xf>
    <xf numFmtId="187" fontId="0" fillId="0" borderId="59" xfId="0" applyNumberFormat="1" applyBorder="1" applyAlignment="1">
      <alignment horizontal="center" vertical="center"/>
    </xf>
    <xf numFmtId="187" fontId="0" fillId="0" borderId="60" xfId="0" applyNumberFormat="1" applyBorder="1" applyAlignment="1">
      <alignment horizontal="center" vertical="center"/>
    </xf>
    <xf numFmtId="183" fontId="2" fillId="3" borderId="26" xfId="0" applyNumberFormat="1" applyFont="1" applyFill="1" applyBorder="1" applyAlignment="1">
      <alignment horizontal="center" vertical="center"/>
    </xf>
    <xf numFmtId="184" fontId="2" fillId="0" borderId="0" xfId="0" applyNumberFormat="1" applyFont="1" applyAlignment="1">
      <alignment horizontal="center" vertical="center"/>
    </xf>
    <xf numFmtId="181" fontId="2" fillId="0" borderId="7" xfId="0" applyNumberFormat="1" applyFont="1" applyBorder="1" applyAlignment="1">
      <alignment horizontal="center" vertical="center"/>
    </xf>
    <xf numFmtId="181" fontId="2" fillId="0" borderId="0" xfId="0" applyNumberFormat="1" applyFont="1" applyAlignment="1">
      <alignment horizontal="center" vertical="center"/>
    </xf>
    <xf numFmtId="181" fontId="2" fillId="0" borderId="10" xfId="0" applyNumberFormat="1" applyFont="1" applyBorder="1" applyAlignment="1">
      <alignment horizontal="center" vertical="center"/>
    </xf>
    <xf numFmtId="186" fontId="0" fillId="0" borderId="63" xfId="0" applyNumberFormat="1" applyBorder="1" applyAlignment="1">
      <alignment horizontal="center" vertical="center"/>
    </xf>
    <xf numFmtId="186" fontId="0" fillId="0" borderId="64" xfId="0" applyNumberFormat="1" applyBorder="1" applyAlignment="1">
      <alignment horizontal="center" vertical="center"/>
    </xf>
    <xf numFmtId="183" fontId="2" fillId="3" borderId="29" xfId="0" applyNumberFormat="1" applyFont="1" applyFill="1" applyBorder="1" applyAlignment="1">
      <alignment horizontal="center" vertical="center"/>
    </xf>
    <xf numFmtId="183" fontId="2" fillId="3" borderId="68" xfId="0" applyNumberFormat="1" applyFont="1" applyFill="1"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4" fillId="0" borderId="1" xfId="0" applyFont="1" applyBorder="1">
      <alignment vertical="center"/>
    </xf>
    <xf numFmtId="0" fontId="4" fillId="0" borderId="15" xfId="0" applyFont="1" applyBorder="1">
      <alignment vertical="center"/>
    </xf>
    <xf numFmtId="0" fontId="4" fillId="0" borderId="1" xfId="0" applyFont="1" applyBorder="1" applyAlignment="1">
      <alignment horizontal="center" vertical="center" shrinkToFit="1"/>
    </xf>
    <xf numFmtId="0" fontId="4" fillId="0" borderId="0" xfId="0" applyFont="1" applyAlignment="1">
      <alignment horizontal="right" vertical="center"/>
    </xf>
    <xf numFmtId="0" fontId="4" fillId="0" borderId="0" xfId="0" applyFont="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horizontal="center" vertical="center"/>
    </xf>
    <xf numFmtId="0" fontId="4" fillId="0" borderId="6" xfId="0" applyFont="1" applyBorder="1" applyAlignment="1">
      <alignment horizontal="center" vertical="center" shrinkToFit="1"/>
    </xf>
    <xf numFmtId="0" fontId="4" fillId="0" borderId="0" xfId="0" applyFont="1">
      <alignment vertical="center"/>
    </xf>
    <xf numFmtId="0" fontId="4" fillId="0" borderId="1" xfId="0" applyFont="1" applyBorder="1" applyAlignment="1">
      <alignment horizontal="center" vertical="center" shrinkToFit="1"/>
    </xf>
    <xf numFmtId="0" fontId="4" fillId="0" borderId="2" xfId="0" applyFont="1" applyBorder="1" applyAlignment="1">
      <alignment horizontal="center" vertical="center"/>
    </xf>
    <xf numFmtId="0" fontId="4" fillId="0" borderId="6" xfId="0" applyFont="1" applyBorder="1" applyAlignment="1">
      <alignment horizontal="center" vertical="center" shrinkToFit="1"/>
    </xf>
    <xf numFmtId="0" fontId="4" fillId="0" borderId="7" xfId="0" applyFont="1" applyBorder="1" applyAlignment="1">
      <alignment horizontal="center" vertical="center"/>
    </xf>
    <xf numFmtId="0" fontId="4" fillId="0" borderId="0" xfId="0" applyFont="1" applyBorder="1" applyAlignment="1">
      <alignment horizontal="center" vertical="center" shrinkToFit="1"/>
    </xf>
    <xf numFmtId="0" fontId="4" fillId="0" borderId="0" xfId="0" applyFont="1" applyBorder="1" applyAlignment="1">
      <alignment horizontal="center" vertical="center"/>
    </xf>
    <xf numFmtId="180" fontId="4" fillId="0" borderId="7" xfId="0" applyNumberFormat="1" applyFont="1" applyBorder="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2" xfId="0" applyFont="1" applyBorder="1" applyAlignment="1">
      <alignment horizontal="right" vertical="center"/>
    </xf>
    <xf numFmtId="179" fontId="4" fillId="2" borderId="2" xfId="0" applyNumberFormat="1" applyFont="1" applyFill="1" applyBorder="1" applyAlignment="1">
      <alignment horizontal="center" vertical="center"/>
    </xf>
    <xf numFmtId="178" fontId="4" fillId="0" borderId="2" xfId="0" applyNumberFormat="1" applyFont="1" applyBorder="1">
      <alignment vertical="center"/>
    </xf>
    <xf numFmtId="178" fontId="6" fillId="0" borderId="2" xfId="0" applyNumberFormat="1" applyFont="1" applyBorder="1">
      <alignment vertical="center"/>
    </xf>
    <xf numFmtId="0" fontId="4" fillId="0" borderId="13" xfId="0" quotePrefix="1" applyFont="1" applyBorder="1" applyAlignment="1">
      <alignment horizontal="center" vertical="center" wrapText="1" shrinkToFit="1"/>
    </xf>
    <xf numFmtId="0" fontId="4" fillId="0" borderId="1" xfId="0" applyFont="1" applyBorder="1" applyAlignment="1">
      <alignment horizontal="center" vertical="center" wrapText="1" shrinkToFit="1"/>
    </xf>
    <xf numFmtId="0" fontId="4" fillId="0" borderId="9" xfId="0" applyFont="1" applyBorder="1" applyAlignment="1">
      <alignment horizontal="center" vertical="center" wrapText="1" shrinkToFit="1"/>
    </xf>
    <xf numFmtId="0" fontId="4" fillId="0" borderId="7" xfId="0" applyFont="1" applyBorder="1" applyAlignment="1">
      <alignment horizontal="center" vertical="center" wrapText="1" shrinkToFit="1"/>
    </xf>
    <xf numFmtId="0" fontId="4" fillId="0" borderId="0" xfId="0" applyFont="1" applyAlignment="1">
      <alignment horizontal="center" vertical="center" wrapText="1" shrinkToFit="1"/>
    </xf>
    <xf numFmtId="0" fontId="4" fillId="0" borderId="10" xfId="0" applyFont="1" applyBorder="1" applyAlignment="1">
      <alignment horizontal="center" vertical="center" wrapText="1" shrinkToFit="1"/>
    </xf>
    <xf numFmtId="0" fontId="4" fillId="0" borderId="8" xfId="0" applyFont="1" applyBorder="1" applyAlignment="1">
      <alignment horizontal="center" vertical="center" wrapText="1" shrinkToFit="1"/>
    </xf>
    <xf numFmtId="0" fontId="4" fillId="0" borderId="2" xfId="0" applyFont="1" applyBorder="1" applyAlignment="1">
      <alignment horizontal="center" vertical="center" wrapText="1" shrinkToFit="1"/>
    </xf>
    <xf numFmtId="0" fontId="4" fillId="0" borderId="11" xfId="0" applyFont="1" applyBorder="1" applyAlignment="1">
      <alignment horizontal="center" vertical="center" wrapText="1" shrinkToFit="1"/>
    </xf>
    <xf numFmtId="0" fontId="4" fillId="0" borderId="13" xfId="0" applyFont="1" applyBorder="1" applyAlignment="1">
      <alignment horizontal="right" vertical="center" shrinkToFit="1"/>
    </xf>
    <xf numFmtId="0" fontId="0" fillId="0" borderId="1" xfId="0" applyBorder="1">
      <alignment vertical="center"/>
    </xf>
    <xf numFmtId="0" fontId="4" fillId="0" borderId="1" xfId="0" applyFont="1" applyBorder="1" applyAlignment="1">
      <alignment horizontal="center" vertical="center" shrinkToFit="1"/>
    </xf>
    <xf numFmtId="0" fontId="0" fillId="0" borderId="9" xfId="0" applyBorder="1">
      <alignment vertical="center"/>
    </xf>
    <xf numFmtId="0" fontId="4" fillId="0" borderId="7" xfId="0" applyFont="1" applyBorder="1" applyAlignment="1">
      <alignment horizontal="right" vertical="center" shrinkToFit="1"/>
    </xf>
    <xf numFmtId="0" fontId="0" fillId="0" borderId="0" xfId="0">
      <alignment vertical="center"/>
    </xf>
    <xf numFmtId="176" fontId="4" fillId="2" borderId="0" xfId="0" applyNumberFormat="1" applyFont="1" applyFill="1" applyAlignment="1">
      <alignment vertical="center" shrinkToFit="1"/>
    </xf>
    <xf numFmtId="176" fontId="4" fillId="4" borderId="0" xfId="0" applyNumberFormat="1" applyFont="1" applyFill="1" applyAlignment="1">
      <alignment vertical="center" shrinkToFit="1"/>
    </xf>
    <xf numFmtId="176" fontId="4" fillId="0" borderId="0" xfId="0" applyNumberFormat="1" applyFont="1" applyAlignment="1">
      <alignment vertical="center" shrinkToFit="1"/>
    </xf>
    <xf numFmtId="177" fontId="6" fillId="0" borderId="0" xfId="0" applyNumberFormat="1" applyFont="1" applyAlignment="1">
      <alignment vertical="center" shrinkToFit="1"/>
    </xf>
    <xf numFmtId="0" fontId="7" fillId="0" borderId="0" xfId="0" applyFont="1">
      <alignment vertical="center"/>
    </xf>
    <xf numFmtId="0" fontId="7" fillId="0" borderId="10" xfId="0" applyFont="1" applyBorder="1">
      <alignment vertical="center"/>
    </xf>
    <xf numFmtId="0" fontId="4" fillId="0" borderId="8" xfId="0" applyFont="1" applyBorder="1" applyAlignment="1">
      <alignment horizontal="right" vertical="center" shrinkToFit="1"/>
    </xf>
    <xf numFmtId="0" fontId="0" fillId="0" borderId="2" xfId="0" applyBorder="1">
      <alignment vertical="center"/>
    </xf>
    <xf numFmtId="176" fontId="4" fillId="2" borderId="2" xfId="0" applyNumberFormat="1" applyFont="1" applyFill="1" applyBorder="1" applyAlignment="1">
      <alignment vertical="center" shrinkToFit="1"/>
    </xf>
    <xf numFmtId="176" fontId="4" fillId="4" borderId="2" xfId="0" applyNumberFormat="1" applyFont="1" applyFill="1" applyBorder="1" applyAlignment="1">
      <alignment vertical="center" shrinkToFit="1"/>
    </xf>
    <xf numFmtId="177" fontId="6" fillId="0" borderId="2" xfId="0" applyNumberFormat="1" applyFont="1" applyBorder="1" applyAlignment="1">
      <alignment vertical="center" shrinkToFit="1"/>
    </xf>
    <xf numFmtId="0" fontId="7" fillId="0" borderId="2" xfId="0" applyFont="1" applyBorder="1">
      <alignment vertical="center"/>
    </xf>
    <xf numFmtId="0" fontId="7" fillId="0" borderId="11" xfId="0" applyFont="1" applyBorder="1">
      <alignment vertical="center"/>
    </xf>
    <xf numFmtId="56" fontId="4" fillId="0" borderId="13" xfId="0" quotePrefix="1" applyNumberFormat="1" applyFont="1" applyBorder="1" applyAlignment="1">
      <alignment horizontal="center" vertical="center" wrapText="1" shrinkToFit="1"/>
    </xf>
    <xf numFmtId="180" fontId="4" fillId="0" borderId="13" xfId="0" applyNumberFormat="1" applyFont="1" applyBorder="1" applyAlignment="1">
      <alignment horizontal="center" vertical="center"/>
    </xf>
    <xf numFmtId="0" fontId="4" fillId="0" borderId="1" xfId="0" applyFont="1" applyBorder="1" applyAlignment="1">
      <alignment horizontal="center" vertical="center"/>
    </xf>
    <xf numFmtId="0" fontId="4" fillId="0" borderId="9" xfId="0" applyFont="1" applyBorder="1" applyAlignment="1">
      <alignment horizontal="center" vertical="center"/>
    </xf>
    <xf numFmtId="0" fontId="4" fillId="4" borderId="0" xfId="0" applyFont="1" applyFill="1" applyAlignment="1">
      <alignment horizontal="center" vertical="center"/>
    </xf>
    <xf numFmtId="0" fontId="4" fillId="0" borderId="13" xfId="0" applyFont="1" applyBorder="1" applyAlignment="1">
      <alignment horizontal="center" vertical="center"/>
    </xf>
    <xf numFmtId="0" fontId="4" fillId="0" borderId="1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56" fontId="4" fillId="0" borderId="5" xfId="0" quotePrefix="1" applyNumberFormat="1" applyFont="1" applyBorder="1" applyAlignment="1">
      <alignment horizontal="center" vertical="center" wrapText="1" shrinkToFit="1"/>
    </xf>
    <xf numFmtId="0" fontId="4" fillId="0" borderId="6" xfId="0" applyFont="1" applyBorder="1" applyAlignment="1">
      <alignment horizontal="center" vertical="center" wrapText="1" shrinkToFit="1"/>
    </xf>
    <xf numFmtId="0" fontId="4" fillId="0" borderId="15" xfId="0" applyFont="1" applyBorder="1" applyAlignment="1">
      <alignment horizontal="center" vertical="center" wrapText="1" shrinkToFit="1"/>
    </xf>
    <xf numFmtId="0" fontId="4" fillId="0" borderId="0" xfId="0" applyFont="1" applyBorder="1" applyAlignment="1">
      <alignment horizontal="center" vertical="center" wrapText="1" shrinkToFit="1"/>
    </xf>
    <xf numFmtId="0" fontId="4" fillId="0" borderId="5" xfId="0" applyFont="1" applyBorder="1" applyAlignment="1">
      <alignment horizontal="right" vertical="center" shrinkToFit="1"/>
    </xf>
    <xf numFmtId="0" fontId="0" fillId="0" borderId="6" xfId="0" applyBorder="1">
      <alignment vertical="center"/>
    </xf>
    <xf numFmtId="0" fontId="4" fillId="0" borderId="6" xfId="0" applyFont="1" applyBorder="1" applyAlignment="1">
      <alignment horizontal="center" vertical="center" shrinkToFit="1"/>
    </xf>
    <xf numFmtId="0" fontId="0" fillId="0" borderId="15" xfId="0" applyBorder="1">
      <alignmen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15" xfId="0" applyFont="1" applyBorder="1" applyAlignment="1">
      <alignment horizontal="center" vertical="center"/>
    </xf>
    <xf numFmtId="0" fontId="4" fillId="0" borderId="5" xfId="0" applyFont="1" applyBorder="1">
      <alignment vertical="center"/>
    </xf>
    <xf numFmtId="0" fontId="4" fillId="0" borderId="6" xfId="0" applyFont="1" applyBorder="1">
      <alignment vertical="center"/>
    </xf>
    <xf numFmtId="0" fontId="0" fillId="0" borderId="0" xfId="0" applyBorder="1">
      <alignment vertical="center"/>
    </xf>
    <xf numFmtId="176" fontId="4" fillId="2" borderId="0" xfId="0" applyNumberFormat="1" applyFont="1" applyFill="1" applyBorder="1" applyAlignment="1">
      <alignment vertical="center" shrinkToFit="1"/>
    </xf>
    <xf numFmtId="176" fontId="4" fillId="4" borderId="0" xfId="0" applyNumberFormat="1" applyFont="1" applyFill="1" applyBorder="1" applyAlignment="1">
      <alignment vertical="center" shrinkToFit="1"/>
    </xf>
    <xf numFmtId="176" fontId="4" fillId="0" borderId="0" xfId="0" applyNumberFormat="1" applyFont="1" applyBorder="1" applyAlignment="1">
      <alignment vertical="center" shrinkToFit="1"/>
    </xf>
    <xf numFmtId="177" fontId="6" fillId="0" borderId="0" xfId="0" applyNumberFormat="1" applyFont="1" applyBorder="1" applyAlignment="1">
      <alignment vertical="center" shrinkToFit="1"/>
    </xf>
    <xf numFmtId="0" fontId="7" fillId="0" borderId="0" xfId="0" applyFont="1" applyBorder="1">
      <alignment vertical="center"/>
    </xf>
    <xf numFmtId="0" fontId="4" fillId="0" borderId="0" xfId="0" applyFont="1" applyBorder="1" applyAlignment="1">
      <alignment horizontal="center" vertical="center"/>
    </xf>
    <xf numFmtId="0" fontId="4" fillId="0" borderId="0" xfId="0" applyFont="1" applyBorder="1" applyAlignment="1">
      <alignment horizontal="right" vertical="center"/>
    </xf>
    <xf numFmtId="179" fontId="4" fillId="2" borderId="2" xfId="0" applyNumberFormat="1" applyFont="1" applyFill="1" applyBorder="1">
      <alignment vertical="center"/>
    </xf>
    <xf numFmtId="0" fontId="4" fillId="0" borderId="13" xfId="0" applyFont="1" applyBorder="1" applyAlignment="1">
      <alignment horizontal="left" vertical="center"/>
    </xf>
    <xf numFmtId="0" fontId="4" fillId="0" borderId="1" xfId="0" applyFont="1" applyBorder="1" applyAlignment="1">
      <alignment horizontal="left" vertical="center"/>
    </xf>
    <xf numFmtId="0" fontId="4" fillId="0" borderId="0" xfId="0" applyFont="1" applyAlignment="1">
      <alignment horizontal="right" vertical="center"/>
    </xf>
    <xf numFmtId="182" fontId="4" fillId="2" borderId="0" xfId="0" applyNumberFormat="1" applyFont="1" applyFill="1">
      <alignment vertical="center"/>
    </xf>
    <xf numFmtId="178" fontId="4" fillId="0" borderId="0" xfId="0" applyNumberFormat="1" applyFont="1">
      <alignment vertical="center"/>
    </xf>
    <xf numFmtId="182" fontId="6" fillId="0" borderId="0" xfId="0" applyNumberFormat="1" applyFont="1">
      <alignment vertical="center"/>
    </xf>
    <xf numFmtId="0" fontId="4" fillId="0" borderId="7" xfId="0" applyFont="1" applyBorder="1">
      <alignment vertical="center"/>
    </xf>
    <xf numFmtId="0" fontId="4" fillId="0" borderId="0" xfId="0" applyFont="1">
      <alignment vertical="center"/>
    </xf>
    <xf numFmtId="182" fontId="4" fillId="2" borderId="0" xfId="0" applyNumberFormat="1" applyFont="1" applyFill="1" applyBorder="1">
      <alignment vertical="center"/>
    </xf>
    <xf numFmtId="178" fontId="4" fillId="0" borderId="0" xfId="0" applyNumberFormat="1" applyFont="1" applyBorder="1">
      <alignment vertical="center"/>
    </xf>
    <xf numFmtId="182" fontId="6" fillId="0" borderId="0" xfId="0" applyNumberFormat="1" applyFont="1" applyBorder="1">
      <alignment vertical="center"/>
    </xf>
    <xf numFmtId="176" fontId="4" fillId="0" borderId="2" xfId="0" applyNumberFormat="1" applyFont="1" applyBorder="1" applyAlignment="1">
      <alignment vertical="center" shrinkToFit="1"/>
    </xf>
    <xf numFmtId="180" fontId="4" fillId="0" borderId="8" xfId="0" applyNumberFormat="1" applyFont="1" applyBorder="1" applyAlignment="1">
      <alignment horizontal="center" vertical="center"/>
    </xf>
    <xf numFmtId="0" fontId="4" fillId="0" borderId="2" xfId="0" applyFont="1" applyBorder="1" applyAlignment="1">
      <alignment horizontal="center" vertical="center"/>
    </xf>
    <xf numFmtId="0" fontId="4" fillId="0" borderId="11" xfId="0" applyFont="1" applyBorder="1" applyAlignment="1">
      <alignment horizontal="center" vertical="center"/>
    </xf>
    <xf numFmtId="179" fontId="4" fillId="2" borderId="0" xfId="0" applyNumberFormat="1" applyFont="1" applyFill="1">
      <alignment vertical="center"/>
    </xf>
    <xf numFmtId="178" fontId="6" fillId="0" borderId="0" xfId="0" applyNumberFormat="1" applyFont="1">
      <alignment vertical="center"/>
    </xf>
    <xf numFmtId="0" fontId="4" fillId="0" borderId="7" xfId="0" applyFont="1" applyBorder="1" applyAlignment="1">
      <alignment horizontal="center" vertical="center"/>
    </xf>
    <xf numFmtId="177" fontId="6" fillId="0" borderId="10" xfId="0" applyNumberFormat="1" applyFont="1" applyBorder="1" applyAlignment="1">
      <alignment vertical="center" shrinkToFit="1"/>
    </xf>
    <xf numFmtId="180" fontId="4" fillId="0" borderId="0" xfId="0" applyNumberFormat="1" applyFont="1" applyBorder="1" applyAlignment="1">
      <alignment horizontal="center" vertical="center"/>
    </xf>
    <xf numFmtId="180" fontId="4" fillId="0" borderId="10" xfId="0" applyNumberFormat="1" applyFont="1" applyBorder="1" applyAlignment="1">
      <alignment horizontal="center" vertical="center"/>
    </xf>
    <xf numFmtId="0" fontId="4" fillId="0" borderId="1" xfId="0" quotePrefix="1" applyFont="1" applyBorder="1" applyAlignment="1">
      <alignment horizontal="center" vertical="center" wrapText="1" shrinkToFit="1"/>
    </xf>
    <xf numFmtId="0" fontId="4" fillId="0" borderId="9" xfId="0" quotePrefix="1" applyFont="1" applyBorder="1" applyAlignment="1">
      <alignment horizontal="center" vertical="center" wrapText="1" shrinkToFit="1"/>
    </xf>
    <xf numFmtId="0" fontId="4" fillId="0" borderId="7" xfId="0" quotePrefix="1" applyFont="1" applyBorder="1" applyAlignment="1">
      <alignment horizontal="center" vertical="center" wrapText="1" shrinkToFit="1"/>
    </xf>
    <xf numFmtId="0" fontId="4" fillId="0" borderId="0" xfId="0" quotePrefix="1" applyFont="1" applyBorder="1" applyAlignment="1">
      <alignment horizontal="center" vertical="center" wrapText="1" shrinkToFit="1"/>
    </xf>
    <xf numFmtId="0" fontId="4" fillId="0" borderId="10" xfId="0" quotePrefix="1" applyFont="1" applyBorder="1" applyAlignment="1">
      <alignment horizontal="center" vertical="center" wrapText="1" shrinkToFit="1"/>
    </xf>
    <xf numFmtId="0" fontId="4" fillId="0" borderId="8" xfId="0" quotePrefix="1" applyFont="1" applyBorder="1" applyAlignment="1">
      <alignment horizontal="center" vertical="center" wrapText="1" shrinkToFit="1"/>
    </xf>
    <xf numFmtId="0" fontId="4" fillId="0" borderId="2" xfId="0" quotePrefix="1" applyFont="1" applyBorder="1" applyAlignment="1">
      <alignment horizontal="center" vertical="center" wrapText="1" shrinkToFit="1"/>
    </xf>
    <xf numFmtId="0" fontId="4" fillId="0" borderId="11" xfId="0" quotePrefix="1" applyFont="1" applyBorder="1" applyAlignment="1">
      <alignment horizontal="center" vertical="center" wrapText="1" shrinkToFit="1"/>
    </xf>
    <xf numFmtId="0" fontId="4" fillId="0" borderId="1" xfId="0" applyFont="1" applyBorder="1" applyAlignment="1">
      <alignment horizontal="right" vertical="center" shrinkToFit="1"/>
    </xf>
    <xf numFmtId="0" fontId="4" fillId="0" borderId="9" xfId="0" applyFont="1" applyBorder="1" applyAlignment="1">
      <alignment horizontal="center" vertical="center" shrinkToFit="1"/>
    </xf>
    <xf numFmtId="180" fontId="4" fillId="0" borderId="1" xfId="0" applyNumberFormat="1" applyFont="1" applyBorder="1" applyAlignment="1">
      <alignment horizontal="center" vertical="center"/>
    </xf>
    <xf numFmtId="180" fontId="4" fillId="0" borderId="9" xfId="0" applyNumberFormat="1" applyFont="1" applyBorder="1" applyAlignment="1">
      <alignment horizontal="center" vertical="center"/>
    </xf>
    <xf numFmtId="0" fontId="4" fillId="0" borderId="2" xfId="0" applyFont="1" applyBorder="1" applyAlignment="1">
      <alignment horizontal="right" vertical="center" shrinkToFit="1"/>
    </xf>
    <xf numFmtId="177" fontId="6" fillId="0" borderId="11" xfId="0" applyNumberFormat="1" applyFont="1" applyBorder="1" applyAlignment="1">
      <alignment vertical="center" shrinkToFit="1"/>
    </xf>
    <xf numFmtId="180" fontId="4" fillId="0" borderId="2" xfId="0" applyNumberFormat="1" applyFont="1" applyBorder="1" applyAlignment="1">
      <alignment horizontal="center" vertical="center"/>
    </xf>
    <xf numFmtId="180" fontId="4" fillId="0" borderId="11" xfId="0" applyNumberFormat="1" applyFont="1" applyBorder="1" applyAlignment="1">
      <alignment horizontal="center" vertical="center"/>
    </xf>
    <xf numFmtId="0" fontId="4" fillId="0" borderId="0" xfId="0" applyFont="1" applyBorder="1" applyAlignment="1">
      <alignment horizontal="right" vertical="center" shrinkToFit="1"/>
    </xf>
    <xf numFmtId="180" fontId="0" fillId="0" borderId="62" xfId="0" applyNumberFormat="1" applyBorder="1" applyAlignment="1">
      <alignment horizontal="left" vertical="center"/>
    </xf>
    <xf numFmtId="180" fontId="0" fillId="0" borderId="6" xfId="0" applyNumberFormat="1" applyBorder="1" applyAlignment="1">
      <alignment horizontal="left" vertical="center"/>
    </xf>
    <xf numFmtId="180" fontId="0" fillId="0" borderId="15" xfId="0" applyNumberFormat="1" applyBorder="1" applyAlignment="1">
      <alignment horizontal="left" vertical="center"/>
    </xf>
    <xf numFmtId="180" fontId="0" fillId="0" borderId="39" xfId="0" applyNumberFormat="1" applyBorder="1" applyAlignment="1">
      <alignment horizontal="left" vertical="center"/>
    </xf>
    <xf numFmtId="180" fontId="0" fillId="0" borderId="2" xfId="0" applyNumberFormat="1" applyBorder="1" applyAlignment="1">
      <alignment horizontal="left" vertical="center"/>
    </xf>
    <xf numFmtId="180" fontId="0" fillId="0" borderId="11" xfId="0" applyNumberFormat="1" applyBorder="1" applyAlignment="1">
      <alignment horizontal="left" vertical="center"/>
    </xf>
    <xf numFmtId="180" fontId="0" fillId="0" borderId="67" xfId="0" applyNumberFormat="1" applyBorder="1" applyAlignment="1">
      <alignment horizontal="left" vertical="center" shrinkToFit="1"/>
    </xf>
    <xf numFmtId="180" fontId="0" fillId="0" borderId="27" xfId="0" applyNumberFormat="1" applyBorder="1" applyAlignment="1">
      <alignment horizontal="left" vertical="center" shrinkToFit="1"/>
    </xf>
    <xf numFmtId="180" fontId="0" fillId="0" borderId="28" xfId="0" applyNumberFormat="1" applyBorder="1" applyAlignment="1">
      <alignment horizontal="left" vertical="center" shrinkToFit="1"/>
    </xf>
    <xf numFmtId="183" fontId="2" fillId="3" borderId="26" xfId="0" applyNumberFormat="1" applyFont="1" applyFill="1" applyBorder="1" applyAlignment="1">
      <alignment horizontal="center" vertical="center"/>
    </xf>
    <xf numFmtId="183" fontId="2" fillId="3" borderId="28" xfId="0" applyNumberFormat="1" applyFont="1" applyFill="1" applyBorder="1" applyAlignment="1">
      <alignment horizontal="center" vertical="center"/>
    </xf>
    <xf numFmtId="56" fontId="0" fillId="0" borderId="23" xfId="0" quotePrefix="1" applyNumberFormat="1" applyBorder="1" applyAlignment="1">
      <alignment horizontal="center" vertical="center"/>
    </xf>
    <xf numFmtId="56" fontId="2" fillId="0" borderId="24" xfId="0" applyNumberFormat="1" applyFont="1" applyBorder="1" applyAlignment="1">
      <alignment horizontal="center" vertical="center"/>
    </xf>
    <xf numFmtId="56" fontId="2" fillId="0" borderId="25" xfId="0" applyNumberFormat="1"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0" fillId="0" borderId="13" xfId="0" applyBorder="1" applyAlignment="1">
      <alignment horizontal="center" vertical="center" wrapText="1"/>
    </xf>
    <xf numFmtId="0" fontId="0" fillId="0" borderId="1" xfId="0"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10" xfId="0" applyFont="1" applyBorder="1" applyAlignment="1">
      <alignment horizontal="center" vertical="center"/>
    </xf>
    <xf numFmtId="0" fontId="2" fillId="0" borderId="8" xfId="0" applyFont="1" applyBorder="1" applyAlignment="1">
      <alignment horizontal="center" vertical="center"/>
    </xf>
    <xf numFmtId="0" fontId="2" fillId="0" borderId="2" xfId="0" applyFont="1" applyBorder="1" applyAlignment="1">
      <alignment horizontal="center" vertical="center"/>
    </xf>
    <xf numFmtId="0" fontId="2" fillId="0" borderId="11" xfId="0" applyFont="1" applyBorder="1" applyAlignment="1">
      <alignment horizontal="center" vertical="center"/>
    </xf>
    <xf numFmtId="0" fontId="2" fillId="0" borderId="16"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4" xfId="0" applyFont="1" applyBorder="1" applyAlignment="1">
      <alignment horizontal="center" vertical="center"/>
    </xf>
    <xf numFmtId="56" fontId="0" fillId="0" borderId="19" xfId="0" quotePrefix="1" applyNumberFormat="1" applyBorder="1" applyAlignment="1">
      <alignment horizontal="center" vertical="center"/>
    </xf>
    <xf numFmtId="56" fontId="2" fillId="0" borderId="20" xfId="0" applyNumberFormat="1" applyFont="1" applyBorder="1" applyAlignment="1">
      <alignment horizontal="center" vertical="center"/>
    </xf>
    <xf numFmtId="56" fontId="2" fillId="0" borderId="21" xfId="0" applyNumberFormat="1" applyFont="1" applyBorder="1" applyAlignment="1">
      <alignment horizontal="center" vertical="center"/>
    </xf>
    <xf numFmtId="180" fontId="0" fillId="0" borderId="33" xfId="0" applyNumberFormat="1" applyBorder="1" applyAlignment="1">
      <alignment horizontal="left" vertical="center"/>
    </xf>
    <xf numFmtId="180" fontId="0" fillId="0" borderId="34" xfId="0" applyNumberFormat="1" applyBorder="1" applyAlignment="1">
      <alignment horizontal="left" vertical="center"/>
    </xf>
    <xf numFmtId="180" fontId="0" fillId="0" borderId="35" xfId="0" applyNumberFormat="1" applyBorder="1" applyAlignment="1">
      <alignment horizontal="left" vertical="center"/>
    </xf>
    <xf numFmtId="180" fontId="0" fillId="0" borderId="8" xfId="0" applyNumberFormat="1" applyBorder="1" applyAlignment="1">
      <alignment horizontal="left" vertical="center"/>
    </xf>
    <xf numFmtId="181" fontId="2" fillId="0" borderId="14" xfId="0" applyNumberFormat="1" applyFont="1" applyBorder="1" applyAlignment="1">
      <alignment horizontal="center" vertical="center"/>
    </xf>
    <xf numFmtId="180" fontId="0" fillId="0" borderId="19" xfId="0" applyNumberFormat="1" applyBorder="1" applyAlignment="1">
      <alignment horizontal="left" vertical="center" shrinkToFit="1"/>
    </xf>
    <xf numFmtId="180" fontId="0" fillId="0" borderId="20" xfId="0" applyNumberFormat="1" applyBorder="1" applyAlignment="1">
      <alignment horizontal="left" vertical="center" shrinkToFit="1"/>
    </xf>
    <xf numFmtId="180" fontId="0" fillId="0" borderId="21" xfId="0" applyNumberFormat="1" applyBorder="1" applyAlignment="1">
      <alignment horizontal="left" vertical="center" shrinkToFit="1"/>
    </xf>
    <xf numFmtId="183" fontId="2" fillId="3" borderId="19" xfId="0" applyNumberFormat="1" applyFont="1" applyFill="1" applyBorder="1" applyAlignment="1">
      <alignment horizontal="center" vertical="center"/>
    </xf>
    <xf numFmtId="183" fontId="2" fillId="3" borderId="20" xfId="0" applyNumberFormat="1" applyFont="1" applyFill="1" applyBorder="1" applyAlignment="1">
      <alignment horizontal="center" vertical="center"/>
    </xf>
    <xf numFmtId="183" fontId="2" fillId="3" borderId="21" xfId="0" applyNumberFormat="1" applyFont="1" applyFill="1" applyBorder="1" applyAlignment="1">
      <alignment horizontal="center" vertical="center"/>
    </xf>
    <xf numFmtId="0" fontId="0" fillId="0" borderId="8" xfId="0" applyBorder="1" applyAlignment="1">
      <alignment horizontal="left" vertical="center"/>
    </xf>
    <xf numFmtId="0" fontId="0" fillId="0" borderId="2" xfId="0" applyBorder="1" applyAlignment="1">
      <alignment horizontal="left" vertical="center"/>
    </xf>
    <xf numFmtId="0" fontId="0" fillId="0" borderId="11" xfId="0" applyBorder="1" applyAlignment="1">
      <alignment horizontal="left" vertical="center"/>
    </xf>
    <xf numFmtId="0" fontId="5" fillId="0" borderId="19" xfId="0" applyFont="1" applyBorder="1" applyAlignment="1">
      <alignment horizontal="left" vertical="center" indent="1"/>
    </xf>
    <xf numFmtId="0" fontId="5" fillId="0" borderId="20" xfId="0" applyFont="1" applyBorder="1" applyAlignment="1">
      <alignment horizontal="left" vertical="center" indent="1"/>
    </xf>
    <xf numFmtId="0" fontId="5" fillId="0" borderId="21" xfId="0" applyFont="1" applyBorder="1" applyAlignment="1">
      <alignment horizontal="left" vertical="center" indent="1"/>
    </xf>
    <xf numFmtId="0" fontId="2" fillId="0" borderId="36" xfId="0" applyFont="1" applyBorder="1" applyAlignment="1">
      <alignment horizontal="center" vertical="center"/>
    </xf>
    <xf numFmtId="0" fontId="2" fillId="0" borderId="37" xfId="0" applyFont="1" applyBorder="1" applyAlignment="1">
      <alignment horizontal="center" vertical="center"/>
    </xf>
    <xf numFmtId="0" fontId="0" fillId="0" borderId="30" xfId="0" applyBorder="1" applyAlignment="1">
      <alignment horizontal="left" vertical="center"/>
    </xf>
    <xf numFmtId="0" fontId="0" fillId="0" borderId="31" xfId="0" applyBorder="1" applyAlignment="1">
      <alignment horizontal="left"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6" xfId="0" applyBorder="1" applyAlignment="1">
      <alignment horizontal="left" vertical="center"/>
    </xf>
    <xf numFmtId="0" fontId="0" fillId="0" borderId="27" xfId="0" applyBorder="1" applyAlignment="1">
      <alignment horizontal="left" vertical="center"/>
    </xf>
    <xf numFmtId="0" fontId="2" fillId="0" borderId="69" xfId="0" applyFont="1" applyBorder="1" applyAlignment="1">
      <alignment horizontal="center"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0" fontId="2" fillId="0" borderId="61" xfId="0" applyFont="1" applyBorder="1" applyAlignment="1">
      <alignment horizontal="center" vertical="center"/>
    </xf>
    <xf numFmtId="0" fontId="2" fillId="0" borderId="70"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186" fontId="10" fillId="0" borderId="19" xfId="0" applyNumberFormat="1" applyFont="1" applyBorder="1" applyAlignment="1">
      <alignment horizontal="center" vertical="center"/>
    </xf>
    <xf numFmtId="186" fontId="10" fillId="0" borderId="21" xfId="0" applyNumberFormat="1" applyFont="1" applyBorder="1" applyAlignment="1">
      <alignment horizontal="center" vertical="center"/>
    </xf>
    <xf numFmtId="0" fontId="11" fillId="0" borderId="65" xfId="0" applyFont="1" applyBorder="1" applyAlignment="1">
      <alignment horizontal="center" vertical="center"/>
    </xf>
    <xf numFmtId="0" fontId="11" fillId="0" borderId="66" xfId="0" applyFont="1" applyBorder="1" applyAlignment="1">
      <alignment horizontal="center" vertical="center"/>
    </xf>
    <xf numFmtId="183" fontId="10" fillId="3" borderId="19" xfId="0" applyNumberFormat="1" applyFont="1" applyFill="1" applyBorder="1" applyAlignment="1">
      <alignment horizontal="center" vertical="center"/>
    </xf>
    <xf numFmtId="183" fontId="10" fillId="3" borderId="21" xfId="0" applyNumberFormat="1" applyFont="1" applyFill="1" applyBorder="1" applyAlignment="1">
      <alignment horizontal="center" vertical="center"/>
    </xf>
    <xf numFmtId="181" fontId="10" fillId="0" borderId="26" xfId="0" applyNumberFormat="1" applyFont="1" applyBorder="1" applyAlignment="1">
      <alignment horizontal="center" vertical="center"/>
    </xf>
    <xf numFmtId="181" fontId="10" fillId="0" borderId="28" xfId="0" applyNumberFormat="1" applyFont="1" applyBorder="1" applyAlignment="1">
      <alignment horizontal="center" vertical="center"/>
    </xf>
    <xf numFmtId="181" fontId="10" fillId="0" borderId="8" xfId="0" applyNumberFormat="1" applyFont="1" applyBorder="1" applyAlignment="1">
      <alignment horizontal="center" vertical="center"/>
    </xf>
    <xf numFmtId="0" fontId="10" fillId="0" borderId="2" xfId="0" applyFont="1" applyBorder="1" applyAlignment="1">
      <alignment horizontal="center" vertical="center"/>
    </xf>
    <xf numFmtId="0" fontId="10" fillId="0" borderId="11" xfId="0" applyFont="1" applyBorder="1" applyAlignment="1">
      <alignment horizontal="center" vertical="center"/>
    </xf>
    <xf numFmtId="183" fontId="10" fillId="0" borderId="14" xfId="0" applyNumberFormat="1" applyFont="1" applyBorder="1" applyAlignment="1">
      <alignment horizontal="center" vertical="center"/>
    </xf>
    <xf numFmtId="181" fontId="10" fillId="0" borderId="14" xfId="0" applyNumberFormat="1" applyFont="1" applyBorder="1" applyAlignment="1">
      <alignment horizontal="center" vertical="center"/>
    </xf>
    <xf numFmtId="183" fontId="10" fillId="3" borderId="20" xfId="0" applyNumberFormat="1" applyFont="1" applyFill="1" applyBorder="1" applyAlignment="1">
      <alignment horizontal="center" vertical="center"/>
    </xf>
  </cellXfs>
  <cellStyles count="1">
    <cellStyle name="標準"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F51"/>
  <sheetViews>
    <sheetView showZeros="0" view="pageBreakPreview" zoomScale="115" zoomScaleNormal="115" zoomScaleSheetLayoutView="115" workbookViewId="0">
      <selection activeCell="I27" sqref="I27:K27"/>
    </sheetView>
  </sheetViews>
  <sheetFormatPr defaultColWidth="2.6328125" defaultRowHeight="18" customHeight="1"/>
  <cols>
    <col min="1" max="16384" width="2.6328125" style="24"/>
  </cols>
  <sheetData>
    <row r="1" spans="1:58" ht="18" customHeight="1">
      <c r="A1" s="24" t="s">
        <v>13</v>
      </c>
      <c r="N1" s="80"/>
      <c r="O1" s="80"/>
      <c r="P1" s="80"/>
      <c r="Q1" s="80"/>
      <c r="R1" s="25"/>
      <c r="S1" s="25"/>
      <c r="T1" s="25"/>
      <c r="U1" s="24" t="s">
        <v>14</v>
      </c>
      <c r="V1" s="25"/>
      <c r="W1" s="25"/>
      <c r="X1" s="25"/>
      <c r="Y1" s="25"/>
      <c r="Z1" s="25"/>
      <c r="AA1" s="25"/>
      <c r="AB1" s="25"/>
      <c r="AC1" s="25"/>
      <c r="AD1" s="25"/>
      <c r="AE1" s="25"/>
      <c r="AF1" s="25"/>
      <c r="AG1" s="25"/>
      <c r="AH1" s="25"/>
    </row>
    <row r="2" spans="1:58" ht="18" customHeight="1">
      <c r="N2" s="25"/>
      <c r="O2" s="25"/>
      <c r="P2" s="25"/>
      <c r="Q2" s="25"/>
      <c r="R2" s="25"/>
      <c r="S2" s="25"/>
      <c r="T2" s="25"/>
      <c r="U2" s="24" t="s">
        <v>15</v>
      </c>
      <c r="V2" s="25"/>
      <c r="W2" s="25"/>
      <c r="X2" s="25"/>
      <c r="Y2" s="25"/>
      <c r="Z2" s="25"/>
      <c r="AA2" s="25"/>
      <c r="AB2" s="25"/>
      <c r="AC2" s="25"/>
      <c r="AD2" s="25"/>
      <c r="AE2" s="25"/>
      <c r="AF2" s="25"/>
      <c r="AG2" s="25"/>
      <c r="AH2" s="25"/>
    </row>
    <row r="3" spans="1:58" s="72" customFormat="1" ht="18" customHeight="1">
      <c r="B3" s="67" t="s">
        <v>43</v>
      </c>
      <c r="C3" s="118">
        <v>100</v>
      </c>
      <c r="D3" s="118"/>
      <c r="E3" s="72" t="s">
        <v>44</v>
      </c>
    </row>
    <row r="4" spans="1:58" s="72" customFormat="1" ht="18" customHeight="1">
      <c r="C4" s="119" t="s">
        <v>16</v>
      </c>
      <c r="D4" s="116"/>
      <c r="E4" s="116"/>
      <c r="F4" s="116"/>
      <c r="G4" s="116"/>
      <c r="H4" s="117"/>
      <c r="I4" s="119" t="s">
        <v>0</v>
      </c>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7"/>
      <c r="AI4" s="119" t="s">
        <v>17</v>
      </c>
      <c r="AJ4" s="116"/>
      <c r="AK4" s="117"/>
      <c r="AL4" s="119" t="s">
        <v>45</v>
      </c>
      <c r="AM4" s="116"/>
      <c r="AN4" s="116"/>
      <c r="AO4" s="116"/>
      <c r="AP4" s="116"/>
      <c r="AQ4" s="116"/>
      <c r="AR4" s="116"/>
      <c r="AS4" s="116"/>
      <c r="AT4" s="116"/>
      <c r="AU4" s="116"/>
      <c r="AV4" s="116"/>
      <c r="AW4" s="116"/>
      <c r="AX4" s="116"/>
      <c r="AY4" s="116"/>
      <c r="AZ4" s="116"/>
      <c r="BA4" s="116"/>
      <c r="BB4" s="117"/>
    </row>
    <row r="5" spans="1:58" s="72" customFormat="1" ht="18" customHeight="1" thickBot="1">
      <c r="C5" s="120"/>
      <c r="D5" s="121"/>
      <c r="E5" s="121"/>
      <c r="F5" s="121"/>
      <c r="G5" s="121"/>
      <c r="H5" s="122"/>
      <c r="I5" s="120"/>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2"/>
      <c r="AI5" s="120"/>
      <c r="AJ5" s="121"/>
      <c r="AK5" s="122"/>
      <c r="AL5" s="120"/>
      <c r="AM5" s="121"/>
      <c r="AN5" s="121"/>
      <c r="AO5" s="121"/>
      <c r="AP5" s="121"/>
      <c r="AQ5" s="121"/>
      <c r="AR5" s="121"/>
      <c r="AS5" s="121"/>
      <c r="AT5" s="121"/>
      <c r="AU5" s="121"/>
      <c r="AV5" s="121"/>
      <c r="AW5" s="121"/>
      <c r="AX5" s="121"/>
      <c r="AY5" s="121"/>
      <c r="AZ5" s="121"/>
      <c r="BA5" s="121"/>
      <c r="BB5" s="122"/>
    </row>
    <row r="6" spans="1:58" s="72" customFormat="1" ht="18" customHeight="1" thickTop="1">
      <c r="C6" s="123"/>
      <c r="D6" s="124"/>
      <c r="E6" s="124"/>
      <c r="F6" s="124"/>
      <c r="G6" s="124"/>
      <c r="H6" s="125"/>
      <c r="I6" s="127"/>
      <c r="J6" s="128"/>
      <c r="K6" s="128"/>
      <c r="L6" s="129" t="s">
        <v>2</v>
      </c>
      <c r="M6" s="129"/>
      <c r="N6" s="129"/>
      <c r="O6" s="71" t="s">
        <v>8</v>
      </c>
      <c r="P6" s="129" t="s">
        <v>3</v>
      </c>
      <c r="Q6" s="129"/>
      <c r="R6" s="129"/>
      <c r="S6" s="71" t="s">
        <v>8</v>
      </c>
      <c r="T6" s="129" t="s">
        <v>4</v>
      </c>
      <c r="U6" s="129"/>
      <c r="V6" s="129"/>
      <c r="W6" s="71" t="s">
        <v>8</v>
      </c>
      <c r="X6" s="129" t="s">
        <v>6</v>
      </c>
      <c r="Y6" s="129"/>
      <c r="Z6" s="129"/>
      <c r="AA6" s="71" t="s">
        <v>9</v>
      </c>
      <c r="AB6" s="129" t="s">
        <v>5</v>
      </c>
      <c r="AC6" s="129"/>
      <c r="AD6" s="129"/>
      <c r="AE6" s="71"/>
      <c r="AF6" s="129" t="s">
        <v>0</v>
      </c>
      <c r="AG6" s="128"/>
      <c r="AH6" s="130"/>
      <c r="AI6" s="131"/>
      <c r="AJ6" s="132"/>
      <c r="AK6" s="133"/>
      <c r="AL6" s="134">
        <f>C6</f>
        <v>0</v>
      </c>
      <c r="AM6" s="135"/>
      <c r="AN6" s="135"/>
      <c r="AO6" s="135"/>
      <c r="AP6" s="135"/>
      <c r="AQ6" s="135"/>
      <c r="AR6" s="135"/>
      <c r="AS6" s="135"/>
      <c r="AT6" s="135"/>
      <c r="AU6" s="135"/>
      <c r="AV6" s="135"/>
      <c r="AW6" s="135"/>
      <c r="AX6" s="135"/>
      <c r="AY6" s="135"/>
      <c r="AZ6" s="135"/>
      <c r="BA6" s="135"/>
      <c r="BB6" s="65"/>
    </row>
    <row r="7" spans="1:58" s="72" customFormat="1" ht="18" customHeight="1">
      <c r="C7" s="89"/>
      <c r="D7" s="90"/>
      <c r="E7" s="90"/>
      <c r="F7" s="90"/>
      <c r="G7" s="90"/>
      <c r="H7" s="91"/>
      <c r="I7" s="99" t="s">
        <v>7</v>
      </c>
      <c r="J7" s="100"/>
      <c r="K7" s="100"/>
      <c r="L7" s="101">
        <v>1.69</v>
      </c>
      <c r="M7" s="101"/>
      <c r="N7" s="101"/>
      <c r="O7" s="29" t="s">
        <v>8</v>
      </c>
      <c r="P7" s="101">
        <v>0.12</v>
      </c>
      <c r="Q7" s="101"/>
      <c r="R7" s="101"/>
      <c r="S7" s="29" t="s">
        <v>8</v>
      </c>
      <c r="T7" s="101"/>
      <c r="U7" s="101"/>
      <c r="V7" s="101"/>
      <c r="W7" s="29" t="s">
        <v>8</v>
      </c>
      <c r="X7" s="102">
        <v>0.2</v>
      </c>
      <c r="Y7" s="102"/>
      <c r="Z7" s="102"/>
      <c r="AA7" s="29" t="s">
        <v>9</v>
      </c>
      <c r="AB7" s="103">
        <f>L7+P7+T7+X7</f>
        <v>2.0100000000000002</v>
      </c>
      <c r="AC7" s="103"/>
      <c r="AD7" s="103"/>
      <c r="AE7" s="29" t="s">
        <v>10</v>
      </c>
      <c r="AF7" s="104">
        <f>CEILING(AB7,0.5)</f>
        <v>2.5</v>
      </c>
      <c r="AG7" s="105"/>
      <c r="AH7" s="106"/>
      <c r="AI7" s="79">
        <f>L7+P7+T7</f>
        <v>1.81</v>
      </c>
      <c r="AJ7" s="80"/>
      <c r="AK7" s="81"/>
      <c r="AL7" s="69"/>
      <c r="AM7" s="147" t="s">
        <v>7</v>
      </c>
      <c r="AN7" s="147"/>
      <c r="AO7" s="147"/>
      <c r="AP7" s="147"/>
      <c r="AQ7" s="148">
        <v>2.36</v>
      </c>
      <c r="AR7" s="148"/>
      <c r="AS7" s="148"/>
      <c r="AT7" s="68" t="s">
        <v>11</v>
      </c>
      <c r="AU7" s="149">
        <f>AY8</f>
        <v>0</v>
      </c>
      <c r="AV7" s="149"/>
      <c r="AW7" s="149"/>
      <c r="AX7" s="29" t="s">
        <v>9</v>
      </c>
      <c r="AY7" s="150">
        <f>AQ7-AU7</f>
        <v>2.36</v>
      </c>
      <c r="AZ7" s="150"/>
      <c r="BA7" s="150"/>
      <c r="BB7" s="28"/>
      <c r="BF7" s="35"/>
    </row>
    <row r="8" spans="1:58" s="72" customFormat="1" ht="18" customHeight="1">
      <c r="C8" s="92"/>
      <c r="D8" s="93"/>
      <c r="E8" s="93"/>
      <c r="F8" s="93"/>
      <c r="G8" s="93"/>
      <c r="H8" s="94"/>
      <c r="I8" s="107" t="s">
        <v>1</v>
      </c>
      <c r="J8" s="108"/>
      <c r="K8" s="108"/>
      <c r="L8" s="109"/>
      <c r="M8" s="109"/>
      <c r="N8" s="109"/>
      <c r="O8" s="31" t="s">
        <v>8</v>
      </c>
      <c r="P8" s="109"/>
      <c r="Q8" s="109"/>
      <c r="R8" s="109"/>
      <c r="S8" s="31" t="s">
        <v>8</v>
      </c>
      <c r="T8" s="109"/>
      <c r="U8" s="109"/>
      <c r="V8" s="109"/>
      <c r="W8" s="31" t="s">
        <v>8</v>
      </c>
      <c r="X8" s="110"/>
      <c r="Y8" s="110"/>
      <c r="Z8" s="110"/>
      <c r="AA8" s="31" t="s">
        <v>9</v>
      </c>
      <c r="AB8" s="156">
        <f>L8+P8+T8+X8</f>
        <v>0</v>
      </c>
      <c r="AC8" s="156"/>
      <c r="AD8" s="156"/>
      <c r="AE8" s="31" t="s">
        <v>10</v>
      </c>
      <c r="AF8" s="111">
        <f>CEILING(AB8,0.5)</f>
        <v>0</v>
      </c>
      <c r="AG8" s="112"/>
      <c r="AH8" s="113"/>
      <c r="AI8" s="157">
        <f t="shared" ref="AI8" si="0">L8+P8+T8</f>
        <v>0</v>
      </c>
      <c r="AJ8" s="158"/>
      <c r="AK8" s="159"/>
      <c r="AL8" s="32"/>
      <c r="AM8" s="82" t="s">
        <v>1</v>
      </c>
      <c r="AN8" s="82"/>
      <c r="AO8" s="82"/>
      <c r="AP8" s="82"/>
      <c r="AQ8" s="144"/>
      <c r="AR8" s="144"/>
      <c r="AS8" s="144"/>
      <c r="AT8" s="70" t="s">
        <v>12</v>
      </c>
      <c r="AU8" s="84">
        <v>0.5</v>
      </c>
      <c r="AV8" s="84"/>
      <c r="AW8" s="84"/>
      <c r="AX8" s="31" t="s">
        <v>9</v>
      </c>
      <c r="AY8" s="85">
        <f>ROUND(AQ8*AU8,1)</f>
        <v>0</v>
      </c>
      <c r="AZ8" s="85"/>
      <c r="BA8" s="85"/>
      <c r="BB8" s="37"/>
      <c r="BF8" s="35"/>
    </row>
    <row r="9" spans="1:58" s="72" customFormat="1" ht="18" customHeight="1">
      <c r="C9" s="86"/>
      <c r="D9" s="87"/>
      <c r="E9" s="87"/>
      <c r="F9" s="87"/>
      <c r="G9" s="87"/>
      <c r="H9" s="88"/>
      <c r="I9" s="95"/>
      <c r="J9" s="96"/>
      <c r="K9" s="96"/>
      <c r="L9" s="97" t="s">
        <v>2</v>
      </c>
      <c r="M9" s="97"/>
      <c r="N9" s="97"/>
      <c r="O9" s="66" t="s">
        <v>8</v>
      </c>
      <c r="P9" s="97" t="s">
        <v>3</v>
      </c>
      <c r="Q9" s="97"/>
      <c r="R9" s="97"/>
      <c r="S9" s="66" t="s">
        <v>8</v>
      </c>
      <c r="T9" s="97" t="s">
        <v>4</v>
      </c>
      <c r="U9" s="97"/>
      <c r="V9" s="97"/>
      <c r="W9" s="66" t="s">
        <v>8</v>
      </c>
      <c r="X9" s="97" t="s">
        <v>6</v>
      </c>
      <c r="Y9" s="97"/>
      <c r="Z9" s="97"/>
      <c r="AA9" s="66" t="s">
        <v>9</v>
      </c>
      <c r="AB9" s="97" t="s">
        <v>5</v>
      </c>
      <c r="AC9" s="97"/>
      <c r="AD9" s="97"/>
      <c r="AE9" s="66"/>
      <c r="AF9" s="97" t="s">
        <v>0</v>
      </c>
      <c r="AG9" s="96"/>
      <c r="AH9" s="98"/>
      <c r="AI9" s="79"/>
      <c r="AJ9" s="80"/>
      <c r="AK9" s="81"/>
      <c r="AL9" s="145">
        <f>C9</f>
        <v>0</v>
      </c>
      <c r="AM9" s="146"/>
      <c r="AN9" s="146"/>
      <c r="AO9" s="146"/>
      <c r="AP9" s="146"/>
      <c r="AQ9" s="146"/>
      <c r="AR9" s="146"/>
      <c r="AS9" s="146"/>
      <c r="AT9" s="146"/>
      <c r="AU9" s="146"/>
      <c r="AV9" s="146"/>
      <c r="AW9" s="146"/>
      <c r="AX9" s="146"/>
      <c r="AY9" s="146"/>
      <c r="AZ9" s="146"/>
      <c r="BA9" s="146"/>
      <c r="BB9" s="34"/>
    </row>
    <row r="10" spans="1:58" s="72" customFormat="1" ht="18" customHeight="1">
      <c r="C10" s="89"/>
      <c r="D10" s="90"/>
      <c r="E10" s="90"/>
      <c r="F10" s="90"/>
      <c r="G10" s="90"/>
      <c r="H10" s="91"/>
      <c r="I10" s="99" t="s">
        <v>7</v>
      </c>
      <c r="J10" s="100"/>
      <c r="K10" s="100"/>
      <c r="L10" s="101"/>
      <c r="M10" s="101"/>
      <c r="N10" s="101"/>
      <c r="O10" s="29" t="s">
        <v>8</v>
      </c>
      <c r="P10" s="101"/>
      <c r="Q10" s="101"/>
      <c r="R10" s="101"/>
      <c r="S10" s="29" t="s">
        <v>8</v>
      </c>
      <c r="T10" s="101"/>
      <c r="U10" s="101"/>
      <c r="V10" s="101"/>
      <c r="W10" s="29" t="s">
        <v>8</v>
      </c>
      <c r="X10" s="102"/>
      <c r="Y10" s="102"/>
      <c r="Z10" s="102"/>
      <c r="AA10" s="29" t="s">
        <v>9</v>
      </c>
      <c r="AB10" s="103">
        <f>L10+P10+T10+X10</f>
        <v>0</v>
      </c>
      <c r="AC10" s="103"/>
      <c r="AD10" s="103"/>
      <c r="AE10" s="29" t="s">
        <v>10</v>
      </c>
      <c r="AF10" s="104">
        <f>CEILING(AB10,0.5)</f>
        <v>0</v>
      </c>
      <c r="AG10" s="105"/>
      <c r="AH10" s="106"/>
      <c r="AI10" s="79">
        <f t="shared" ref="AI10:AI11" si="1">L10+P10+T10</f>
        <v>0</v>
      </c>
      <c r="AJ10" s="80"/>
      <c r="AK10" s="81"/>
      <c r="AL10" s="69"/>
      <c r="AM10" s="147" t="s">
        <v>7</v>
      </c>
      <c r="AN10" s="147"/>
      <c r="AO10" s="147"/>
      <c r="AP10" s="147"/>
      <c r="AQ10" s="148"/>
      <c r="AR10" s="148"/>
      <c r="AS10" s="148"/>
      <c r="AT10" s="68" t="s">
        <v>11</v>
      </c>
      <c r="AU10" s="149">
        <f>AY11</f>
        <v>0</v>
      </c>
      <c r="AV10" s="149"/>
      <c r="AW10" s="149"/>
      <c r="AX10" s="29" t="s">
        <v>9</v>
      </c>
      <c r="AY10" s="150">
        <f>AQ10-AU10</f>
        <v>0</v>
      </c>
      <c r="AZ10" s="150"/>
      <c r="BA10" s="150"/>
      <c r="BB10" s="28"/>
    </row>
    <row r="11" spans="1:58" s="72" customFormat="1" ht="18" customHeight="1">
      <c r="C11" s="92"/>
      <c r="D11" s="93"/>
      <c r="E11" s="93"/>
      <c r="F11" s="93"/>
      <c r="G11" s="93"/>
      <c r="H11" s="94"/>
      <c r="I11" s="107" t="s">
        <v>1</v>
      </c>
      <c r="J11" s="108"/>
      <c r="K11" s="108"/>
      <c r="L11" s="109"/>
      <c r="M11" s="109"/>
      <c r="N11" s="109"/>
      <c r="O11" s="31" t="s">
        <v>8</v>
      </c>
      <c r="P11" s="109"/>
      <c r="Q11" s="109"/>
      <c r="R11" s="109"/>
      <c r="S11" s="31" t="s">
        <v>8</v>
      </c>
      <c r="T11" s="109"/>
      <c r="U11" s="109"/>
      <c r="V11" s="109"/>
      <c r="W11" s="31" t="s">
        <v>8</v>
      </c>
      <c r="X11" s="110"/>
      <c r="Y11" s="110"/>
      <c r="Z11" s="110"/>
      <c r="AA11" s="31" t="s">
        <v>9</v>
      </c>
      <c r="AB11" s="103">
        <f>L11+P11+T11+X11</f>
        <v>0</v>
      </c>
      <c r="AC11" s="103"/>
      <c r="AD11" s="103"/>
      <c r="AE11" s="31" t="s">
        <v>10</v>
      </c>
      <c r="AF11" s="111">
        <f>CEILING(AB11,0.5)</f>
        <v>0</v>
      </c>
      <c r="AG11" s="112"/>
      <c r="AH11" s="113"/>
      <c r="AI11" s="79">
        <f t="shared" si="1"/>
        <v>0</v>
      </c>
      <c r="AJ11" s="80"/>
      <c r="AK11" s="81"/>
      <c r="AL11" s="32"/>
      <c r="AM11" s="82" t="s">
        <v>1</v>
      </c>
      <c r="AN11" s="82"/>
      <c r="AO11" s="82"/>
      <c r="AP11" s="82"/>
      <c r="AQ11" s="83"/>
      <c r="AR11" s="83"/>
      <c r="AS11" s="83"/>
      <c r="AT11" s="70" t="s">
        <v>12</v>
      </c>
      <c r="AU11" s="84">
        <v>0.5</v>
      </c>
      <c r="AV11" s="84"/>
      <c r="AW11" s="84"/>
      <c r="AX11" s="31" t="s">
        <v>9</v>
      </c>
      <c r="AY11" s="85">
        <f>ROUND(AQ11*AU11,1)</f>
        <v>0</v>
      </c>
      <c r="AZ11" s="85"/>
      <c r="BA11" s="85"/>
      <c r="BB11" s="37"/>
    </row>
    <row r="12" spans="1:58" s="72" customFormat="1" ht="18" customHeight="1">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row>
    <row r="13" spans="1:58" ht="18" customHeight="1">
      <c r="B13" s="26" t="s">
        <v>43</v>
      </c>
      <c r="C13" s="118">
        <v>300</v>
      </c>
      <c r="D13" s="118"/>
      <c r="E13" s="24" t="s">
        <v>44</v>
      </c>
    </row>
    <row r="14" spans="1:58" ht="18" customHeight="1">
      <c r="C14" s="119" t="s">
        <v>16</v>
      </c>
      <c r="D14" s="116"/>
      <c r="E14" s="116"/>
      <c r="F14" s="116"/>
      <c r="G14" s="116"/>
      <c r="H14" s="117"/>
      <c r="I14" s="119" t="s">
        <v>0</v>
      </c>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7"/>
      <c r="AI14" s="119" t="s">
        <v>17</v>
      </c>
      <c r="AJ14" s="116"/>
      <c r="AK14" s="117"/>
      <c r="AL14" s="119" t="s">
        <v>45</v>
      </c>
      <c r="AM14" s="116"/>
      <c r="AN14" s="116"/>
      <c r="AO14" s="116"/>
      <c r="AP14" s="116"/>
      <c r="AQ14" s="116"/>
      <c r="AR14" s="116"/>
      <c r="AS14" s="116"/>
      <c r="AT14" s="116"/>
      <c r="AU14" s="116"/>
      <c r="AV14" s="116"/>
      <c r="AW14" s="116"/>
      <c r="AX14" s="116"/>
      <c r="AY14" s="116"/>
      <c r="AZ14" s="116"/>
      <c r="BA14" s="116"/>
      <c r="BB14" s="117"/>
    </row>
    <row r="15" spans="1:58" ht="18" customHeight="1" thickBot="1">
      <c r="C15" s="120"/>
      <c r="D15" s="121"/>
      <c r="E15" s="121"/>
      <c r="F15" s="121"/>
      <c r="G15" s="121"/>
      <c r="H15" s="122"/>
      <c r="I15" s="120"/>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2"/>
      <c r="AI15" s="120"/>
      <c r="AJ15" s="121"/>
      <c r="AK15" s="122"/>
      <c r="AL15" s="120"/>
      <c r="AM15" s="121"/>
      <c r="AN15" s="121"/>
      <c r="AO15" s="121"/>
      <c r="AP15" s="121"/>
      <c r="AQ15" s="121"/>
      <c r="AR15" s="121"/>
      <c r="AS15" s="121"/>
      <c r="AT15" s="121"/>
      <c r="AU15" s="121"/>
      <c r="AV15" s="121"/>
      <c r="AW15" s="121"/>
      <c r="AX15" s="121"/>
      <c r="AY15" s="121"/>
      <c r="AZ15" s="121"/>
      <c r="BA15" s="121"/>
      <c r="BB15" s="122"/>
    </row>
    <row r="16" spans="1:58" ht="18" customHeight="1" thickTop="1">
      <c r="C16" s="123"/>
      <c r="D16" s="124"/>
      <c r="E16" s="124"/>
      <c r="F16" s="124"/>
      <c r="G16" s="124"/>
      <c r="H16" s="125"/>
      <c r="I16" s="127"/>
      <c r="J16" s="128"/>
      <c r="K16" s="128"/>
      <c r="L16" s="129" t="s">
        <v>2</v>
      </c>
      <c r="M16" s="129"/>
      <c r="N16" s="129"/>
      <c r="O16" s="75" t="s">
        <v>8</v>
      </c>
      <c r="P16" s="129" t="s">
        <v>3</v>
      </c>
      <c r="Q16" s="129"/>
      <c r="R16" s="129"/>
      <c r="S16" s="75" t="s">
        <v>8</v>
      </c>
      <c r="T16" s="129" t="s">
        <v>4</v>
      </c>
      <c r="U16" s="129"/>
      <c r="V16" s="129"/>
      <c r="W16" s="75" t="s">
        <v>8</v>
      </c>
      <c r="X16" s="129" t="s">
        <v>6</v>
      </c>
      <c r="Y16" s="129"/>
      <c r="Z16" s="129"/>
      <c r="AA16" s="75" t="s">
        <v>9</v>
      </c>
      <c r="AB16" s="129" t="s">
        <v>5</v>
      </c>
      <c r="AC16" s="129"/>
      <c r="AD16" s="129"/>
      <c r="AE16" s="75"/>
      <c r="AF16" s="129" t="s">
        <v>0</v>
      </c>
      <c r="AG16" s="128"/>
      <c r="AH16" s="130"/>
      <c r="AI16" s="131"/>
      <c r="AJ16" s="132"/>
      <c r="AK16" s="133"/>
      <c r="AL16" s="134">
        <f>C16</f>
        <v>0</v>
      </c>
      <c r="AM16" s="135"/>
      <c r="AN16" s="135"/>
      <c r="AO16" s="135"/>
      <c r="AP16" s="135"/>
      <c r="AQ16" s="135"/>
      <c r="AR16" s="135"/>
      <c r="AS16" s="135"/>
      <c r="AT16" s="135"/>
      <c r="AU16" s="135"/>
      <c r="AV16" s="135"/>
      <c r="AW16" s="135"/>
      <c r="AX16" s="135"/>
      <c r="AY16" s="135"/>
      <c r="AZ16" s="135"/>
      <c r="BA16" s="135"/>
      <c r="BB16" s="65"/>
    </row>
    <row r="17" spans="2:58" ht="18" customHeight="1">
      <c r="C17" s="89"/>
      <c r="D17" s="126"/>
      <c r="E17" s="126"/>
      <c r="F17" s="126"/>
      <c r="G17" s="126"/>
      <c r="H17" s="91"/>
      <c r="I17" s="99" t="s">
        <v>7</v>
      </c>
      <c r="J17" s="136"/>
      <c r="K17" s="136"/>
      <c r="L17" s="137">
        <v>1.91</v>
      </c>
      <c r="M17" s="137"/>
      <c r="N17" s="137"/>
      <c r="O17" s="77" t="s">
        <v>8</v>
      </c>
      <c r="P17" s="137">
        <v>0.32</v>
      </c>
      <c r="Q17" s="137"/>
      <c r="R17" s="137"/>
      <c r="S17" s="77" t="s">
        <v>8</v>
      </c>
      <c r="T17" s="137"/>
      <c r="U17" s="137"/>
      <c r="V17" s="137"/>
      <c r="W17" s="77" t="s">
        <v>8</v>
      </c>
      <c r="X17" s="138">
        <v>0.2</v>
      </c>
      <c r="Y17" s="138"/>
      <c r="Z17" s="138"/>
      <c r="AA17" s="77" t="s">
        <v>9</v>
      </c>
      <c r="AB17" s="139">
        <f>L17+P17+T17+X17</f>
        <v>2.4300000000000002</v>
      </c>
      <c r="AC17" s="139"/>
      <c r="AD17" s="139"/>
      <c r="AE17" s="77" t="s">
        <v>10</v>
      </c>
      <c r="AF17" s="140">
        <f>CEILING(AB17,0.5)</f>
        <v>2.5</v>
      </c>
      <c r="AG17" s="141"/>
      <c r="AH17" s="106"/>
      <c r="AI17" s="79">
        <f>L17+P17+T17</f>
        <v>2.23</v>
      </c>
      <c r="AJ17" s="142"/>
      <c r="AK17" s="81"/>
      <c r="AL17" s="76"/>
      <c r="AM17" s="143" t="s">
        <v>7</v>
      </c>
      <c r="AN17" s="143"/>
      <c r="AO17" s="143"/>
      <c r="AP17" s="143"/>
      <c r="AQ17" s="153">
        <v>18.84</v>
      </c>
      <c r="AR17" s="153"/>
      <c r="AS17" s="153"/>
      <c r="AT17" s="78" t="s">
        <v>11</v>
      </c>
      <c r="AU17" s="154">
        <f>AY18</f>
        <v>0</v>
      </c>
      <c r="AV17" s="154"/>
      <c r="AW17" s="154"/>
      <c r="AX17" s="77" t="s">
        <v>9</v>
      </c>
      <c r="AY17" s="155">
        <f>AQ17-AU17</f>
        <v>18.84</v>
      </c>
      <c r="AZ17" s="155"/>
      <c r="BA17" s="155"/>
      <c r="BB17" s="28"/>
      <c r="BF17" s="35"/>
    </row>
    <row r="18" spans="2:58" ht="18" customHeight="1">
      <c r="C18" s="92"/>
      <c r="D18" s="93"/>
      <c r="E18" s="93"/>
      <c r="F18" s="93"/>
      <c r="G18" s="93"/>
      <c r="H18" s="94"/>
      <c r="I18" s="107" t="s">
        <v>1</v>
      </c>
      <c r="J18" s="108"/>
      <c r="K18" s="108"/>
      <c r="L18" s="109"/>
      <c r="M18" s="109"/>
      <c r="N18" s="109"/>
      <c r="O18" s="31" t="s">
        <v>8</v>
      </c>
      <c r="P18" s="109"/>
      <c r="Q18" s="109"/>
      <c r="R18" s="109"/>
      <c r="S18" s="31" t="s">
        <v>8</v>
      </c>
      <c r="T18" s="109"/>
      <c r="U18" s="109"/>
      <c r="V18" s="109"/>
      <c r="W18" s="31" t="s">
        <v>8</v>
      </c>
      <c r="X18" s="110"/>
      <c r="Y18" s="110"/>
      <c r="Z18" s="110"/>
      <c r="AA18" s="31" t="s">
        <v>9</v>
      </c>
      <c r="AB18" s="156">
        <f>L18+P18+T18+X18</f>
        <v>0</v>
      </c>
      <c r="AC18" s="156"/>
      <c r="AD18" s="156"/>
      <c r="AE18" s="31" t="s">
        <v>10</v>
      </c>
      <c r="AF18" s="111">
        <f>CEILING(AB18,0.5)</f>
        <v>0</v>
      </c>
      <c r="AG18" s="112"/>
      <c r="AH18" s="113"/>
      <c r="AI18" s="157">
        <f t="shared" ref="AI18" si="2">L18+P18+T18</f>
        <v>0</v>
      </c>
      <c r="AJ18" s="158"/>
      <c r="AK18" s="159"/>
      <c r="AL18" s="32"/>
      <c r="AM18" s="82" t="s">
        <v>1</v>
      </c>
      <c r="AN18" s="82"/>
      <c r="AO18" s="82"/>
      <c r="AP18" s="82"/>
      <c r="AQ18" s="144"/>
      <c r="AR18" s="144"/>
      <c r="AS18" s="144"/>
      <c r="AT18" s="74" t="s">
        <v>12</v>
      </c>
      <c r="AU18" s="84">
        <v>0.5</v>
      </c>
      <c r="AV18" s="84"/>
      <c r="AW18" s="84"/>
      <c r="AX18" s="31" t="s">
        <v>9</v>
      </c>
      <c r="AY18" s="85">
        <f>ROUND(AQ18*AU18,1)</f>
        <v>0</v>
      </c>
      <c r="AZ18" s="85"/>
      <c r="BA18" s="85"/>
      <c r="BB18" s="37"/>
      <c r="BF18" s="35"/>
    </row>
    <row r="19" spans="2:58" ht="18" customHeight="1">
      <c r="C19" s="86"/>
      <c r="D19" s="87"/>
      <c r="E19" s="87"/>
      <c r="F19" s="87"/>
      <c r="G19" s="87"/>
      <c r="H19" s="88"/>
      <c r="I19" s="95"/>
      <c r="J19" s="96"/>
      <c r="K19" s="96"/>
      <c r="L19" s="97" t="s">
        <v>2</v>
      </c>
      <c r="M19" s="97"/>
      <c r="N19" s="97"/>
      <c r="O19" s="73" t="s">
        <v>8</v>
      </c>
      <c r="P19" s="97" t="s">
        <v>3</v>
      </c>
      <c r="Q19" s="97"/>
      <c r="R19" s="97"/>
      <c r="S19" s="73" t="s">
        <v>8</v>
      </c>
      <c r="T19" s="97" t="s">
        <v>4</v>
      </c>
      <c r="U19" s="97"/>
      <c r="V19" s="97"/>
      <c r="W19" s="73" t="s">
        <v>8</v>
      </c>
      <c r="X19" s="97" t="s">
        <v>6</v>
      </c>
      <c r="Y19" s="97"/>
      <c r="Z19" s="97"/>
      <c r="AA19" s="73" t="s">
        <v>9</v>
      </c>
      <c r="AB19" s="97" t="s">
        <v>5</v>
      </c>
      <c r="AC19" s="97"/>
      <c r="AD19" s="97"/>
      <c r="AE19" s="73"/>
      <c r="AF19" s="97" t="s">
        <v>0</v>
      </c>
      <c r="AG19" s="96"/>
      <c r="AH19" s="98"/>
      <c r="AI19" s="79"/>
      <c r="AJ19" s="142"/>
      <c r="AK19" s="81"/>
      <c r="AL19" s="145">
        <f>C19</f>
        <v>0</v>
      </c>
      <c r="AM19" s="146"/>
      <c r="AN19" s="146"/>
      <c r="AO19" s="146"/>
      <c r="AP19" s="146"/>
      <c r="AQ19" s="146"/>
      <c r="AR19" s="146"/>
      <c r="AS19" s="146"/>
      <c r="AT19" s="146"/>
      <c r="AU19" s="146"/>
      <c r="AV19" s="146"/>
      <c r="AW19" s="146"/>
      <c r="AX19" s="146"/>
      <c r="AY19" s="146"/>
      <c r="AZ19" s="146"/>
      <c r="BA19" s="146"/>
      <c r="BB19" s="34"/>
    </row>
    <row r="20" spans="2:58" ht="18" customHeight="1">
      <c r="C20" s="89"/>
      <c r="D20" s="126"/>
      <c r="E20" s="126"/>
      <c r="F20" s="126"/>
      <c r="G20" s="126"/>
      <c r="H20" s="91"/>
      <c r="I20" s="99" t="s">
        <v>7</v>
      </c>
      <c r="J20" s="136"/>
      <c r="K20" s="136"/>
      <c r="L20" s="137"/>
      <c r="M20" s="137"/>
      <c r="N20" s="137"/>
      <c r="O20" s="77" t="s">
        <v>8</v>
      </c>
      <c r="P20" s="137"/>
      <c r="Q20" s="137"/>
      <c r="R20" s="137"/>
      <c r="S20" s="77" t="s">
        <v>8</v>
      </c>
      <c r="T20" s="137"/>
      <c r="U20" s="137"/>
      <c r="V20" s="137"/>
      <c r="W20" s="77" t="s">
        <v>8</v>
      </c>
      <c r="X20" s="138"/>
      <c r="Y20" s="138"/>
      <c r="Z20" s="138"/>
      <c r="AA20" s="77" t="s">
        <v>9</v>
      </c>
      <c r="AB20" s="139">
        <f>L20+P20+T20+X20</f>
        <v>0</v>
      </c>
      <c r="AC20" s="139"/>
      <c r="AD20" s="139"/>
      <c r="AE20" s="77" t="s">
        <v>10</v>
      </c>
      <c r="AF20" s="140">
        <f>CEILING(AB20,0.5)</f>
        <v>0</v>
      </c>
      <c r="AG20" s="141"/>
      <c r="AH20" s="106"/>
      <c r="AI20" s="79">
        <f t="shared" ref="AI20:AI21" si="3">L20+P20+T20</f>
        <v>0</v>
      </c>
      <c r="AJ20" s="142"/>
      <c r="AK20" s="81"/>
      <c r="AL20" s="76"/>
      <c r="AM20" s="143" t="s">
        <v>7</v>
      </c>
      <c r="AN20" s="143"/>
      <c r="AO20" s="143"/>
      <c r="AP20" s="143"/>
      <c r="AQ20" s="153"/>
      <c r="AR20" s="153"/>
      <c r="AS20" s="153"/>
      <c r="AT20" s="78" t="s">
        <v>11</v>
      </c>
      <c r="AU20" s="154">
        <f>AY21</f>
        <v>0</v>
      </c>
      <c r="AV20" s="154"/>
      <c r="AW20" s="154"/>
      <c r="AX20" s="77" t="s">
        <v>9</v>
      </c>
      <c r="AY20" s="155">
        <f>AQ20-AU20</f>
        <v>0</v>
      </c>
      <c r="AZ20" s="155"/>
      <c r="BA20" s="155"/>
      <c r="BB20" s="28"/>
    </row>
    <row r="21" spans="2:58" ht="18" customHeight="1">
      <c r="C21" s="92"/>
      <c r="D21" s="93"/>
      <c r="E21" s="93"/>
      <c r="F21" s="93"/>
      <c r="G21" s="93"/>
      <c r="H21" s="94"/>
      <c r="I21" s="107" t="s">
        <v>1</v>
      </c>
      <c r="J21" s="108"/>
      <c r="K21" s="108"/>
      <c r="L21" s="109"/>
      <c r="M21" s="109"/>
      <c r="N21" s="109"/>
      <c r="O21" s="31" t="s">
        <v>8</v>
      </c>
      <c r="P21" s="109"/>
      <c r="Q21" s="109"/>
      <c r="R21" s="109"/>
      <c r="S21" s="31" t="s">
        <v>8</v>
      </c>
      <c r="T21" s="109"/>
      <c r="U21" s="109"/>
      <c r="V21" s="109"/>
      <c r="W21" s="31" t="s">
        <v>8</v>
      </c>
      <c r="X21" s="110"/>
      <c r="Y21" s="110"/>
      <c r="Z21" s="110"/>
      <c r="AA21" s="31" t="s">
        <v>9</v>
      </c>
      <c r="AB21" s="156">
        <f>L21+P21+T21+X21</f>
        <v>0</v>
      </c>
      <c r="AC21" s="156"/>
      <c r="AD21" s="156"/>
      <c r="AE21" s="31" t="s">
        <v>10</v>
      </c>
      <c r="AF21" s="111">
        <f>CEILING(AB21,0.5)</f>
        <v>0</v>
      </c>
      <c r="AG21" s="112"/>
      <c r="AH21" s="113"/>
      <c r="AI21" s="157">
        <f t="shared" si="3"/>
        <v>0</v>
      </c>
      <c r="AJ21" s="158"/>
      <c r="AK21" s="159"/>
      <c r="AL21" s="32"/>
      <c r="AM21" s="82" t="s">
        <v>1</v>
      </c>
      <c r="AN21" s="82"/>
      <c r="AO21" s="82"/>
      <c r="AP21" s="82"/>
      <c r="AQ21" s="83"/>
      <c r="AR21" s="83"/>
      <c r="AS21" s="83"/>
      <c r="AT21" s="74" t="s">
        <v>12</v>
      </c>
      <c r="AU21" s="84">
        <v>0.5</v>
      </c>
      <c r="AV21" s="84"/>
      <c r="AW21" s="84"/>
      <c r="AX21" s="31" t="s">
        <v>9</v>
      </c>
      <c r="AY21" s="85">
        <f>ROUND(AQ21*AU21,1)</f>
        <v>0</v>
      </c>
      <c r="AZ21" s="85"/>
      <c r="BA21" s="85"/>
      <c r="BB21" s="37"/>
    </row>
    <row r="22" spans="2:58" ht="18" customHeight="1">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row>
    <row r="23" spans="2:58" ht="18" customHeight="1">
      <c r="B23" s="26" t="s">
        <v>43</v>
      </c>
      <c r="C23" s="118"/>
      <c r="D23" s="118"/>
      <c r="E23" s="24" t="s">
        <v>44</v>
      </c>
    </row>
    <row r="24" spans="2:58" ht="18" customHeight="1">
      <c r="C24" s="119" t="s">
        <v>16</v>
      </c>
      <c r="D24" s="116"/>
      <c r="E24" s="116"/>
      <c r="F24" s="116"/>
      <c r="G24" s="116"/>
      <c r="H24" s="117"/>
      <c r="I24" s="119" t="s">
        <v>0</v>
      </c>
      <c r="J24" s="116"/>
      <c r="K24" s="116"/>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7"/>
      <c r="AI24" s="119" t="s">
        <v>17</v>
      </c>
      <c r="AJ24" s="116"/>
      <c r="AK24" s="117"/>
      <c r="AL24" s="119" t="s">
        <v>45</v>
      </c>
      <c r="AM24" s="116"/>
      <c r="AN24" s="116"/>
      <c r="AO24" s="116"/>
      <c r="AP24" s="116"/>
      <c r="AQ24" s="116"/>
      <c r="AR24" s="116"/>
      <c r="AS24" s="116"/>
      <c r="AT24" s="116"/>
      <c r="AU24" s="116"/>
      <c r="AV24" s="116"/>
      <c r="AW24" s="116"/>
      <c r="AX24" s="116"/>
      <c r="AY24" s="116"/>
      <c r="AZ24" s="116"/>
      <c r="BA24" s="116"/>
      <c r="BB24" s="117"/>
    </row>
    <row r="25" spans="2:58" ht="18" customHeight="1" thickBot="1">
      <c r="C25" s="120"/>
      <c r="D25" s="121"/>
      <c r="E25" s="121"/>
      <c r="F25" s="121"/>
      <c r="G25" s="121"/>
      <c r="H25" s="122"/>
      <c r="I25" s="120"/>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2"/>
      <c r="AI25" s="120"/>
      <c r="AJ25" s="121"/>
      <c r="AK25" s="122"/>
      <c r="AL25" s="120"/>
      <c r="AM25" s="121"/>
      <c r="AN25" s="121"/>
      <c r="AO25" s="121"/>
      <c r="AP25" s="121"/>
      <c r="AQ25" s="121"/>
      <c r="AR25" s="121"/>
      <c r="AS25" s="121"/>
      <c r="AT25" s="121"/>
      <c r="AU25" s="121"/>
      <c r="AV25" s="121"/>
      <c r="AW25" s="121"/>
      <c r="AX25" s="121"/>
      <c r="AY25" s="121"/>
      <c r="AZ25" s="121"/>
      <c r="BA25" s="121"/>
      <c r="BB25" s="122"/>
    </row>
    <row r="26" spans="2:58" ht="18" customHeight="1" thickTop="1">
      <c r="C26" s="86"/>
      <c r="D26" s="87"/>
      <c r="E26" s="87"/>
      <c r="F26" s="87"/>
      <c r="G26" s="87"/>
      <c r="H26" s="88"/>
      <c r="I26" s="95"/>
      <c r="J26" s="96"/>
      <c r="K26" s="96"/>
      <c r="L26" s="97" t="s">
        <v>2</v>
      </c>
      <c r="M26" s="97"/>
      <c r="N26" s="97"/>
      <c r="O26" s="27" t="s">
        <v>8</v>
      </c>
      <c r="P26" s="97" t="s">
        <v>3</v>
      </c>
      <c r="Q26" s="97"/>
      <c r="R26" s="97"/>
      <c r="S26" s="27" t="s">
        <v>8</v>
      </c>
      <c r="T26" s="97" t="s">
        <v>4</v>
      </c>
      <c r="U26" s="97"/>
      <c r="V26" s="97"/>
      <c r="W26" s="27" t="s">
        <v>8</v>
      </c>
      <c r="X26" s="97" t="s">
        <v>6</v>
      </c>
      <c r="Y26" s="97"/>
      <c r="Z26" s="97"/>
      <c r="AA26" s="27" t="s">
        <v>9</v>
      </c>
      <c r="AB26" s="97" t="s">
        <v>5</v>
      </c>
      <c r="AC26" s="97"/>
      <c r="AD26" s="97"/>
      <c r="AE26" s="27"/>
      <c r="AF26" s="97" t="s">
        <v>0</v>
      </c>
      <c r="AG26" s="96"/>
      <c r="AH26" s="98"/>
      <c r="AI26" s="79"/>
      <c r="AJ26" s="80"/>
      <c r="AK26" s="81"/>
      <c r="AL26" s="145">
        <f>C26</f>
        <v>0</v>
      </c>
      <c r="AM26" s="146"/>
      <c r="AN26" s="146"/>
      <c r="AO26" s="146"/>
      <c r="AP26" s="146"/>
      <c r="AQ26" s="146"/>
      <c r="AR26" s="146"/>
      <c r="AS26" s="146"/>
      <c r="AT26" s="146"/>
      <c r="AU26" s="146"/>
      <c r="AV26" s="146"/>
      <c r="AW26" s="146"/>
      <c r="AX26" s="146"/>
      <c r="AY26" s="146"/>
      <c r="AZ26" s="146"/>
      <c r="BA26" s="146"/>
      <c r="BB26" s="34"/>
    </row>
    <row r="27" spans="2:58" ht="18" customHeight="1">
      <c r="C27" s="89"/>
      <c r="D27" s="90"/>
      <c r="E27" s="90"/>
      <c r="F27" s="90"/>
      <c r="G27" s="90"/>
      <c r="H27" s="91"/>
      <c r="I27" s="99" t="s">
        <v>7</v>
      </c>
      <c r="J27" s="100"/>
      <c r="K27" s="100"/>
      <c r="L27" s="101"/>
      <c r="M27" s="101"/>
      <c r="N27" s="101"/>
      <c r="O27" s="29" t="s">
        <v>8</v>
      </c>
      <c r="P27" s="101"/>
      <c r="Q27" s="101"/>
      <c r="R27" s="101"/>
      <c r="S27" s="29" t="s">
        <v>8</v>
      </c>
      <c r="T27" s="101"/>
      <c r="U27" s="101"/>
      <c r="V27" s="101"/>
      <c r="W27" s="29" t="s">
        <v>8</v>
      </c>
      <c r="X27" s="102"/>
      <c r="Y27" s="102"/>
      <c r="Z27" s="102"/>
      <c r="AA27" s="29" t="s">
        <v>9</v>
      </c>
      <c r="AB27" s="103">
        <f>L27+P27+T27+X27</f>
        <v>0</v>
      </c>
      <c r="AC27" s="103"/>
      <c r="AD27" s="103"/>
      <c r="AE27" s="29" t="s">
        <v>10</v>
      </c>
      <c r="AF27" s="104">
        <f>CEILING(AB27,0.5)</f>
        <v>0</v>
      </c>
      <c r="AG27" s="105"/>
      <c r="AH27" s="106"/>
      <c r="AI27" s="79">
        <f t="shared" ref="AI27:AI28" si="4">L27+P27+T27</f>
        <v>0</v>
      </c>
      <c r="AJ27" s="80"/>
      <c r="AK27" s="81"/>
      <c r="AL27" s="30"/>
      <c r="AM27" s="147" t="s">
        <v>7</v>
      </c>
      <c r="AN27" s="147"/>
      <c r="AO27" s="147"/>
      <c r="AP27" s="147"/>
      <c r="AQ27" s="148"/>
      <c r="AR27" s="148"/>
      <c r="AS27" s="148"/>
      <c r="AT27" s="25" t="s">
        <v>11</v>
      </c>
      <c r="AU27" s="149">
        <f>AY28</f>
        <v>0</v>
      </c>
      <c r="AV27" s="149"/>
      <c r="AW27" s="149"/>
      <c r="AX27" s="29" t="s">
        <v>9</v>
      </c>
      <c r="AY27" s="150">
        <f>AQ27-AU27</f>
        <v>0</v>
      </c>
      <c r="AZ27" s="150"/>
      <c r="BA27" s="150"/>
      <c r="BB27" s="28"/>
    </row>
    <row r="28" spans="2:58" ht="18" customHeight="1">
      <c r="C28" s="92"/>
      <c r="D28" s="93"/>
      <c r="E28" s="93"/>
      <c r="F28" s="93"/>
      <c r="G28" s="93"/>
      <c r="H28" s="94"/>
      <c r="I28" s="107" t="s">
        <v>1</v>
      </c>
      <c r="J28" s="108"/>
      <c r="K28" s="108"/>
      <c r="L28" s="109"/>
      <c r="M28" s="109"/>
      <c r="N28" s="109"/>
      <c r="O28" s="31" t="s">
        <v>8</v>
      </c>
      <c r="P28" s="109"/>
      <c r="Q28" s="109"/>
      <c r="R28" s="109"/>
      <c r="S28" s="31" t="s">
        <v>8</v>
      </c>
      <c r="T28" s="109"/>
      <c r="U28" s="109"/>
      <c r="V28" s="109"/>
      <c r="W28" s="31" t="s">
        <v>8</v>
      </c>
      <c r="X28" s="110"/>
      <c r="Y28" s="110"/>
      <c r="Z28" s="110"/>
      <c r="AA28" s="31" t="s">
        <v>9</v>
      </c>
      <c r="AB28" s="103">
        <f>L28+P28+T28+X28</f>
        <v>0</v>
      </c>
      <c r="AC28" s="103"/>
      <c r="AD28" s="103"/>
      <c r="AE28" s="31" t="s">
        <v>10</v>
      </c>
      <c r="AF28" s="111">
        <f>CEILING(AB28,0.5)</f>
        <v>0</v>
      </c>
      <c r="AG28" s="112"/>
      <c r="AH28" s="113"/>
      <c r="AI28" s="79">
        <f t="shared" si="4"/>
        <v>0</v>
      </c>
      <c r="AJ28" s="80"/>
      <c r="AK28" s="81"/>
      <c r="AL28" s="32"/>
      <c r="AM28" s="82" t="s">
        <v>1</v>
      </c>
      <c r="AN28" s="82"/>
      <c r="AO28" s="82"/>
      <c r="AP28" s="82"/>
      <c r="AQ28" s="83"/>
      <c r="AR28" s="83"/>
      <c r="AS28" s="83"/>
      <c r="AT28" s="33" t="s">
        <v>12</v>
      </c>
      <c r="AU28" s="84">
        <v>0.5</v>
      </c>
      <c r="AV28" s="84"/>
      <c r="AW28" s="84"/>
      <c r="AX28" s="31" t="s">
        <v>9</v>
      </c>
      <c r="AY28" s="85">
        <f>ROUND(AQ28*AU28,1)</f>
        <v>0</v>
      </c>
      <c r="AZ28" s="85"/>
      <c r="BA28" s="85"/>
      <c r="BB28" s="37"/>
    </row>
    <row r="29" spans="2:58" ht="18" customHeight="1">
      <c r="C29" s="86"/>
      <c r="D29" s="87"/>
      <c r="E29" s="87"/>
      <c r="F29" s="87"/>
      <c r="G29" s="87"/>
      <c r="H29" s="88"/>
      <c r="I29" s="95"/>
      <c r="J29" s="96"/>
      <c r="K29" s="96"/>
      <c r="L29" s="97" t="s">
        <v>2</v>
      </c>
      <c r="M29" s="97"/>
      <c r="N29" s="97"/>
      <c r="O29" s="27" t="s">
        <v>8</v>
      </c>
      <c r="P29" s="97" t="s">
        <v>3</v>
      </c>
      <c r="Q29" s="97"/>
      <c r="R29" s="97"/>
      <c r="S29" s="27" t="s">
        <v>8</v>
      </c>
      <c r="T29" s="97" t="s">
        <v>4</v>
      </c>
      <c r="U29" s="97"/>
      <c r="V29" s="97"/>
      <c r="W29" s="27" t="s">
        <v>8</v>
      </c>
      <c r="X29" s="97" t="s">
        <v>6</v>
      </c>
      <c r="Y29" s="97"/>
      <c r="Z29" s="97"/>
      <c r="AA29" s="27" t="s">
        <v>9</v>
      </c>
      <c r="AB29" s="97" t="s">
        <v>5</v>
      </c>
      <c r="AC29" s="97"/>
      <c r="AD29" s="97"/>
      <c r="AE29" s="27"/>
      <c r="AF29" s="97" t="s">
        <v>0</v>
      </c>
      <c r="AG29" s="96"/>
      <c r="AH29" s="98"/>
      <c r="AI29" s="79"/>
      <c r="AJ29" s="80"/>
      <c r="AK29" s="81"/>
      <c r="AL29" s="145">
        <f>C29</f>
        <v>0</v>
      </c>
      <c r="AM29" s="146"/>
      <c r="AN29" s="146"/>
      <c r="AO29" s="146"/>
      <c r="AP29" s="146"/>
      <c r="AQ29" s="146"/>
      <c r="AR29" s="146"/>
      <c r="AS29" s="146"/>
      <c r="AT29" s="146"/>
      <c r="AU29" s="146"/>
      <c r="AV29" s="146"/>
      <c r="AW29" s="146"/>
      <c r="AX29" s="146"/>
      <c r="AY29" s="146"/>
      <c r="AZ29" s="146"/>
      <c r="BA29" s="146"/>
      <c r="BB29" s="34"/>
    </row>
    <row r="30" spans="2:58" ht="18" customHeight="1">
      <c r="C30" s="89"/>
      <c r="D30" s="90"/>
      <c r="E30" s="90"/>
      <c r="F30" s="90"/>
      <c r="G30" s="90"/>
      <c r="H30" s="91"/>
      <c r="I30" s="99" t="s">
        <v>7</v>
      </c>
      <c r="J30" s="100"/>
      <c r="K30" s="100"/>
      <c r="L30" s="101"/>
      <c r="M30" s="101"/>
      <c r="N30" s="101"/>
      <c r="O30" s="29" t="s">
        <v>8</v>
      </c>
      <c r="P30" s="101"/>
      <c r="Q30" s="101"/>
      <c r="R30" s="101"/>
      <c r="S30" s="29" t="s">
        <v>8</v>
      </c>
      <c r="T30" s="101"/>
      <c r="U30" s="101"/>
      <c r="V30" s="101"/>
      <c r="W30" s="29" t="s">
        <v>8</v>
      </c>
      <c r="X30" s="102"/>
      <c r="Y30" s="102"/>
      <c r="Z30" s="102"/>
      <c r="AA30" s="29" t="s">
        <v>9</v>
      </c>
      <c r="AB30" s="103">
        <f>L30+P30+T30+X30</f>
        <v>0</v>
      </c>
      <c r="AC30" s="103"/>
      <c r="AD30" s="103"/>
      <c r="AE30" s="29" t="s">
        <v>10</v>
      </c>
      <c r="AF30" s="104">
        <f>CEILING(AB30,0.5)</f>
        <v>0</v>
      </c>
      <c r="AG30" s="105"/>
      <c r="AH30" s="106"/>
      <c r="AI30" s="79">
        <f t="shared" ref="AI30:AI31" si="5">L30+P30+T30</f>
        <v>0</v>
      </c>
      <c r="AJ30" s="80"/>
      <c r="AK30" s="81"/>
      <c r="AL30" s="30"/>
      <c r="AM30" s="147" t="s">
        <v>7</v>
      </c>
      <c r="AN30" s="147"/>
      <c r="AO30" s="147"/>
      <c r="AP30" s="147"/>
      <c r="AQ30" s="148"/>
      <c r="AR30" s="148"/>
      <c r="AS30" s="148"/>
      <c r="AT30" s="25" t="s">
        <v>11</v>
      </c>
      <c r="AU30" s="149">
        <f>AY31</f>
        <v>0</v>
      </c>
      <c r="AV30" s="149"/>
      <c r="AW30" s="149"/>
      <c r="AX30" s="29" t="s">
        <v>9</v>
      </c>
      <c r="AY30" s="150">
        <f>AQ30-AU30</f>
        <v>0</v>
      </c>
      <c r="AZ30" s="150"/>
      <c r="BA30" s="150"/>
      <c r="BB30" s="28"/>
    </row>
    <row r="31" spans="2:58" ht="18" customHeight="1">
      <c r="C31" s="92"/>
      <c r="D31" s="93"/>
      <c r="E31" s="93"/>
      <c r="F31" s="93"/>
      <c r="G31" s="93"/>
      <c r="H31" s="94"/>
      <c r="I31" s="107" t="s">
        <v>1</v>
      </c>
      <c r="J31" s="108"/>
      <c r="K31" s="108"/>
      <c r="L31" s="109"/>
      <c r="M31" s="109"/>
      <c r="N31" s="109"/>
      <c r="O31" s="31" t="s">
        <v>8</v>
      </c>
      <c r="P31" s="109"/>
      <c r="Q31" s="109"/>
      <c r="R31" s="109"/>
      <c r="S31" s="31" t="s">
        <v>8</v>
      </c>
      <c r="T31" s="109"/>
      <c r="U31" s="109"/>
      <c r="V31" s="109"/>
      <c r="W31" s="31" t="s">
        <v>8</v>
      </c>
      <c r="X31" s="110"/>
      <c r="Y31" s="110"/>
      <c r="Z31" s="110"/>
      <c r="AA31" s="31" t="s">
        <v>9</v>
      </c>
      <c r="AB31" s="103">
        <f>L31+P31+T31+X31</f>
        <v>0</v>
      </c>
      <c r="AC31" s="103"/>
      <c r="AD31" s="103"/>
      <c r="AE31" s="31" t="s">
        <v>10</v>
      </c>
      <c r="AF31" s="111">
        <f>CEILING(AB31,0.5)</f>
        <v>0</v>
      </c>
      <c r="AG31" s="112"/>
      <c r="AH31" s="113"/>
      <c r="AI31" s="79">
        <f t="shared" si="5"/>
        <v>0</v>
      </c>
      <c r="AJ31" s="80"/>
      <c r="AK31" s="81"/>
      <c r="AL31" s="32"/>
      <c r="AM31" s="82" t="s">
        <v>1</v>
      </c>
      <c r="AN31" s="82"/>
      <c r="AO31" s="82"/>
      <c r="AP31" s="82"/>
      <c r="AQ31" s="83"/>
      <c r="AR31" s="83"/>
      <c r="AS31" s="83"/>
      <c r="AT31" s="33" t="s">
        <v>12</v>
      </c>
      <c r="AU31" s="84">
        <v>0.5</v>
      </c>
      <c r="AV31" s="84"/>
      <c r="AW31" s="84"/>
      <c r="AX31" s="31" t="s">
        <v>9</v>
      </c>
      <c r="AY31" s="85">
        <f>ROUND(AQ31*AU31,1)</f>
        <v>0</v>
      </c>
      <c r="AZ31" s="85"/>
      <c r="BA31" s="85"/>
      <c r="BB31" s="37"/>
    </row>
    <row r="32" spans="2:58" ht="18" customHeight="1">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row>
    <row r="33" spans="2:58" ht="18" customHeight="1">
      <c r="B33" s="26" t="s">
        <v>43</v>
      </c>
      <c r="C33" s="118"/>
      <c r="D33" s="118"/>
      <c r="E33" s="24" t="s">
        <v>44</v>
      </c>
    </row>
    <row r="34" spans="2:58" ht="18" customHeight="1">
      <c r="C34" s="119" t="s">
        <v>16</v>
      </c>
      <c r="D34" s="116"/>
      <c r="E34" s="116"/>
      <c r="F34" s="116"/>
      <c r="G34" s="116"/>
      <c r="H34" s="117"/>
      <c r="I34" s="119" t="s">
        <v>0</v>
      </c>
      <c r="J34" s="116"/>
      <c r="K34" s="116"/>
      <c r="L34" s="116"/>
      <c r="M34" s="116"/>
      <c r="N34" s="116"/>
      <c r="O34" s="116"/>
      <c r="P34" s="116"/>
      <c r="Q34" s="116"/>
      <c r="R34" s="116"/>
      <c r="S34" s="116"/>
      <c r="T34" s="116"/>
      <c r="U34" s="116"/>
      <c r="V34" s="116"/>
      <c r="W34" s="116"/>
      <c r="X34" s="116"/>
      <c r="Y34" s="116"/>
      <c r="Z34" s="116"/>
      <c r="AA34" s="116"/>
      <c r="AB34" s="116"/>
      <c r="AC34" s="116"/>
      <c r="AD34" s="116"/>
      <c r="AE34" s="116"/>
      <c r="AF34" s="116"/>
      <c r="AG34" s="116"/>
      <c r="AH34" s="117"/>
      <c r="AI34" s="119" t="s">
        <v>17</v>
      </c>
      <c r="AJ34" s="116"/>
      <c r="AK34" s="117"/>
      <c r="AL34" s="119" t="s">
        <v>45</v>
      </c>
      <c r="AM34" s="116"/>
      <c r="AN34" s="116"/>
      <c r="AO34" s="116"/>
      <c r="AP34" s="116"/>
      <c r="AQ34" s="116"/>
      <c r="AR34" s="116"/>
      <c r="AS34" s="116"/>
      <c r="AT34" s="116"/>
      <c r="AU34" s="116"/>
      <c r="AV34" s="116"/>
      <c r="AW34" s="116"/>
      <c r="AX34" s="116"/>
      <c r="AY34" s="116"/>
      <c r="AZ34" s="116"/>
      <c r="BA34" s="116"/>
      <c r="BB34" s="117"/>
    </row>
    <row r="35" spans="2:58" ht="18" customHeight="1" thickBot="1">
      <c r="C35" s="120"/>
      <c r="D35" s="121"/>
      <c r="E35" s="121"/>
      <c r="F35" s="121"/>
      <c r="G35" s="121"/>
      <c r="H35" s="122"/>
      <c r="I35" s="120"/>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121"/>
      <c r="AH35" s="122"/>
      <c r="AI35" s="120"/>
      <c r="AJ35" s="121"/>
      <c r="AK35" s="122"/>
      <c r="AL35" s="120"/>
      <c r="AM35" s="121"/>
      <c r="AN35" s="121"/>
      <c r="AO35" s="121"/>
      <c r="AP35" s="121"/>
      <c r="AQ35" s="121"/>
      <c r="AR35" s="121"/>
      <c r="AS35" s="121"/>
      <c r="AT35" s="121"/>
      <c r="AU35" s="121"/>
      <c r="AV35" s="121"/>
      <c r="AW35" s="121"/>
      <c r="AX35" s="121"/>
      <c r="AY35" s="121"/>
      <c r="AZ35" s="121"/>
      <c r="BA35" s="121"/>
      <c r="BB35" s="122"/>
    </row>
    <row r="36" spans="2:58" ht="18" customHeight="1" thickTop="1">
      <c r="C36" s="114"/>
      <c r="D36" s="87"/>
      <c r="E36" s="87"/>
      <c r="F36" s="87"/>
      <c r="G36" s="87"/>
      <c r="H36" s="88"/>
      <c r="I36" s="127"/>
      <c r="J36" s="128"/>
      <c r="K36" s="128"/>
      <c r="L36" s="129" t="s">
        <v>2</v>
      </c>
      <c r="M36" s="129"/>
      <c r="N36" s="129"/>
      <c r="O36" s="27" t="s">
        <v>8</v>
      </c>
      <c r="P36" s="129" t="s">
        <v>3</v>
      </c>
      <c r="Q36" s="129"/>
      <c r="R36" s="129"/>
      <c r="S36" s="27" t="s">
        <v>8</v>
      </c>
      <c r="T36" s="129" t="s">
        <v>4</v>
      </c>
      <c r="U36" s="129"/>
      <c r="V36" s="129"/>
      <c r="W36" s="27" t="s">
        <v>8</v>
      </c>
      <c r="X36" s="129" t="s">
        <v>6</v>
      </c>
      <c r="Y36" s="129"/>
      <c r="Z36" s="129"/>
      <c r="AA36" s="27" t="s">
        <v>9</v>
      </c>
      <c r="AB36" s="129" t="s">
        <v>5</v>
      </c>
      <c r="AC36" s="129"/>
      <c r="AD36" s="129"/>
      <c r="AE36" s="27"/>
      <c r="AF36" s="129" t="s">
        <v>0</v>
      </c>
      <c r="AG36" s="128"/>
      <c r="AH36" s="130"/>
      <c r="AI36" s="162"/>
      <c r="AJ36" s="80"/>
      <c r="AK36" s="81"/>
      <c r="AL36" s="151">
        <f>C36</f>
        <v>0</v>
      </c>
      <c r="AM36" s="152"/>
      <c r="AN36" s="152"/>
      <c r="AO36" s="152"/>
      <c r="AP36" s="152"/>
      <c r="AQ36" s="152"/>
      <c r="AR36" s="152"/>
      <c r="AS36" s="152"/>
      <c r="AT36" s="152"/>
      <c r="AU36" s="152"/>
      <c r="AV36" s="152"/>
      <c r="AW36" s="152"/>
      <c r="AX36" s="152"/>
      <c r="AY36" s="152"/>
      <c r="AZ36" s="152"/>
      <c r="BA36" s="152"/>
      <c r="BB36" s="28"/>
    </row>
    <row r="37" spans="2:58" ht="18" customHeight="1">
      <c r="C37" s="89"/>
      <c r="D37" s="90"/>
      <c r="E37" s="90"/>
      <c r="F37" s="90"/>
      <c r="G37" s="90"/>
      <c r="H37" s="91"/>
      <c r="I37" s="99" t="s">
        <v>7</v>
      </c>
      <c r="J37" s="100"/>
      <c r="K37" s="100"/>
      <c r="L37" s="101"/>
      <c r="M37" s="101"/>
      <c r="N37" s="101"/>
      <c r="O37" s="29" t="s">
        <v>8</v>
      </c>
      <c r="P37" s="101"/>
      <c r="Q37" s="101"/>
      <c r="R37" s="101"/>
      <c r="S37" s="29" t="s">
        <v>8</v>
      </c>
      <c r="T37" s="101"/>
      <c r="U37" s="101"/>
      <c r="V37" s="101"/>
      <c r="W37" s="29" t="s">
        <v>8</v>
      </c>
      <c r="X37" s="102"/>
      <c r="Y37" s="102"/>
      <c r="Z37" s="102"/>
      <c r="AA37" s="29" t="s">
        <v>9</v>
      </c>
      <c r="AB37" s="103">
        <f>L37+P37+T37+X37</f>
        <v>0</v>
      </c>
      <c r="AC37" s="103"/>
      <c r="AD37" s="103"/>
      <c r="AE37" s="29" t="s">
        <v>10</v>
      </c>
      <c r="AF37" s="104">
        <f>CEILING(AB37,0.5)</f>
        <v>0</v>
      </c>
      <c r="AG37" s="105"/>
      <c r="AH37" s="106"/>
      <c r="AI37" s="79">
        <f>L37+P37+T37</f>
        <v>0</v>
      </c>
      <c r="AJ37" s="80"/>
      <c r="AK37" s="81"/>
      <c r="AL37" s="30"/>
      <c r="AM37" s="147" t="s">
        <v>7</v>
      </c>
      <c r="AN37" s="147"/>
      <c r="AO37" s="147"/>
      <c r="AP37" s="147"/>
      <c r="AQ37" s="148"/>
      <c r="AR37" s="148"/>
      <c r="AS37" s="148"/>
      <c r="AT37" s="25" t="s">
        <v>11</v>
      </c>
      <c r="AU37" s="149">
        <f>AY38</f>
        <v>0</v>
      </c>
      <c r="AV37" s="149"/>
      <c r="AW37" s="149"/>
      <c r="AX37" s="29" t="s">
        <v>9</v>
      </c>
      <c r="AY37" s="150">
        <f>AQ37-AU37</f>
        <v>0</v>
      </c>
      <c r="AZ37" s="150"/>
      <c r="BA37" s="150"/>
      <c r="BB37" s="28"/>
    </row>
    <row r="38" spans="2:58" ht="18" customHeight="1">
      <c r="C38" s="92"/>
      <c r="D38" s="93"/>
      <c r="E38" s="93"/>
      <c r="F38" s="93"/>
      <c r="G38" s="93"/>
      <c r="H38" s="94"/>
      <c r="I38" s="107" t="s">
        <v>1</v>
      </c>
      <c r="J38" s="108"/>
      <c r="K38" s="108"/>
      <c r="L38" s="109"/>
      <c r="M38" s="109"/>
      <c r="N38" s="109"/>
      <c r="O38" s="31" t="s">
        <v>8</v>
      </c>
      <c r="P38" s="109"/>
      <c r="Q38" s="109"/>
      <c r="R38" s="109"/>
      <c r="S38" s="31" t="s">
        <v>8</v>
      </c>
      <c r="T38" s="109"/>
      <c r="U38" s="109"/>
      <c r="V38" s="109"/>
      <c r="W38" s="31" t="s">
        <v>8</v>
      </c>
      <c r="X38" s="110"/>
      <c r="Y38" s="110"/>
      <c r="Z38" s="110"/>
      <c r="AA38" s="31" t="s">
        <v>9</v>
      </c>
      <c r="AB38" s="103">
        <f>L38+P38+T38+X38</f>
        <v>0</v>
      </c>
      <c r="AC38" s="103"/>
      <c r="AD38" s="103"/>
      <c r="AE38" s="31" t="s">
        <v>10</v>
      </c>
      <c r="AF38" s="111">
        <f>CEILING(AB38,0.5)</f>
        <v>0</v>
      </c>
      <c r="AG38" s="112"/>
      <c r="AH38" s="113"/>
      <c r="AI38" s="157">
        <f>L38+P38+T38</f>
        <v>0</v>
      </c>
      <c r="AJ38" s="158"/>
      <c r="AK38" s="159"/>
      <c r="AL38" s="32"/>
      <c r="AM38" s="82" t="s">
        <v>1</v>
      </c>
      <c r="AN38" s="82"/>
      <c r="AO38" s="82"/>
      <c r="AP38" s="82"/>
      <c r="AQ38" s="144"/>
      <c r="AR38" s="144"/>
      <c r="AS38" s="144"/>
      <c r="AT38" s="33" t="s">
        <v>12</v>
      </c>
      <c r="AU38" s="84">
        <v>0.5</v>
      </c>
      <c r="AV38" s="84"/>
      <c r="AW38" s="84"/>
      <c r="AX38" s="31" t="s">
        <v>9</v>
      </c>
      <c r="AY38" s="85">
        <f>ROUND(AQ38*AU38,1)</f>
        <v>0</v>
      </c>
      <c r="AZ38" s="85"/>
      <c r="BA38" s="85"/>
      <c r="BB38" s="37"/>
    </row>
    <row r="39" spans="2:58" ht="18" customHeight="1">
      <c r="C39" s="86"/>
      <c r="D39" s="166"/>
      <c r="E39" s="166"/>
      <c r="F39" s="166"/>
      <c r="G39" s="166"/>
      <c r="H39" s="167"/>
      <c r="I39" s="95"/>
      <c r="J39" s="174"/>
      <c r="K39" s="174"/>
      <c r="L39" s="97" t="s">
        <v>2</v>
      </c>
      <c r="M39" s="97"/>
      <c r="N39" s="97"/>
      <c r="O39" s="27" t="s">
        <v>8</v>
      </c>
      <c r="P39" s="97" t="s">
        <v>3</v>
      </c>
      <c r="Q39" s="97"/>
      <c r="R39" s="97"/>
      <c r="S39" s="27" t="s">
        <v>8</v>
      </c>
      <c r="T39" s="97" t="s">
        <v>4</v>
      </c>
      <c r="U39" s="97"/>
      <c r="V39" s="97"/>
      <c r="W39" s="27" t="s">
        <v>8</v>
      </c>
      <c r="X39" s="97" t="s">
        <v>6</v>
      </c>
      <c r="Y39" s="97"/>
      <c r="Z39" s="97"/>
      <c r="AA39" s="27" t="s">
        <v>9</v>
      </c>
      <c r="AB39" s="97" t="s">
        <v>5</v>
      </c>
      <c r="AC39" s="97"/>
      <c r="AD39" s="97"/>
      <c r="AE39" s="27"/>
      <c r="AF39" s="97" t="s">
        <v>0</v>
      </c>
      <c r="AG39" s="97"/>
      <c r="AH39" s="175"/>
      <c r="AI39" s="115"/>
      <c r="AJ39" s="176"/>
      <c r="AK39" s="177"/>
      <c r="AL39" s="145">
        <f>C39</f>
        <v>0</v>
      </c>
      <c r="AM39" s="146"/>
      <c r="AN39" s="146"/>
      <c r="AO39" s="146"/>
      <c r="AP39" s="146"/>
      <c r="AQ39" s="146"/>
      <c r="AR39" s="146"/>
      <c r="AS39" s="146"/>
      <c r="AT39" s="146"/>
      <c r="AU39" s="146"/>
      <c r="AV39" s="146"/>
      <c r="AW39" s="146"/>
      <c r="AX39" s="146"/>
      <c r="AY39" s="146"/>
      <c r="AZ39" s="146"/>
      <c r="BA39" s="146"/>
      <c r="BB39" s="34"/>
    </row>
    <row r="40" spans="2:58" ht="18" customHeight="1">
      <c r="C40" s="168"/>
      <c r="D40" s="169"/>
      <c r="E40" s="169"/>
      <c r="F40" s="169"/>
      <c r="G40" s="169"/>
      <c r="H40" s="170"/>
      <c r="I40" s="99" t="s">
        <v>7</v>
      </c>
      <c r="J40" s="182"/>
      <c r="K40" s="182"/>
      <c r="L40" s="101"/>
      <c r="M40" s="101"/>
      <c r="N40" s="101"/>
      <c r="O40" s="29" t="s">
        <v>8</v>
      </c>
      <c r="P40" s="101"/>
      <c r="Q40" s="101"/>
      <c r="R40" s="101"/>
      <c r="S40" s="29" t="s">
        <v>8</v>
      </c>
      <c r="T40" s="101"/>
      <c r="U40" s="101"/>
      <c r="V40" s="101"/>
      <c r="W40" s="29" t="s">
        <v>8</v>
      </c>
      <c r="X40" s="102"/>
      <c r="Y40" s="102"/>
      <c r="Z40" s="102"/>
      <c r="AA40" s="29" t="s">
        <v>9</v>
      </c>
      <c r="AB40" s="103">
        <f>L40+P40+T40+X40</f>
        <v>0</v>
      </c>
      <c r="AC40" s="103"/>
      <c r="AD40" s="103"/>
      <c r="AE40" s="29" t="s">
        <v>10</v>
      </c>
      <c r="AF40" s="104">
        <f>CEILING(AB40,0.5)</f>
        <v>0</v>
      </c>
      <c r="AG40" s="104"/>
      <c r="AH40" s="163"/>
      <c r="AI40" s="79">
        <f t="shared" ref="AI40:AI41" si="6">L40+P40+T40</f>
        <v>0</v>
      </c>
      <c r="AJ40" s="164"/>
      <c r="AK40" s="165"/>
      <c r="AL40" s="30"/>
      <c r="AM40" s="147" t="s">
        <v>7</v>
      </c>
      <c r="AN40" s="147"/>
      <c r="AO40" s="147"/>
      <c r="AP40" s="147"/>
      <c r="AQ40" s="148"/>
      <c r="AR40" s="148"/>
      <c r="AS40" s="148"/>
      <c r="AT40" s="25" t="s">
        <v>11</v>
      </c>
      <c r="AU40" s="149">
        <f>AY41</f>
        <v>0</v>
      </c>
      <c r="AV40" s="149"/>
      <c r="AW40" s="149"/>
      <c r="AX40" s="29" t="s">
        <v>9</v>
      </c>
      <c r="AY40" s="150">
        <f>AQ40-AU40</f>
        <v>0</v>
      </c>
      <c r="AZ40" s="150"/>
      <c r="BA40" s="150"/>
      <c r="BB40" s="28"/>
    </row>
    <row r="41" spans="2:58" ht="18" customHeight="1">
      <c r="C41" s="171"/>
      <c r="D41" s="172"/>
      <c r="E41" s="172"/>
      <c r="F41" s="172"/>
      <c r="G41" s="172"/>
      <c r="H41" s="173"/>
      <c r="I41" s="107" t="s">
        <v>1</v>
      </c>
      <c r="J41" s="178"/>
      <c r="K41" s="178"/>
      <c r="L41" s="109"/>
      <c r="M41" s="109"/>
      <c r="N41" s="109"/>
      <c r="O41" s="31" t="s">
        <v>8</v>
      </c>
      <c r="P41" s="109"/>
      <c r="Q41" s="109"/>
      <c r="R41" s="109"/>
      <c r="S41" s="31" t="s">
        <v>8</v>
      </c>
      <c r="T41" s="109"/>
      <c r="U41" s="109"/>
      <c r="V41" s="109"/>
      <c r="W41" s="31" t="s">
        <v>8</v>
      </c>
      <c r="X41" s="110"/>
      <c r="Y41" s="110"/>
      <c r="Z41" s="110"/>
      <c r="AA41" s="31" t="s">
        <v>9</v>
      </c>
      <c r="AB41" s="156">
        <f>L41+P41+T41+X41</f>
        <v>0</v>
      </c>
      <c r="AC41" s="156"/>
      <c r="AD41" s="156"/>
      <c r="AE41" s="31" t="s">
        <v>10</v>
      </c>
      <c r="AF41" s="111">
        <f>CEILING(AB41,0.5)</f>
        <v>0</v>
      </c>
      <c r="AG41" s="111"/>
      <c r="AH41" s="179"/>
      <c r="AI41" s="157">
        <f t="shared" si="6"/>
        <v>0</v>
      </c>
      <c r="AJ41" s="180"/>
      <c r="AK41" s="181"/>
      <c r="AL41" s="32"/>
      <c r="AM41" s="82" t="s">
        <v>1</v>
      </c>
      <c r="AN41" s="82"/>
      <c r="AO41" s="82"/>
      <c r="AP41" s="82"/>
      <c r="AQ41" s="83"/>
      <c r="AR41" s="83"/>
      <c r="AS41" s="83"/>
      <c r="AT41" s="33" t="s">
        <v>12</v>
      </c>
      <c r="AU41" s="84">
        <v>0.5</v>
      </c>
      <c r="AV41" s="84"/>
      <c r="AW41" s="84"/>
      <c r="AX41" s="31" t="s">
        <v>9</v>
      </c>
      <c r="AY41" s="85">
        <f>ROUND(AQ41*AU41,1)</f>
        <v>0</v>
      </c>
      <c r="AZ41" s="85"/>
      <c r="BA41" s="85"/>
      <c r="BB41" s="37"/>
    </row>
    <row r="42" spans="2:58" ht="18" customHeight="1">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row>
    <row r="43" spans="2:58" ht="18" customHeight="1">
      <c r="B43" s="26" t="s">
        <v>43</v>
      </c>
      <c r="C43" s="118"/>
      <c r="D43" s="118"/>
      <c r="E43" s="24" t="s">
        <v>44</v>
      </c>
    </row>
    <row r="44" spans="2:58" ht="18" customHeight="1">
      <c r="C44" s="119" t="s">
        <v>16</v>
      </c>
      <c r="D44" s="116"/>
      <c r="E44" s="116"/>
      <c r="F44" s="116"/>
      <c r="G44" s="116"/>
      <c r="H44" s="117"/>
      <c r="I44" s="119" t="s">
        <v>0</v>
      </c>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7"/>
      <c r="AI44" s="119" t="s">
        <v>17</v>
      </c>
      <c r="AJ44" s="116"/>
      <c r="AK44" s="117"/>
      <c r="AL44" s="119" t="s">
        <v>45</v>
      </c>
      <c r="AM44" s="116"/>
      <c r="AN44" s="116"/>
      <c r="AO44" s="116"/>
      <c r="AP44" s="116"/>
      <c r="AQ44" s="116"/>
      <c r="AR44" s="116"/>
      <c r="AS44" s="116"/>
      <c r="AT44" s="116"/>
      <c r="AU44" s="116"/>
      <c r="AV44" s="116"/>
      <c r="AW44" s="116"/>
      <c r="AX44" s="116"/>
      <c r="AY44" s="116"/>
      <c r="AZ44" s="116"/>
      <c r="BA44" s="116"/>
      <c r="BB44" s="117"/>
    </row>
    <row r="45" spans="2:58" ht="18" customHeight="1" thickBot="1">
      <c r="C45" s="120"/>
      <c r="D45" s="121"/>
      <c r="E45" s="121"/>
      <c r="F45" s="121"/>
      <c r="G45" s="121"/>
      <c r="H45" s="122"/>
      <c r="I45" s="120"/>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2"/>
      <c r="AI45" s="120"/>
      <c r="AJ45" s="121"/>
      <c r="AK45" s="122"/>
      <c r="AL45" s="120"/>
      <c r="AM45" s="121"/>
      <c r="AN45" s="121"/>
      <c r="AO45" s="121"/>
      <c r="AP45" s="121"/>
      <c r="AQ45" s="121"/>
      <c r="AR45" s="121"/>
      <c r="AS45" s="121"/>
      <c r="AT45" s="121"/>
      <c r="AU45" s="121"/>
      <c r="AV45" s="121"/>
      <c r="AW45" s="121"/>
      <c r="AX45" s="121"/>
      <c r="AY45" s="121"/>
      <c r="AZ45" s="121"/>
      <c r="BA45" s="121"/>
      <c r="BB45" s="122"/>
    </row>
    <row r="46" spans="2:58" ht="18" customHeight="1" thickTop="1">
      <c r="C46" s="114"/>
      <c r="D46" s="87"/>
      <c r="E46" s="87"/>
      <c r="F46" s="87"/>
      <c r="G46" s="87"/>
      <c r="H46" s="88"/>
      <c r="I46" s="127"/>
      <c r="J46" s="128"/>
      <c r="K46" s="128"/>
      <c r="L46" s="129" t="s">
        <v>2</v>
      </c>
      <c r="M46" s="129"/>
      <c r="N46" s="129"/>
      <c r="O46" s="27" t="s">
        <v>8</v>
      </c>
      <c r="P46" s="129" t="s">
        <v>3</v>
      </c>
      <c r="Q46" s="129"/>
      <c r="R46" s="129"/>
      <c r="S46" s="27" t="s">
        <v>8</v>
      </c>
      <c r="T46" s="129" t="s">
        <v>4</v>
      </c>
      <c r="U46" s="129"/>
      <c r="V46" s="129"/>
      <c r="W46" s="27" t="s">
        <v>8</v>
      </c>
      <c r="X46" s="129" t="s">
        <v>6</v>
      </c>
      <c r="Y46" s="129"/>
      <c r="Z46" s="129"/>
      <c r="AA46" s="27" t="s">
        <v>9</v>
      </c>
      <c r="AB46" s="129" t="s">
        <v>5</v>
      </c>
      <c r="AC46" s="129"/>
      <c r="AD46" s="129"/>
      <c r="AE46" s="27"/>
      <c r="AF46" s="129" t="s">
        <v>0</v>
      </c>
      <c r="AG46" s="128"/>
      <c r="AH46" s="130"/>
      <c r="AI46" s="162"/>
      <c r="AJ46" s="80"/>
      <c r="AK46" s="81"/>
      <c r="AL46" s="151">
        <f>C46</f>
        <v>0</v>
      </c>
      <c r="AM46" s="152"/>
      <c r="AN46" s="152"/>
      <c r="AO46" s="152"/>
      <c r="AP46" s="152"/>
      <c r="AQ46" s="152"/>
      <c r="AR46" s="152"/>
      <c r="AS46" s="152"/>
      <c r="AT46" s="152"/>
      <c r="AU46" s="152"/>
      <c r="AV46" s="152"/>
      <c r="AW46" s="152"/>
      <c r="AX46" s="152"/>
      <c r="AY46" s="152"/>
      <c r="AZ46" s="152"/>
      <c r="BA46" s="152"/>
      <c r="BB46" s="28"/>
    </row>
    <row r="47" spans="2:58" ht="18" customHeight="1">
      <c r="C47" s="89"/>
      <c r="D47" s="90"/>
      <c r="E47" s="90"/>
      <c r="F47" s="90"/>
      <c r="G47" s="90"/>
      <c r="H47" s="91"/>
      <c r="I47" s="99" t="s">
        <v>7</v>
      </c>
      <c r="J47" s="100"/>
      <c r="K47" s="100"/>
      <c r="L47" s="101"/>
      <c r="M47" s="101"/>
      <c r="N47" s="101"/>
      <c r="O47" s="29" t="s">
        <v>8</v>
      </c>
      <c r="P47" s="101"/>
      <c r="Q47" s="101"/>
      <c r="R47" s="101"/>
      <c r="S47" s="29" t="s">
        <v>8</v>
      </c>
      <c r="T47" s="101"/>
      <c r="U47" s="101"/>
      <c r="V47" s="101"/>
      <c r="W47" s="29" t="s">
        <v>8</v>
      </c>
      <c r="X47" s="102"/>
      <c r="Y47" s="102"/>
      <c r="Z47" s="102"/>
      <c r="AA47" s="29" t="s">
        <v>9</v>
      </c>
      <c r="AB47" s="103">
        <f>L47+P47+T47+X47</f>
        <v>0</v>
      </c>
      <c r="AC47" s="103"/>
      <c r="AD47" s="103"/>
      <c r="AE47" s="29" t="s">
        <v>10</v>
      </c>
      <c r="AF47" s="104">
        <f>CEILING(AB47,0.5)</f>
        <v>0</v>
      </c>
      <c r="AG47" s="105"/>
      <c r="AH47" s="106"/>
      <c r="AI47" s="79">
        <f>L47+P47+T47</f>
        <v>0</v>
      </c>
      <c r="AJ47" s="80"/>
      <c r="AK47" s="81"/>
      <c r="AL47" s="30"/>
      <c r="AM47" s="147" t="s">
        <v>7</v>
      </c>
      <c r="AN47" s="147"/>
      <c r="AO47" s="147"/>
      <c r="AP47" s="147"/>
      <c r="AQ47" s="148"/>
      <c r="AR47" s="148"/>
      <c r="AS47" s="148"/>
      <c r="AT47" s="25" t="s">
        <v>11</v>
      </c>
      <c r="AU47" s="149">
        <f>AY48</f>
        <v>0</v>
      </c>
      <c r="AV47" s="149"/>
      <c r="AW47" s="149"/>
      <c r="AX47" s="29" t="s">
        <v>9</v>
      </c>
      <c r="AY47" s="150">
        <f>AQ47-AU47</f>
        <v>0</v>
      </c>
      <c r="AZ47" s="150"/>
      <c r="BA47" s="150"/>
      <c r="BB47" s="28"/>
      <c r="BF47" s="35"/>
    </row>
    <row r="48" spans="2:58" ht="18" customHeight="1">
      <c r="C48" s="92"/>
      <c r="D48" s="93"/>
      <c r="E48" s="93"/>
      <c r="F48" s="93"/>
      <c r="G48" s="93"/>
      <c r="H48" s="94"/>
      <c r="I48" s="107" t="s">
        <v>1</v>
      </c>
      <c r="J48" s="108"/>
      <c r="K48" s="108"/>
      <c r="L48" s="109"/>
      <c r="M48" s="109"/>
      <c r="N48" s="109"/>
      <c r="O48" s="31" t="s">
        <v>8</v>
      </c>
      <c r="P48" s="109"/>
      <c r="Q48" s="109"/>
      <c r="R48" s="109"/>
      <c r="S48" s="31" t="s">
        <v>8</v>
      </c>
      <c r="T48" s="109"/>
      <c r="U48" s="109"/>
      <c r="V48" s="109"/>
      <c r="W48" s="31" t="s">
        <v>8</v>
      </c>
      <c r="X48" s="110"/>
      <c r="Y48" s="110"/>
      <c r="Z48" s="110"/>
      <c r="AA48" s="31" t="s">
        <v>9</v>
      </c>
      <c r="AB48" s="103">
        <f>L48+P48+T48+X48</f>
        <v>0</v>
      </c>
      <c r="AC48" s="103"/>
      <c r="AD48" s="103"/>
      <c r="AE48" s="31" t="s">
        <v>10</v>
      </c>
      <c r="AF48" s="111">
        <f>CEILING(AB48,0.5)</f>
        <v>0</v>
      </c>
      <c r="AG48" s="112"/>
      <c r="AH48" s="113"/>
      <c r="AI48" s="157">
        <f t="shared" ref="AI48" si="7">L48+P48+T48</f>
        <v>0</v>
      </c>
      <c r="AJ48" s="158"/>
      <c r="AK48" s="159"/>
      <c r="AL48" s="36"/>
      <c r="AM48" s="147" t="s">
        <v>1</v>
      </c>
      <c r="AN48" s="147"/>
      <c r="AO48" s="147"/>
      <c r="AP48" s="147"/>
      <c r="AQ48" s="160"/>
      <c r="AR48" s="160"/>
      <c r="AS48" s="160"/>
      <c r="AT48" s="25" t="s">
        <v>12</v>
      </c>
      <c r="AU48" s="149">
        <v>0.5</v>
      </c>
      <c r="AV48" s="149"/>
      <c r="AW48" s="149"/>
      <c r="AX48" s="29" t="s">
        <v>9</v>
      </c>
      <c r="AY48" s="161">
        <f>ROUND(AQ48*AU48,1)</f>
        <v>0</v>
      </c>
      <c r="AZ48" s="161"/>
      <c r="BA48" s="161"/>
      <c r="BB48" s="28"/>
      <c r="BF48" s="35"/>
    </row>
    <row r="49" spans="3:54" ht="18" customHeight="1">
      <c r="C49" s="114"/>
      <c r="D49" s="87"/>
      <c r="E49" s="87"/>
      <c r="F49" s="87"/>
      <c r="G49" s="87"/>
      <c r="H49" s="88"/>
      <c r="I49" s="95"/>
      <c r="J49" s="96"/>
      <c r="K49" s="96"/>
      <c r="L49" s="97" t="s">
        <v>2</v>
      </c>
      <c r="M49" s="97"/>
      <c r="N49" s="97"/>
      <c r="O49" s="27" t="s">
        <v>8</v>
      </c>
      <c r="P49" s="97" t="s">
        <v>3</v>
      </c>
      <c r="Q49" s="97"/>
      <c r="R49" s="97"/>
      <c r="S49" s="27" t="s">
        <v>8</v>
      </c>
      <c r="T49" s="97" t="s">
        <v>4</v>
      </c>
      <c r="U49" s="97"/>
      <c r="V49" s="97"/>
      <c r="W49" s="27" t="s">
        <v>8</v>
      </c>
      <c r="X49" s="97" t="s">
        <v>6</v>
      </c>
      <c r="Y49" s="97"/>
      <c r="Z49" s="97"/>
      <c r="AA49" s="27" t="s">
        <v>9</v>
      </c>
      <c r="AB49" s="97" t="s">
        <v>5</v>
      </c>
      <c r="AC49" s="97"/>
      <c r="AD49" s="97"/>
      <c r="AE49" s="27"/>
      <c r="AF49" s="97" t="s">
        <v>0</v>
      </c>
      <c r="AG49" s="96"/>
      <c r="AH49" s="98"/>
      <c r="AI49" s="115"/>
      <c r="AJ49" s="116"/>
      <c r="AK49" s="117"/>
      <c r="AL49" s="145">
        <f>C49</f>
        <v>0</v>
      </c>
      <c r="AM49" s="146"/>
      <c r="AN49" s="146"/>
      <c r="AO49" s="146"/>
      <c r="AP49" s="146"/>
      <c r="AQ49" s="146"/>
      <c r="AR49" s="146"/>
      <c r="AS49" s="146"/>
      <c r="AT49" s="146"/>
      <c r="AU49" s="146"/>
      <c r="AV49" s="146"/>
      <c r="AW49" s="146"/>
      <c r="AX49" s="146"/>
      <c r="AY49" s="146"/>
      <c r="AZ49" s="146"/>
      <c r="BA49" s="146"/>
      <c r="BB49" s="34"/>
    </row>
    <row r="50" spans="3:54" ht="18" customHeight="1">
      <c r="C50" s="89"/>
      <c r="D50" s="90"/>
      <c r="E50" s="90"/>
      <c r="F50" s="90"/>
      <c r="G50" s="90"/>
      <c r="H50" s="91"/>
      <c r="I50" s="99" t="s">
        <v>7</v>
      </c>
      <c r="J50" s="100"/>
      <c r="K50" s="100"/>
      <c r="L50" s="101"/>
      <c r="M50" s="101"/>
      <c r="N50" s="101"/>
      <c r="O50" s="29" t="s">
        <v>8</v>
      </c>
      <c r="P50" s="101"/>
      <c r="Q50" s="101"/>
      <c r="R50" s="101"/>
      <c r="S50" s="29" t="s">
        <v>8</v>
      </c>
      <c r="T50" s="101"/>
      <c r="U50" s="101"/>
      <c r="V50" s="101"/>
      <c r="W50" s="29" t="s">
        <v>8</v>
      </c>
      <c r="X50" s="102"/>
      <c r="Y50" s="102"/>
      <c r="Z50" s="102"/>
      <c r="AA50" s="29" t="s">
        <v>9</v>
      </c>
      <c r="AB50" s="103">
        <f>L50+P50+T50+X50</f>
        <v>0</v>
      </c>
      <c r="AC50" s="103"/>
      <c r="AD50" s="103"/>
      <c r="AE50" s="29" t="s">
        <v>10</v>
      </c>
      <c r="AF50" s="104">
        <f>CEILING(AB50,0.5)</f>
        <v>0</v>
      </c>
      <c r="AG50" s="105"/>
      <c r="AH50" s="106"/>
      <c r="AI50" s="79">
        <f t="shared" ref="AI50:AI51" si="8">L50+P50+T50</f>
        <v>0</v>
      </c>
      <c r="AJ50" s="80"/>
      <c r="AK50" s="81"/>
      <c r="AL50" s="30"/>
      <c r="AM50" s="147" t="s">
        <v>7</v>
      </c>
      <c r="AN50" s="147"/>
      <c r="AO50" s="147"/>
      <c r="AP50" s="147"/>
      <c r="AQ50" s="148"/>
      <c r="AR50" s="148"/>
      <c r="AS50" s="148"/>
      <c r="AT50" s="25" t="s">
        <v>11</v>
      </c>
      <c r="AU50" s="149">
        <f>AY51</f>
        <v>0</v>
      </c>
      <c r="AV50" s="149"/>
      <c r="AW50" s="149"/>
      <c r="AX50" s="29" t="s">
        <v>9</v>
      </c>
      <c r="AY50" s="150">
        <f>AQ50-AU50</f>
        <v>0</v>
      </c>
      <c r="AZ50" s="150"/>
      <c r="BA50" s="150"/>
      <c r="BB50" s="28"/>
    </row>
    <row r="51" spans="3:54" ht="18" customHeight="1">
      <c r="C51" s="92"/>
      <c r="D51" s="93"/>
      <c r="E51" s="93"/>
      <c r="F51" s="93"/>
      <c r="G51" s="93"/>
      <c r="H51" s="94"/>
      <c r="I51" s="107" t="s">
        <v>1</v>
      </c>
      <c r="J51" s="108"/>
      <c r="K51" s="108"/>
      <c r="L51" s="109"/>
      <c r="M51" s="109"/>
      <c r="N51" s="109"/>
      <c r="O51" s="31" t="s">
        <v>8</v>
      </c>
      <c r="P51" s="109"/>
      <c r="Q51" s="109"/>
      <c r="R51" s="109"/>
      <c r="S51" s="31" t="s">
        <v>8</v>
      </c>
      <c r="T51" s="109"/>
      <c r="U51" s="109"/>
      <c r="V51" s="109"/>
      <c r="W51" s="31" t="s">
        <v>8</v>
      </c>
      <c r="X51" s="110"/>
      <c r="Y51" s="110"/>
      <c r="Z51" s="110"/>
      <c r="AA51" s="31" t="s">
        <v>9</v>
      </c>
      <c r="AB51" s="103">
        <f>L51+P51+T51+X51</f>
        <v>0</v>
      </c>
      <c r="AC51" s="103"/>
      <c r="AD51" s="103"/>
      <c r="AE51" s="31" t="s">
        <v>10</v>
      </c>
      <c r="AF51" s="111">
        <f>CEILING(AB51,0.5)</f>
        <v>0</v>
      </c>
      <c r="AG51" s="112"/>
      <c r="AH51" s="113"/>
      <c r="AI51" s="157">
        <f t="shared" si="8"/>
        <v>0</v>
      </c>
      <c r="AJ51" s="158"/>
      <c r="AK51" s="159"/>
      <c r="AL51" s="32"/>
      <c r="AM51" s="82" t="s">
        <v>1</v>
      </c>
      <c r="AN51" s="82"/>
      <c r="AO51" s="82"/>
      <c r="AP51" s="82"/>
      <c r="AQ51" s="83"/>
      <c r="AR51" s="83"/>
      <c r="AS51" s="83"/>
      <c r="AT51" s="33" t="s">
        <v>12</v>
      </c>
      <c r="AU51" s="84">
        <v>0.5</v>
      </c>
      <c r="AV51" s="84"/>
      <c r="AW51" s="84"/>
      <c r="AX51" s="31" t="s">
        <v>9</v>
      </c>
      <c r="AY51" s="85">
        <f>ROUND(AQ51*AU51,1)</f>
        <v>0</v>
      </c>
      <c r="AZ51" s="85"/>
      <c r="BA51" s="85"/>
      <c r="BB51" s="37"/>
    </row>
  </sheetData>
  <mergeCells count="366">
    <mergeCell ref="AM11:AP11"/>
    <mergeCell ref="AQ11:AS11"/>
    <mergeCell ref="AU11:AW11"/>
    <mergeCell ref="AY11:BA11"/>
    <mergeCell ref="AL9:BA9"/>
    <mergeCell ref="I10:K10"/>
    <mergeCell ref="L10:N10"/>
    <mergeCell ref="P10:R10"/>
    <mergeCell ref="T10:V10"/>
    <mergeCell ref="X10:Z10"/>
    <mergeCell ref="AB10:AD10"/>
    <mergeCell ref="AF10:AH10"/>
    <mergeCell ref="AI10:AK10"/>
    <mergeCell ref="AM10:AP10"/>
    <mergeCell ref="AQ10:AS10"/>
    <mergeCell ref="AU10:AW10"/>
    <mergeCell ref="AY10:BA10"/>
    <mergeCell ref="C9:H11"/>
    <mergeCell ref="I9:K9"/>
    <mergeCell ref="L9:N9"/>
    <mergeCell ref="P9:R9"/>
    <mergeCell ref="T9:V9"/>
    <mergeCell ref="X9:Z9"/>
    <mergeCell ref="AB9:AD9"/>
    <mergeCell ref="AF9:AH9"/>
    <mergeCell ref="AI9:AK9"/>
    <mergeCell ref="I11:K11"/>
    <mergeCell ref="L11:N11"/>
    <mergeCell ref="P11:R11"/>
    <mergeCell ref="T11:V11"/>
    <mergeCell ref="X11:Z11"/>
    <mergeCell ref="AB11:AD11"/>
    <mergeCell ref="AF11:AH11"/>
    <mergeCell ref="AI11:AK11"/>
    <mergeCell ref="AQ7:AS7"/>
    <mergeCell ref="AU7:AW7"/>
    <mergeCell ref="AY7:BA7"/>
    <mergeCell ref="I8:K8"/>
    <mergeCell ref="L8:N8"/>
    <mergeCell ref="P8:R8"/>
    <mergeCell ref="T8:V8"/>
    <mergeCell ref="X8:Z8"/>
    <mergeCell ref="AB8:AD8"/>
    <mergeCell ref="AF8:AH8"/>
    <mergeCell ref="AI8:AK8"/>
    <mergeCell ref="AM8:AP8"/>
    <mergeCell ref="AQ8:AS8"/>
    <mergeCell ref="AU8:AW8"/>
    <mergeCell ref="AY8:BA8"/>
    <mergeCell ref="C3:D3"/>
    <mergeCell ref="C4:H5"/>
    <mergeCell ref="I4:AH5"/>
    <mergeCell ref="AI4:AK5"/>
    <mergeCell ref="AL4:BB5"/>
    <mergeCell ref="C6:H8"/>
    <mergeCell ref="I6:K6"/>
    <mergeCell ref="L6:N6"/>
    <mergeCell ref="P6:R6"/>
    <mergeCell ref="T6:V6"/>
    <mergeCell ref="X6:Z6"/>
    <mergeCell ref="AB6:AD6"/>
    <mergeCell ref="AF6:AH6"/>
    <mergeCell ref="AI6:AK6"/>
    <mergeCell ref="AL6:BA6"/>
    <mergeCell ref="I7:K7"/>
    <mergeCell ref="L7:N7"/>
    <mergeCell ref="P7:R7"/>
    <mergeCell ref="T7:V7"/>
    <mergeCell ref="X7:Z7"/>
    <mergeCell ref="AB7:AD7"/>
    <mergeCell ref="AF7:AH7"/>
    <mergeCell ref="AI7:AK7"/>
    <mergeCell ref="AM7:AP7"/>
    <mergeCell ref="AM41:AP41"/>
    <mergeCell ref="AQ41:AS41"/>
    <mergeCell ref="AU41:AW41"/>
    <mergeCell ref="AY41:BA41"/>
    <mergeCell ref="C39:H41"/>
    <mergeCell ref="I39:K39"/>
    <mergeCell ref="L39:N39"/>
    <mergeCell ref="P39:R39"/>
    <mergeCell ref="T39:V39"/>
    <mergeCell ref="X39:Z39"/>
    <mergeCell ref="AB39:AD39"/>
    <mergeCell ref="AF39:AH39"/>
    <mergeCell ref="AI39:AK39"/>
    <mergeCell ref="I41:K41"/>
    <mergeCell ref="L41:N41"/>
    <mergeCell ref="P41:R41"/>
    <mergeCell ref="T41:V41"/>
    <mergeCell ref="X41:Z41"/>
    <mergeCell ref="AB41:AD41"/>
    <mergeCell ref="AF41:AH41"/>
    <mergeCell ref="AI41:AK41"/>
    <mergeCell ref="AL39:BA39"/>
    <mergeCell ref="I40:K40"/>
    <mergeCell ref="L40:N40"/>
    <mergeCell ref="P40:R40"/>
    <mergeCell ref="T40:V40"/>
    <mergeCell ref="X40:Z40"/>
    <mergeCell ref="AB40:AD40"/>
    <mergeCell ref="AF40:AH40"/>
    <mergeCell ref="AI40:AK40"/>
    <mergeCell ref="AM40:AP40"/>
    <mergeCell ref="AQ40:AS40"/>
    <mergeCell ref="AU40:AW40"/>
    <mergeCell ref="AY40:BA40"/>
    <mergeCell ref="C34:H35"/>
    <mergeCell ref="I34:AH35"/>
    <mergeCell ref="AI34:AK35"/>
    <mergeCell ref="AL34:BB35"/>
    <mergeCell ref="AM21:AP21"/>
    <mergeCell ref="AQ21:AS21"/>
    <mergeCell ref="AU21:AW21"/>
    <mergeCell ref="AY21:BA21"/>
    <mergeCell ref="I21:K21"/>
    <mergeCell ref="L21:N21"/>
    <mergeCell ref="P21:R21"/>
    <mergeCell ref="T21:V21"/>
    <mergeCell ref="X21:Z21"/>
    <mergeCell ref="AB21:AD21"/>
    <mergeCell ref="AF21:AH21"/>
    <mergeCell ref="AI21:AK21"/>
    <mergeCell ref="X29:Z29"/>
    <mergeCell ref="C19:H21"/>
    <mergeCell ref="P30:R30"/>
    <mergeCell ref="T30:V30"/>
    <mergeCell ref="X30:Z30"/>
    <mergeCell ref="AB30:AD30"/>
    <mergeCell ref="AF30:AH30"/>
    <mergeCell ref="AL19:BA19"/>
    <mergeCell ref="I20:K20"/>
    <mergeCell ref="L20:N20"/>
    <mergeCell ref="P20:R20"/>
    <mergeCell ref="T20:V20"/>
    <mergeCell ref="X20:Z20"/>
    <mergeCell ref="AB20:AD20"/>
    <mergeCell ref="AF20:AH20"/>
    <mergeCell ref="AI20:AK20"/>
    <mergeCell ref="AM20:AP20"/>
    <mergeCell ref="AQ20:AS20"/>
    <mergeCell ref="AU20:AW20"/>
    <mergeCell ref="AY20:BA20"/>
    <mergeCell ref="AI19:AK19"/>
    <mergeCell ref="I19:K19"/>
    <mergeCell ref="L19:N19"/>
    <mergeCell ref="P19:R19"/>
    <mergeCell ref="T19:V19"/>
    <mergeCell ref="X19:Z19"/>
    <mergeCell ref="AB19:AD19"/>
    <mergeCell ref="AF19:AH19"/>
    <mergeCell ref="C44:H45"/>
    <mergeCell ref="I44:AH45"/>
    <mergeCell ref="AI44:AK45"/>
    <mergeCell ref="AL44:BB45"/>
    <mergeCell ref="C43:D43"/>
    <mergeCell ref="C23:D23"/>
    <mergeCell ref="AL24:BB25"/>
    <mergeCell ref="AI24:AK25"/>
    <mergeCell ref="AI37:AK37"/>
    <mergeCell ref="AI36:AK36"/>
    <mergeCell ref="AI38:AK38"/>
    <mergeCell ref="AI29:AK29"/>
    <mergeCell ref="AI30:AK30"/>
    <mergeCell ref="AI31:AK31"/>
    <mergeCell ref="AM31:AP31"/>
    <mergeCell ref="AQ31:AS31"/>
    <mergeCell ref="AU31:AW31"/>
    <mergeCell ref="AY31:BA31"/>
    <mergeCell ref="C29:H31"/>
    <mergeCell ref="I29:K29"/>
    <mergeCell ref="L29:N29"/>
    <mergeCell ref="P29:R29"/>
    <mergeCell ref="T29:V29"/>
    <mergeCell ref="C33:D33"/>
    <mergeCell ref="AU51:AW51"/>
    <mergeCell ref="AY51:BA51"/>
    <mergeCell ref="T46:V46"/>
    <mergeCell ref="AF48:AH48"/>
    <mergeCell ref="AL46:BA46"/>
    <mergeCell ref="AM47:AP47"/>
    <mergeCell ref="AQ47:AS47"/>
    <mergeCell ref="AU47:AW47"/>
    <mergeCell ref="AY47:BA47"/>
    <mergeCell ref="AM48:AP48"/>
    <mergeCell ref="AQ48:AS48"/>
    <mergeCell ref="AU48:AW48"/>
    <mergeCell ref="AY48:BA48"/>
    <mergeCell ref="AI46:AK46"/>
    <mergeCell ref="AI47:AK47"/>
    <mergeCell ref="AI48:AK48"/>
    <mergeCell ref="AL49:BA49"/>
    <mergeCell ref="AM50:AP50"/>
    <mergeCell ref="AQ50:AS50"/>
    <mergeCell ref="AU50:AW50"/>
    <mergeCell ref="AY50:BA50"/>
    <mergeCell ref="AI51:AK51"/>
    <mergeCell ref="AM51:AP51"/>
    <mergeCell ref="AQ51:AS51"/>
    <mergeCell ref="L47:N47"/>
    <mergeCell ref="P47:R47"/>
    <mergeCell ref="T47:V47"/>
    <mergeCell ref="C46:H48"/>
    <mergeCell ref="I46:K46"/>
    <mergeCell ref="X46:Z46"/>
    <mergeCell ref="AB46:AD46"/>
    <mergeCell ref="AF46:AH46"/>
    <mergeCell ref="I47:K47"/>
    <mergeCell ref="X47:Z47"/>
    <mergeCell ref="AB47:AD47"/>
    <mergeCell ref="AF47:AH47"/>
    <mergeCell ref="I48:K48"/>
    <mergeCell ref="L48:N48"/>
    <mergeCell ref="P48:R48"/>
    <mergeCell ref="T48:V48"/>
    <mergeCell ref="X48:Z48"/>
    <mergeCell ref="AB48:AD48"/>
    <mergeCell ref="L46:N46"/>
    <mergeCell ref="P46:R46"/>
    <mergeCell ref="X31:Z31"/>
    <mergeCell ref="AB31:AD31"/>
    <mergeCell ref="AF31:AH31"/>
    <mergeCell ref="C24:H25"/>
    <mergeCell ref="I24:AH25"/>
    <mergeCell ref="C36:H38"/>
    <mergeCell ref="I36:K36"/>
    <mergeCell ref="L36:N36"/>
    <mergeCell ref="P36:R36"/>
    <mergeCell ref="T36:V36"/>
    <mergeCell ref="X36:Z36"/>
    <mergeCell ref="AB36:AD36"/>
    <mergeCell ref="AF36:AH36"/>
    <mergeCell ref="I37:K37"/>
    <mergeCell ref="L37:N37"/>
    <mergeCell ref="P37:R37"/>
    <mergeCell ref="T37:V37"/>
    <mergeCell ref="X37:Z37"/>
    <mergeCell ref="AB37:AD37"/>
    <mergeCell ref="AF37:AH37"/>
    <mergeCell ref="AB29:AD29"/>
    <mergeCell ref="AF29:AH29"/>
    <mergeCell ref="I30:K30"/>
    <mergeCell ref="L30:N30"/>
    <mergeCell ref="I38:K38"/>
    <mergeCell ref="L38:N38"/>
    <mergeCell ref="P38:R38"/>
    <mergeCell ref="T38:V38"/>
    <mergeCell ref="X38:Z38"/>
    <mergeCell ref="AB38:AD38"/>
    <mergeCell ref="AF38:AH38"/>
    <mergeCell ref="N1:Q1"/>
    <mergeCell ref="AL29:BA29"/>
    <mergeCell ref="AQ17:AS17"/>
    <mergeCell ref="AU17:AW17"/>
    <mergeCell ref="AY17:BA17"/>
    <mergeCell ref="AQ18:AS18"/>
    <mergeCell ref="AU18:AW18"/>
    <mergeCell ref="I18:K18"/>
    <mergeCell ref="L18:N18"/>
    <mergeCell ref="P18:R18"/>
    <mergeCell ref="T18:V18"/>
    <mergeCell ref="X18:Z18"/>
    <mergeCell ref="AB18:AD18"/>
    <mergeCell ref="AF18:AH18"/>
    <mergeCell ref="AI18:AK18"/>
    <mergeCell ref="AM18:AP18"/>
    <mergeCell ref="AY18:BA18"/>
    <mergeCell ref="AM38:AP38"/>
    <mergeCell ref="AQ38:AS38"/>
    <mergeCell ref="AU38:AW38"/>
    <mergeCell ref="AY38:BA38"/>
    <mergeCell ref="AL26:BA26"/>
    <mergeCell ref="AM27:AP27"/>
    <mergeCell ref="AQ27:AS27"/>
    <mergeCell ref="AU27:AW27"/>
    <mergeCell ref="AY27:BA27"/>
    <mergeCell ref="AM30:AP30"/>
    <mergeCell ref="AQ30:AS30"/>
    <mergeCell ref="AU30:AW30"/>
    <mergeCell ref="AY30:BA30"/>
    <mergeCell ref="AL36:BA36"/>
    <mergeCell ref="AM37:AP37"/>
    <mergeCell ref="AQ37:AS37"/>
    <mergeCell ref="AU37:AW37"/>
    <mergeCell ref="AY37:BA37"/>
    <mergeCell ref="C13:D13"/>
    <mergeCell ref="C14:H15"/>
    <mergeCell ref="I14:AH15"/>
    <mergeCell ref="AI14:AK15"/>
    <mergeCell ref="AL14:BB15"/>
    <mergeCell ref="C16:H18"/>
    <mergeCell ref="I16:K16"/>
    <mergeCell ref="L16:N16"/>
    <mergeCell ref="P16:R16"/>
    <mergeCell ref="T16:V16"/>
    <mergeCell ref="X16:Z16"/>
    <mergeCell ref="AB16:AD16"/>
    <mergeCell ref="AF16:AH16"/>
    <mergeCell ref="AI16:AK16"/>
    <mergeCell ref="AL16:BA16"/>
    <mergeCell ref="I17:K17"/>
    <mergeCell ref="L17:N17"/>
    <mergeCell ref="P17:R17"/>
    <mergeCell ref="T17:V17"/>
    <mergeCell ref="X17:Z17"/>
    <mergeCell ref="AB17:AD17"/>
    <mergeCell ref="AF17:AH17"/>
    <mergeCell ref="AI17:AK17"/>
    <mergeCell ref="AM17:AP17"/>
    <mergeCell ref="AI49:AK49"/>
    <mergeCell ref="I50:K50"/>
    <mergeCell ref="L50:N50"/>
    <mergeCell ref="P50:R50"/>
    <mergeCell ref="T50:V50"/>
    <mergeCell ref="X50:Z50"/>
    <mergeCell ref="AB50:AD50"/>
    <mergeCell ref="AF50:AH50"/>
    <mergeCell ref="AI50:AK50"/>
    <mergeCell ref="P28:R28"/>
    <mergeCell ref="T28:V28"/>
    <mergeCell ref="X28:Z28"/>
    <mergeCell ref="AB28:AD28"/>
    <mergeCell ref="AF28:AH28"/>
    <mergeCell ref="C49:H51"/>
    <mergeCell ref="I49:K49"/>
    <mergeCell ref="L49:N49"/>
    <mergeCell ref="P49:R49"/>
    <mergeCell ref="T49:V49"/>
    <mergeCell ref="X49:Z49"/>
    <mergeCell ref="AB49:AD49"/>
    <mergeCell ref="AF49:AH49"/>
    <mergeCell ref="I51:K51"/>
    <mergeCell ref="L51:N51"/>
    <mergeCell ref="P51:R51"/>
    <mergeCell ref="T51:V51"/>
    <mergeCell ref="X51:Z51"/>
    <mergeCell ref="AB51:AD51"/>
    <mergeCell ref="AF51:AH51"/>
    <mergeCell ref="I31:K31"/>
    <mergeCell ref="L31:N31"/>
    <mergeCell ref="P31:R31"/>
    <mergeCell ref="T31:V31"/>
    <mergeCell ref="AI28:AK28"/>
    <mergeCell ref="AM28:AP28"/>
    <mergeCell ref="AQ28:AS28"/>
    <mergeCell ref="AU28:AW28"/>
    <mergeCell ref="AY28:BA28"/>
    <mergeCell ref="C26:H28"/>
    <mergeCell ref="I26:K26"/>
    <mergeCell ref="L26:N26"/>
    <mergeCell ref="P26:R26"/>
    <mergeCell ref="T26:V26"/>
    <mergeCell ref="X26:Z26"/>
    <mergeCell ref="AB26:AD26"/>
    <mergeCell ref="AF26:AH26"/>
    <mergeCell ref="AI26:AK26"/>
    <mergeCell ref="I27:K27"/>
    <mergeCell ref="L27:N27"/>
    <mergeCell ref="P27:R27"/>
    <mergeCell ref="T27:V27"/>
    <mergeCell ref="X27:Z27"/>
    <mergeCell ref="AB27:AD27"/>
    <mergeCell ref="AF27:AH27"/>
    <mergeCell ref="AI27:AK27"/>
    <mergeCell ref="I28:K28"/>
    <mergeCell ref="L28:N28"/>
  </mergeCells>
  <phoneticPr fontId="1"/>
  <pageMargins left="0.59055118110236227" right="0.19685039370078741" top="0.59055118110236227" bottom="0" header="0.31496062992125984" footer="0.19685039370078741"/>
  <pageSetup paperSize="9" scale="62" orientation="landscape"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2:V56"/>
  <sheetViews>
    <sheetView tabSelected="1" view="pageBreakPreview" topLeftCell="A25" zoomScaleNormal="100" zoomScaleSheetLayoutView="100" workbookViewId="0">
      <selection activeCell="R49" sqref="R49"/>
    </sheetView>
  </sheetViews>
  <sheetFormatPr defaultRowHeight="18" customHeight="1"/>
  <cols>
    <col min="1" max="1" width="2.453125" style="1" customWidth="1"/>
    <col min="2" max="2" width="9.6328125" style="1" customWidth="1"/>
    <col min="3" max="5" width="4.36328125" style="1" customWidth="1"/>
    <col min="6" max="6" width="11" style="2" customWidth="1"/>
    <col min="7" max="14" width="12.08984375" style="1" customWidth="1"/>
    <col min="15" max="256" width="9" style="1"/>
    <col min="257" max="257" width="2.453125" style="1" customWidth="1"/>
    <col min="258" max="258" width="9.6328125" style="1" customWidth="1"/>
    <col min="259" max="261" width="4.36328125" style="1" customWidth="1"/>
    <col min="262" max="262" width="11" style="1" customWidth="1"/>
    <col min="263" max="270" width="12.08984375" style="1" customWidth="1"/>
    <col min="271" max="512" width="9" style="1"/>
    <col min="513" max="513" width="2.453125" style="1" customWidth="1"/>
    <col min="514" max="514" width="9.6328125" style="1" customWidth="1"/>
    <col min="515" max="517" width="4.36328125" style="1" customWidth="1"/>
    <col min="518" max="518" width="11" style="1" customWidth="1"/>
    <col min="519" max="526" width="12.08984375" style="1" customWidth="1"/>
    <col min="527" max="768" width="9" style="1"/>
    <col min="769" max="769" width="2.453125" style="1" customWidth="1"/>
    <col min="770" max="770" width="9.6328125" style="1" customWidth="1"/>
    <col min="771" max="773" width="4.36328125" style="1" customWidth="1"/>
    <col min="774" max="774" width="11" style="1" customWidth="1"/>
    <col min="775" max="782" width="12.08984375" style="1" customWidth="1"/>
    <col min="783" max="1024" width="9" style="1"/>
    <col min="1025" max="1025" width="2.453125" style="1" customWidth="1"/>
    <col min="1026" max="1026" width="9.6328125" style="1" customWidth="1"/>
    <col min="1027" max="1029" width="4.36328125" style="1" customWidth="1"/>
    <col min="1030" max="1030" width="11" style="1" customWidth="1"/>
    <col min="1031" max="1038" width="12.08984375" style="1" customWidth="1"/>
    <col min="1039" max="1280" width="9" style="1"/>
    <col min="1281" max="1281" width="2.453125" style="1" customWidth="1"/>
    <col min="1282" max="1282" width="9.6328125" style="1" customWidth="1"/>
    <col min="1283" max="1285" width="4.36328125" style="1" customWidth="1"/>
    <col min="1286" max="1286" width="11" style="1" customWidth="1"/>
    <col min="1287" max="1294" width="12.08984375" style="1" customWidth="1"/>
    <col min="1295" max="1536" width="9" style="1"/>
    <col min="1537" max="1537" width="2.453125" style="1" customWidth="1"/>
    <col min="1538" max="1538" width="9.6328125" style="1" customWidth="1"/>
    <col min="1539" max="1541" width="4.36328125" style="1" customWidth="1"/>
    <col min="1542" max="1542" width="11" style="1" customWidth="1"/>
    <col min="1543" max="1550" width="12.08984375" style="1" customWidth="1"/>
    <col min="1551" max="1792" width="9" style="1"/>
    <col min="1793" max="1793" width="2.453125" style="1" customWidth="1"/>
    <col min="1794" max="1794" width="9.6328125" style="1" customWidth="1"/>
    <col min="1795" max="1797" width="4.36328125" style="1" customWidth="1"/>
    <col min="1798" max="1798" width="11" style="1" customWidth="1"/>
    <col min="1799" max="1806" width="12.08984375" style="1" customWidth="1"/>
    <col min="1807" max="2048" width="9" style="1"/>
    <col min="2049" max="2049" width="2.453125" style="1" customWidth="1"/>
    <col min="2050" max="2050" width="9.6328125" style="1" customWidth="1"/>
    <col min="2051" max="2053" width="4.36328125" style="1" customWidth="1"/>
    <col min="2054" max="2054" width="11" style="1" customWidth="1"/>
    <col min="2055" max="2062" width="12.08984375" style="1" customWidth="1"/>
    <col min="2063" max="2304" width="9" style="1"/>
    <col min="2305" max="2305" width="2.453125" style="1" customWidth="1"/>
    <col min="2306" max="2306" width="9.6328125" style="1" customWidth="1"/>
    <col min="2307" max="2309" width="4.36328125" style="1" customWidth="1"/>
    <col min="2310" max="2310" width="11" style="1" customWidth="1"/>
    <col min="2311" max="2318" width="12.08984375" style="1" customWidth="1"/>
    <col min="2319" max="2560" width="9" style="1"/>
    <col min="2561" max="2561" width="2.453125" style="1" customWidth="1"/>
    <col min="2562" max="2562" width="9.6328125" style="1" customWidth="1"/>
    <col min="2563" max="2565" width="4.36328125" style="1" customWidth="1"/>
    <col min="2566" max="2566" width="11" style="1" customWidth="1"/>
    <col min="2567" max="2574" width="12.08984375" style="1" customWidth="1"/>
    <col min="2575" max="2816" width="9" style="1"/>
    <col min="2817" max="2817" width="2.453125" style="1" customWidth="1"/>
    <col min="2818" max="2818" width="9.6328125" style="1" customWidth="1"/>
    <col min="2819" max="2821" width="4.36328125" style="1" customWidth="1"/>
    <col min="2822" max="2822" width="11" style="1" customWidth="1"/>
    <col min="2823" max="2830" width="12.08984375" style="1" customWidth="1"/>
    <col min="2831" max="3072" width="9" style="1"/>
    <col min="3073" max="3073" width="2.453125" style="1" customWidth="1"/>
    <col min="3074" max="3074" width="9.6328125" style="1" customWidth="1"/>
    <col min="3075" max="3077" width="4.36328125" style="1" customWidth="1"/>
    <col min="3078" max="3078" width="11" style="1" customWidth="1"/>
    <col min="3079" max="3086" width="12.08984375" style="1" customWidth="1"/>
    <col min="3087" max="3328" width="9" style="1"/>
    <col min="3329" max="3329" width="2.453125" style="1" customWidth="1"/>
    <col min="3330" max="3330" width="9.6328125" style="1" customWidth="1"/>
    <col min="3331" max="3333" width="4.36328125" style="1" customWidth="1"/>
    <col min="3334" max="3334" width="11" style="1" customWidth="1"/>
    <col min="3335" max="3342" width="12.08984375" style="1" customWidth="1"/>
    <col min="3343" max="3584" width="9" style="1"/>
    <col min="3585" max="3585" width="2.453125" style="1" customWidth="1"/>
    <col min="3586" max="3586" width="9.6328125" style="1" customWidth="1"/>
    <col min="3587" max="3589" width="4.36328125" style="1" customWidth="1"/>
    <col min="3590" max="3590" width="11" style="1" customWidth="1"/>
    <col min="3591" max="3598" width="12.08984375" style="1" customWidth="1"/>
    <col min="3599" max="3840" width="9" style="1"/>
    <col min="3841" max="3841" width="2.453125" style="1" customWidth="1"/>
    <col min="3842" max="3842" width="9.6328125" style="1" customWidth="1"/>
    <col min="3843" max="3845" width="4.36328125" style="1" customWidth="1"/>
    <col min="3846" max="3846" width="11" style="1" customWidth="1"/>
    <col min="3847" max="3854" width="12.08984375" style="1" customWidth="1"/>
    <col min="3855" max="4096" width="9" style="1"/>
    <col min="4097" max="4097" width="2.453125" style="1" customWidth="1"/>
    <col min="4098" max="4098" width="9.6328125" style="1" customWidth="1"/>
    <col min="4099" max="4101" width="4.36328125" style="1" customWidth="1"/>
    <col min="4102" max="4102" width="11" style="1" customWidth="1"/>
    <col min="4103" max="4110" width="12.08984375" style="1" customWidth="1"/>
    <col min="4111" max="4352" width="9" style="1"/>
    <col min="4353" max="4353" width="2.453125" style="1" customWidth="1"/>
    <col min="4354" max="4354" width="9.6328125" style="1" customWidth="1"/>
    <col min="4355" max="4357" width="4.36328125" style="1" customWidth="1"/>
    <col min="4358" max="4358" width="11" style="1" customWidth="1"/>
    <col min="4359" max="4366" width="12.08984375" style="1" customWidth="1"/>
    <col min="4367" max="4608" width="9" style="1"/>
    <col min="4609" max="4609" width="2.453125" style="1" customWidth="1"/>
    <col min="4610" max="4610" width="9.6328125" style="1" customWidth="1"/>
    <col min="4611" max="4613" width="4.36328125" style="1" customWidth="1"/>
    <col min="4614" max="4614" width="11" style="1" customWidth="1"/>
    <col min="4615" max="4622" width="12.08984375" style="1" customWidth="1"/>
    <col min="4623" max="4864" width="9" style="1"/>
    <col min="4865" max="4865" width="2.453125" style="1" customWidth="1"/>
    <col min="4866" max="4866" width="9.6328125" style="1" customWidth="1"/>
    <col min="4867" max="4869" width="4.36328125" style="1" customWidth="1"/>
    <col min="4870" max="4870" width="11" style="1" customWidth="1"/>
    <col min="4871" max="4878" width="12.08984375" style="1" customWidth="1"/>
    <col min="4879" max="5120" width="9" style="1"/>
    <col min="5121" max="5121" width="2.453125" style="1" customWidth="1"/>
    <col min="5122" max="5122" width="9.6328125" style="1" customWidth="1"/>
    <col min="5123" max="5125" width="4.36328125" style="1" customWidth="1"/>
    <col min="5126" max="5126" width="11" style="1" customWidth="1"/>
    <col min="5127" max="5134" width="12.08984375" style="1" customWidth="1"/>
    <col min="5135" max="5376" width="9" style="1"/>
    <col min="5377" max="5377" width="2.453125" style="1" customWidth="1"/>
    <col min="5378" max="5378" width="9.6328125" style="1" customWidth="1"/>
    <col min="5379" max="5381" width="4.36328125" style="1" customWidth="1"/>
    <col min="5382" max="5382" width="11" style="1" customWidth="1"/>
    <col min="5383" max="5390" width="12.08984375" style="1" customWidth="1"/>
    <col min="5391" max="5632" width="9" style="1"/>
    <col min="5633" max="5633" width="2.453125" style="1" customWidth="1"/>
    <col min="5634" max="5634" width="9.6328125" style="1" customWidth="1"/>
    <col min="5635" max="5637" width="4.36328125" style="1" customWidth="1"/>
    <col min="5638" max="5638" width="11" style="1" customWidth="1"/>
    <col min="5639" max="5646" width="12.08984375" style="1" customWidth="1"/>
    <col min="5647" max="5888" width="9" style="1"/>
    <col min="5889" max="5889" width="2.453125" style="1" customWidth="1"/>
    <col min="5890" max="5890" width="9.6328125" style="1" customWidth="1"/>
    <col min="5891" max="5893" width="4.36328125" style="1" customWidth="1"/>
    <col min="5894" max="5894" width="11" style="1" customWidth="1"/>
    <col min="5895" max="5902" width="12.08984375" style="1" customWidth="1"/>
    <col min="5903" max="6144" width="9" style="1"/>
    <col min="6145" max="6145" width="2.453125" style="1" customWidth="1"/>
    <col min="6146" max="6146" width="9.6328125" style="1" customWidth="1"/>
    <col min="6147" max="6149" width="4.36328125" style="1" customWidth="1"/>
    <col min="6150" max="6150" width="11" style="1" customWidth="1"/>
    <col min="6151" max="6158" width="12.08984375" style="1" customWidth="1"/>
    <col min="6159" max="6400" width="9" style="1"/>
    <col min="6401" max="6401" width="2.453125" style="1" customWidth="1"/>
    <col min="6402" max="6402" width="9.6328125" style="1" customWidth="1"/>
    <col min="6403" max="6405" width="4.36328125" style="1" customWidth="1"/>
    <col min="6406" max="6406" width="11" style="1" customWidth="1"/>
    <col min="6407" max="6414" width="12.08984375" style="1" customWidth="1"/>
    <col min="6415" max="6656" width="9" style="1"/>
    <col min="6657" max="6657" width="2.453125" style="1" customWidth="1"/>
    <col min="6658" max="6658" width="9.6328125" style="1" customWidth="1"/>
    <col min="6659" max="6661" width="4.36328125" style="1" customWidth="1"/>
    <col min="6662" max="6662" width="11" style="1" customWidth="1"/>
    <col min="6663" max="6670" width="12.08984375" style="1" customWidth="1"/>
    <col min="6671" max="6912" width="9" style="1"/>
    <col min="6913" max="6913" width="2.453125" style="1" customWidth="1"/>
    <col min="6914" max="6914" width="9.6328125" style="1" customWidth="1"/>
    <col min="6915" max="6917" width="4.36328125" style="1" customWidth="1"/>
    <col min="6918" max="6918" width="11" style="1" customWidth="1"/>
    <col min="6919" max="6926" width="12.08984375" style="1" customWidth="1"/>
    <col min="6927" max="7168" width="9" style="1"/>
    <col min="7169" max="7169" width="2.453125" style="1" customWidth="1"/>
    <col min="7170" max="7170" width="9.6328125" style="1" customWidth="1"/>
    <col min="7171" max="7173" width="4.36328125" style="1" customWidth="1"/>
    <col min="7174" max="7174" width="11" style="1" customWidth="1"/>
    <col min="7175" max="7182" width="12.08984375" style="1" customWidth="1"/>
    <col min="7183" max="7424" width="9" style="1"/>
    <col min="7425" max="7425" width="2.453125" style="1" customWidth="1"/>
    <col min="7426" max="7426" width="9.6328125" style="1" customWidth="1"/>
    <col min="7427" max="7429" width="4.36328125" style="1" customWidth="1"/>
    <col min="7430" max="7430" width="11" style="1" customWidth="1"/>
    <col min="7431" max="7438" width="12.08984375" style="1" customWidth="1"/>
    <col min="7439" max="7680" width="9" style="1"/>
    <col min="7681" max="7681" width="2.453125" style="1" customWidth="1"/>
    <col min="7682" max="7682" width="9.6328125" style="1" customWidth="1"/>
    <col min="7683" max="7685" width="4.36328125" style="1" customWidth="1"/>
    <col min="7686" max="7686" width="11" style="1" customWidth="1"/>
    <col min="7687" max="7694" width="12.08984375" style="1" customWidth="1"/>
    <col min="7695" max="7936" width="9" style="1"/>
    <col min="7937" max="7937" width="2.453125" style="1" customWidth="1"/>
    <col min="7938" max="7938" width="9.6328125" style="1" customWidth="1"/>
    <col min="7939" max="7941" width="4.36328125" style="1" customWidth="1"/>
    <col min="7942" max="7942" width="11" style="1" customWidth="1"/>
    <col min="7943" max="7950" width="12.08984375" style="1" customWidth="1"/>
    <col min="7951" max="8192" width="9" style="1"/>
    <col min="8193" max="8193" width="2.453125" style="1" customWidth="1"/>
    <col min="8194" max="8194" width="9.6328125" style="1" customWidth="1"/>
    <col min="8195" max="8197" width="4.36328125" style="1" customWidth="1"/>
    <col min="8198" max="8198" width="11" style="1" customWidth="1"/>
    <col min="8199" max="8206" width="12.08984375" style="1" customWidth="1"/>
    <col min="8207" max="8448" width="9" style="1"/>
    <col min="8449" max="8449" width="2.453125" style="1" customWidth="1"/>
    <col min="8450" max="8450" width="9.6328125" style="1" customWidth="1"/>
    <col min="8451" max="8453" width="4.36328125" style="1" customWidth="1"/>
    <col min="8454" max="8454" width="11" style="1" customWidth="1"/>
    <col min="8455" max="8462" width="12.08984375" style="1" customWidth="1"/>
    <col min="8463" max="8704" width="9" style="1"/>
    <col min="8705" max="8705" width="2.453125" style="1" customWidth="1"/>
    <col min="8706" max="8706" width="9.6328125" style="1" customWidth="1"/>
    <col min="8707" max="8709" width="4.36328125" style="1" customWidth="1"/>
    <col min="8710" max="8710" width="11" style="1" customWidth="1"/>
    <col min="8711" max="8718" width="12.08984375" style="1" customWidth="1"/>
    <col min="8719" max="8960" width="9" style="1"/>
    <col min="8961" max="8961" width="2.453125" style="1" customWidth="1"/>
    <col min="8962" max="8962" width="9.6328125" style="1" customWidth="1"/>
    <col min="8963" max="8965" width="4.36328125" style="1" customWidth="1"/>
    <col min="8966" max="8966" width="11" style="1" customWidth="1"/>
    <col min="8967" max="8974" width="12.08984375" style="1" customWidth="1"/>
    <col min="8975" max="9216" width="9" style="1"/>
    <col min="9217" max="9217" width="2.453125" style="1" customWidth="1"/>
    <col min="9218" max="9218" width="9.6328125" style="1" customWidth="1"/>
    <col min="9219" max="9221" width="4.36328125" style="1" customWidth="1"/>
    <col min="9222" max="9222" width="11" style="1" customWidth="1"/>
    <col min="9223" max="9230" width="12.08984375" style="1" customWidth="1"/>
    <col min="9231" max="9472" width="9" style="1"/>
    <col min="9473" max="9473" width="2.453125" style="1" customWidth="1"/>
    <col min="9474" max="9474" width="9.6328125" style="1" customWidth="1"/>
    <col min="9475" max="9477" width="4.36328125" style="1" customWidth="1"/>
    <col min="9478" max="9478" width="11" style="1" customWidth="1"/>
    <col min="9479" max="9486" width="12.08984375" style="1" customWidth="1"/>
    <col min="9487" max="9728" width="9" style="1"/>
    <col min="9729" max="9729" width="2.453125" style="1" customWidth="1"/>
    <col min="9730" max="9730" width="9.6328125" style="1" customWidth="1"/>
    <col min="9731" max="9733" width="4.36328125" style="1" customWidth="1"/>
    <col min="9734" max="9734" width="11" style="1" customWidth="1"/>
    <col min="9735" max="9742" width="12.08984375" style="1" customWidth="1"/>
    <col min="9743" max="9984" width="9" style="1"/>
    <col min="9985" max="9985" width="2.453125" style="1" customWidth="1"/>
    <col min="9986" max="9986" width="9.6328125" style="1" customWidth="1"/>
    <col min="9987" max="9989" width="4.36328125" style="1" customWidth="1"/>
    <col min="9990" max="9990" width="11" style="1" customWidth="1"/>
    <col min="9991" max="9998" width="12.08984375" style="1" customWidth="1"/>
    <col min="9999" max="10240" width="9" style="1"/>
    <col min="10241" max="10241" width="2.453125" style="1" customWidth="1"/>
    <col min="10242" max="10242" width="9.6328125" style="1" customWidth="1"/>
    <col min="10243" max="10245" width="4.36328125" style="1" customWidth="1"/>
    <col min="10246" max="10246" width="11" style="1" customWidth="1"/>
    <col min="10247" max="10254" width="12.08984375" style="1" customWidth="1"/>
    <col min="10255" max="10496" width="9" style="1"/>
    <col min="10497" max="10497" width="2.453125" style="1" customWidth="1"/>
    <col min="10498" max="10498" width="9.6328125" style="1" customWidth="1"/>
    <col min="10499" max="10501" width="4.36328125" style="1" customWidth="1"/>
    <col min="10502" max="10502" width="11" style="1" customWidth="1"/>
    <col min="10503" max="10510" width="12.08984375" style="1" customWidth="1"/>
    <col min="10511" max="10752" width="9" style="1"/>
    <col min="10753" max="10753" width="2.453125" style="1" customWidth="1"/>
    <col min="10754" max="10754" width="9.6328125" style="1" customWidth="1"/>
    <col min="10755" max="10757" width="4.36328125" style="1" customWidth="1"/>
    <col min="10758" max="10758" width="11" style="1" customWidth="1"/>
    <col min="10759" max="10766" width="12.08984375" style="1" customWidth="1"/>
    <col min="10767" max="11008" width="9" style="1"/>
    <col min="11009" max="11009" width="2.453125" style="1" customWidth="1"/>
    <col min="11010" max="11010" width="9.6328125" style="1" customWidth="1"/>
    <col min="11011" max="11013" width="4.36328125" style="1" customWidth="1"/>
    <col min="11014" max="11014" width="11" style="1" customWidth="1"/>
    <col min="11015" max="11022" width="12.08984375" style="1" customWidth="1"/>
    <col min="11023" max="11264" width="9" style="1"/>
    <col min="11265" max="11265" width="2.453125" style="1" customWidth="1"/>
    <col min="11266" max="11266" width="9.6328125" style="1" customWidth="1"/>
    <col min="11267" max="11269" width="4.36328125" style="1" customWidth="1"/>
    <col min="11270" max="11270" width="11" style="1" customWidth="1"/>
    <col min="11271" max="11278" width="12.08984375" style="1" customWidth="1"/>
    <col min="11279" max="11520" width="9" style="1"/>
    <col min="11521" max="11521" width="2.453125" style="1" customWidth="1"/>
    <col min="11522" max="11522" width="9.6328125" style="1" customWidth="1"/>
    <col min="11523" max="11525" width="4.36328125" style="1" customWidth="1"/>
    <col min="11526" max="11526" width="11" style="1" customWidth="1"/>
    <col min="11527" max="11534" width="12.08984375" style="1" customWidth="1"/>
    <col min="11535" max="11776" width="9" style="1"/>
    <col min="11777" max="11777" width="2.453125" style="1" customWidth="1"/>
    <col min="11778" max="11778" width="9.6328125" style="1" customWidth="1"/>
    <col min="11779" max="11781" width="4.36328125" style="1" customWidth="1"/>
    <col min="11782" max="11782" width="11" style="1" customWidth="1"/>
    <col min="11783" max="11790" width="12.08984375" style="1" customWidth="1"/>
    <col min="11791" max="12032" width="9" style="1"/>
    <col min="12033" max="12033" width="2.453125" style="1" customWidth="1"/>
    <col min="12034" max="12034" width="9.6328125" style="1" customWidth="1"/>
    <col min="12035" max="12037" width="4.36328125" style="1" customWidth="1"/>
    <col min="12038" max="12038" width="11" style="1" customWidth="1"/>
    <col min="12039" max="12046" width="12.08984375" style="1" customWidth="1"/>
    <col min="12047" max="12288" width="9" style="1"/>
    <col min="12289" max="12289" width="2.453125" style="1" customWidth="1"/>
    <col min="12290" max="12290" width="9.6328125" style="1" customWidth="1"/>
    <col min="12291" max="12293" width="4.36328125" style="1" customWidth="1"/>
    <col min="12294" max="12294" width="11" style="1" customWidth="1"/>
    <col min="12295" max="12302" width="12.08984375" style="1" customWidth="1"/>
    <col min="12303" max="12544" width="9" style="1"/>
    <col min="12545" max="12545" width="2.453125" style="1" customWidth="1"/>
    <col min="12546" max="12546" width="9.6328125" style="1" customWidth="1"/>
    <col min="12547" max="12549" width="4.36328125" style="1" customWidth="1"/>
    <col min="12550" max="12550" width="11" style="1" customWidth="1"/>
    <col min="12551" max="12558" width="12.08984375" style="1" customWidth="1"/>
    <col min="12559" max="12800" width="9" style="1"/>
    <col min="12801" max="12801" width="2.453125" style="1" customWidth="1"/>
    <col min="12802" max="12802" width="9.6328125" style="1" customWidth="1"/>
    <col min="12803" max="12805" width="4.36328125" style="1" customWidth="1"/>
    <col min="12806" max="12806" width="11" style="1" customWidth="1"/>
    <col min="12807" max="12814" width="12.08984375" style="1" customWidth="1"/>
    <col min="12815" max="13056" width="9" style="1"/>
    <col min="13057" max="13057" width="2.453125" style="1" customWidth="1"/>
    <col min="13058" max="13058" width="9.6328125" style="1" customWidth="1"/>
    <col min="13059" max="13061" width="4.36328125" style="1" customWidth="1"/>
    <col min="13062" max="13062" width="11" style="1" customWidth="1"/>
    <col min="13063" max="13070" width="12.08984375" style="1" customWidth="1"/>
    <col min="13071" max="13312" width="9" style="1"/>
    <col min="13313" max="13313" width="2.453125" style="1" customWidth="1"/>
    <col min="13314" max="13314" width="9.6328125" style="1" customWidth="1"/>
    <col min="13315" max="13317" width="4.36328125" style="1" customWidth="1"/>
    <col min="13318" max="13318" width="11" style="1" customWidth="1"/>
    <col min="13319" max="13326" width="12.08984375" style="1" customWidth="1"/>
    <col min="13327" max="13568" width="9" style="1"/>
    <col min="13569" max="13569" width="2.453125" style="1" customWidth="1"/>
    <col min="13570" max="13570" width="9.6328125" style="1" customWidth="1"/>
    <col min="13571" max="13573" width="4.36328125" style="1" customWidth="1"/>
    <col min="13574" max="13574" width="11" style="1" customWidth="1"/>
    <col min="13575" max="13582" width="12.08984375" style="1" customWidth="1"/>
    <col min="13583" max="13824" width="9" style="1"/>
    <col min="13825" max="13825" width="2.453125" style="1" customWidth="1"/>
    <col min="13826" max="13826" width="9.6328125" style="1" customWidth="1"/>
    <col min="13827" max="13829" width="4.36328125" style="1" customWidth="1"/>
    <col min="13830" max="13830" width="11" style="1" customWidth="1"/>
    <col min="13831" max="13838" width="12.08984375" style="1" customWidth="1"/>
    <col min="13839" max="14080" width="9" style="1"/>
    <col min="14081" max="14081" width="2.453125" style="1" customWidth="1"/>
    <col min="14082" max="14082" width="9.6328125" style="1" customWidth="1"/>
    <col min="14083" max="14085" width="4.36328125" style="1" customWidth="1"/>
    <col min="14086" max="14086" width="11" style="1" customWidth="1"/>
    <col min="14087" max="14094" width="12.08984375" style="1" customWidth="1"/>
    <col min="14095" max="14336" width="9" style="1"/>
    <col min="14337" max="14337" width="2.453125" style="1" customWidth="1"/>
    <col min="14338" max="14338" width="9.6328125" style="1" customWidth="1"/>
    <col min="14339" max="14341" width="4.36328125" style="1" customWidth="1"/>
    <col min="14342" max="14342" width="11" style="1" customWidth="1"/>
    <col min="14343" max="14350" width="12.08984375" style="1" customWidth="1"/>
    <col min="14351" max="14592" width="9" style="1"/>
    <col min="14593" max="14593" width="2.453125" style="1" customWidth="1"/>
    <col min="14594" max="14594" width="9.6328125" style="1" customWidth="1"/>
    <col min="14595" max="14597" width="4.36328125" style="1" customWidth="1"/>
    <col min="14598" max="14598" width="11" style="1" customWidth="1"/>
    <col min="14599" max="14606" width="12.08984375" style="1" customWidth="1"/>
    <col min="14607" max="14848" width="9" style="1"/>
    <col min="14849" max="14849" width="2.453125" style="1" customWidth="1"/>
    <col min="14850" max="14850" width="9.6328125" style="1" customWidth="1"/>
    <col min="14851" max="14853" width="4.36328125" style="1" customWidth="1"/>
    <col min="14854" max="14854" width="11" style="1" customWidth="1"/>
    <col min="14855" max="14862" width="12.08984375" style="1" customWidth="1"/>
    <col min="14863" max="15104" width="9" style="1"/>
    <col min="15105" max="15105" width="2.453125" style="1" customWidth="1"/>
    <col min="15106" max="15106" width="9.6328125" style="1" customWidth="1"/>
    <col min="15107" max="15109" width="4.36328125" style="1" customWidth="1"/>
    <col min="15110" max="15110" width="11" style="1" customWidth="1"/>
    <col min="15111" max="15118" width="12.08984375" style="1" customWidth="1"/>
    <col min="15119" max="15360" width="9" style="1"/>
    <col min="15361" max="15361" width="2.453125" style="1" customWidth="1"/>
    <col min="15362" max="15362" width="9.6328125" style="1" customWidth="1"/>
    <col min="15363" max="15365" width="4.36328125" style="1" customWidth="1"/>
    <col min="15366" max="15366" width="11" style="1" customWidth="1"/>
    <col min="15367" max="15374" width="12.08984375" style="1" customWidth="1"/>
    <col min="15375" max="15616" width="9" style="1"/>
    <col min="15617" max="15617" width="2.453125" style="1" customWidth="1"/>
    <col min="15618" max="15618" width="9.6328125" style="1" customWidth="1"/>
    <col min="15619" max="15621" width="4.36328125" style="1" customWidth="1"/>
    <col min="15622" max="15622" width="11" style="1" customWidth="1"/>
    <col min="15623" max="15630" width="12.08984375" style="1" customWidth="1"/>
    <col min="15631" max="15872" width="9" style="1"/>
    <col min="15873" max="15873" width="2.453125" style="1" customWidth="1"/>
    <col min="15874" max="15874" width="9.6328125" style="1" customWidth="1"/>
    <col min="15875" max="15877" width="4.36328125" style="1" customWidth="1"/>
    <col min="15878" max="15878" width="11" style="1" customWidth="1"/>
    <col min="15879" max="15886" width="12.08984375" style="1" customWidth="1"/>
    <col min="15887" max="16128" width="9" style="1"/>
    <col min="16129" max="16129" width="2.453125" style="1" customWidth="1"/>
    <col min="16130" max="16130" width="9.6328125" style="1" customWidth="1"/>
    <col min="16131" max="16133" width="4.36328125" style="1" customWidth="1"/>
    <col min="16134" max="16134" width="11" style="1" customWidth="1"/>
    <col min="16135" max="16142" width="12.08984375" style="1" customWidth="1"/>
    <col min="16143" max="16384" width="9" style="1"/>
  </cols>
  <sheetData>
    <row r="2" spans="2:22" ht="18" customHeight="1">
      <c r="B2" s="3" t="s">
        <v>18</v>
      </c>
    </row>
    <row r="4" spans="2:22" ht="18" customHeight="1">
      <c r="B4" s="197" t="s">
        <v>19</v>
      </c>
      <c r="C4" s="200" t="s">
        <v>20</v>
      </c>
      <c r="D4" s="201"/>
      <c r="E4" s="202"/>
      <c r="F4" s="209" t="s">
        <v>21</v>
      </c>
      <c r="G4" s="212" t="s">
        <v>22</v>
      </c>
      <c r="H4" s="212"/>
      <c r="I4" s="212"/>
      <c r="J4" s="212"/>
      <c r="K4" s="212"/>
      <c r="L4" s="212"/>
      <c r="M4" s="212"/>
      <c r="N4" s="212"/>
      <c r="P4" s="1" t="s">
        <v>21</v>
      </c>
    </row>
    <row r="5" spans="2:22" ht="18" customHeight="1">
      <c r="B5" s="198"/>
      <c r="C5" s="203"/>
      <c r="D5" s="204"/>
      <c r="E5" s="205"/>
      <c r="F5" s="210"/>
      <c r="G5" s="4">
        <v>1.5</v>
      </c>
      <c r="H5" s="4">
        <v>2</v>
      </c>
      <c r="I5" s="5">
        <v>2.5</v>
      </c>
      <c r="J5" s="5">
        <v>2.5</v>
      </c>
      <c r="K5" s="5">
        <v>3</v>
      </c>
      <c r="L5" s="5">
        <v>3.5</v>
      </c>
      <c r="M5" s="5">
        <v>4</v>
      </c>
      <c r="N5" s="5">
        <v>4</v>
      </c>
      <c r="P5" s="6" t="s">
        <v>23</v>
      </c>
    </row>
    <row r="6" spans="2:22" ht="18" customHeight="1">
      <c r="B6" s="199"/>
      <c r="C6" s="206"/>
      <c r="D6" s="207"/>
      <c r="E6" s="208"/>
      <c r="F6" s="211"/>
      <c r="G6" s="7" t="s">
        <v>24</v>
      </c>
      <c r="H6" s="7" t="s">
        <v>25</v>
      </c>
      <c r="I6" s="7" t="s">
        <v>26</v>
      </c>
      <c r="J6" s="7" t="s">
        <v>27</v>
      </c>
      <c r="K6" s="7" t="s">
        <v>28</v>
      </c>
      <c r="L6" s="7" t="s">
        <v>29</v>
      </c>
      <c r="M6" s="7" t="s">
        <v>30</v>
      </c>
      <c r="N6" s="7" t="s">
        <v>31</v>
      </c>
      <c r="P6" s="6" t="s">
        <v>32</v>
      </c>
    </row>
    <row r="7" spans="2:22" ht="18" customHeight="1">
      <c r="B7" s="8">
        <v>100</v>
      </c>
      <c r="C7" s="213"/>
      <c r="D7" s="214"/>
      <c r="E7" s="215"/>
      <c r="F7" s="9" t="s">
        <v>33</v>
      </c>
      <c r="G7" s="10"/>
      <c r="H7" s="10"/>
      <c r="I7" s="10">
        <v>0</v>
      </c>
      <c r="J7" s="10"/>
      <c r="K7" s="10"/>
      <c r="L7" s="10"/>
      <c r="M7" s="10"/>
      <c r="N7" s="10"/>
      <c r="P7" s="6" t="s">
        <v>34</v>
      </c>
    </row>
    <row r="8" spans="2:22" ht="18" customHeight="1">
      <c r="B8" s="8"/>
      <c r="C8" s="213"/>
      <c r="D8" s="214"/>
      <c r="E8" s="215"/>
      <c r="F8" s="9"/>
      <c r="G8" s="10"/>
      <c r="H8" s="10"/>
      <c r="I8" s="10"/>
      <c r="J8" s="10"/>
      <c r="K8" s="10"/>
      <c r="L8" s="10"/>
      <c r="M8" s="10"/>
      <c r="N8" s="10"/>
      <c r="P8" s="6" t="s">
        <v>35</v>
      </c>
    </row>
    <row r="9" spans="2:22" ht="18" customHeight="1">
      <c r="B9" s="11"/>
      <c r="C9" s="213"/>
      <c r="D9" s="214"/>
      <c r="E9" s="215"/>
      <c r="F9" s="9"/>
      <c r="G9" s="10"/>
      <c r="H9" s="10"/>
      <c r="I9" s="10"/>
      <c r="J9" s="10"/>
      <c r="K9" s="10"/>
      <c r="L9" s="10"/>
      <c r="M9" s="10"/>
      <c r="N9" s="10"/>
    </row>
    <row r="10" spans="2:22" ht="18" customHeight="1">
      <c r="B10" s="11"/>
      <c r="C10" s="213"/>
      <c r="D10" s="214"/>
      <c r="E10" s="215"/>
      <c r="F10" s="9"/>
      <c r="G10" s="10"/>
      <c r="H10" s="10"/>
      <c r="I10" s="10"/>
      <c r="J10" s="10"/>
      <c r="K10" s="10"/>
      <c r="L10" s="10"/>
      <c r="M10" s="10"/>
      <c r="N10" s="10"/>
      <c r="P10" s="252" t="s">
        <v>47</v>
      </c>
      <c r="Q10" s="249" t="s">
        <v>48</v>
      </c>
      <c r="R10" s="250"/>
      <c r="S10" s="250"/>
      <c r="T10" s="250"/>
      <c r="U10" s="250"/>
      <c r="V10" s="251"/>
    </row>
    <row r="11" spans="2:22" ht="18" customHeight="1" thickBot="1">
      <c r="B11" s="12"/>
      <c r="C11" s="194"/>
      <c r="D11" s="195"/>
      <c r="E11" s="196"/>
      <c r="F11" s="13"/>
      <c r="G11" s="14"/>
      <c r="H11" s="14"/>
      <c r="I11" s="14"/>
      <c r="J11" s="14"/>
      <c r="K11" s="14"/>
      <c r="L11" s="14"/>
      <c r="M11" s="14"/>
      <c r="N11" s="14"/>
      <c r="P11" s="253"/>
      <c r="Q11" s="255" t="s">
        <v>49</v>
      </c>
      <c r="R11" s="256"/>
      <c r="S11" s="257"/>
      <c r="T11" s="255" t="s">
        <v>50</v>
      </c>
      <c r="U11" s="256"/>
      <c r="V11" s="257"/>
    </row>
    <row r="12" spans="2:22" ht="18" customHeight="1">
      <c r="B12" s="216" t="s">
        <v>36</v>
      </c>
      <c r="C12" s="217"/>
      <c r="D12" s="217"/>
      <c r="E12" s="217"/>
      <c r="F12" s="218"/>
      <c r="G12" s="15">
        <f t="shared" ref="G12:N12" si="0">ROUND(SUM(G7:G11),1)</f>
        <v>0</v>
      </c>
      <c r="H12" s="15">
        <f t="shared" si="0"/>
        <v>0</v>
      </c>
      <c r="I12" s="15">
        <f t="shared" si="0"/>
        <v>0</v>
      </c>
      <c r="J12" s="15">
        <f t="shared" si="0"/>
        <v>0</v>
      </c>
      <c r="K12" s="15">
        <f t="shared" si="0"/>
        <v>0</v>
      </c>
      <c r="L12" s="15">
        <f t="shared" si="0"/>
        <v>0</v>
      </c>
      <c r="M12" s="15">
        <f t="shared" si="0"/>
        <v>0</v>
      </c>
      <c r="N12" s="15">
        <f t="shared" si="0"/>
        <v>0</v>
      </c>
      <c r="P12" s="254"/>
      <c r="Q12" s="46" t="s">
        <v>51</v>
      </c>
      <c r="R12" s="43" t="s">
        <v>52</v>
      </c>
      <c r="S12" s="44" t="s">
        <v>53</v>
      </c>
      <c r="T12" s="46" t="s">
        <v>51</v>
      </c>
      <c r="U12" s="43" t="s">
        <v>52</v>
      </c>
      <c r="V12" s="44" t="s">
        <v>53</v>
      </c>
    </row>
    <row r="13" spans="2:22" ht="18" customHeight="1">
      <c r="B13" s="219"/>
      <c r="C13" s="187"/>
      <c r="D13" s="187"/>
      <c r="E13" s="187"/>
      <c r="F13" s="188"/>
      <c r="G13" s="55"/>
      <c r="H13" s="56">
        <f>H12</f>
        <v>0</v>
      </c>
      <c r="I13" s="220">
        <f>I12+J12</f>
        <v>0</v>
      </c>
      <c r="J13" s="220"/>
      <c r="K13" s="56"/>
      <c r="L13" s="56"/>
      <c r="M13" s="56"/>
      <c r="N13" s="57"/>
      <c r="P13" s="49">
        <v>50</v>
      </c>
      <c r="Q13" s="50"/>
      <c r="R13" s="51"/>
      <c r="S13" s="52"/>
      <c r="T13" s="50">
        <v>30.9</v>
      </c>
      <c r="U13" s="51">
        <v>36.799999999999997</v>
      </c>
      <c r="V13" s="52">
        <v>34.200000000000003</v>
      </c>
    </row>
    <row r="14" spans="2:22" ht="18" customHeight="1">
      <c r="B14" s="221" t="s">
        <v>46</v>
      </c>
      <c r="C14" s="222"/>
      <c r="D14" s="222"/>
      <c r="E14" s="222"/>
      <c r="F14" s="223"/>
      <c r="G14" s="224">
        <v>0</v>
      </c>
      <c r="H14" s="225">
        <v>19.600000000000001</v>
      </c>
      <c r="I14" s="225">
        <v>19.600000000000001</v>
      </c>
      <c r="J14" s="225">
        <v>19.600000000000001</v>
      </c>
      <c r="K14" s="225">
        <v>19.600000000000001</v>
      </c>
      <c r="L14" s="225">
        <v>19.600000000000001</v>
      </c>
      <c r="M14" s="225">
        <v>19.600000000000001</v>
      </c>
      <c r="N14" s="226">
        <v>19.600000000000001</v>
      </c>
      <c r="P14" s="47">
        <v>75</v>
      </c>
      <c r="Q14" s="39">
        <v>15.5</v>
      </c>
      <c r="R14" s="38">
        <v>19</v>
      </c>
      <c r="S14" s="40">
        <v>21.2</v>
      </c>
      <c r="T14" s="39"/>
      <c r="U14" s="38"/>
      <c r="V14" s="40"/>
    </row>
    <row r="15" spans="2:22" ht="18" customHeight="1">
      <c r="B15" s="6"/>
      <c r="C15" s="6"/>
      <c r="D15" s="6"/>
      <c r="E15" s="6"/>
      <c r="F15" s="6"/>
      <c r="G15" s="54"/>
      <c r="H15" s="54"/>
      <c r="I15" s="54"/>
      <c r="J15" s="54"/>
      <c r="K15" s="54"/>
      <c r="L15" s="54"/>
      <c r="M15" s="54"/>
      <c r="N15" s="54"/>
      <c r="P15" s="47">
        <v>100</v>
      </c>
      <c r="Q15" s="39">
        <v>14.7</v>
      </c>
      <c r="R15" s="38">
        <v>17.899999999999999</v>
      </c>
      <c r="S15" s="40">
        <v>20</v>
      </c>
      <c r="T15" s="39">
        <v>28.6</v>
      </c>
      <c r="U15" s="38">
        <v>33.799999999999997</v>
      </c>
      <c r="V15" s="40">
        <v>31.6</v>
      </c>
    </row>
    <row r="16" spans="2:22" ht="18" customHeight="1">
      <c r="P16" s="47">
        <v>150</v>
      </c>
      <c r="Q16" s="39">
        <v>15.7</v>
      </c>
      <c r="R16" s="38">
        <v>19.600000000000001</v>
      </c>
      <c r="S16" s="40">
        <v>21.4</v>
      </c>
      <c r="T16" s="39">
        <v>31.1</v>
      </c>
      <c r="U16" s="38">
        <v>38.4</v>
      </c>
      <c r="V16" s="40">
        <v>35.5</v>
      </c>
    </row>
    <row r="17" spans="2:22" ht="18" customHeight="1">
      <c r="B17" s="197" t="s">
        <v>19</v>
      </c>
      <c r="C17" s="200" t="s">
        <v>20</v>
      </c>
      <c r="D17" s="201"/>
      <c r="E17" s="202"/>
      <c r="F17" s="209" t="s">
        <v>21</v>
      </c>
      <c r="G17" s="212" t="s">
        <v>22</v>
      </c>
      <c r="H17" s="212"/>
      <c r="I17" s="212"/>
      <c r="J17" s="212"/>
      <c r="K17" s="212"/>
      <c r="L17" s="212"/>
      <c r="M17" s="212"/>
      <c r="N17" s="212"/>
      <c r="P17" s="47">
        <v>200</v>
      </c>
      <c r="Q17" s="39">
        <v>14.4</v>
      </c>
      <c r="R17" s="38">
        <v>18</v>
      </c>
      <c r="S17" s="40">
        <v>20.2</v>
      </c>
      <c r="T17" s="39">
        <v>29.1</v>
      </c>
      <c r="U17" s="38">
        <v>35.6</v>
      </c>
      <c r="V17" s="40">
        <v>33.799999999999997</v>
      </c>
    </row>
    <row r="18" spans="2:22" ht="18" customHeight="1">
      <c r="B18" s="198"/>
      <c r="C18" s="203"/>
      <c r="D18" s="204"/>
      <c r="E18" s="205"/>
      <c r="F18" s="210"/>
      <c r="G18" s="4">
        <v>1.5</v>
      </c>
      <c r="H18" s="4">
        <v>2</v>
      </c>
      <c r="I18" s="5">
        <v>2.5</v>
      </c>
      <c r="J18" s="5">
        <v>2.5</v>
      </c>
      <c r="K18" s="5">
        <v>3</v>
      </c>
      <c r="L18" s="5">
        <v>3.5</v>
      </c>
      <c r="M18" s="5">
        <v>4</v>
      </c>
      <c r="N18" s="5">
        <v>4</v>
      </c>
      <c r="P18" s="47">
        <v>300</v>
      </c>
      <c r="Q18" s="39">
        <v>11.9</v>
      </c>
      <c r="R18" s="38">
        <v>14.3</v>
      </c>
      <c r="S18" s="40">
        <v>18.8</v>
      </c>
      <c r="T18" s="39">
        <v>24.1</v>
      </c>
      <c r="U18" s="38">
        <v>28.3</v>
      </c>
      <c r="V18" s="40">
        <v>30.3</v>
      </c>
    </row>
    <row r="19" spans="2:22" ht="18" customHeight="1">
      <c r="B19" s="199"/>
      <c r="C19" s="206"/>
      <c r="D19" s="207"/>
      <c r="E19" s="208"/>
      <c r="F19" s="211"/>
      <c r="G19" s="7" t="s">
        <v>24</v>
      </c>
      <c r="H19" s="7" t="s">
        <v>25</v>
      </c>
      <c r="I19" s="7" t="s">
        <v>26</v>
      </c>
      <c r="J19" s="7" t="s">
        <v>27</v>
      </c>
      <c r="K19" s="7" t="s">
        <v>28</v>
      </c>
      <c r="L19" s="7" t="s">
        <v>29</v>
      </c>
      <c r="M19" s="7" t="s">
        <v>30</v>
      </c>
      <c r="N19" s="7" t="s">
        <v>31</v>
      </c>
      <c r="P19" s="47">
        <v>400</v>
      </c>
      <c r="Q19" s="39">
        <v>7</v>
      </c>
      <c r="R19" s="38">
        <v>8.4</v>
      </c>
      <c r="S19" s="40">
        <v>9.6999999999999993</v>
      </c>
      <c r="T19" s="39">
        <v>10.5</v>
      </c>
      <c r="U19" s="38">
        <v>13.2</v>
      </c>
      <c r="V19" s="40">
        <v>12</v>
      </c>
    </row>
    <row r="20" spans="2:22" ht="18" customHeight="1">
      <c r="B20" s="8">
        <v>300</v>
      </c>
      <c r="C20" s="213"/>
      <c r="D20" s="214"/>
      <c r="E20" s="215"/>
      <c r="F20" s="9" t="s">
        <v>33</v>
      </c>
      <c r="G20" s="10"/>
      <c r="H20" s="10"/>
      <c r="I20" s="10"/>
      <c r="J20" s="269">
        <v>4.5</v>
      </c>
      <c r="K20" s="10"/>
      <c r="L20" s="10"/>
      <c r="M20" s="10"/>
      <c r="N20" s="10"/>
      <c r="P20" s="47">
        <v>500</v>
      </c>
      <c r="Q20" s="39">
        <v>6</v>
      </c>
      <c r="R20" s="38">
        <v>7.1</v>
      </c>
      <c r="S20" s="40">
        <v>8.5</v>
      </c>
      <c r="T20" s="39">
        <v>9</v>
      </c>
      <c r="U20" s="38">
        <v>10.8</v>
      </c>
      <c r="V20" s="40">
        <v>10.4</v>
      </c>
    </row>
    <row r="21" spans="2:22" ht="18" customHeight="1">
      <c r="B21" s="8"/>
      <c r="C21" s="213"/>
      <c r="D21" s="214"/>
      <c r="E21" s="215"/>
      <c r="F21" s="9"/>
      <c r="G21" s="10"/>
      <c r="H21" s="10"/>
      <c r="I21" s="10"/>
      <c r="J21" s="10"/>
      <c r="K21" s="10"/>
      <c r="L21" s="10"/>
      <c r="M21" s="10"/>
      <c r="N21" s="10"/>
      <c r="P21" s="47">
        <v>600</v>
      </c>
      <c r="Q21" s="39">
        <v>5.4</v>
      </c>
      <c r="R21" s="38">
        <v>6.5</v>
      </c>
      <c r="S21" s="40">
        <v>7.9</v>
      </c>
      <c r="T21" s="39">
        <v>8.1999999999999993</v>
      </c>
      <c r="U21" s="38">
        <v>9.8000000000000007</v>
      </c>
      <c r="V21" s="40">
        <v>9.5</v>
      </c>
    </row>
    <row r="22" spans="2:22" ht="18" customHeight="1">
      <c r="B22" s="11"/>
      <c r="C22" s="213"/>
      <c r="D22" s="214"/>
      <c r="E22" s="215"/>
      <c r="F22" s="9"/>
      <c r="G22" s="10"/>
      <c r="H22" s="10"/>
      <c r="I22" s="10"/>
      <c r="J22" s="10"/>
      <c r="K22" s="10"/>
      <c r="L22" s="10"/>
      <c r="M22" s="10"/>
      <c r="N22" s="10"/>
      <c r="P22" s="47">
        <v>700</v>
      </c>
      <c r="Q22" s="39">
        <v>4.5999999999999996</v>
      </c>
      <c r="R22" s="38">
        <v>5.6</v>
      </c>
      <c r="S22" s="40">
        <v>6.8</v>
      </c>
      <c r="T22" s="39">
        <v>6.9</v>
      </c>
      <c r="U22" s="38">
        <v>8.3000000000000007</v>
      </c>
      <c r="V22" s="40">
        <v>8</v>
      </c>
    </row>
    <row r="23" spans="2:22" ht="18" customHeight="1" thickBot="1">
      <c r="B23" s="12"/>
      <c r="C23" s="194"/>
      <c r="D23" s="195"/>
      <c r="E23" s="196"/>
      <c r="F23" s="13"/>
      <c r="G23" s="14"/>
      <c r="H23" s="14"/>
      <c r="I23" s="14"/>
      <c r="J23" s="14"/>
      <c r="K23" s="14"/>
      <c r="L23" s="14"/>
      <c r="M23" s="14"/>
      <c r="N23" s="14"/>
      <c r="P23" s="47">
        <v>800</v>
      </c>
      <c r="Q23" s="39">
        <v>4.0999999999999996</v>
      </c>
      <c r="R23" s="38">
        <v>5</v>
      </c>
      <c r="S23" s="40">
        <v>6.2</v>
      </c>
      <c r="T23" s="39">
        <v>6.2</v>
      </c>
      <c r="U23" s="38">
        <v>7.5</v>
      </c>
      <c r="V23" s="40">
        <v>7.4</v>
      </c>
    </row>
    <row r="24" spans="2:22" ht="18" customHeight="1">
      <c r="B24" s="216" t="s">
        <v>36</v>
      </c>
      <c r="C24" s="217"/>
      <c r="D24" s="217"/>
      <c r="E24" s="217"/>
      <c r="F24" s="218"/>
      <c r="G24" s="15">
        <f t="shared" ref="G24:N24" si="1">ROUND(SUM(G19:G23),1)</f>
        <v>0</v>
      </c>
      <c r="H24" s="15">
        <f t="shared" si="1"/>
        <v>0</v>
      </c>
      <c r="I24" s="15">
        <f t="shared" si="1"/>
        <v>0</v>
      </c>
      <c r="J24" s="15">
        <f t="shared" si="1"/>
        <v>4.5</v>
      </c>
      <c r="K24" s="15">
        <f t="shared" si="1"/>
        <v>0</v>
      </c>
      <c r="L24" s="15">
        <f t="shared" si="1"/>
        <v>0</v>
      </c>
      <c r="M24" s="15">
        <f t="shared" si="1"/>
        <v>0</v>
      </c>
      <c r="N24" s="15">
        <f t="shared" si="1"/>
        <v>0</v>
      </c>
      <c r="P24" s="48">
        <v>900</v>
      </c>
      <c r="Q24" s="41">
        <v>3.5</v>
      </c>
      <c r="R24" s="42">
        <v>4.3</v>
      </c>
      <c r="S24" s="45">
        <v>5.4</v>
      </c>
      <c r="T24" s="46">
        <v>5.2</v>
      </c>
      <c r="U24" s="43">
        <v>6.3</v>
      </c>
      <c r="V24" s="44">
        <v>6.3</v>
      </c>
    </row>
    <row r="25" spans="2:22" ht="18" customHeight="1">
      <c r="B25" s="219"/>
      <c r="C25" s="187"/>
      <c r="D25" s="187"/>
      <c r="E25" s="187"/>
      <c r="F25" s="188"/>
      <c r="G25" s="55"/>
      <c r="H25" s="56">
        <f>H24</f>
        <v>0</v>
      </c>
      <c r="I25" s="270">
        <f>I24+J24</f>
        <v>4.5</v>
      </c>
      <c r="J25" s="270"/>
      <c r="K25" s="56"/>
      <c r="L25" s="56"/>
      <c r="M25" s="56"/>
      <c r="N25" s="57"/>
    </row>
    <row r="26" spans="2:22" ht="18" customHeight="1">
      <c r="B26" s="221" t="s">
        <v>46</v>
      </c>
      <c r="C26" s="222"/>
      <c r="D26" s="222"/>
      <c r="E26" s="222"/>
      <c r="F26" s="223"/>
      <c r="G26" s="262">
        <v>4.5</v>
      </c>
      <c r="H26" s="271">
        <v>17.899999999999999</v>
      </c>
      <c r="I26" s="271">
        <v>17.899999999999999</v>
      </c>
      <c r="J26" s="271">
        <v>17.899999999999999</v>
      </c>
      <c r="K26" s="271">
        <v>17.899999999999999</v>
      </c>
      <c r="L26" s="271">
        <v>17.899999999999999</v>
      </c>
      <c r="M26" s="271">
        <v>17.899999999999999</v>
      </c>
      <c r="N26" s="263">
        <v>17.899999999999999</v>
      </c>
    </row>
    <row r="27" spans="2:22" ht="18" customHeight="1">
      <c r="B27" s="6"/>
      <c r="C27" s="6"/>
      <c r="D27" s="6"/>
      <c r="E27" s="6"/>
      <c r="F27" s="6"/>
      <c r="G27" s="54"/>
      <c r="H27" s="54"/>
      <c r="I27" s="54"/>
      <c r="J27" s="54"/>
      <c r="K27" s="54"/>
      <c r="L27" s="54"/>
      <c r="M27" s="54"/>
      <c r="N27" s="54"/>
    </row>
    <row r="29" spans="2:22" ht="18" customHeight="1">
      <c r="B29" s="197" t="s">
        <v>19</v>
      </c>
      <c r="C29" s="200" t="s">
        <v>20</v>
      </c>
      <c r="D29" s="201"/>
      <c r="E29" s="202"/>
      <c r="F29" s="209" t="s">
        <v>21</v>
      </c>
      <c r="G29" s="212" t="s">
        <v>22</v>
      </c>
      <c r="H29" s="212"/>
      <c r="I29" s="212"/>
      <c r="J29" s="212"/>
      <c r="K29" s="212"/>
      <c r="L29" s="212"/>
      <c r="M29" s="212"/>
      <c r="N29" s="212"/>
    </row>
    <row r="30" spans="2:22" ht="18" customHeight="1">
      <c r="B30" s="198"/>
      <c r="C30" s="203"/>
      <c r="D30" s="204"/>
      <c r="E30" s="205"/>
      <c r="F30" s="210"/>
      <c r="G30" s="4">
        <v>1.5</v>
      </c>
      <c r="H30" s="4">
        <v>2</v>
      </c>
      <c r="I30" s="5">
        <v>2.5</v>
      </c>
      <c r="J30" s="5">
        <v>2.5</v>
      </c>
      <c r="K30" s="5">
        <v>3</v>
      </c>
      <c r="L30" s="5">
        <v>3.5</v>
      </c>
      <c r="M30" s="5">
        <v>4</v>
      </c>
      <c r="N30" s="5">
        <v>4</v>
      </c>
    </row>
    <row r="31" spans="2:22" ht="18" customHeight="1">
      <c r="B31" s="199"/>
      <c r="C31" s="206"/>
      <c r="D31" s="207"/>
      <c r="E31" s="208"/>
      <c r="F31" s="211"/>
      <c r="G31" s="7" t="s">
        <v>24</v>
      </c>
      <c r="H31" s="7" t="s">
        <v>25</v>
      </c>
      <c r="I31" s="7" t="s">
        <v>26</v>
      </c>
      <c r="J31" s="7" t="s">
        <v>27</v>
      </c>
      <c r="K31" s="7" t="s">
        <v>28</v>
      </c>
      <c r="L31" s="7" t="s">
        <v>29</v>
      </c>
      <c r="M31" s="7" t="s">
        <v>30</v>
      </c>
      <c r="N31" s="7" t="s">
        <v>31</v>
      </c>
    </row>
    <row r="32" spans="2:22" ht="18" customHeight="1">
      <c r="B32" s="8"/>
      <c r="C32" s="213"/>
      <c r="D32" s="214"/>
      <c r="E32" s="215"/>
      <c r="F32" s="9"/>
      <c r="G32" s="10"/>
      <c r="H32" s="10"/>
      <c r="I32" s="10"/>
      <c r="J32" s="10"/>
      <c r="K32" s="10"/>
      <c r="L32" s="10"/>
      <c r="M32" s="10"/>
      <c r="N32" s="10"/>
    </row>
    <row r="33" spans="2:14" ht="18" customHeight="1">
      <c r="B33" s="11"/>
      <c r="C33" s="213"/>
      <c r="D33" s="214"/>
      <c r="E33" s="215"/>
      <c r="F33" s="9"/>
      <c r="G33" s="10"/>
      <c r="H33" s="10"/>
      <c r="I33" s="10"/>
      <c r="J33" s="10"/>
      <c r="K33" s="10"/>
      <c r="L33" s="10"/>
      <c r="M33" s="10"/>
      <c r="N33" s="10"/>
    </row>
    <row r="34" spans="2:14" ht="18" customHeight="1">
      <c r="B34" s="11"/>
      <c r="C34" s="213"/>
      <c r="D34" s="214"/>
      <c r="E34" s="215"/>
      <c r="F34" s="9"/>
      <c r="G34" s="10"/>
      <c r="H34" s="10"/>
      <c r="I34" s="10"/>
      <c r="J34" s="10"/>
      <c r="K34" s="10"/>
      <c r="L34" s="10"/>
      <c r="M34" s="10"/>
      <c r="N34" s="10"/>
    </row>
    <row r="35" spans="2:14" ht="18" customHeight="1" thickBot="1">
      <c r="B35" s="12"/>
      <c r="C35" s="194"/>
      <c r="D35" s="195"/>
      <c r="E35" s="196"/>
      <c r="F35" s="13"/>
      <c r="G35" s="14"/>
      <c r="H35" s="14"/>
      <c r="I35" s="14"/>
      <c r="J35" s="14"/>
      <c r="K35" s="14"/>
      <c r="L35" s="14"/>
      <c r="M35" s="14"/>
      <c r="N35" s="14"/>
    </row>
    <row r="36" spans="2:14" ht="18" customHeight="1">
      <c r="B36" s="216" t="s">
        <v>36</v>
      </c>
      <c r="C36" s="217"/>
      <c r="D36" s="217"/>
      <c r="E36" s="217"/>
      <c r="F36" s="218"/>
      <c r="G36" s="15">
        <f t="shared" ref="G36:N36" si="2">ROUND(SUM(G31:G35),1)</f>
        <v>0</v>
      </c>
      <c r="H36" s="15">
        <f t="shared" si="2"/>
        <v>0</v>
      </c>
      <c r="I36" s="15">
        <f t="shared" si="2"/>
        <v>0</v>
      </c>
      <c r="J36" s="15">
        <f t="shared" si="2"/>
        <v>0</v>
      </c>
      <c r="K36" s="15">
        <f t="shared" si="2"/>
        <v>0</v>
      </c>
      <c r="L36" s="15">
        <f t="shared" si="2"/>
        <v>0</v>
      </c>
      <c r="M36" s="15">
        <f t="shared" si="2"/>
        <v>0</v>
      </c>
      <c r="N36" s="15">
        <f t="shared" si="2"/>
        <v>0</v>
      </c>
    </row>
    <row r="37" spans="2:14" ht="18" customHeight="1">
      <c r="B37" s="219"/>
      <c r="C37" s="187"/>
      <c r="D37" s="187"/>
      <c r="E37" s="187"/>
      <c r="F37" s="188"/>
      <c r="G37" s="55"/>
      <c r="H37" s="56">
        <f>H36</f>
        <v>0</v>
      </c>
      <c r="I37" s="220">
        <f>I36+J36</f>
        <v>0</v>
      </c>
      <c r="J37" s="220"/>
      <c r="K37" s="56">
        <f>K36</f>
        <v>0</v>
      </c>
      <c r="L37" s="56"/>
      <c r="M37" s="56"/>
      <c r="N37" s="57"/>
    </row>
    <row r="38" spans="2:14" ht="18" customHeight="1">
      <c r="B38" s="221" t="s">
        <v>46</v>
      </c>
      <c r="C38" s="222"/>
      <c r="D38" s="222"/>
      <c r="E38" s="222"/>
      <c r="F38" s="223"/>
      <c r="G38" s="224"/>
      <c r="H38" s="225"/>
      <c r="I38" s="225"/>
      <c r="J38" s="225"/>
      <c r="K38" s="225"/>
      <c r="L38" s="225"/>
      <c r="M38" s="225"/>
      <c r="N38" s="226"/>
    </row>
    <row r="39" spans="2:14" ht="18" customHeight="1">
      <c r="B39" s="6"/>
      <c r="C39" s="6"/>
      <c r="D39" s="6"/>
      <c r="E39" s="6"/>
      <c r="F39" s="6"/>
      <c r="G39" s="54"/>
      <c r="H39" s="54"/>
      <c r="I39" s="54"/>
      <c r="J39" s="54"/>
      <c r="K39" s="54"/>
      <c r="L39" s="54"/>
      <c r="M39" s="54"/>
      <c r="N39" s="54"/>
    </row>
    <row r="40" spans="2:14" ht="18" customHeight="1" thickBot="1"/>
    <row r="41" spans="2:14" ht="18" customHeight="1">
      <c r="B41" s="242"/>
      <c r="C41" s="243"/>
      <c r="D41" s="243"/>
      <c r="E41" s="243"/>
      <c r="F41" s="244"/>
      <c r="G41" s="233" t="s">
        <v>22</v>
      </c>
      <c r="H41" s="233"/>
      <c r="I41" s="233"/>
      <c r="J41" s="233"/>
      <c r="K41" s="233"/>
      <c r="L41" s="233"/>
      <c r="M41" s="233"/>
      <c r="N41" s="234"/>
    </row>
    <row r="42" spans="2:14" ht="18" customHeight="1">
      <c r="B42" s="245"/>
      <c r="C42" s="204"/>
      <c r="D42" s="204"/>
      <c r="E42" s="204"/>
      <c r="F42" s="205"/>
      <c r="G42" s="4">
        <v>1.5</v>
      </c>
      <c r="H42" s="4">
        <v>2</v>
      </c>
      <c r="I42" s="5">
        <v>2.5</v>
      </c>
      <c r="J42" s="5">
        <v>2.5</v>
      </c>
      <c r="K42" s="5">
        <v>3</v>
      </c>
      <c r="L42" s="5">
        <v>3.5</v>
      </c>
      <c r="M42" s="5">
        <v>4</v>
      </c>
      <c r="N42" s="17">
        <v>4</v>
      </c>
    </row>
    <row r="43" spans="2:14" ht="18" customHeight="1" thickBot="1">
      <c r="B43" s="246"/>
      <c r="C43" s="247"/>
      <c r="D43" s="247"/>
      <c r="E43" s="247"/>
      <c r="F43" s="248"/>
      <c r="G43" s="20" t="s">
        <v>24</v>
      </c>
      <c r="H43" s="20" t="s">
        <v>25</v>
      </c>
      <c r="I43" s="20" t="s">
        <v>26</v>
      </c>
      <c r="J43" s="20" t="s">
        <v>27</v>
      </c>
      <c r="K43" s="20" t="s">
        <v>28</v>
      </c>
      <c r="L43" s="20" t="s">
        <v>29</v>
      </c>
      <c r="M43" s="20" t="s">
        <v>30</v>
      </c>
      <c r="N43" s="21" t="s">
        <v>31</v>
      </c>
    </row>
    <row r="44" spans="2:14" ht="18" customHeight="1" thickTop="1">
      <c r="B44" s="183" t="s">
        <v>36</v>
      </c>
      <c r="C44" s="184"/>
      <c r="D44" s="184"/>
      <c r="E44" s="184"/>
      <c r="F44" s="185"/>
      <c r="G44" s="58">
        <f t="shared" ref="G44:N44" si="3">G12+G24+G36</f>
        <v>0</v>
      </c>
      <c r="H44" s="58">
        <f>H12+H24+H36</f>
        <v>0</v>
      </c>
      <c r="I44" s="58">
        <f>I12+I24+I36</f>
        <v>0</v>
      </c>
      <c r="J44" s="58">
        <f>J12+J24+J36</f>
        <v>4.5</v>
      </c>
      <c r="K44" s="58">
        <f t="shared" si="3"/>
        <v>0</v>
      </c>
      <c r="L44" s="58">
        <f t="shared" si="3"/>
        <v>0</v>
      </c>
      <c r="M44" s="58">
        <f t="shared" si="3"/>
        <v>0</v>
      </c>
      <c r="N44" s="59">
        <f t="shared" si="3"/>
        <v>0</v>
      </c>
    </row>
    <row r="45" spans="2:14" ht="18" customHeight="1">
      <c r="B45" s="186"/>
      <c r="C45" s="187"/>
      <c r="D45" s="187"/>
      <c r="E45" s="187"/>
      <c r="F45" s="188"/>
      <c r="G45" s="18"/>
      <c r="H45" s="18">
        <f>H44</f>
        <v>0</v>
      </c>
      <c r="I45" s="258">
        <f>I44+J44</f>
        <v>4.5</v>
      </c>
      <c r="J45" s="259"/>
      <c r="K45" s="18">
        <f>K44</f>
        <v>0</v>
      </c>
      <c r="L45" s="18"/>
      <c r="M45" s="18"/>
      <c r="N45" s="19"/>
    </row>
    <row r="46" spans="2:14" ht="18" customHeight="1" thickBot="1">
      <c r="B46" s="189" t="s">
        <v>46</v>
      </c>
      <c r="C46" s="190"/>
      <c r="D46" s="190"/>
      <c r="E46" s="190"/>
      <c r="F46" s="191"/>
      <c r="G46" s="53"/>
      <c r="H46" s="60"/>
      <c r="I46" s="192"/>
      <c r="J46" s="193"/>
      <c r="K46" s="60"/>
      <c r="L46" s="60"/>
      <c r="M46" s="60"/>
      <c r="N46" s="61"/>
    </row>
    <row r="47" spans="2:14" ht="18" customHeight="1" thickTop="1" thickBot="1">
      <c r="B47" s="235" t="s">
        <v>41</v>
      </c>
      <c r="C47" s="236"/>
      <c r="D47" s="236"/>
      <c r="E47" s="236"/>
      <c r="F47" s="236"/>
      <c r="G47" s="62" t="str">
        <f>IF(G44=0,"",ROUNDUP((G44/G46),0))</f>
        <v/>
      </c>
      <c r="H47" s="62" t="str">
        <f>IF(H44=0,"",ROUNDUP((H44/H46),0))</f>
        <v/>
      </c>
      <c r="I47" s="260">
        <v>1</v>
      </c>
      <c r="J47" s="261"/>
      <c r="K47" s="62" t="str">
        <f>IF(K44=0,"",ROUNDUP((K44/K46),0))</f>
        <v/>
      </c>
      <c r="L47" s="62" t="str">
        <f t="shared" ref="L47:N47" si="4">IF(L44=0,"",ROUNDUP((L44/L46),0))</f>
        <v/>
      </c>
      <c r="M47" s="62" t="str">
        <f t="shared" si="4"/>
        <v/>
      </c>
      <c r="N47" s="63" t="str">
        <f t="shared" si="4"/>
        <v/>
      </c>
    </row>
    <row r="49" spans="2:14" ht="18" customHeight="1">
      <c r="B49" s="3" t="s">
        <v>37</v>
      </c>
    </row>
    <row r="50" spans="2:14" ht="18" customHeight="1">
      <c r="B50" s="197" t="s">
        <v>19</v>
      </c>
      <c r="C50" s="200" t="s">
        <v>20</v>
      </c>
      <c r="D50" s="201"/>
      <c r="E50" s="202"/>
      <c r="F50" s="209" t="s">
        <v>21</v>
      </c>
      <c r="G50" s="212" t="s">
        <v>22</v>
      </c>
      <c r="H50" s="212"/>
      <c r="I50" s="212"/>
      <c r="J50" s="212"/>
      <c r="K50" s="212"/>
      <c r="L50" s="212"/>
      <c r="M50" s="212"/>
      <c r="N50" s="212"/>
    </row>
    <row r="51" spans="2:14" ht="18" customHeight="1">
      <c r="B51" s="198"/>
      <c r="C51" s="203"/>
      <c r="D51" s="204"/>
      <c r="E51" s="205"/>
      <c r="F51" s="210"/>
      <c r="G51" s="4">
        <v>1.5</v>
      </c>
      <c r="H51" s="4">
        <v>2</v>
      </c>
      <c r="I51" s="5">
        <v>2.5</v>
      </c>
      <c r="J51" s="5">
        <v>2.5</v>
      </c>
      <c r="K51" s="5">
        <v>3</v>
      </c>
      <c r="L51" s="5">
        <v>3.5</v>
      </c>
      <c r="M51" s="5">
        <v>4</v>
      </c>
      <c r="N51" s="5">
        <v>4</v>
      </c>
    </row>
    <row r="52" spans="2:14" ht="18" customHeight="1">
      <c r="B52" s="199"/>
      <c r="C52" s="206"/>
      <c r="D52" s="207"/>
      <c r="E52" s="208"/>
      <c r="F52" s="211"/>
      <c r="G52" s="7" t="s">
        <v>24</v>
      </c>
      <c r="H52" s="7" t="s">
        <v>25</v>
      </c>
      <c r="I52" s="7" t="s">
        <v>26</v>
      </c>
      <c r="J52" s="7" t="s">
        <v>27</v>
      </c>
      <c r="K52" s="7" t="s">
        <v>28</v>
      </c>
      <c r="L52" s="7" t="s">
        <v>29</v>
      </c>
      <c r="M52" s="7" t="s">
        <v>30</v>
      </c>
      <c r="N52" s="7" t="s">
        <v>31</v>
      </c>
    </row>
    <row r="53" spans="2:14" ht="18" customHeight="1">
      <c r="B53" s="237" t="s">
        <v>38</v>
      </c>
      <c r="C53" s="238"/>
      <c r="D53" s="238"/>
      <c r="E53" s="239"/>
      <c r="F53" s="9" t="s">
        <v>33</v>
      </c>
      <c r="G53" s="22"/>
      <c r="H53" s="22"/>
      <c r="I53" s="262">
        <v>4.5</v>
      </c>
      <c r="J53" s="263"/>
      <c r="K53" s="22"/>
      <c r="L53" s="22"/>
      <c r="M53" s="22"/>
      <c r="N53" s="22"/>
    </row>
    <row r="54" spans="2:14" ht="18" customHeight="1">
      <c r="B54" s="230" t="s">
        <v>42</v>
      </c>
      <c r="C54" s="231"/>
      <c r="D54" s="231"/>
      <c r="E54" s="231"/>
      <c r="F54" s="231"/>
      <c r="G54" s="231"/>
      <c r="H54" s="231"/>
      <c r="I54" s="232"/>
      <c r="J54" s="10"/>
      <c r="K54" s="10"/>
      <c r="L54" s="10"/>
      <c r="M54" s="10"/>
      <c r="N54" s="10"/>
    </row>
    <row r="55" spans="2:14" ht="18" customHeight="1" thickBot="1">
      <c r="B55" s="240" t="s">
        <v>39</v>
      </c>
      <c r="C55" s="241"/>
      <c r="D55" s="241"/>
      <c r="E55" s="241"/>
      <c r="F55" s="23">
        <v>5.16E-2</v>
      </c>
      <c r="G55" s="16" t="str">
        <f>IF(G53="","",(ROUND((G51*G53)*2*$F$55,1)))</f>
        <v/>
      </c>
      <c r="H55" s="16" t="str">
        <f t="shared" ref="H55:N55" si="5">IF(H53="","",(ROUND((H51*H53)*2*$F$55,1)))</f>
        <v/>
      </c>
      <c r="I55" s="264">
        <f t="shared" si="5"/>
        <v>1.2</v>
      </c>
      <c r="J55" s="265"/>
      <c r="K55" s="16" t="str">
        <f t="shared" si="5"/>
        <v/>
      </c>
      <c r="L55" s="16" t="str">
        <f t="shared" si="5"/>
        <v/>
      </c>
      <c r="M55" s="16" t="str">
        <f t="shared" si="5"/>
        <v/>
      </c>
      <c r="N55" s="16" t="str">
        <f t="shared" si="5"/>
        <v/>
      </c>
    </row>
    <row r="56" spans="2:14" ht="18" customHeight="1" thickTop="1">
      <c r="B56" s="227" t="s">
        <v>40</v>
      </c>
      <c r="C56" s="228"/>
      <c r="D56" s="228"/>
      <c r="E56" s="228"/>
      <c r="F56" s="229"/>
      <c r="G56" s="266">
        <f>SUM(G55:N55)</f>
        <v>1.2</v>
      </c>
      <c r="H56" s="267"/>
      <c r="I56" s="267"/>
      <c r="J56" s="267"/>
      <c r="K56" s="267"/>
      <c r="L56" s="267"/>
      <c r="M56" s="267"/>
      <c r="N56" s="268"/>
    </row>
  </sheetData>
  <mergeCells count="60">
    <mergeCell ref="B36:F37"/>
    <mergeCell ref="Q10:V10"/>
    <mergeCell ref="P10:P12"/>
    <mergeCell ref="Q11:S11"/>
    <mergeCell ref="T11:V11"/>
    <mergeCell ref="G26:N26"/>
    <mergeCell ref="I37:J37"/>
    <mergeCell ref="I25:J25"/>
    <mergeCell ref="G29:N29"/>
    <mergeCell ref="C23:E23"/>
    <mergeCell ref="B26:F26"/>
    <mergeCell ref="B24:F25"/>
    <mergeCell ref="C35:E35"/>
    <mergeCell ref="B29:B31"/>
    <mergeCell ref="C29:E31"/>
    <mergeCell ref="F29:F31"/>
    <mergeCell ref="B56:F56"/>
    <mergeCell ref="B54:I54"/>
    <mergeCell ref="B38:F38"/>
    <mergeCell ref="G38:N38"/>
    <mergeCell ref="B50:B52"/>
    <mergeCell ref="C50:E52"/>
    <mergeCell ref="F50:F52"/>
    <mergeCell ref="G50:N50"/>
    <mergeCell ref="G41:N41"/>
    <mergeCell ref="B47:F47"/>
    <mergeCell ref="B53:E53"/>
    <mergeCell ref="B55:E55"/>
    <mergeCell ref="G56:N56"/>
    <mergeCell ref="I53:J53"/>
    <mergeCell ref="I55:J55"/>
    <mergeCell ref="B41:F43"/>
    <mergeCell ref="C32:E32"/>
    <mergeCell ref="C33:E33"/>
    <mergeCell ref="C34:E34"/>
    <mergeCell ref="B12:F13"/>
    <mergeCell ref="I13:J13"/>
    <mergeCell ref="C20:E20"/>
    <mergeCell ref="C21:E21"/>
    <mergeCell ref="C22:E22"/>
    <mergeCell ref="B14:F14"/>
    <mergeCell ref="G14:N14"/>
    <mergeCell ref="B17:B19"/>
    <mergeCell ref="C17:E19"/>
    <mergeCell ref="F17:F19"/>
    <mergeCell ref="G17:N17"/>
    <mergeCell ref="C11:E11"/>
    <mergeCell ref="B4:B6"/>
    <mergeCell ref="C4:E6"/>
    <mergeCell ref="F4:F6"/>
    <mergeCell ref="G4:N4"/>
    <mergeCell ref="C7:E7"/>
    <mergeCell ref="C8:E8"/>
    <mergeCell ref="C9:E9"/>
    <mergeCell ref="C10:E10"/>
    <mergeCell ref="B44:F45"/>
    <mergeCell ref="I45:J45"/>
    <mergeCell ref="I47:J47"/>
    <mergeCell ref="B46:F46"/>
    <mergeCell ref="I46:J46"/>
  </mergeCells>
  <phoneticPr fontId="1"/>
  <dataValidations count="1">
    <dataValidation type="list" allowBlank="1" showInputMessage="1" showErrorMessage="1" sqref="JB7:JB14 SX7:SX14 ACT7:ACT14 AMP7:AMP14 AWL7:AWL14 BGH7:BGH14 BQD7:BQD14 BZZ7:BZZ14 CJV7:CJV14 CTR7:CTR14 DDN7:DDN14 DNJ7:DNJ14 DXF7:DXF14 EHB7:EHB14 EQX7:EQX14 FAT7:FAT14 FKP7:FKP14 FUL7:FUL14 GEH7:GEH14 GOD7:GOD14 GXZ7:GXZ14 HHV7:HHV14 HRR7:HRR14 IBN7:IBN14 ILJ7:ILJ14 IVF7:IVF14 JFB7:JFB14 JOX7:JOX14 JYT7:JYT14 KIP7:KIP14 KSL7:KSL14 LCH7:LCH14 LMD7:LMD14 LVZ7:LVZ14 MFV7:MFV14 MPR7:MPR14 MZN7:MZN14 NJJ7:NJJ14 NTF7:NTF14 ODB7:ODB14 OMX7:OMX14 OWT7:OWT14 PGP7:PGP14 PQL7:PQL14 QAH7:QAH14 QKD7:QKD14 QTZ7:QTZ14 RDV7:RDV14 RNR7:RNR14 RXN7:RXN14 SHJ7:SHJ14 SRF7:SRF14 TBB7:TBB14 TKX7:TKX14 TUT7:TUT14 UEP7:UEP14 UOL7:UOL14 UYH7:UYH14 VID7:VID14 VRZ7:VRZ14 WBV7:WBV14 WLR7:WLR14 WVN7:WVN14 F65541:F65548 JB65548:JB65555 SX65548:SX65555 ACT65548:ACT65555 AMP65548:AMP65555 AWL65548:AWL65555 BGH65548:BGH65555 BQD65548:BQD65555 BZZ65548:BZZ65555 CJV65548:CJV65555 CTR65548:CTR65555 DDN65548:DDN65555 DNJ65548:DNJ65555 DXF65548:DXF65555 EHB65548:EHB65555 EQX65548:EQX65555 FAT65548:FAT65555 FKP65548:FKP65555 FUL65548:FUL65555 GEH65548:GEH65555 GOD65548:GOD65555 GXZ65548:GXZ65555 HHV65548:HHV65555 HRR65548:HRR65555 IBN65548:IBN65555 ILJ65548:ILJ65555 IVF65548:IVF65555 JFB65548:JFB65555 JOX65548:JOX65555 JYT65548:JYT65555 KIP65548:KIP65555 KSL65548:KSL65555 LCH65548:LCH65555 LMD65548:LMD65555 LVZ65548:LVZ65555 MFV65548:MFV65555 MPR65548:MPR65555 MZN65548:MZN65555 NJJ65548:NJJ65555 NTF65548:NTF65555 ODB65548:ODB65555 OMX65548:OMX65555 OWT65548:OWT65555 PGP65548:PGP65555 PQL65548:PQL65555 QAH65548:QAH65555 QKD65548:QKD65555 QTZ65548:QTZ65555 RDV65548:RDV65555 RNR65548:RNR65555 RXN65548:RXN65555 SHJ65548:SHJ65555 SRF65548:SRF65555 TBB65548:TBB65555 TKX65548:TKX65555 TUT65548:TUT65555 UEP65548:UEP65555 UOL65548:UOL65555 UYH65548:UYH65555 VID65548:VID65555 VRZ65548:VRZ65555 WBV65548:WBV65555 WLR65548:WLR65555 WVN65548:WVN65555 F131077:F131084 JB131084:JB131091 SX131084:SX131091 ACT131084:ACT131091 AMP131084:AMP131091 AWL131084:AWL131091 BGH131084:BGH131091 BQD131084:BQD131091 BZZ131084:BZZ131091 CJV131084:CJV131091 CTR131084:CTR131091 DDN131084:DDN131091 DNJ131084:DNJ131091 DXF131084:DXF131091 EHB131084:EHB131091 EQX131084:EQX131091 FAT131084:FAT131091 FKP131084:FKP131091 FUL131084:FUL131091 GEH131084:GEH131091 GOD131084:GOD131091 GXZ131084:GXZ131091 HHV131084:HHV131091 HRR131084:HRR131091 IBN131084:IBN131091 ILJ131084:ILJ131091 IVF131084:IVF131091 JFB131084:JFB131091 JOX131084:JOX131091 JYT131084:JYT131091 KIP131084:KIP131091 KSL131084:KSL131091 LCH131084:LCH131091 LMD131084:LMD131091 LVZ131084:LVZ131091 MFV131084:MFV131091 MPR131084:MPR131091 MZN131084:MZN131091 NJJ131084:NJJ131091 NTF131084:NTF131091 ODB131084:ODB131091 OMX131084:OMX131091 OWT131084:OWT131091 PGP131084:PGP131091 PQL131084:PQL131091 QAH131084:QAH131091 QKD131084:QKD131091 QTZ131084:QTZ131091 RDV131084:RDV131091 RNR131084:RNR131091 RXN131084:RXN131091 SHJ131084:SHJ131091 SRF131084:SRF131091 TBB131084:TBB131091 TKX131084:TKX131091 TUT131084:TUT131091 UEP131084:UEP131091 UOL131084:UOL131091 UYH131084:UYH131091 VID131084:VID131091 VRZ131084:VRZ131091 WBV131084:WBV131091 WLR131084:WLR131091 WVN131084:WVN131091 F196613:F196620 JB196620:JB196627 SX196620:SX196627 ACT196620:ACT196627 AMP196620:AMP196627 AWL196620:AWL196627 BGH196620:BGH196627 BQD196620:BQD196627 BZZ196620:BZZ196627 CJV196620:CJV196627 CTR196620:CTR196627 DDN196620:DDN196627 DNJ196620:DNJ196627 DXF196620:DXF196627 EHB196620:EHB196627 EQX196620:EQX196627 FAT196620:FAT196627 FKP196620:FKP196627 FUL196620:FUL196627 GEH196620:GEH196627 GOD196620:GOD196627 GXZ196620:GXZ196627 HHV196620:HHV196627 HRR196620:HRR196627 IBN196620:IBN196627 ILJ196620:ILJ196627 IVF196620:IVF196627 JFB196620:JFB196627 JOX196620:JOX196627 JYT196620:JYT196627 KIP196620:KIP196627 KSL196620:KSL196627 LCH196620:LCH196627 LMD196620:LMD196627 LVZ196620:LVZ196627 MFV196620:MFV196627 MPR196620:MPR196627 MZN196620:MZN196627 NJJ196620:NJJ196627 NTF196620:NTF196627 ODB196620:ODB196627 OMX196620:OMX196627 OWT196620:OWT196627 PGP196620:PGP196627 PQL196620:PQL196627 QAH196620:QAH196627 QKD196620:QKD196627 QTZ196620:QTZ196627 RDV196620:RDV196627 RNR196620:RNR196627 RXN196620:RXN196627 SHJ196620:SHJ196627 SRF196620:SRF196627 TBB196620:TBB196627 TKX196620:TKX196627 TUT196620:TUT196627 UEP196620:UEP196627 UOL196620:UOL196627 UYH196620:UYH196627 VID196620:VID196627 VRZ196620:VRZ196627 WBV196620:WBV196627 WLR196620:WLR196627 WVN196620:WVN196627 F262149:F262156 JB262156:JB262163 SX262156:SX262163 ACT262156:ACT262163 AMP262156:AMP262163 AWL262156:AWL262163 BGH262156:BGH262163 BQD262156:BQD262163 BZZ262156:BZZ262163 CJV262156:CJV262163 CTR262156:CTR262163 DDN262156:DDN262163 DNJ262156:DNJ262163 DXF262156:DXF262163 EHB262156:EHB262163 EQX262156:EQX262163 FAT262156:FAT262163 FKP262156:FKP262163 FUL262156:FUL262163 GEH262156:GEH262163 GOD262156:GOD262163 GXZ262156:GXZ262163 HHV262156:HHV262163 HRR262156:HRR262163 IBN262156:IBN262163 ILJ262156:ILJ262163 IVF262156:IVF262163 JFB262156:JFB262163 JOX262156:JOX262163 JYT262156:JYT262163 KIP262156:KIP262163 KSL262156:KSL262163 LCH262156:LCH262163 LMD262156:LMD262163 LVZ262156:LVZ262163 MFV262156:MFV262163 MPR262156:MPR262163 MZN262156:MZN262163 NJJ262156:NJJ262163 NTF262156:NTF262163 ODB262156:ODB262163 OMX262156:OMX262163 OWT262156:OWT262163 PGP262156:PGP262163 PQL262156:PQL262163 QAH262156:QAH262163 QKD262156:QKD262163 QTZ262156:QTZ262163 RDV262156:RDV262163 RNR262156:RNR262163 RXN262156:RXN262163 SHJ262156:SHJ262163 SRF262156:SRF262163 TBB262156:TBB262163 TKX262156:TKX262163 TUT262156:TUT262163 UEP262156:UEP262163 UOL262156:UOL262163 UYH262156:UYH262163 VID262156:VID262163 VRZ262156:VRZ262163 WBV262156:WBV262163 WLR262156:WLR262163 WVN262156:WVN262163 F327685:F327692 JB327692:JB327699 SX327692:SX327699 ACT327692:ACT327699 AMP327692:AMP327699 AWL327692:AWL327699 BGH327692:BGH327699 BQD327692:BQD327699 BZZ327692:BZZ327699 CJV327692:CJV327699 CTR327692:CTR327699 DDN327692:DDN327699 DNJ327692:DNJ327699 DXF327692:DXF327699 EHB327692:EHB327699 EQX327692:EQX327699 FAT327692:FAT327699 FKP327692:FKP327699 FUL327692:FUL327699 GEH327692:GEH327699 GOD327692:GOD327699 GXZ327692:GXZ327699 HHV327692:HHV327699 HRR327692:HRR327699 IBN327692:IBN327699 ILJ327692:ILJ327699 IVF327692:IVF327699 JFB327692:JFB327699 JOX327692:JOX327699 JYT327692:JYT327699 KIP327692:KIP327699 KSL327692:KSL327699 LCH327692:LCH327699 LMD327692:LMD327699 LVZ327692:LVZ327699 MFV327692:MFV327699 MPR327692:MPR327699 MZN327692:MZN327699 NJJ327692:NJJ327699 NTF327692:NTF327699 ODB327692:ODB327699 OMX327692:OMX327699 OWT327692:OWT327699 PGP327692:PGP327699 PQL327692:PQL327699 QAH327692:QAH327699 QKD327692:QKD327699 QTZ327692:QTZ327699 RDV327692:RDV327699 RNR327692:RNR327699 RXN327692:RXN327699 SHJ327692:SHJ327699 SRF327692:SRF327699 TBB327692:TBB327699 TKX327692:TKX327699 TUT327692:TUT327699 UEP327692:UEP327699 UOL327692:UOL327699 UYH327692:UYH327699 VID327692:VID327699 VRZ327692:VRZ327699 WBV327692:WBV327699 WLR327692:WLR327699 WVN327692:WVN327699 F393221:F393228 JB393228:JB393235 SX393228:SX393235 ACT393228:ACT393235 AMP393228:AMP393235 AWL393228:AWL393235 BGH393228:BGH393235 BQD393228:BQD393235 BZZ393228:BZZ393235 CJV393228:CJV393235 CTR393228:CTR393235 DDN393228:DDN393235 DNJ393228:DNJ393235 DXF393228:DXF393235 EHB393228:EHB393235 EQX393228:EQX393235 FAT393228:FAT393235 FKP393228:FKP393235 FUL393228:FUL393235 GEH393228:GEH393235 GOD393228:GOD393235 GXZ393228:GXZ393235 HHV393228:HHV393235 HRR393228:HRR393235 IBN393228:IBN393235 ILJ393228:ILJ393235 IVF393228:IVF393235 JFB393228:JFB393235 JOX393228:JOX393235 JYT393228:JYT393235 KIP393228:KIP393235 KSL393228:KSL393235 LCH393228:LCH393235 LMD393228:LMD393235 LVZ393228:LVZ393235 MFV393228:MFV393235 MPR393228:MPR393235 MZN393228:MZN393235 NJJ393228:NJJ393235 NTF393228:NTF393235 ODB393228:ODB393235 OMX393228:OMX393235 OWT393228:OWT393235 PGP393228:PGP393235 PQL393228:PQL393235 QAH393228:QAH393235 QKD393228:QKD393235 QTZ393228:QTZ393235 RDV393228:RDV393235 RNR393228:RNR393235 RXN393228:RXN393235 SHJ393228:SHJ393235 SRF393228:SRF393235 TBB393228:TBB393235 TKX393228:TKX393235 TUT393228:TUT393235 UEP393228:UEP393235 UOL393228:UOL393235 UYH393228:UYH393235 VID393228:VID393235 VRZ393228:VRZ393235 WBV393228:WBV393235 WLR393228:WLR393235 WVN393228:WVN393235 F458757:F458764 JB458764:JB458771 SX458764:SX458771 ACT458764:ACT458771 AMP458764:AMP458771 AWL458764:AWL458771 BGH458764:BGH458771 BQD458764:BQD458771 BZZ458764:BZZ458771 CJV458764:CJV458771 CTR458764:CTR458771 DDN458764:DDN458771 DNJ458764:DNJ458771 DXF458764:DXF458771 EHB458764:EHB458771 EQX458764:EQX458771 FAT458764:FAT458771 FKP458764:FKP458771 FUL458764:FUL458771 GEH458764:GEH458771 GOD458764:GOD458771 GXZ458764:GXZ458771 HHV458764:HHV458771 HRR458764:HRR458771 IBN458764:IBN458771 ILJ458764:ILJ458771 IVF458764:IVF458771 JFB458764:JFB458771 JOX458764:JOX458771 JYT458764:JYT458771 KIP458764:KIP458771 KSL458764:KSL458771 LCH458764:LCH458771 LMD458764:LMD458771 LVZ458764:LVZ458771 MFV458764:MFV458771 MPR458764:MPR458771 MZN458764:MZN458771 NJJ458764:NJJ458771 NTF458764:NTF458771 ODB458764:ODB458771 OMX458764:OMX458771 OWT458764:OWT458771 PGP458764:PGP458771 PQL458764:PQL458771 QAH458764:QAH458771 QKD458764:QKD458771 QTZ458764:QTZ458771 RDV458764:RDV458771 RNR458764:RNR458771 RXN458764:RXN458771 SHJ458764:SHJ458771 SRF458764:SRF458771 TBB458764:TBB458771 TKX458764:TKX458771 TUT458764:TUT458771 UEP458764:UEP458771 UOL458764:UOL458771 UYH458764:UYH458771 VID458764:VID458771 VRZ458764:VRZ458771 WBV458764:WBV458771 WLR458764:WLR458771 WVN458764:WVN458771 F524293:F524300 JB524300:JB524307 SX524300:SX524307 ACT524300:ACT524307 AMP524300:AMP524307 AWL524300:AWL524307 BGH524300:BGH524307 BQD524300:BQD524307 BZZ524300:BZZ524307 CJV524300:CJV524307 CTR524300:CTR524307 DDN524300:DDN524307 DNJ524300:DNJ524307 DXF524300:DXF524307 EHB524300:EHB524307 EQX524300:EQX524307 FAT524300:FAT524307 FKP524300:FKP524307 FUL524300:FUL524307 GEH524300:GEH524307 GOD524300:GOD524307 GXZ524300:GXZ524307 HHV524300:HHV524307 HRR524300:HRR524307 IBN524300:IBN524307 ILJ524300:ILJ524307 IVF524300:IVF524307 JFB524300:JFB524307 JOX524300:JOX524307 JYT524300:JYT524307 KIP524300:KIP524307 KSL524300:KSL524307 LCH524300:LCH524307 LMD524300:LMD524307 LVZ524300:LVZ524307 MFV524300:MFV524307 MPR524300:MPR524307 MZN524300:MZN524307 NJJ524300:NJJ524307 NTF524300:NTF524307 ODB524300:ODB524307 OMX524300:OMX524307 OWT524300:OWT524307 PGP524300:PGP524307 PQL524300:PQL524307 QAH524300:QAH524307 QKD524300:QKD524307 QTZ524300:QTZ524307 RDV524300:RDV524307 RNR524300:RNR524307 RXN524300:RXN524307 SHJ524300:SHJ524307 SRF524300:SRF524307 TBB524300:TBB524307 TKX524300:TKX524307 TUT524300:TUT524307 UEP524300:UEP524307 UOL524300:UOL524307 UYH524300:UYH524307 VID524300:VID524307 VRZ524300:VRZ524307 WBV524300:WBV524307 WLR524300:WLR524307 WVN524300:WVN524307 F589829:F589836 JB589836:JB589843 SX589836:SX589843 ACT589836:ACT589843 AMP589836:AMP589843 AWL589836:AWL589843 BGH589836:BGH589843 BQD589836:BQD589843 BZZ589836:BZZ589843 CJV589836:CJV589843 CTR589836:CTR589843 DDN589836:DDN589843 DNJ589836:DNJ589843 DXF589836:DXF589843 EHB589836:EHB589843 EQX589836:EQX589843 FAT589836:FAT589843 FKP589836:FKP589843 FUL589836:FUL589843 GEH589836:GEH589843 GOD589836:GOD589843 GXZ589836:GXZ589843 HHV589836:HHV589843 HRR589836:HRR589843 IBN589836:IBN589843 ILJ589836:ILJ589843 IVF589836:IVF589843 JFB589836:JFB589843 JOX589836:JOX589843 JYT589836:JYT589843 KIP589836:KIP589843 KSL589836:KSL589843 LCH589836:LCH589843 LMD589836:LMD589843 LVZ589836:LVZ589843 MFV589836:MFV589843 MPR589836:MPR589843 MZN589836:MZN589843 NJJ589836:NJJ589843 NTF589836:NTF589843 ODB589836:ODB589843 OMX589836:OMX589843 OWT589836:OWT589843 PGP589836:PGP589843 PQL589836:PQL589843 QAH589836:QAH589843 QKD589836:QKD589843 QTZ589836:QTZ589843 RDV589836:RDV589843 RNR589836:RNR589843 RXN589836:RXN589843 SHJ589836:SHJ589843 SRF589836:SRF589843 TBB589836:TBB589843 TKX589836:TKX589843 TUT589836:TUT589843 UEP589836:UEP589843 UOL589836:UOL589843 UYH589836:UYH589843 VID589836:VID589843 VRZ589836:VRZ589843 WBV589836:WBV589843 WLR589836:WLR589843 WVN589836:WVN589843 F655365:F655372 JB655372:JB655379 SX655372:SX655379 ACT655372:ACT655379 AMP655372:AMP655379 AWL655372:AWL655379 BGH655372:BGH655379 BQD655372:BQD655379 BZZ655372:BZZ655379 CJV655372:CJV655379 CTR655372:CTR655379 DDN655372:DDN655379 DNJ655372:DNJ655379 DXF655372:DXF655379 EHB655372:EHB655379 EQX655372:EQX655379 FAT655372:FAT655379 FKP655372:FKP655379 FUL655372:FUL655379 GEH655372:GEH655379 GOD655372:GOD655379 GXZ655372:GXZ655379 HHV655372:HHV655379 HRR655372:HRR655379 IBN655372:IBN655379 ILJ655372:ILJ655379 IVF655372:IVF655379 JFB655372:JFB655379 JOX655372:JOX655379 JYT655372:JYT655379 KIP655372:KIP655379 KSL655372:KSL655379 LCH655372:LCH655379 LMD655372:LMD655379 LVZ655372:LVZ655379 MFV655372:MFV655379 MPR655372:MPR655379 MZN655372:MZN655379 NJJ655372:NJJ655379 NTF655372:NTF655379 ODB655372:ODB655379 OMX655372:OMX655379 OWT655372:OWT655379 PGP655372:PGP655379 PQL655372:PQL655379 QAH655372:QAH655379 QKD655372:QKD655379 QTZ655372:QTZ655379 RDV655372:RDV655379 RNR655372:RNR655379 RXN655372:RXN655379 SHJ655372:SHJ655379 SRF655372:SRF655379 TBB655372:TBB655379 TKX655372:TKX655379 TUT655372:TUT655379 UEP655372:UEP655379 UOL655372:UOL655379 UYH655372:UYH655379 VID655372:VID655379 VRZ655372:VRZ655379 WBV655372:WBV655379 WLR655372:WLR655379 WVN655372:WVN655379 F720901:F720908 JB720908:JB720915 SX720908:SX720915 ACT720908:ACT720915 AMP720908:AMP720915 AWL720908:AWL720915 BGH720908:BGH720915 BQD720908:BQD720915 BZZ720908:BZZ720915 CJV720908:CJV720915 CTR720908:CTR720915 DDN720908:DDN720915 DNJ720908:DNJ720915 DXF720908:DXF720915 EHB720908:EHB720915 EQX720908:EQX720915 FAT720908:FAT720915 FKP720908:FKP720915 FUL720908:FUL720915 GEH720908:GEH720915 GOD720908:GOD720915 GXZ720908:GXZ720915 HHV720908:HHV720915 HRR720908:HRR720915 IBN720908:IBN720915 ILJ720908:ILJ720915 IVF720908:IVF720915 JFB720908:JFB720915 JOX720908:JOX720915 JYT720908:JYT720915 KIP720908:KIP720915 KSL720908:KSL720915 LCH720908:LCH720915 LMD720908:LMD720915 LVZ720908:LVZ720915 MFV720908:MFV720915 MPR720908:MPR720915 MZN720908:MZN720915 NJJ720908:NJJ720915 NTF720908:NTF720915 ODB720908:ODB720915 OMX720908:OMX720915 OWT720908:OWT720915 PGP720908:PGP720915 PQL720908:PQL720915 QAH720908:QAH720915 QKD720908:QKD720915 QTZ720908:QTZ720915 RDV720908:RDV720915 RNR720908:RNR720915 RXN720908:RXN720915 SHJ720908:SHJ720915 SRF720908:SRF720915 TBB720908:TBB720915 TKX720908:TKX720915 TUT720908:TUT720915 UEP720908:UEP720915 UOL720908:UOL720915 UYH720908:UYH720915 VID720908:VID720915 VRZ720908:VRZ720915 WBV720908:WBV720915 WLR720908:WLR720915 WVN720908:WVN720915 F786437:F786444 JB786444:JB786451 SX786444:SX786451 ACT786444:ACT786451 AMP786444:AMP786451 AWL786444:AWL786451 BGH786444:BGH786451 BQD786444:BQD786451 BZZ786444:BZZ786451 CJV786444:CJV786451 CTR786444:CTR786451 DDN786444:DDN786451 DNJ786444:DNJ786451 DXF786444:DXF786451 EHB786444:EHB786451 EQX786444:EQX786451 FAT786444:FAT786451 FKP786444:FKP786451 FUL786444:FUL786451 GEH786444:GEH786451 GOD786444:GOD786451 GXZ786444:GXZ786451 HHV786444:HHV786451 HRR786444:HRR786451 IBN786444:IBN786451 ILJ786444:ILJ786451 IVF786444:IVF786451 JFB786444:JFB786451 JOX786444:JOX786451 JYT786444:JYT786451 KIP786444:KIP786451 KSL786444:KSL786451 LCH786444:LCH786451 LMD786444:LMD786451 LVZ786444:LVZ786451 MFV786444:MFV786451 MPR786444:MPR786451 MZN786444:MZN786451 NJJ786444:NJJ786451 NTF786444:NTF786451 ODB786444:ODB786451 OMX786444:OMX786451 OWT786444:OWT786451 PGP786444:PGP786451 PQL786444:PQL786451 QAH786444:QAH786451 QKD786444:QKD786451 QTZ786444:QTZ786451 RDV786444:RDV786451 RNR786444:RNR786451 RXN786444:RXN786451 SHJ786444:SHJ786451 SRF786444:SRF786451 TBB786444:TBB786451 TKX786444:TKX786451 TUT786444:TUT786451 UEP786444:UEP786451 UOL786444:UOL786451 UYH786444:UYH786451 VID786444:VID786451 VRZ786444:VRZ786451 WBV786444:WBV786451 WLR786444:WLR786451 WVN786444:WVN786451 F851973:F851980 JB851980:JB851987 SX851980:SX851987 ACT851980:ACT851987 AMP851980:AMP851987 AWL851980:AWL851987 BGH851980:BGH851987 BQD851980:BQD851987 BZZ851980:BZZ851987 CJV851980:CJV851987 CTR851980:CTR851987 DDN851980:DDN851987 DNJ851980:DNJ851987 DXF851980:DXF851987 EHB851980:EHB851987 EQX851980:EQX851987 FAT851980:FAT851987 FKP851980:FKP851987 FUL851980:FUL851987 GEH851980:GEH851987 GOD851980:GOD851987 GXZ851980:GXZ851987 HHV851980:HHV851987 HRR851980:HRR851987 IBN851980:IBN851987 ILJ851980:ILJ851987 IVF851980:IVF851987 JFB851980:JFB851987 JOX851980:JOX851987 JYT851980:JYT851987 KIP851980:KIP851987 KSL851980:KSL851987 LCH851980:LCH851987 LMD851980:LMD851987 LVZ851980:LVZ851987 MFV851980:MFV851987 MPR851980:MPR851987 MZN851980:MZN851987 NJJ851980:NJJ851987 NTF851980:NTF851987 ODB851980:ODB851987 OMX851980:OMX851987 OWT851980:OWT851987 PGP851980:PGP851987 PQL851980:PQL851987 QAH851980:QAH851987 QKD851980:QKD851987 QTZ851980:QTZ851987 RDV851980:RDV851987 RNR851980:RNR851987 RXN851980:RXN851987 SHJ851980:SHJ851987 SRF851980:SRF851987 TBB851980:TBB851987 TKX851980:TKX851987 TUT851980:TUT851987 UEP851980:UEP851987 UOL851980:UOL851987 UYH851980:UYH851987 VID851980:VID851987 VRZ851980:VRZ851987 WBV851980:WBV851987 WLR851980:WLR851987 WVN851980:WVN851987 F917509:F917516 JB917516:JB917523 SX917516:SX917523 ACT917516:ACT917523 AMP917516:AMP917523 AWL917516:AWL917523 BGH917516:BGH917523 BQD917516:BQD917523 BZZ917516:BZZ917523 CJV917516:CJV917523 CTR917516:CTR917523 DDN917516:DDN917523 DNJ917516:DNJ917523 DXF917516:DXF917523 EHB917516:EHB917523 EQX917516:EQX917523 FAT917516:FAT917523 FKP917516:FKP917523 FUL917516:FUL917523 GEH917516:GEH917523 GOD917516:GOD917523 GXZ917516:GXZ917523 HHV917516:HHV917523 HRR917516:HRR917523 IBN917516:IBN917523 ILJ917516:ILJ917523 IVF917516:IVF917523 JFB917516:JFB917523 JOX917516:JOX917523 JYT917516:JYT917523 KIP917516:KIP917523 KSL917516:KSL917523 LCH917516:LCH917523 LMD917516:LMD917523 LVZ917516:LVZ917523 MFV917516:MFV917523 MPR917516:MPR917523 MZN917516:MZN917523 NJJ917516:NJJ917523 NTF917516:NTF917523 ODB917516:ODB917523 OMX917516:OMX917523 OWT917516:OWT917523 PGP917516:PGP917523 PQL917516:PQL917523 QAH917516:QAH917523 QKD917516:QKD917523 QTZ917516:QTZ917523 RDV917516:RDV917523 RNR917516:RNR917523 RXN917516:RXN917523 SHJ917516:SHJ917523 SRF917516:SRF917523 TBB917516:TBB917523 TKX917516:TKX917523 TUT917516:TUT917523 UEP917516:UEP917523 UOL917516:UOL917523 UYH917516:UYH917523 VID917516:VID917523 VRZ917516:VRZ917523 WBV917516:WBV917523 WLR917516:WLR917523 WVN917516:WVN917523 F983045:F983052 JB983052:JB983059 SX983052:SX983059 ACT983052:ACT983059 AMP983052:AMP983059 AWL983052:AWL983059 BGH983052:BGH983059 BQD983052:BQD983059 BZZ983052:BZZ983059 CJV983052:CJV983059 CTR983052:CTR983059 DDN983052:DDN983059 DNJ983052:DNJ983059 DXF983052:DXF983059 EHB983052:EHB983059 EQX983052:EQX983059 FAT983052:FAT983059 FKP983052:FKP983059 FUL983052:FUL983059 GEH983052:GEH983059 GOD983052:GOD983059 GXZ983052:GXZ983059 HHV983052:HHV983059 HRR983052:HRR983059 IBN983052:IBN983059 ILJ983052:ILJ983059 IVF983052:IVF983059 JFB983052:JFB983059 JOX983052:JOX983059 JYT983052:JYT983059 KIP983052:KIP983059 KSL983052:KSL983059 LCH983052:LCH983059 LMD983052:LMD983059 LVZ983052:LVZ983059 MFV983052:MFV983059 MPR983052:MPR983059 MZN983052:MZN983059 NJJ983052:NJJ983059 NTF983052:NTF983059 ODB983052:ODB983059 OMX983052:OMX983059 OWT983052:OWT983059 PGP983052:PGP983059 PQL983052:PQL983059 QAH983052:QAH983059 QKD983052:QKD983059 QTZ983052:QTZ983059 RDV983052:RDV983059 RNR983052:RNR983059 RXN983052:RXN983059 SHJ983052:SHJ983059 SRF983052:SRF983059 TBB983052:TBB983059 TKX983052:TKX983059 TUT983052:TUT983059 UEP983052:UEP983059 UOL983052:UOL983059 UYH983052:UYH983059 VID983052:VID983059 VRZ983052:VRZ983059 WBV983052:WBV983059 WLR983052:WLR983059 WVN983052:WVN983059 F65556:F65563 JB65563:JB65570 SX65563:SX65570 ACT65563:ACT65570 AMP65563:AMP65570 AWL65563:AWL65570 BGH65563:BGH65570 BQD65563:BQD65570 BZZ65563:BZZ65570 CJV65563:CJV65570 CTR65563:CTR65570 DDN65563:DDN65570 DNJ65563:DNJ65570 DXF65563:DXF65570 EHB65563:EHB65570 EQX65563:EQX65570 FAT65563:FAT65570 FKP65563:FKP65570 FUL65563:FUL65570 GEH65563:GEH65570 GOD65563:GOD65570 GXZ65563:GXZ65570 HHV65563:HHV65570 HRR65563:HRR65570 IBN65563:IBN65570 ILJ65563:ILJ65570 IVF65563:IVF65570 JFB65563:JFB65570 JOX65563:JOX65570 JYT65563:JYT65570 KIP65563:KIP65570 KSL65563:KSL65570 LCH65563:LCH65570 LMD65563:LMD65570 LVZ65563:LVZ65570 MFV65563:MFV65570 MPR65563:MPR65570 MZN65563:MZN65570 NJJ65563:NJJ65570 NTF65563:NTF65570 ODB65563:ODB65570 OMX65563:OMX65570 OWT65563:OWT65570 PGP65563:PGP65570 PQL65563:PQL65570 QAH65563:QAH65570 QKD65563:QKD65570 QTZ65563:QTZ65570 RDV65563:RDV65570 RNR65563:RNR65570 RXN65563:RXN65570 SHJ65563:SHJ65570 SRF65563:SRF65570 TBB65563:TBB65570 TKX65563:TKX65570 TUT65563:TUT65570 UEP65563:UEP65570 UOL65563:UOL65570 UYH65563:UYH65570 VID65563:VID65570 VRZ65563:VRZ65570 WBV65563:WBV65570 WLR65563:WLR65570 WVN65563:WVN65570 F131092:F131099 JB131099:JB131106 SX131099:SX131106 ACT131099:ACT131106 AMP131099:AMP131106 AWL131099:AWL131106 BGH131099:BGH131106 BQD131099:BQD131106 BZZ131099:BZZ131106 CJV131099:CJV131106 CTR131099:CTR131106 DDN131099:DDN131106 DNJ131099:DNJ131106 DXF131099:DXF131106 EHB131099:EHB131106 EQX131099:EQX131106 FAT131099:FAT131106 FKP131099:FKP131106 FUL131099:FUL131106 GEH131099:GEH131106 GOD131099:GOD131106 GXZ131099:GXZ131106 HHV131099:HHV131106 HRR131099:HRR131106 IBN131099:IBN131106 ILJ131099:ILJ131106 IVF131099:IVF131106 JFB131099:JFB131106 JOX131099:JOX131106 JYT131099:JYT131106 KIP131099:KIP131106 KSL131099:KSL131106 LCH131099:LCH131106 LMD131099:LMD131106 LVZ131099:LVZ131106 MFV131099:MFV131106 MPR131099:MPR131106 MZN131099:MZN131106 NJJ131099:NJJ131106 NTF131099:NTF131106 ODB131099:ODB131106 OMX131099:OMX131106 OWT131099:OWT131106 PGP131099:PGP131106 PQL131099:PQL131106 QAH131099:QAH131106 QKD131099:QKD131106 QTZ131099:QTZ131106 RDV131099:RDV131106 RNR131099:RNR131106 RXN131099:RXN131106 SHJ131099:SHJ131106 SRF131099:SRF131106 TBB131099:TBB131106 TKX131099:TKX131106 TUT131099:TUT131106 UEP131099:UEP131106 UOL131099:UOL131106 UYH131099:UYH131106 VID131099:VID131106 VRZ131099:VRZ131106 WBV131099:WBV131106 WLR131099:WLR131106 WVN131099:WVN131106 F196628:F196635 JB196635:JB196642 SX196635:SX196642 ACT196635:ACT196642 AMP196635:AMP196642 AWL196635:AWL196642 BGH196635:BGH196642 BQD196635:BQD196642 BZZ196635:BZZ196642 CJV196635:CJV196642 CTR196635:CTR196642 DDN196635:DDN196642 DNJ196635:DNJ196642 DXF196635:DXF196642 EHB196635:EHB196642 EQX196635:EQX196642 FAT196635:FAT196642 FKP196635:FKP196642 FUL196635:FUL196642 GEH196635:GEH196642 GOD196635:GOD196642 GXZ196635:GXZ196642 HHV196635:HHV196642 HRR196635:HRR196642 IBN196635:IBN196642 ILJ196635:ILJ196642 IVF196635:IVF196642 JFB196635:JFB196642 JOX196635:JOX196642 JYT196635:JYT196642 KIP196635:KIP196642 KSL196635:KSL196642 LCH196635:LCH196642 LMD196635:LMD196642 LVZ196635:LVZ196642 MFV196635:MFV196642 MPR196635:MPR196642 MZN196635:MZN196642 NJJ196635:NJJ196642 NTF196635:NTF196642 ODB196635:ODB196642 OMX196635:OMX196642 OWT196635:OWT196642 PGP196635:PGP196642 PQL196635:PQL196642 QAH196635:QAH196642 QKD196635:QKD196642 QTZ196635:QTZ196642 RDV196635:RDV196642 RNR196635:RNR196642 RXN196635:RXN196642 SHJ196635:SHJ196642 SRF196635:SRF196642 TBB196635:TBB196642 TKX196635:TKX196642 TUT196635:TUT196642 UEP196635:UEP196642 UOL196635:UOL196642 UYH196635:UYH196642 VID196635:VID196642 VRZ196635:VRZ196642 WBV196635:WBV196642 WLR196635:WLR196642 WVN196635:WVN196642 F262164:F262171 JB262171:JB262178 SX262171:SX262178 ACT262171:ACT262178 AMP262171:AMP262178 AWL262171:AWL262178 BGH262171:BGH262178 BQD262171:BQD262178 BZZ262171:BZZ262178 CJV262171:CJV262178 CTR262171:CTR262178 DDN262171:DDN262178 DNJ262171:DNJ262178 DXF262171:DXF262178 EHB262171:EHB262178 EQX262171:EQX262178 FAT262171:FAT262178 FKP262171:FKP262178 FUL262171:FUL262178 GEH262171:GEH262178 GOD262171:GOD262178 GXZ262171:GXZ262178 HHV262171:HHV262178 HRR262171:HRR262178 IBN262171:IBN262178 ILJ262171:ILJ262178 IVF262171:IVF262178 JFB262171:JFB262178 JOX262171:JOX262178 JYT262171:JYT262178 KIP262171:KIP262178 KSL262171:KSL262178 LCH262171:LCH262178 LMD262171:LMD262178 LVZ262171:LVZ262178 MFV262171:MFV262178 MPR262171:MPR262178 MZN262171:MZN262178 NJJ262171:NJJ262178 NTF262171:NTF262178 ODB262171:ODB262178 OMX262171:OMX262178 OWT262171:OWT262178 PGP262171:PGP262178 PQL262171:PQL262178 QAH262171:QAH262178 QKD262171:QKD262178 QTZ262171:QTZ262178 RDV262171:RDV262178 RNR262171:RNR262178 RXN262171:RXN262178 SHJ262171:SHJ262178 SRF262171:SRF262178 TBB262171:TBB262178 TKX262171:TKX262178 TUT262171:TUT262178 UEP262171:UEP262178 UOL262171:UOL262178 UYH262171:UYH262178 VID262171:VID262178 VRZ262171:VRZ262178 WBV262171:WBV262178 WLR262171:WLR262178 WVN262171:WVN262178 F327700:F327707 JB327707:JB327714 SX327707:SX327714 ACT327707:ACT327714 AMP327707:AMP327714 AWL327707:AWL327714 BGH327707:BGH327714 BQD327707:BQD327714 BZZ327707:BZZ327714 CJV327707:CJV327714 CTR327707:CTR327714 DDN327707:DDN327714 DNJ327707:DNJ327714 DXF327707:DXF327714 EHB327707:EHB327714 EQX327707:EQX327714 FAT327707:FAT327714 FKP327707:FKP327714 FUL327707:FUL327714 GEH327707:GEH327714 GOD327707:GOD327714 GXZ327707:GXZ327714 HHV327707:HHV327714 HRR327707:HRR327714 IBN327707:IBN327714 ILJ327707:ILJ327714 IVF327707:IVF327714 JFB327707:JFB327714 JOX327707:JOX327714 JYT327707:JYT327714 KIP327707:KIP327714 KSL327707:KSL327714 LCH327707:LCH327714 LMD327707:LMD327714 LVZ327707:LVZ327714 MFV327707:MFV327714 MPR327707:MPR327714 MZN327707:MZN327714 NJJ327707:NJJ327714 NTF327707:NTF327714 ODB327707:ODB327714 OMX327707:OMX327714 OWT327707:OWT327714 PGP327707:PGP327714 PQL327707:PQL327714 QAH327707:QAH327714 QKD327707:QKD327714 QTZ327707:QTZ327714 RDV327707:RDV327714 RNR327707:RNR327714 RXN327707:RXN327714 SHJ327707:SHJ327714 SRF327707:SRF327714 TBB327707:TBB327714 TKX327707:TKX327714 TUT327707:TUT327714 UEP327707:UEP327714 UOL327707:UOL327714 UYH327707:UYH327714 VID327707:VID327714 VRZ327707:VRZ327714 WBV327707:WBV327714 WLR327707:WLR327714 WVN327707:WVN327714 F393236:F393243 JB393243:JB393250 SX393243:SX393250 ACT393243:ACT393250 AMP393243:AMP393250 AWL393243:AWL393250 BGH393243:BGH393250 BQD393243:BQD393250 BZZ393243:BZZ393250 CJV393243:CJV393250 CTR393243:CTR393250 DDN393243:DDN393250 DNJ393243:DNJ393250 DXF393243:DXF393250 EHB393243:EHB393250 EQX393243:EQX393250 FAT393243:FAT393250 FKP393243:FKP393250 FUL393243:FUL393250 GEH393243:GEH393250 GOD393243:GOD393250 GXZ393243:GXZ393250 HHV393243:HHV393250 HRR393243:HRR393250 IBN393243:IBN393250 ILJ393243:ILJ393250 IVF393243:IVF393250 JFB393243:JFB393250 JOX393243:JOX393250 JYT393243:JYT393250 KIP393243:KIP393250 KSL393243:KSL393250 LCH393243:LCH393250 LMD393243:LMD393250 LVZ393243:LVZ393250 MFV393243:MFV393250 MPR393243:MPR393250 MZN393243:MZN393250 NJJ393243:NJJ393250 NTF393243:NTF393250 ODB393243:ODB393250 OMX393243:OMX393250 OWT393243:OWT393250 PGP393243:PGP393250 PQL393243:PQL393250 QAH393243:QAH393250 QKD393243:QKD393250 QTZ393243:QTZ393250 RDV393243:RDV393250 RNR393243:RNR393250 RXN393243:RXN393250 SHJ393243:SHJ393250 SRF393243:SRF393250 TBB393243:TBB393250 TKX393243:TKX393250 TUT393243:TUT393250 UEP393243:UEP393250 UOL393243:UOL393250 UYH393243:UYH393250 VID393243:VID393250 VRZ393243:VRZ393250 WBV393243:WBV393250 WLR393243:WLR393250 WVN393243:WVN393250 F458772:F458779 JB458779:JB458786 SX458779:SX458786 ACT458779:ACT458786 AMP458779:AMP458786 AWL458779:AWL458786 BGH458779:BGH458786 BQD458779:BQD458786 BZZ458779:BZZ458786 CJV458779:CJV458786 CTR458779:CTR458786 DDN458779:DDN458786 DNJ458779:DNJ458786 DXF458779:DXF458786 EHB458779:EHB458786 EQX458779:EQX458786 FAT458779:FAT458786 FKP458779:FKP458786 FUL458779:FUL458786 GEH458779:GEH458786 GOD458779:GOD458786 GXZ458779:GXZ458786 HHV458779:HHV458786 HRR458779:HRR458786 IBN458779:IBN458786 ILJ458779:ILJ458786 IVF458779:IVF458786 JFB458779:JFB458786 JOX458779:JOX458786 JYT458779:JYT458786 KIP458779:KIP458786 KSL458779:KSL458786 LCH458779:LCH458786 LMD458779:LMD458786 LVZ458779:LVZ458786 MFV458779:MFV458786 MPR458779:MPR458786 MZN458779:MZN458786 NJJ458779:NJJ458786 NTF458779:NTF458786 ODB458779:ODB458786 OMX458779:OMX458786 OWT458779:OWT458786 PGP458779:PGP458786 PQL458779:PQL458786 QAH458779:QAH458786 QKD458779:QKD458786 QTZ458779:QTZ458786 RDV458779:RDV458786 RNR458779:RNR458786 RXN458779:RXN458786 SHJ458779:SHJ458786 SRF458779:SRF458786 TBB458779:TBB458786 TKX458779:TKX458786 TUT458779:TUT458786 UEP458779:UEP458786 UOL458779:UOL458786 UYH458779:UYH458786 VID458779:VID458786 VRZ458779:VRZ458786 WBV458779:WBV458786 WLR458779:WLR458786 WVN458779:WVN458786 F524308:F524315 JB524315:JB524322 SX524315:SX524322 ACT524315:ACT524322 AMP524315:AMP524322 AWL524315:AWL524322 BGH524315:BGH524322 BQD524315:BQD524322 BZZ524315:BZZ524322 CJV524315:CJV524322 CTR524315:CTR524322 DDN524315:DDN524322 DNJ524315:DNJ524322 DXF524315:DXF524322 EHB524315:EHB524322 EQX524315:EQX524322 FAT524315:FAT524322 FKP524315:FKP524322 FUL524315:FUL524322 GEH524315:GEH524322 GOD524315:GOD524322 GXZ524315:GXZ524322 HHV524315:HHV524322 HRR524315:HRR524322 IBN524315:IBN524322 ILJ524315:ILJ524322 IVF524315:IVF524322 JFB524315:JFB524322 JOX524315:JOX524322 JYT524315:JYT524322 KIP524315:KIP524322 KSL524315:KSL524322 LCH524315:LCH524322 LMD524315:LMD524322 LVZ524315:LVZ524322 MFV524315:MFV524322 MPR524315:MPR524322 MZN524315:MZN524322 NJJ524315:NJJ524322 NTF524315:NTF524322 ODB524315:ODB524322 OMX524315:OMX524322 OWT524315:OWT524322 PGP524315:PGP524322 PQL524315:PQL524322 QAH524315:QAH524322 QKD524315:QKD524322 QTZ524315:QTZ524322 RDV524315:RDV524322 RNR524315:RNR524322 RXN524315:RXN524322 SHJ524315:SHJ524322 SRF524315:SRF524322 TBB524315:TBB524322 TKX524315:TKX524322 TUT524315:TUT524322 UEP524315:UEP524322 UOL524315:UOL524322 UYH524315:UYH524322 VID524315:VID524322 VRZ524315:VRZ524322 WBV524315:WBV524322 WLR524315:WLR524322 WVN524315:WVN524322 F589844:F589851 JB589851:JB589858 SX589851:SX589858 ACT589851:ACT589858 AMP589851:AMP589858 AWL589851:AWL589858 BGH589851:BGH589858 BQD589851:BQD589858 BZZ589851:BZZ589858 CJV589851:CJV589858 CTR589851:CTR589858 DDN589851:DDN589858 DNJ589851:DNJ589858 DXF589851:DXF589858 EHB589851:EHB589858 EQX589851:EQX589858 FAT589851:FAT589858 FKP589851:FKP589858 FUL589851:FUL589858 GEH589851:GEH589858 GOD589851:GOD589858 GXZ589851:GXZ589858 HHV589851:HHV589858 HRR589851:HRR589858 IBN589851:IBN589858 ILJ589851:ILJ589858 IVF589851:IVF589858 JFB589851:JFB589858 JOX589851:JOX589858 JYT589851:JYT589858 KIP589851:KIP589858 KSL589851:KSL589858 LCH589851:LCH589858 LMD589851:LMD589858 LVZ589851:LVZ589858 MFV589851:MFV589858 MPR589851:MPR589858 MZN589851:MZN589858 NJJ589851:NJJ589858 NTF589851:NTF589858 ODB589851:ODB589858 OMX589851:OMX589858 OWT589851:OWT589858 PGP589851:PGP589858 PQL589851:PQL589858 QAH589851:QAH589858 QKD589851:QKD589858 QTZ589851:QTZ589858 RDV589851:RDV589858 RNR589851:RNR589858 RXN589851:RXN589858 SHJ589851:SHJ589858 SRF589851:SRF589858 TBB589851:TBB589858 TKX589851:TKX589858 TUT589851:TUT589858 UEP589851:UEP589858 UOL589851:UOL589858 UYH589851:UYH589858 VID589851:VID589858 VRZ589851:VRZ589858 WBV589851:WBV589858 WLR589851:WLR589858 WVN589851:WVN589858 F655380:F655387 JB655387:JB655394 SX655387:SX655394 ACT655387:ACT655394 AMP655387:AMP655394 AWL655387:AWL655394 BGH655387:BGH655394 BQD655387:BQD655394 BZZ655387:BZZ655394 CJV655387:CJV655394 CTR655387:CTR655394 DDN655387:DDN655394 DNJ655387:DNJ655394 DXF655387:DXF655394 EHB655387:EHB655394 EQX655387:EQX655394 FAT655387:FAT655394 FKP655387:FKP655394 FUL655387:FUL655394 GEH655387:GEH655394 GOD655387:GOD655394 GXZ655387:GXZ655394 HHV655387:HHV655394 HRR655387:HRR655394 IBN655387:IBN655394 ILJ655387:ILJ655394 IVF655387:IVF655394 JFB655387:JFB655394 JOX655387:JOX655394 JYT655387:JYT655394 KIP655387:KIP655394 KSL655387:KSL655394 LCH655387:LCH655394 LMD655387:LMD655394 LVZ655387:LVZ655394 MFV655387:MFV655394 MPR655387:MPR655394 MZN655387:MZN655394 NJJ655387:NJJ655394 NTF655387:NTF655394 ODB655387:ODB655394 OMX655387:OMX655394 OWT655387:OWT655394 PGP655387:PGP655394 PQL655387:PQL655394 QAH655387:QAH655394 QKD655387:QKD655394 QTZ655387:QTZ655394 RDV655387:RDV655394 RNR655387:RNR655394 RXN655387:RXN655394 SHJ655387:SHJ655394 SRF655387:SRF655394 TBB655387:TBB655394 TKX655387:TKX655394 TUT655387:TUT655394 UEP655387:UEP655394 UOL655387:UOL655394 UYH655387:UYH655394 VID655387:VID655394 VRZ655387:VRZ655394 WBV655387:WBV655394 WLR655387:WLR655394 WVN655387:WVN655394 F720916:F720923 JB720923:JB720930 SX720923:SX720930 ACT720923:ACT720930 AMP720923:AMP720930 AWL720923:AWL720930 BGH720923:BGH720930 BQD720923:BQD720930 BZZ720923:BZZ720930 CJV720923:CJV720930 CTR720923:CTR720930 DDN720923:DDN720930 DNJ720923:DNJ720930 DXF720923:DXF720930 EHB720923:EHB720930 EQX720923:EQX720930 FAT720923:FAT720930 FKP720923:FKP720930 FUL720923:FUL720930 GEH720923:GEH720930 GOD720923:GOD720930 GXZ720923:GXZ720930 HHV720923:HHV720930 HRR720923:HRR720930 IBN720923:IBN720930 ILJ720923:ILJ720930 IVF720923:IVF720930 JFB720923:JFB720930 JOX720923:JOX720930 JYT720923:JYT720930 KIP720923:KIP720930 KSL720923:KSL720930 LCH720923:LCH720930 LMD720923:LMD720930 LVZ720923:LVZ720930 MFV720923:MFV720930 MPR720923:MPR720930 MZN720923:MZN720930 NJJ720923:NJJ720930 NTF720923:NTF720930 ODB720923:ODB720930 OMX720923:OMX720930 OWT720923:OWT720930 PGP720923:PGP720930 PQL720923:PQL720930 QAH720923:QAH720930 QKD720923:QKD720930 QTZ720923:QTZ720930 RDV720923:RDV720930 RNR720923:RNR720930 RXN720923:RXN720930 SHJ720923:SHJ720930 SRF720923:SRF720930 TBB720923:TBB720930 TKX720923:TKX720930 TUT720923:TUT720930 UEP720923:UEP720930 UOL720923:UOL720930 UYH720923:UYH720930 VID720923:VID720930 VRZ720923:VRZ720930 WBV720923:WBV720930 WLR720923:WLR720930 WVN720923:WVN720930 F786452:F786459 JB786459:JB786466 SX786459:SX786466 ACT786459:ACT786466 AMP786459:AMP786466 AWL786459:AWL786466 BGH786459:BGH786466 BQD786459:BQD786466 BZZ786459:BZZ786466 CJV786459:CJV786466 CTR786459:CTR786466 DDN786459:DDN786466 DNJ786459:DNJ786466 DXF786459:DXF786466 EHB786459:EHB786466 EQX786459:EQX786466 FAT786459:FAT786466 FKP786459:FKP786466 FUL786459:FUL786466 GEH786459:GEH786466 GOD786459:GOD786466 GXZ786459:GXZ786466 HHV786459:HHV786466 HRR786459:HRR786466 IBN786459:IBN786466 ILJ786459:ILJ786466 IVF786459:IVF786466 JFB786459:JFB786466 JOX786459:JOX786466 JYT786459:JYT786466 KIP786459:KIP786466 KSL786459:KSL786466 LCH786459:LCH786466 LMD786459:LMD786466 LVZ786459:LVZ786466 MFV786459:MFV786466 MPR786459:MPR786466 MZN786459:MZN786466 NJJ786459:NJJ786466 NTF786459:NTF786466 ODB786459:ODB786466 OMX786459:OMX786466 OWT786459:OWT786466 PGP786459:PGP786466 PQL786459:PQL786466 QAH786459:QAH786466 QKD786459:QKD786466 QTZ786459:QTZ786466 RDV786459:RDV786466 RNR786459:RNR786466 RXN786459:RXN786466 SHJ786459:SHJ786466 SRF786459:SRF786466 TBB786459:TBB786466 TKX786459:TKX786466 TUT786459:TUT786466 UEP786459:UEP786466 UOL786459:UOL786466 UYH786459:UYH786466 VID786459:VID786466 VRZ786459:VRZ786466 WBV786459:WBV786466 WLR786459:WLR786466 WVN786459:WVN786466 F851988:F851995 JB851995:JB852002 SX851995:SX852002 ACT851995:ACT852002 AMP851995:AMP852002 AWL851995:AWL852002 BGH851995:BGH852002 BQD851995:BQD852002 BZZ851995:BZZ852002 CJV851995:CJV852002 CTR851995:CTR852002 DDN851995:DDN852002 DNJ851995:DNJ852002 DXF851995:DXF852002 EHB851995:EHB852002 EQX851995:EQX852002 FAT851995:FAT852002 FKP851995:FKP852002 FUL851995:FUL852002 GEH851995:GEH852002 GOD851995:GOD852002 GXZ851995:GXZ852002 HHV851995:HHV852002 HRR851995:HRR852002 IBN851995:IBN852002 ILJ851995:ILJ852002 IVF851995:IVF852002 JFB851995:JFB852002 JOX851995:JOX852002 JYT851995:JYT852002 KIP851995:KIP852002 KSL851995:KSL852002 LCH851995:LCH852002 LMD851995:LMD852002 LVZ851995:LVZ852002 MFV851995:MFV852002 MPR851995:MPR852002 MZN851995:MZN852002 NJJ851995:NJJ852002 NTF851995:NTF852002 ODB851995:ODB852002 OMX851995:OMX852002 OWT851995:OWT852002 PGP851995:PGP852002 PQL851995:PQL852002 QAH851995:QAH852002 QKD851995:QKD852002 QTZ851995:QTZ852002 RDV851995:RDV852002 RNR851995:RNR852002 RXN851995:RXN852002 SHJ851995:SHJ852002 SRF851995:SRF852002 TBB851995:TBB852002 TKX851995:TKX852002 TUT851995:TUT852002 UEP851995:UEP852002 UOL851995:UOL852002 UYH851995:UYH852002 VID851995:VID852002 VRZ851995:VRZ852002 WBV851995:WBV852002 WLR851995:WLR852002 WVN851995:WVN852002 F917524:F917531 JB917531:JB917538 SX917531:SX917538 ACT917531:ACT917538 AMP917531:AMP917538 AWL917531:AWL917538 BGH917531:BGH917538 BQD917531:BQD917538 BZZ917531:BZZ917538 CJV917531:CJV917538 CTR917531:CTR917538 DDN917531:DDN917538 DNJ917531:DNJ917538 DXF917531:DXF917538 EHB917531:EHB917538 EQX917531:EQX917538 FAT917531:FAT917538 FKP917531:FKP917538 FUL917531:FUL917538 GEH917531:GEH917538 GOD917531:GOD917538 GXZ917531:GXZ917538 HHV917531:HHV917538 HRR917531:HRR917538 IBN917531:IBN917538 ILJ917531:ILJ917538 IVF917531:IVF917538 JFB917531:JFB917538 JOX917531:JOX917538 JYT917531:JYT917538 KIP917531:KIP917538 KSL917531:KSL917538 LCH917531:LCH917538 LMD917531:LMD917538 LVZ917531:LVZ917538 MFV917531:MFV917538 MPR917531:MPR917538 MZN917531:MZN917538 NJJ917531:NJJ917538 NTF917531:NTF917538 ODB917531:ODB917538 OMX917531:OMX917538 OWT917531:OWT917538 PGP917531:PGP917538 PQL917531:PQL917538 QAH917531:QAH917538 QKD917531:QKD917538 QTZ917531:QTZ917538 RDV917531:RDV917538 RNR917531:RNR917538 RXN917531:RXN917538 SHJ917531:SHJ917538 SRF917531:SRF917538 TBB917531:TBB917538 TKX917531:TKX917538 TUT917531:TUT917538 UEP917531:UEP917538 UOL917531:UOL917538 UYH917531:UYH917538 VID917531:VID917538 VRZ917531:VRZ917538 WBV917531:WBV917538 WLR917531:WLR917538 WVN917531:WVN917538 F983060:F983067 JB983067:JB983074 SX983067:SX983074 ACT983067:ACT983074 AMP983067:AMP983074 AWL983067:AWL983074 BGH983067:BGH983074 BQD983067:BQD983074 BZZ983067:BZZ983074 CJV983067:CJV983074 CTR983067:CTR983074 DDN983067:DDN983074 DNJ983067:DNJ983074 DXF983067:DXF983074 EHB983067:EHB983074 EQX983067:EQX983074 FAT983067:FAT983074 FKP983067:FKP983074 FUL983067:FUL983074 GEH983067:GEH983074 GOD983067:GOD983074 GXZ983067:GXZ983074 HHV983067:HHV983074 HRR983067:HRR983074 IBN983067:IBN983074 ILJ983067:ILJ983074 IVF983067:IVF983074 JFB983067:JFB983074 JOX983067:JOX983074 JYT983067:JYT983074 KIP983067:KIP983074 KSL983067:KSL983074 LCH983067:LCH983074 LMD983067:LMD983074 LVZ983067:LVZ983074 MFV983067:MFV983074 MPR983067:MPR983074 MZN983067:MZN983074 NJJ983067:NJJ983074 NTF983067:NTF983074 ODB983067:ODB983074 OMX983067:OMX983074 OWT983067:OWT983074 PGP983067:PGP983074 PQL983067:PQL983074 QAH983067:QAH983074 QKD983067:QKD983074 QTZ983067:QTZ983074 RDV983067:RDV983074 RNR983067:RNR983074 RXN983067:RXN983074 SHJ983067:SHJ983074 SRF983067:SRF983074 TBB983067:TBB983074 TKX983067:TKX983074 TUT983067:TUT983074 UEP983067:UEP983074 UOL983067:UOL983074 UYH983067:UYH983074 VID983067:VID983074 VRZ983067:VRZ983074 WBV983067:WBV983074 WLR983067:WLR983074 WVN983067:WVN983074 F65571:F65578 JB65578:JB65585 SX65578:SX65585 ACT65578:ACT65585 AMP65578:AMP65585 AWL65578:AWL65585 BGH65578:BGH65585 BQD65578:BQD65585 BZZ65578:BZZ65585 CJV65578:CJV65585 CTR65578:CTR65585 DDN65578:DDN65585 DNJ65578:DNJ65585 DXF65578:DXF65585 EHB65578:EHB65585 EQX65578:EQX65585 FAT65578:FAT65585 FKP65578:FKP65585 FUL65578:FUL65585 GEH65578:GEH65585 GOD65578:GOD65585 GXZ65578:GXZ65585 HHV65578:HHV65585 HRR65578:HRR65585 IBN65578:IBN65585 ILJ65578:ILJ65585 IVF65578:IVF65585 JFB65578:JFB65585 JOX65578:JOX65585 JYT65578:JYT65585 KIP65578:KIP65585 KSL65578:KSL65585 LCH65578:LCH65585 LMD65578:LMD65585 LVZ65578:LVZ65585 MFV65578:MFV65585 MPR65578:MPR65585 MZN65578:MZN65585 NJJ65578:NJJ65585 NTF65578:NTF65585 ODB65578:ODB65585 OMX65578:OMX65585 OWT65578:OWT65585 PGP65578:PGP65585 PQL65578:PQL65585 QAH65578:QAH65585 QKD65578:QKD65585 QTZ65578:QTZ65585 RDV65578:RDV65585 RNR65578:RNR65585 RXN65578:RXN65585 SHJ65578:SHJ65585 SRF65578:SRF65585 TBB65578:TBB65585 TKX65578:TKX65585 TUT65578:TUT65585 UEP65578:UEP65585 UOL65578:UOL65585 UYH65578:UYH65585 VID65578:VID65585 VRZ65578:VRZ65585 WBV65578:WBV65585 WLR65578:WLR65585 WVN65578:WVN65585 F131107:F131114 JB131114:JB131121 SX131114:SX131121 ACT131114:ACT131121 AMP131114:AMP131121 AWL131114:AWL131121 BGH131114:BGH131121 BQD131114:BQD131121 BZZ131114:BZZ131121 CJV131114:CJV131121 CTR131114:CTR131121 DDN131114:DDN131121 DNJ131114:DNJ131121 DXF131114:DXF131121 EHB131114:EHB131121 EQX131114:EQX131121 FAT131114:FAT131121 FKP131114:FKP131121 FUL131114:FUL131121 GEH131114:GEH131121 GOD131114:GOD131121 GXZ131114:GXZ131121 HHV131114:HHV131121 HRR131114:HRR131121 IBN131114:IBN131121 ILJ131114:ILJ131121 IVF131114:IVF131121 JFB131114:JFB131121 JOX131114:JOX131121 JYT131114:JYT131121 KIP131114:KIP131121 KSL131114:KSL131121 LCH131114:LCH131121 LMD131114:LMD131121 LVZ131114:LVZ131121 MFV131114:MFV131121 MPR131114:MPR131121 MZN131114:MZN131121 NJJ131114:NJJ131121 NTF131114:NTF131121 ODB131114:ODB131121 OMX131114:OMX131121 OWT131114:OWT131121 PGP131114:PGP131121 PQL131114:PQL131121 QAH131114:QAH131121 QKD131114:QKD131121 QTZ131114:QTZ131121 RDV131114:RDV131121 RNR131114:RNR131121 RXN131114:RXN131121 SHJ131114:SHJ131121 SRF131114:SRF131121 TBB131114:TBB131121 TKX131114:TKX131121 TUT131114:TUT131121 UEP131114:UEP131121 UOL131114:UOL131121 UYH131114:UYH131121 VID131114:VID131121 VRZ131114:VRZ131121 WBV131114:WBV131121 WLR131114:WLR131121 WVN131114:WVN131121 F196643:F196650 JB196650:JB196657 SX196650:SX196657 ACT196650:ACT196657 AMP196650:AMP196657 AWL196650:AWL196657 BGH196650:BGH196657 BQD196650:BQD196657 BZZ196650:BZZ196657 CJV196650:CJV196657 CTR196650:CTR196657 DDN196650:DDN196657 DNJ196650:DNJ196657 DXF196650:DXF196657 EHB196650:EHB196657 EQX196650:EQX196657 FAT196650:FAT196657 FKP196650:FKP196657 FUL196650:FUL196657 GEH196650:GEH196657 GOD196650:GOD196657 GXZ196650:GXZ196657 HHV196650:HHV196657 HRR196650:HRR196657 IBN196650:IBN196657 ILJ196650:ILJ196657 IVF196650:IVF196657 JFB196650:JFB196657 JOX196650:JOX196657 JYT196650:JYT196657 KIP196650:KIP196657 KSL196650:KSL196657 LCH196650:LCH196657 LMD196650:LMD196657 LVZ196650:LVZ196657 MFV196650:MFV196657 MPR196650:MPR196657 MZN196650:MZN196657 NJJ196650:NJJ196657 NTF196650:NTF196657 ODB196650:ODB196657 OMX196650:OMX196657 OWT196650:OWT196657 PGP196650:PGP196657 PQL196650:PQL196657 QAH196650:QAH196657 QKD196650:QKD196657 QTZ196650:QTZ196657 RDV196650:RDV196657 RNR196650:RNR196657 RXN196650:RXN196657 SHJ196650:SHJ196657 SRF196650:SRF196657 TBB196650:TBB196657 TKX196650:TKX196657 TUT196650:TUT196657 UEP196650:UEP196657 UOL196650:UOL196657 UYH196650:UYH196657 VID196650:VID196657 VRZ196650:VRZ196657 WBV196650:WBV196657 WLR196650:WLR196657 WVN196650:WVN196657 F262179:F262186 JB262186:JB262193 SX262186:SX262193 ACT262186:ACT262193 AMP262186:AMP262193 AWL262186:AWL262193 BGH262186:BGH262193 BQD262186:BQD262193 BZZ262186:BZZ262193 CJV262186:CJV262193 CTR262186:CTR262193 DDN262186:DDN262193 DNJ262186:DNJ262193 DXF262186:DXF262193 EHB262186:EHB262193 EQX262186:EQX262193 FAT262186:FAT262193 FKP262186:FKP262193 FUL262186:FUL262193 GEH262186:GEH262193 GOD262186:GOD262193 GXZ262186:GXZ262193 HHV262186:HHV262193 HRR262186:HRR262193 IBN262186:IBN262193 ILJ262186:ILJ262193 IVF262186:IVF262193 JFB262186:JFB262193 JOX262186:JOX262193 JYT262186:JYT262193 KIP262186:KIP262193 KSL262186:KSL262193 LCH262186:LCH262193 LMD262186:LMD262193 LVZ262186:LVZ262193 MFV262186:MFV262193 MPR262186:MPR262193 MZN262186:MZN262193 NJJ262186:NJJ262193 NTF262186:NTF262193 ODB262186:ODB262193 OMX262186:OMX262193 OWT262186:OWT262193 PGP262186:PGP262193 PQL262186:PQL262193 QAH262186:QAH262193 QKD262186:QKD262193 QTZ262186:QTZ262193 RDV262186:RDV262193 RNR262186:RNR262193 RXN262186:RXN262193 SHJ262186:SHJ262193 SRF262186:SRF262193 TBB262186:TBB262193 TKX262186:TKX262193 TUT262186:TUT262193 UEP262186:UEP262193 UOL262186:UOL262193 UYH262186:UYH262193 VID262186:VID262193 VRZ262186:VRZ262193 WBV262186:WBV262193 WLR262186:WLR262193 WVN262186:WVN262193 F327715:F327722 JB327722:JB327729 SX327722:SX327729 ACT327722:ACT327729 AMP327722:AMP327729 AWL327722:AWL327729 BGH327722:BGH327729 BQD327722:BQD327729 BZZ327722:BZZ327729 CJV327722:CJV327729 CTR327722:CTR327729 DDN327722:DDN327729 DNJ327722:DNJ327729 DXF327722:DXF327729 EHB327722:EHB327729 EQX327722:EQX327729 FAT327722:FAT327729 FKP327722:FKP327729 FUL327722:FUL327729 GEH327722:GEH327729 GOD327722:GOD327729 GXZ327722:GXZ327729 HHV327722:HHV327729 HRR327722:HRR327729 IBN327722:IBN327729 ILJ327722:ILJ327729 IVF327722:IVF327729 JFB327722:JFB327729 JOX327722:JOX327729 JYT327722:JYT327729 KIP327722:KIP327729 KSL327722:KSL327729 LCH327722:LCH327729 LMD327722:LMD327729 LVZ327722:LVZ327729 MFV327722:MFV327729 MPR327722:MPR327729 MZN327722:MZN327729 NJJ327722:NJJ327729 NTF327722:NTF327729 ODB327722:ODB327729 OMX327722:OMX327729 OWT327722:OWT327729 PGP327722:PGP327729 PQL327722:PQL327729 QAH327722:QAH327729 QKD327722:QKD327729 QTZ327722:QTZ327729 RDV327722:RDV327729 RNR327722:RNR327729 RXN327722:RXN327729 SHJ327722:SHJ327729 SRF327722:SRF327729 TBB327722:TBB327729 TKX327722:TKX327729 TUT327722:TUT327729 UEP327722:UEP327729 UOL327722:UOL327729 UYH327722:UYH327729 VID327722:VID327729 VRZ327722:VRZ327729 WBV327722:WBV327729 WLR327722:WLR327729 WVN327722:WVN327729 F393251:F393258 JB393258:JB393265 SX393258:SX393265 ACT393258:ACT393265 AMP393258:AMP393265 AWL393258:AWL393265 BGH393258:BGH393265 BQD393258:BQD393265 BZZ393258:BZZ393265 CJV393258:CJV393265 CTR393258:CTR393265 DDN393258:DDN393265 DNJ393258:DNJ393265 DXF393258:DXF393265 EHB393258:EHB393265 EQX393258:EQX393265 FAT393258:FAT393265 FKP393258:FKP393265 FUL393258:FUL393265 GEH393258:GEH393265 GOD393258:GOD393265 GXZ393258:GXZ393265 HHV393258:HHV393265 HRR393258:HRR393265 IBN393258:IBN393265 ILJ393258:ILJ393265 IVF393258:IVF393265 JFB393258:JFB393265 JOX393258:JOX393265 JYT393258:JYT393265 KIP393258:KIP393265 KSL393258:KSL393265 LCH393258:LCH393265 LMD393258:LMD393265 LVZ393258:LVZ393265 MFV393258:MFV393265 MPR393258:MPR393265 MZN393258:MZN393265 NJJ393258:NJJ393265 NTF393258:NTF393265 ODB393258:ODB393265 OMX393258:OMX393265 OWT393258:OWT393265 PGP393258:PGP393265 PQL393258:PQL393265 QAH393258:QAH393265 QKD393258:QKD393265 QTZ393258:QTZ393265 RDV393258:RDV393265 RNR393258:RNR393265 RXN393258:RXN393265 SHJ393258:SHJ393265 SRF393258:SRF393265 TBB393258:TBB393265 TKX393258:TKX393265 TUT393258:TUT393265 UEP393258:UEP393265 UOL393258:UOL393265 UYH393258:UYH393265 VID393258:VID393265 VRZ393258:VRZ393265 WBV393258:WBV393265 WLR393258:WLR393265 WVN393258:WVN393265 F458787:F458794 JB458794:JB458801 SX458794:SX458801 ACT458794:ACT458801 AMP458794:AMP458801 AWL458794:AWL458801 BGH458794:BGH458801 BQD458794:BQD458801 BZZ458794:BZZ458801 CJV458794:CJV458801 CTR458794:CTR458801 DDN458794:DDN458801 DNJ458794:DNJ458801 DXF458794:DXF458801 EHB458794:EHB458801 EQX458794:EQX458801 FAT458794:FAT458801 FKP458794:FKP458801 FUL458794:FUL458801 GEH458794:GEH458801 GOD458794:GOD458801 GXZ458794:GXZ458801 HHV458794:HHV458801 HRR458794:HRR458801 IBN458794:IBN458801 ILJ458794:ILJ458801 IVF458794:IVF458801 JFB458794:JFB458801 JOX458794:JOX458801 JYT458794:JYT458801 KIP458794:KIP458801 KSL458794:KSL458801 LCH458794:LCH458801 LMD458794:LMD458801 LVZ458794:LVZ458801 MFV458794:MFV458801 MPR458794:MPR458801 MZN458794:MZN458801 NJJ458794:NJJ458801 NTF458794:NTF458801 ODB458794:ODB458801 OMX458794:OMX458801 OWT458794:OWT458801 PGP458794:PGP458801 PQL458794:PQL458801 QAH458794:QAH458801 QKD458794:QKD458801 QTZ458794:QTZ458801 RDV458794:RDV458801 RNR458794:RNR458801 RXN458794:RXN458801 SHJ458794:SHJ458801 SRF458794:SRF458801 TBB458794:TBB458801 TKX458794:TKX458801 TUT458794:TUT458801 UEP458794:UEP458801 UOL458794:UOL458801 UYH458794:UYH458801 VID458794:VID458801 VRZ458794:VRZ458801 WBV458794:WBV458801 WLR458794:WLR458801 WVN458794:WVN458801 F524323:F524330 JB524330:JB524337 SX524330:SX524337 ACT524330:ACT524337 AMP524330:AMP524337 AWL524330:AWL524337 BGH524330:BGH524337 BQD524330:BQD524337 BZZ524330:BZZ524337 CJV524330:CJV524337 CTR524330:CTR524337 DDN524330:DDN524337 DNJ524330:DNJ524337 DXF524330:DXF524337 EHB524330:EHB524337 EQX524330:EQX524337 FAT524330:FAT524337 FKP524330:FKP524337 FUL524330:FUL524337 GEH524330:GEH524337 GOD524330:GOD524337 GXZ524330:GXZ524337 HHV524330:HHV524337 HRR524330:HRR524337 IBN524330:IBN524337 ILJ524330:ILJ524337 IVF524330:IVF524337 JFB524330:JFB524337 JOX524330:JOX524337 JYT524330:JYT524337 KIP524330:KIP524337 KSL524330:KSL524337 LCH524330:LCH524337 LMD524330:LMD524337 LVZ524330:LVZ524337 MFV524330:MFV524337 MPR524330:MPR524337 MZN524330:MZN524337 NJJ524330:NJJ524337 NTF524330:NTF524337 ODB524330:ODB524337 OMX524330:OMX524337 OWT524330:OWT524337 PGP524330:PGP524337 PQL524330:PQL524337 QAH524330:QAH524337 QKD524330:QKD524337 QTZ524330:QTZ524337 RDV524330:RDV524337 RNR524330:RNR524337 RXN524330:RXN524337 SHJ524330:SHJ524337 SRF524330:SRF524337 TBB524330:TBB524337 TKX524330:TKX524337 TUT524330:TUT524337 UEP524330:UEP524337 UOL524330:UOL524337 UYH524330:UYH524337 VID524330:VID524337 VRZ524330:VRZ524337 WBV524330:WBV524337 WLR524330:WLR524337 WVN524330:WVN524337 F589859:F589866 JB589866:JB589873 SX589866:SX589873 ACT589866:ACT589873 AMP589866:AMP589873 AWL589866:AWL589873 BGH589866:BGH589873 BQD589866:BQD589873 BZZ589866:BZZ589873 CJV589866:CJV589873 CTR589866:CTR589873 DDN589866:DDN589873 DNJ589866:DNJ589873 DXF589866:DXF589873 EHB589866:EHB589873 EQX589866:EQX589873 FAT589866:FAT589873 FKP589866:FKP589873 FUL589866:FUL589873 GEH589866:GEH589873 GOD589866:GOD589873 GXZ589866:GXZ589873 HHV589866:HHV589873 HRR589866:HRR589873 IBN589866:IBN589873 ILJ589866:ILJ589873 IVF589866:IVF589873 JFB589866:JFB589873 JOX589866:JOX589873 JYT589866:JYT589873 KIP589866:KIP589873 KSL589866:KSL589873 LCH589866:LCH589873 LMD589866:LMD589873 LVZ589866:LVZ589873 MFV589866:MFV589873 MPR589866:MPR589873 MZN589866:MZN589873 NJJ589866:NJJ589873 NTF589866:NTF589873 ODB589866:ODB589873 OMX589866:OMX589873 OWT589866:OWT589873 PGP589866:PGP589873 PQL589866:PQL589873 QAH589866:QAH589873 QKD589866:QKD589873 QTZ589866:QTZ589873 RDV589866:RDV589873 RNR589866:RNR589873 RXN589866:RXN589873 SHJ589866:SHJ589873 SRF589866:SRF589873 TBB589866:TBB589873 TKX589866:TKX589873 TUT589866:TUT589873 UEP589866:UEP589873 UOL589866:UOL589873 UYH589866:UYH589873 VID589866:VID589873 VRZ589866:VRZ589873 WBV589866:WBV589873 WLR589866:WLR589873 WVN589866:WVN589873 F655395:F655402 JB655402:JB655409 SX655402:SX655409 ACT655402:ACT655409 AMP655402:AMP655409 AWL655402:AWL655409 BGH655402:BGH655409 BQD655402:BQD655409 BZZ655402:BZZ655409 CJV655402:CJV655409 CTR655402:CTR655409 DDN655402:DDN655409 DNJ655402:DNJ655409 DXF655402:DXF655409 EHB655402:EHB655409 EQX655402:EQX655409 FAT655402:FAT655409 FKP655402:FKP655409 FUL655402:FUL655409 GEH655402:GEH655409 GOD655402:GOD655409 GXZ655402:GXZ655409 HHV655402:HHV655409 HRR655402:HRR655409 IBN655402:IBN655409 ILJ655402:ILJ655409 IVF655402:IVF655409 JFB655402:JFB655409 JOX655402:JOX655409 JYT655402:JYT655409 KIP655402:KIP655409 KSL655402:KSL655409 LCH655402:LCH655409 LMD655402:LMD655409 LVZ655402:LVZ655409 MFV655402:MFV655409 MPR655402:MPR655409 MZN655402:MZN655409 NJJ655402:NJJ655409 NTF655402:NTF655409 ODB655402:ODB655409 OMX655402:OMX655409 OWT655402:OWT655409 PGP655402:PGP655409 PQL655402:PQL655409 QAH655402:QAH655409 QKD655402:QKD655409 QTZ655402:QTZ655409 RDV655402:RDV655409 RNR655402:RNR655409 RXN655402:RXN655409 SHJ655402:SHJ655409 SRF655402:SRF655409 TBB655402:TBB655409 TKX655402:TKX655409 TUT655402:TUT655409 UEP655402:UEP655409 UOL655402:UOL655409 UYH655402:UYH655409 VID655402:VID655409 VRZ655402:VRZ655409 WBV655402:WBV655409 WLR655402:WLR655409 WVN655402:WVN655409 F720931:F720938 JB720938:JB720945 SX720938:SX720945 ACT720938:ACT720945 AMP720938:AMP720945 AWL720938:AWL720945 BGH720938:BGH720945 BQD720938:BQD720945 BZZ720938:BZZ720945 CJV720938:CJV720945 CTR720938:CTR720945 DDN720938:DDN720945 DNJ720938:DNJ720945 DXF720938:DXF720945 EHB720938:EHB720945 EQX720938:EQX720945 FAT720938:FAT720945 FKP720938:FKP720945 FUL720938:FUL720945 GEH720938:GEH720945 GOD720938:GOD720945 GXZ720938:GXZ720945 HHV720938:HHV720945 HRR720938:HRR720945 IBN720938:IBN720945 ILJ720938:ILJ720945 IVF720938:IVF720945 JFB720938:JFB720945 JOX720938:JOX720945 JYT720938:JYT720945 KIP720938:KIP720945 KSL720938:KSL720945 LCH720938:LCH720945 LMD720938:LMD720945 LVZ720938:LVZ720945 MFV720938:MFV720945 MPR720938:MPR720945 MZN720938:MZN720945 NJJ720938:NJJ720945 NTF720938:NTF720945 ODB720938:ODB720945 OMX720938:OMX720945 OWT720938:OWT720945 PGP720938:PGP720945 PQL720938:PQL720945 QAH720938:QAH720945 QKD720938:QKD720945 QTZ720938:QTZ720945 RDV720938:RDV720945 RNR720938:RNR720945 RXN720938:RXN720945 SHJ720938:SHJ720945 SRF720938:SRF720945 TBB720938:TBB720945 TKX720938:TKX720945 TUT720938:TUT720945 UEP720938:UEP720945 UOL720938:UOL720945 UYH720938:UYH720945 VID720938:VID720945 VRZ720938:VRZ720945 WBV720938:WBV720945 WLR720938:WLR720945 WVN720938:WVN720945 F786467:F786474 JB786474:JB786481 SX786474:SX786481 ACT786474:ACT786481 AMP786474:AMP786481 AWL786474:AWL786481 BGH786474:BGH786481 BQD786474:BQD786481 BZZ786474:BZZ786481 CJV786474:CJV786481 CTR786474:CTR786481 DDN786474:DDN786481 DNJ786474:DNJ786481 DXF786474:DXF786481 EHB786474:EHB786481 EQX786474:EQX786481 FAT786474:FAT786481 FKP786474:FKP786481 FUL786474:FUL786481 GEH786474:GEH786481 GOD786474:GOD786481 GXZ786474:GXZ786481 HHV786474:HHV786481 HRR786474:HRR786481 IBN786474:IBN786481 ILJ786474:ILJ786481 IVF786474:IVF786481 JFB786474:JFB786481 JOX786474:JOX786481 JYT786474:JYT786481 KIP786474:KIP786481 KSL786474:KSL786481 LCH786474:LCH786481 LMD786474:LMD786481 LVZ786474:LVZ786481 MFV786474:MFV786481 MPR786474:MPR786481 MZN786474:MZN786481 NJJ786474:NJJ786481 NTF786474:NTF786481 ODB786474:ODB786481 OMX786474:OMX786481 OWT786474:OWT786481 PGP786474:PGP786481 PQL786474:PQL786481 QAH786474:QAH786481 QKD786474:QKD786481 QTZ786474:QTZ786481 RDV786474:RDV786481 RNR786474:RNR786481 RXN786474:RXN786481 SHJ786474:SHJ786481 SRF786474:SRF786481 TBB786474:TBB786481 TKX786474:TKX786481 TUT786474:TUT786481 UEP786474:UEP786481 UOL786474:UOL786481 UYH786474:UYH786481 VID786474:VID786481 VRZ786474:VRZ786481 WBV786474:WBV786481 WLR786474:WLR786481 WVN786474:WVN786481 F852003:F852010 JB852010:JB852017 SX852010:SX852017 ACT852010:ACT852017 AMP852010:AMP852017 AWL852010:AWL852017 BGH852010:BGH852017 BQD852010:BQD852017 BZZ852010:BZZ852017 CJV852010:CJV852017 CTR852010:CTR852017 DDN852010:DDN852017 DNJ852010:DNJ852017 DXF852010:DXF852017 EHB852010:EHB852017 EQX852010:EQX852017 FAT852010:FAT852017 FKP852010:FKP852017 FUL852010:FUL852017 GEH852010:GEH852017 GOD852010:GOD852017 GXZ852010:GXZ852017 HHV852010:HHV852017 HRR852010:HRR852017 IBN852010:IBN852017 ILJ852010:ILJ852017 IVF852010:IVF852017 JFB852010:JFB852017 JOX852010:JOX852017 JYT852010:JYT852017 KIP852010:KIP852017 KSL852010:KSL852017 LCH852010:LCH852017 LMD852010:LMD852017 LVZ852010:LVZ852017 MFV852010:MFV852017 MPR852010:MPR852017 MZN852010:MZN852017 NJJ852010:NJJ852017 NTF852010:NTF852017 ODB852010:ODB852017 OMX852010:OMX852017 OWT852010:OWT852017 PGP852010:PGP852017 PQL852010:PQL852017 QAH852010:QAH852017 QKD852010:QKD852017 QTZ852010:QTZ852017 RDV852010:RDV852017 RNR852010:RNR852017 RXN852010:RXN852017 SHJ852010:SHJ852017 SRF852010:SRF852017 TBB852010:TBB852017 TKX852010:TKX852017 TUT852010:TUT852017 UEP852010:UEP852017 UOL852010:UOL852017 UYH852010:UYH852017 VID852010:VID852017 VRZ852010:VRZ852017 WBV852010:WBV852017 WLR852010:WLR852017 WVN852010:WVN852017 F917539:F917546 JB917546:JB917553 SX917546:SX917553 ACT917546:ACT917553 AMP917546:AMP917553 AWL917546:AWL917553 BGH917546:BGH917553 BQD917546:BQD917553 BZZ917546:BZZ917553 CJV917546:CJV917553 CTR917546:CTR917553 DDN917546:DDN917553 DNJ917546:DNJ917553 DXF917546:DXF917553 EHB917546:EHB917553 EQX917546:EQX917553 FAT917546:FAT917553 FKP917546:FKP917553 FUL917546:FUL917553 GEH917546:GEH917553 GOD917546:GOD917553 GXZ917546:GXZ917553 HHV917546:HHV917553 HRR917546:HRR917553 IBN917546:IBN917553 ILJ917546:ILJ917553 IVF917546:IVF917553 JFB917546:JFB917553 JOX917546:JOX917553 JYT917546:JYT917553 KIP917546:KIP917553 KSL917546:KSL917553 LCH917546:LCH917553 LMD917546:LMD917553 LVZ917546:LVZ917553 MFV917546:MFV917553 MPR917546:MPR917553 MZN917546:MZN917553 NJJ917546:NJJ917553 NTF917546:NTF917553 ODB917546:ODB917553 OMX917546:OMX917553 OWT917546:OWT917553 PGP917546:PGP917553 PQL917546:PQL917553 QAH917546:QAH917553 QKD917546:QKD917553 QTZ917546:QTZ917553 RDV917546:RDV917553 RNR917546:RNR917553 RXN917546:RXN917553 SHJ917546:SHJ917553 SRF917546:SRF917553 TBB917546:TBB917553 TKX917546:TKX917553 TUT917546:TUT917553 UEP917546:UEP917553 UOL917546:UOL917553 UYH917546:UYH917553 VID917546:VID917553 VRZ917546:VRZ917553 WBV917546:WBV917553 WLR917546:WLR917553 WVN917546:WVN917553 F983075:F983082 JB983082:JB983089 SX983082:SX983089 ACT983082:ACT983089 AMP983082:AMP983089 AWL983082:AWL983089 BGH983082:BGH983089 BQD983082:BQD983089 BZZ983082:BZZ983089 CJV983082:CJV983089 CTR983082:CTR983089 DDN983082:DDN983089 DNJ983082:DNJ983089 DXF983082:DXF983089 EHB983082:EHB983089 EQX983082:EQX983089 FAT983082:FAT983089 FKP983082:FKP983089 FUL983082:FUL983089 GEH983082:GEH983089 GOD983082:GOD983089 GXZ983082:GXZ983089 HHV983082:HHV983089 HRR983082:HRR983089 IBN983082:IBN983089 ILJ983082:ILJ983089 IVF983082:IVF983089 JFB983082:JFB983089 JOX983082:JOX983089 JYT983082:JYT983089 KIP983082:KIP983089 KSL983082:KSL983089 LCH983082:LCH983089 LMD983082:LMD983089 LVZ983082:LVZ983089 MFV983082:MFV983089 MPR983082:MPR983089 MZN983082:MZN983089 NJJ983082:NJJ983089 NTF983082:NTF983089 ODB983082:ODB983089 OMX983082:OMX983089 OWT983082:OWT983089 PGP983082:PGP983089 PQL983082:PQL983089 QAH983082:QAH983089 QKD983082:QKD983089 QTZ983082:QTZ983089 RDV983082:RDV983089 RNR983082:RNR983089 RXN983082:RXN983089 SHJ983082:SHJ983089 SRF983082:SRF983089 TBB983082:TBB983089 TKX983082:TKX983089 TUT983082:TUT983089 UEP983082:UEP983089 UOL983082:UOL983089 UYH983082:UYH983089 VID983082:VID983089 VRZ983082:VRZ983089 WBV983082:WBV983089 WLR983082:WLR983089 WVN983082:WVN983089 WVN983098:WVN983100 JB58:JB60 SX58:SX60 ACT58:ACT60 AMP58:AMP60 AWL58:AWL60 BGH58:BGH60 BQD58:BQD60 BZZ58:BZZ60 CJV58:CJV60 CTR58:CTR60 DDN58:DDN60 DNJ58:DNJ60 DXF58:DXF60 EHB58:EHB60 EQX58:EQX60 FAT58:FAT60 FKP58:FKP60 FUL58:FUL60 GEH58:GEH60 GOD58:GOD60 GXZ58:GXZ60 HHV58:HHV60 HRR58:HRR60 IBN58:IBN60 ILJ58:ILJ60 IVF58:IVF60 JFB58:JFB60 JOX58:JOX60 JYT58:JYT60 KIP58:KIP60 KSL58:KSL60 LCH58:LCH60 LMD58:LMD60 LVZ58:LVZ60 MFV58:MFV60 MPR58:MPR60 MZN58:MZN60 NJJ58:NJJ60 NTF58:NTF60 ODB58:ODB60 OMX58:OMX60 OWT58:OWT60 PGP58:PGP60 PQL58:PQL60 QAH58:QAH60 QKD58:QKD60 QTZ58:QTZ60 RDV58:RDV60 RNR58:RNR60 RXN58:RXN60 SHJ58:SHJ60 SRF58:SRF60 TBB58:TBB60 TKX58:TKX60 TUT58:TUT60 UEP58:UEP60 UOL58:UOL60 UYH58:UYH60 VID58:VID60 VRZ58:VRZ60 WBV58:WBV60 WLR58:WLR60 WVN58:WVN60 F65587:F65589 JB65594:JB65596 SX65594:SX65596 ACT65594:ACT65596 AMP65594:AMP65596 AWL65594:AWL65596 BGH65594:BGH65596 BQD65594:BQD65596 BZZ65594:BZZ65596 CJV65594:CJV65596 CTR65594:CTR65596 DDN65594:DDN65596 DNJ65594:DNJ65596 DXF65594:DXF65596 EHB65594:EHB65596 EQX65594:EQX65596 FAT65594:FAT65596 FKP65594:FKP65596 FUL65594:FUL65596 GEH65594:GEH65596 GOD65594:GOD65596 GXZ65594:GXZ65596 HHV65594:HHV65596 HRR65594:HRR65596 IBN65594:IBN65596 ILJ65594:ILJ65596 IVF65594:IVF65596 JFB65594:JFB65596 JOX65594:JOX65596 JYT65594:JYT65596 KIP65594:KIP65596 KSL65594:KSL65596 LCH65594:LCH65596 LMD65594:LMD65596 LVZ65594:LVZ65596 MFV65594:MFV65596 MPR65594:MPR65596 MZN65594:MZN65596 NJJ65594:NJJ65596 NTF65594:NTF65596 ODB65594:ODB65596 OMX65594:OMX65596 OWT65594:OWT65596 PGP65594:PGP65596 PQL65594:PQL65596 QAH65594:QAH65596 QKD65594:QKD65596 QTZ65594:QTZ65596 RDV65594:RDV65596 RNR65594:RNR65596 RXN65594:RXN65596 SHJ65594:SHJ65596 SRF65594:SRF65596 TBB65594:TBB65596 TKX65594:TKX65596 TUT65594:TUT65596 UEP65594:UEP65596 UOL65594:UOL65596 UYH65594:UYH65596 VID65594:VID65596 VRZ65594:VRZ65596 WBV65594:WBV65596 WLR65594:WLR65596 WVN65594:WVN65596 F131123:F131125 JB131130:JB131132 SX131130:SX131132 ACT131130:ACT131132 AMP131130:AMP131132 AWL131130:AWL131132 BGH131130:BGH131132 BQD131130:BQD131132 BZZ131130:BZZ131132 CJV131130:CJV131132 CTR131130:CTR131132 DDN131130:DDN131132 DNJ131130:DNJ131132 DXF131130:DXF131132 EHB131130:EHB131132 EQX131130:EQX131132 FAT131130:FAT131132 FKP131130:FKP131132 FUL131130:FUL131132 GEH131130:GEH131132 GOD131130:GOD131132 GXZ131130:GXZ131132 HHV131130:HHV131132 HRR131130:HRR131132 IBN131130:IBN131132 ILJ131130:ILJ131132 IVF131130:IVF131132 JFB131130:JFB131132 JOX131130:JOX131132 JYT131130:JYT131132 KIP131130:KIP131132 KSL131130:KSL131132 LCH131130:LCH131132 LMD131130:LMD131132 LVZ131130:LVZ131132 MFV131130:MFV131132 MPR131130:MPR131132 MZN131130:MZN131132 NJJ131130:NJJ131132 NTF131130:NTF131132 ODB131130:ODB131132 OMX131130:OMX131132 OWT131130:OWT131132 PGP131130:PGP131132 PQL131130:PQL131132 QAH131130:QAH131132 QKD131130:QKD131132 QTZ131130:QTZ131132 RDV131130:RDV131132 RNR131130:RNR131132 RXN131130:RXN131132 SHJ131130:SHJ131132 SRF131130:SRF131132 TBB131130:TBB131132 TKX131130:TKX131132 TUT131130:TUT131132 UEP131130:UEP131132 UOL131130:UOL131132 UYH131130:UYH131132 VID131130:VID131132 VRZ131130:VRZ131132 WBV131130:WBV131132 WLR131130:WLR131132 WVN131130:WVN131132 F196659:F196661 JB196666:JB196668 SX196666:SX196668 ACT196666:ACT196668 AMP196666:AMP196668 AWL196666:AWL196668 BGH196666:BGH196668 BQD196666:BQD196668 BZZ196666:BZZ196668 CJV196666:CJV196668 CTR196666:CTR196668 DDN196666:DDN196668 DNJ196666:DNJ196668 DXF196666:DXF196668 EHB196666:EHB196668 EQX196666:EQX196668 FAT196666:FAT196668 FKP196666:FKP196668 FUL196666:FUL196668 GEH196666:GEH196668 GOD196666:GOD196668 GXZ196666:GXZ196668 HHV196666:HHV196668 HRR196666:HRR196668 IBN196666:IBN196668 ILJ196666:ILJ196668 IVF196666:IVF196668 JFB196666:JFB196668 JOX196666:JOX196668 JYT196666:JYT196668 KIP196666:KIP196668 KSL196666:KSL196668 LCH196666:LCH196668 LMD196666:LMD196668 LVZ196666:LVZ196668 MFV196666:MFV196668 MPR196666:MPR196668 MZN196666:MZN196668 NJJ196666:NJJ196668 NTF196666:NTF196668 ODB196666:ODB196668 OMX196666:OMX196668 OWT196666:OWT196668 PGP196666:PGP196668 PQL196666:PQL196668 QAH196666:QAH196668 QKD196666:QKD196668 QTZ196666:QTZ196668 RDV196666:RDV196668 RNR196666:RNR196668 RXN196666:RXN196668 SHJ196666:SHJ196668 SRF196666:SRF196668 TBB196666:TBB196668 TKX196666:TKX196668 TUT196666:TUT196668 UEP196666:UEP196668 UOL196666:UOL196668 UYH196666:UYH196668 VID196666:VID196668 VRZ196666:VRZ196668 WBV196666:WBV196668 WLR196666:WLR196668 WVN196666:WVN196668 F262195:F262197 JB262202:JB262204 SX262202:SX262204 ACT262202:ACT262204 AMP262202:AMP262204 AWL262202:AWL262204 BGH262202:BGH262204 BQD262202:BQD262204 BZZ262202:BZZ262204 CJV262202:CJV262204 CTR262202:CTR262204 DDN262202:DDN262204 DNJ262202:DNJ262204 DXF262202:DXF262204 EHB262202:EHB262204 EQX262202:EQX262204 FAT262202:FAT262204 FKP262202:FKP262204 FUL262202:FUL262204 GEH262202:GEH262204 GOD262202:GOD262204 GXZ262202:GXZ262204 HHV262202:HHV262204 HRR262202:HRR262204 IBN262202:IBN262204 ILJ262202:ILJ262204 IVF262202:IVF262204 JFB262202:JFB262204 JOX262202:JOX262204 JYT262202:JYT262204 KIP262202:KIP262204 KSL262202:KSL262204 LCH262202:LCH262204 LMD262202:LMD262204 LVZ262202:LVZ262204 MFV262202:MFV262204 MPR262202:MPR262204 MZN262202:MZN262204 NJJ262202:NJJ262204 NTF262202:NTF262204 ODB262202:ODB262204 OMX262202:OMX262204 OWT262202:OWT262204 PGP262202:PGP262204 PQL262202:PQL262204 QAH262202:QAH262204 QKD262202:QKD262204 QTZ262202:QTZ262204 RDV262202:RDV262204 RNR262202:RNR262204 RXN262202:RXN262204 SHJ262202:SHJ262204 SRF262202:SRF262204 TBB262202:TBB262204 TKX262202:TKX262204 TUT262202:TUT262204 UEP262202:UEP262204 UOL262202:UOL262204 UYH262202:UYH262204 VID262202:VID262204 VRZ262202:VRZ262204 WBV262202:WBV262204 WLR262202:WLR262204 WVN262202:WVN262204 F327731:F327733 JB327738:JB327740 SX327738:SX327740 ACT327738:ACT327740 AMP327738:AMP327740 AWL327738:AWL327740 BGH327738:BGH327740 BQD327738:BQD327740 BZZ327738:BZZ327740 CJV327738:CJV327740 CTR327738:CTR327740 DDN327738:DDN327740 DNJ327738:DNJ327740 DXF327738:DXF327740 EHB327738:EHB327740 EQX327738:EQX327740 FAT327738:FAT327740 FKP327738:FKP327740 FUL327738:FUL327740 GEH327738:GEH327740 GOD327738:GOD327740 GXZ327738:GXZ327740 HHV327738:HHV327740 HRR327738:HRR327740 IBN327738:IBN327740 ILJ327738:ILJ327740 IVF327738:IVF327740 JFB327738:JFB327740 JOX327738:JOX327740 JYT327738:JYT327740 KIP327738:KIP327740 KSL327738:KSL327740 LCH327738:LCH327740 LMD327738:LMD327740 LVZ327738:LVZ327740 MFV327738:MFV327740 MPR327738:MPR327740 MZN327738:MZN327740 NJJ327738:NJJ327740 NTF327738:NTF327740 ODB327738:ODB327740 OMX327738:OMX327740 OWT327738:OWT327740 PGP327738:PGP327740 PQL327738:PQL327740 QAH327738:QAH327740 QKD327738:QKD327740 QTZ327738:QTZ327740 RDV327738:RDV327740 RNR327738:RNR327740 RXN327738:RXN327740 SHJ327738:SHJ327740 SRF327738:SRF327740 TBB327738:TBB327740 TKX327738:TKX327740 TUT327738:TUT327740 UEP327738:UEP327740 UOL327738:UOL327740 UYH327738:UYH327740 VID327738:VID327740 VRZ327738:VRZ327740 WBV327738:WBV327740 WLR327738:WLR327740 WVN327738:WVN327740 F393267:F393269 JB393274:JB393276 SX393274:SX393276 ACT393274:ACT393276 AMP393274:AMP393276 AWL393274:AWL393276 BGH393274:BGH393276 BQD393274:BQD393276 BZZ393274:BZZ393276 CJV393274:CJV393276 CTR393274:CTR393276 DDN393274:DDN393276 DNJ393274:DNJ393276 DXF393274:DXF393276 EHB393274:EHB393276 EQX393274:EQX393276 FAT393274:FAT393276 FKP393274:FKP393276 FUL393274:FUL393276 GEH393274:GEH393276 GOD393274:GOD393276 GXZ393274:GXZ393276 HHV393274:HHV393276 HRR393274:HRR393276 IBN393274:IBN393276 ILJ393274:ILJ393276 IVF393274:IVF393276 JFB393274:JFB393276 JOX393274:JOX393276 JYT393274:JYT393276 KIP393274:KIP393276 KSL393274:KSL393276 LCH393274:LCH393276 LMD393274:LMD393276 LVZ393274:LVZ393276 MFV393274:MFV393276 MPR393274:MPR393276 MZN393274:MZN393276 NJJ393274:NJJ393276 NTF393274:NTF393276 ODB393274:ODB393276 OMX393274:OMX393276 OWT393274:OWT393276 PGP393274:PGP393276 PQL393274:PQL393276 QAH393274:QAH393276 QKD393274:QKD393276 QTZ393274:QTZ393276 RDV393274:RDV393276 RNR393274:RNR393276 RXN393274:RXN393276 SHJ393274:SHJ393276 SRF393274:SRF393276 TBB393274:TBB393276 TKX393274:TKX393276 TUT393274:TUT393276 UEP393274:UEP393276 UOL393274:UOL393276 UYH393274:UYH393276 VID393274:VID393276 VRZ393274:VRZ393276 WBV393274:WBV393276 WLR393274:WLR393276 WVN393274:WVN393276 F458803:F458805 JB458810:JB458812 SX458810:SX458812 ACT458810:ACT458812 AMP458810:AMP458812 AWL458810:AWL458812 BGH458810:BGH458812 BQD458810:BQD458812 BZZ458810:BZZ458812 CJV458810:CJV458812 CTR458810:CTR458812 DDN458810:DDN458812 DNJ458810:DNJ458812 DXF458810:DXF458812 EHB458810:EHB458812 EQX458810:EQX458812 FAT458810:FAT458812 FKP458810:FKP458812 FUL458810:FUL458812 GEH458810:GEH458812 GOD458810:GOD458812 GXZ458810:GXZ458812 HHV458810:HHV458812 HRR458810:HRR458812 IBN458810:IBN458812 ILJ458810:ILJ458812 IVF458810:IVF458812 JFB458810:JFB458812 JOX458810:JOX458812 JYT458810:JYT458812 KIP458810:KIP458812 KSL458810:KSL458812 LCH458810:LCH458812 LMD458810:LMD458812 LVZ458810:LVZ458812 MFV458810:MFV458812 MPR458810:MPR458812 MZN458810:MZN458812 NJJ458810:NJJ458812 NTF458810:NTF458812 ODB458810:ODB458812 OMX458810:OMX458812 OWT458810:OWT458812 PGP458810:PGP458812 PQL458810:PQL458812 QAH458810:QAH458812 QKD458810:QKD458812 QTZ458810:QTZ458812 RDV458810:RDV458812 RNR458810:RNR458812 RXN458810:RXN458812 SHJ458810:SHJ458812 SRF458810:SRF458812 TBB458810:TBB458812 TKX458810:TKX458812 TUT458810:TUT458812 UEP458810:UEP458812 UOL458810:UOL458812 UYH458810:UYH458812 VID458810:VID458812 VRZ458810:VRZ458812 WBV458810:WBV458812 WLR458810:WLR458812 WVN458810:WVN458812 F524339:F524341 JB524346:JB524348 SX524346:SX524348 ACT524346:ACT524348 AMP524346:AMP524348 AWL524346:AWL524348 BGH524346:BGH524348 BQD524346:BQD524348 BZZ524346:BZZ524348 CJV524346:CJV524348 CTR524346:CTR524348 DDN524346:DDN524348 DNJ524346:DNJ524348 DXF524346:DXF524348 EHB524346:EHB524348 EQX524346:EQX524348 FAT524346:FAT524348 FKP524346:FKP524348 FUL524346:FUL524348 GEH524346:GEH524348 GOD524346:GOD524348 GXZ524346:GXZ524348 HHV524346:HHV524348 HRR524346:HRR524348 IBN524346:IBN524348 ILJ524346:ILJ524348 IVF524346:IVF524348 JFB524346:JFB524348 JOX524346:JOX524348 JYT524346:JYT524348 KIP524346:KIP524348 KSL524346:KSL524348 LCH524346:LCH524348 LMD524346:LMD524348 LVZ524346:LVZ524348 MFV524346:MFV524348 MPR524346:MPR524348 MZN524346:MZN524348 NJJ524346:NJJ524348 NTF524346:NTF524348 ODB524346:ODB524348 OMX524346:OMX524348 OWT524346:OWT524348 PGP524346:PGP524348 PQL524346:PQL524348 QAH524346:QAH524348 QKD524346:QKD524348 QTZ524346:QTZ524348 RDV524346:RDV524348 RNR524346:RNR524348 RXN524346:RXN524348 SHJ524346:SHJ524348 SRF524346:SRF524348 TBB524346:TBB524348 TKX524346:TKX524348 TUT524346:TUT524348 UEP524346:UEP524348 UOL524346:UOL524348 UYH524346:UYH524348 VID524346:VID524348 VRZ524346:VRZ524348 WBV524346:WBV524348 WLR524346:WLR524348 WVN524346:WVN524348 F589875:F589877 JB589882:JB589884 SX589882:SX589884 ACT589882:ACT589884 AMP589882:AMP589884 AWL589882:AWL589884 BGH589882:BGH589884 BQD589882:BQD589884 BZZ589882:BZZ589884 CJV589882:CJV589884 CTR589882:CTR589884 DDN589882:DDN589884 DNJ589882:DNJ589884 DXF589882:DXF589884 EHB589882:EHB589884 EQX589882:EQX589884 FAT589882:FAT589884 FKP589882:FKP589884 FUL589882:FUL589884 GEH589882:GEH589884 GOD589882:GOD589884 GXZ589882:GXZ589884 HHV589882:HHV589884 HRR589882:HRR589884 IBN589882:IBN589884 ILJ589882:ILJ589884 IVF589882:IVF589884 JFB589882:JFB589884 JOX589882:JOX589884 JYT589882:JYT589884 KIP589882:KIP589884 KSL589882:KSL589884 LCH589882:LCH589884 LMD589882:LMD589884 LVZ589882:LVZ589884 MFV589882:MFV589884 MPR589882:MPR589884 MZN589882:MZN589884 NJJ589882:NJJ589884 NTF589882:NTF589884 ODB589882:ODB589884 OMX589882:OMX589884 OWT589882:OWT589884 PGP589882:PGP589884 PQL589882:PQL589884 QAH589882:QAH589884 QKD589882:QKD589884 QTZ589882:QTZ589884 RDV589882:RDV589884 RNR589882:RNR589884 RXN589882:RXN589884 SHJ589882:SHJ589884 SRF589882:SRF589884 TBB589882:TBB589884 TKX589882:TKX589884 TUT589882:TUT589884 UEP589882:UEP589884 UOL589882:UOL589884 UYH589882:UYH589884 VID589882:VID589884 VRZ589882:VRZ589884 WBV589882:WBV589884 WLR589882:WLR589884 WVN589882:WVN589884 F655411:F655413 JB655418:JB655420 SX655418:SX655420 ACT655418:ACT655420 AMP655418:AMP655420 AWL655418:AWL655420 BGH655418:BGH655420 BQD655418:BQD655420 BZZ655418:BZZ655420 CJV655418:CJV655420 CTR655418:CTR655420 DDN655418:DDN655420 DNJ655418:DNJ655420 DXF655418:DXF655420 EHB655418:EHB655420 EQX655418:EQX655420 FAT655418:FAT655420 FKP655418:FKP655420 FUL655418:FUL655420 GEH655418:GEH655420 GOD655418:GOD655420 GXZ655418:GXZ655420 HHV655418:HHV655420 HRR655418:HRR655420 IBN655418:IBN655420 ILJ655418:ILJ655420 IVF655418:IVF655420 JFB655418:JFB655420 JOX655418:JOX655420 JYT655418:JYT655420 KIP655418:KIP655420 KSL655418:KSL655420 LCH655418:LCH655420 LMD655418:LMD655420 LVZ655418:LVZ655420 MFV655418:MFV655420 MPR655418:MPR655420 MZN655418:MZN655420 NJJ655418:NJJ655420 NTF655418:NTF655420 ODB655418:ODB655420 OMX655418:OMX655420 OWT655418:OWT655420 PGP655418:PGP655420 PQL655418:PQL655420 QAH655418:QAH655420 QKD655418:QKD655420 QTZ655418:QTZ655420 RDV655418:RDV655420 RNR655418:RNR655420 RXN655418:RXN655420 SHJ655418:SHJ655420 SRF655418:SRF655420 TBB655418:TBB655420 TKX655418:TKX655420 TUT655418:TUT655420 UEP655418:UEP655420 UOL655418:UOL655420 UYH655418:UYH655420 VID655418:VID655420 VRZ655418:VRZ655420 WBV655418:WBV655420 WLR655418:WLR655420 WVN655418:WVN655420 F720947:F720949 JB720954:JB720956 SX720954:SX720956 ACT720954:ACT720956 AMP720954:AMP720956 AWL720954:AWL720956 BGH720954:BGH720956 BQD720954:BQD720956 BZZ720954:BZZ720956 CJV720954:CJV720956 CTR720954:CTR720956 DDN720954:DDN720956 DNJ720954:DNJ720956 DXF720954:DXF720956 EHB720954:EHB720956 EQX720954:EQX720956 FAT720954:FAT720956 FKP720954:FKP720956 FUL720954:FUL720956 GEH720954:GEH720956 GOD720954:GOD720956 GXZ720954:GXZ720956 HHV720954:HHV720956 HRR720954:HRR720956 IBN720954:IBN720956 ILJ720954:ILJ720956 IVF720954:IVF720956 JFB720954:JFB720956 JOX720954:JOX720956 JYT720954:JYT720956 KIP720954:KIP720956 KSL720954:KSL720956 LCH720954:LCH720956 LMD720954:LMD720956 LVZ720954:LVZ720956 MFV720954:MFV720956 MPR720954:MPR720956 MZN720954:MZN720956 NJJ720954:NJJ720956 NTF720954:NTF720956 ODB720954:ODB720956 OMX720954:OMX720956 OWT720954:OWT720956 PGP720954:PGP720956 PQL720954:PQL720956 QAH720954:QAH720956 QKD720954:QKD720956 QTZ720954:QTZ720956 RDV720954:RDV720956 RNR720954:RNR720956 RXN720954:RXN720956 SHJ720954:SHJ720956 SRF720954:SRF720956 TBB720954:TBB720956 TKX720954:TKX720956 TUT720954:TUT720956 UEP720954:UEP720956 UOL720954:UOL720956 UYH720954:UYH720956 VID720954:VID720956 VRZ720954:VRZ720956 WBV720954:WBV720956 WLR720954:WLR720956 WVN720954:WVN720956 F786483:F786485 JB786490:JB786492 SX786490:SX786492 ACT786490:ACT786492 AMP786490:AMP786492 AWL786490:AWL786492 BGH786490:BGH786492 BQD786490:BQD786492 BZZ786490:BZZ786492 CJV786490:CJV786492 CTR786490:CTR786492 DDN786490:DDN786492 DNJ786490:DNJ786492 DXF786490:DXF786492 EHB786490:EHB786492 EQX786490:EQX786492 FAT786490:FAT786492 FKP786490:FKP786492 FUL786490:FUL786492 GEH786490:GEH786492 GOD786490:GOD786492 GXZ786490:GXZ786492 HHV786490:HHV786492 HRR786490:HRR786492 IBN786490:IBN786492 ILJ786490:ILJ786492 IVF786490:IVF786492 JFB786490:JFB786492 JOX786490:JOX786492 JYT786490:JYT786492 KIP786490:KIP786492 KSL786490:KSL786492 LCH786490:LCH786492 LMD786490:LMD786492 LVZ786490:LVZ786492 MFV786490:MFV786492 MPR786490:MPR786492 MZN786490:MZN786492 NJJ786490:NJJ786492 NTF786490:NTF786492 ODB786490:ODB786492 OMX786490:OMX786492 OWT786490:OWT786492 PGP786490:PGP786492 PQL786490:PQL786492 QAH786490:QAH786492 QKD786490:QKD786492 QTZ786490:QTZ786492 RDV786490:RDV786492 RNR786490:RNR786492 RXN786490:RXN786492 SHJ786490:SHJ786492 SRF786490:SRF786492 TBB786490:TBB786492 TKX786490:TKX786492 TUT786490:TUT786492 UEP786490:UEP786492 UOL786490:UOL786492 UYH786490:UYH786492 VID786490:VID786492 VRZ786490:VRZ786492 WBV786490:WBV786492 WLR786490:WLR786492 WVN786490:WVN786492 F852019:F852021 JB852026:JB852028 SX852026:SX852028 ACT852026:ACT852028 AMP852026:AMP852028 AWL852026:AWL852028 BGH852026:BGH852028 BQD852026:BQD852028 BZZ852026:BZZ852028 CJV852026:CJV852028 CTR852026:CTR852028 DDN852026:DDN852028 DNJ852026:DNJ852028 DXF852026:DXF852028 EHB852026:EHB852028 EQX852026:EQX852028 FAT852026:FAT852028 FKP852026:FKP852028 FUL852026:FUL852028 GEH852026:GEH852028 GOD852026:GOD852028 GXZ852026:GXZ852028 HHV852026:HHV852028 HRR852026:HRR852028 IBN852026:IBN852028 ILJ852026:ILJ852028 IVF852026:IVF852028 JFB852026:JFB852028 JOX852026:JOX852028 JYT852026:JYT852028 KIP852026:KIP852028 KSL852026:KSL852028 LCH852026:LCH852028 LMD852026:LMD852028 LVZ852026:LVZ852028 MFV852026:MFV852028 MPR852026:MPR852028 MZN852026:MZN852028 NJJ852026:NJJ852028 NTF852026:NTF852028 ODB852026:ODB852028 OMX852026:OMX852028 OWT852026:OWT852028 PGP852026:PGP852028 PQL852026:PQL852028 QAH852026:QAH852028 QKD852026:QKD852028 QTZ852026:QTZ852028 RDV852026:RDV852028 RNR852026:RNR852028 RXN852026:RXN852028 SHJ852026:SHJ852028 SRF852026:SRF852028 TBB852026:TBB852028 TKX852026:TKX852028 TUT852026:TUT852028 UEP852026:UEP852028 UOL852026:UOL852028 UYH852026:UYH852028 VID852026:VID852028 VRZ852026:VRZ852028 WBV852026:WBV852028 WLR852026:WLR852028 WVN852026:WVN852028 F917555:F917557 JB917562:JB917564 SX917562:SX917564 ACT917562:ACT917564 AMP917562:AMP917564 AWL917562:AWL917564 BGH917562:BGH917564 BQD917562:BQD917564 BZZ917562:BZZ917564 CJV917562:CJV917564 CTR917562:CTR917564 DDN917562:DDN917564 DNJ917562:DNJ917564 DXF917562:DXF917564 EHB917562:EHB917564 EQX917562:EQX917564 FAT917562:FAT917564 FKP917562:FKP917564 FUL917562:FUL917564 GEH917562:GEH917564 GOD917562:GOD917564 GXZ917562:GXZ917564 HHV917562:HHV917564 HRR917562:HRR917564 IBN917562:IBN917564 ILJ917562:ILJ917564 IVF917562:IVF917564 JFB917562:JFB917564 JOX917562:JOX917564 JYT917562:JYT917564 KIP917562:KIP917564 KSL917562:KSL917564 LCH917562:LCH917564 LMD917562:LMD917564 LVZ917562:LVZ917564 MFV917562:MFV917564 MPR917562:MPR917564 MZN917562:MZN917564 NJJ917562:NJJ917564 NTF917562:NTF917564 ODB917562:ODB917564 OMX917562:OMX917564 OWT917562:OWT917564 PGP917562:PGP917564 PQL917562:PQL917564 QAH917562:QAH917564 QKD917562:QKD917564 QTZ917562:QTZ917564 RDV917562:RDV917564 RNR917562:RNR917564 RXN917562:RXN917564 SHJ917562:SHJ917564 SRF917562:SRF917564 TBB917562:TBB917564 TKX917562:TKX917564 TUT917562:TUT917564 UEP917562:UEP917564 UOL917562:UOL917564 UYH917562:UYH917564 VID917562:VID917564 VRZ917562:VRZ917564 WBV917562:WBV917564 WLR917562:WLR917564 WVN917562:WVN917564 F983091:F983093 JB983098:JB983100 SX983098:SX983100 ACT983098:ACT983100 AMP983098:AMP983100 AWL983098:AWL983100 BGH983098:BGH983100 BQD983098:BQD983100 BZZ983098:BZZ983100 CJV983098:CJV983100 CTR983098:CTR983100 DDN983098:DDN983100 DNJ983098:DNJ983100 DXF983098:DXF983100 EHB983098:EHB983100 EQX983098:EQX983100 FAT983098:FAT983100 FKP983098:FKP983100 FUL983098:FUL983100 GEH983098:GEH983100 GOD983098:GOD983100 GXZ983098:GXZ983100 HHV983098:HHV983100 HRR983098:HRR983100 IBN983098:IBN983100 ILJ983098:ILJ983100 IVF983098:IVF983100 JFB983098:JFB983100 JOX983098:JOX983100 JYT983098:JYT983100 KIP983098:KIP983100 KSL983098:KSL983100 LCH983098:LCH983100 LMD983098:LMD983100 LVZ983098:LVZ983100 MFV983098:MFV983100 MPR983098:MPR983100 MZN983098:MZN983100 NJJ983098:NJJ983100 NTF983098:NTF983100 ODB983098:ODB983100 OMX983098:OMX983100 OWT983098:OWT983100 PGP983098:PGP983100 PQL983098:PQL983100 QAH983098:QAH983100 QKD983098:QKD983100 QTZ983098:QTZ983100 RDV983098:RDV983100 RNR983098:RNR983100 RXN983098:RXN983100 SHJ983098:SHJ983100 SRF983098:SRF983100 TBB983098:TBB983100 TKX983098:TKX983100 TUT983098:TUT983100 UEP983098:UEP983100 UOL983098:UOL983100 UYH983098:UYH983100 VID983098:VID983100 VRZ983098:VRZ983100 WBV983098:WBV983100 WLR983098:WLR983100 F53 F7:F11 F20:F23 F32:F35 JB47 SX47 ACT47 AMP47 AWL47 BGH47 BQD47 BZZ47 CJV47 CTR47 DDN47 DNJ47 DXF47 EHB47 EQX47 FAT47 FKP47 FUL47 GEH47 GOD47 GXZ47 HHV47 HRR47 IBN47 ILJ47 IVF47 JFB47 JOX47 JYT47 KIP47 KSL47 LCH47 LMD47 LVZ47 MFV47 MPR47 MZN47 NJJ47 NTF47 ODB47 OMX47 OWT47 PGP47 PQL47 QAH47 QKD47 QTZ47 RDV47 RNR47 RXN47 SHJ47 SRF47 TBB47 TKX47 TUT47 UEP47 UOL47 UYH47 VID47 VRZ47 WBV47 WLR47 WVN47 WVN36:WVN43 WLR36:WLR43 WBV36:WBV43 VRZ36:VRZ43 VID36:VID43 UYH36:UYH43 UOL36:UOL43 UEP36:UEP43 TUT36:TUT43 TKX36:TKX43 TBB36:TBB43 SRF36:SRF43 SHJ36:SHJ43 RXN36:RXN43 RNR36:RNR43 RDV36:RDV43 QTZ36:QTZ43 QKD36:QKD43 QAH36:QAH43 PQL36:PQL43 PGP36:PGP43 OWT36:OWT43 OMX36:OMX43 ODB36:ODB43 NTF36:NTF43 NJJ36:NJJ43 MZN36:MZN43 MPR36:MPR43 MFV36:MFV43 LVZ36:LVZ43 LMD36:LMD43 LCH36:LCH43 KSL36:KSL43 KIP36:KIP43 JYT36:JYT43 JOX36:JOX43 JFB36:JFB43 IVF36:IVF43 ILJ36:ILJ43 IBN36:IBN43 HRR36:HRR43 HHV36:HHV43 GXZ36:GXZ43 GOD36:GOD43 GEH36:GEH43 FUL36:FUL43 FKP36:FKP43 FAT36:FAT43 EQX36:EQX43 EHB36:EHB43 DXF36:DXF43 DNJ36:DNJ43 DDN36:DDN43 CTR36:CTR43 CJV36:CJV43 BZZ36:BZZ43 BQD36:BQD43 BGH36:BGH43 AWL36:AWL43 AMP36:AMP43 ACT36:ACT43 SX36:SX43 JB36:JB43 WVN22:WVN28 WLR22:WLR28 WBV22:WBV28 VRZ22:VRZ28 VID22:VID28 UYH22:UYH28 UOL22:UOL28 UEP22:UEP28 TUT22:TUT28 TKX22:TKX28 TBB22:TBB28 SRF22:SRF28 SHJ22:SHJ28 RXN22:RXN28 RNR22:RNR28 RDV22:RDV28 QTZ22:QTZ28 QKD22:QKD28 QAH22:QAH28 PQL22:PQL28 PGP22:PGP28 OWT22:OWT28 OMX22:OMX28 ODB22:ODB28 NTF22:NTF28 NJJ22:NJJ28 MZN22:MZN28 MPR22:MPR28 MFV22:MFV28 LVZ22:LVZ28 LMD22:LMD28 LCH22:LCH28 KSL22:KSL28 KIP22:KIP28 JYT22:JYT28 JOX22:JOX28 JFB22:JFB28 IVF22:IVF28 ILJ22:ILJ28 IBN22:IBN28 HRR22:HRR28 HHV22:HHV28 GXZ22:GXZ28 GOD22:GOD28 GEH22:GEH28 FUL22:FUL28 FKP22:FKP28 FAT22:FAT28 EQX22:EQX28 EHB22:EHB28 DXF22:DXF28 DNJ22:DNJ28 DDN22:DDN28 CTR22:CTR28 CJV22:CJV28 BZZ22:BZZ28 BQD22:BQD28 BGH22:BGH28 AWL22:AWL28 AMP22:AMP28 ACT22:ACT28 SX22:SX28 JB22:JB28">
      <formula1>$P$5:$P$8</formula1>
    </dataValidation>
  </dataValidations>
  <pageMargins left="0.37" right="0.2" top="0.3" bottom="0.2" header="0.2" footer="0.2"/>
  <pageSetup paperSize="9" scale="76" fitToHeight="0" orientation="portrait" horizontalDpi="4294967292"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軽量鋼矢板(昼間)</vt:lpstr>
      <vt:lpstr>使用回数・運搬重量</vt:lpstr>
      <vt:lpstr>'軽量鋼矢板(昼間)'!Print_Area</vt:lpstr>
      <vt:lpstr>使用回数・運搬重量!Print_Area</vt:lpstr>
    </vt:vector>
  </TitlesOfParts>
  <Company>配水課</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神戸市水道局</dc:creator>
  <cp:lastModifiedBy>Windows ユーザー</cp:lastModifiedBy>
  <cp:lastPrinted>2025-06-12T00:59:56Z</cp:lastPrinted>
  <dcterms:created xsi:type="dcterms:W3CDTF">2006-02-01T05:58:41Z</dcterms:created>
  <dcterms:modified xsi:type="dcterms:W3CDTF">2026-06-22T11:23:39Z</dcterms:modified>
</cp:coreProperties>
</file>
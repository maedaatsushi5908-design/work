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4004\Desktop\フォルダ\○設計・積算業務\〇長田（花山町２丁目他）配水管取替工事\数量計算書\"/>
    </mc:Choice>
  </mc:AlternateContent>
  <bookViews>
    <workbookView xWindow="28680" yWindow="-120" windowWidth="29040" windowHeight="15840"/>
  </bookViews>
  <sheets>
    <sheet name="舗装集計" sheetId="6" r:id="rId1"/>
  </sheets>
  <definedNames>
    <definedName name="_xlnm.Print_Area" localSheetId="0">舗装集計!$A$1:$Y$36</definedName>
  </definedNames>
  <calcPr calcId="162913"/>
</workbook>
</file>

<file path=xl/calcChain.xml><?xml version="1.0" encoding="utf-8"?>
<calcChain xmlns="http://schemas.openxmlformats.org/spreadsheetml/2006/main">
  <c r="Y32" i="6" l="1"/>
  <c r="Y26" i="6"/>
  <c r="Y13" i="6"/>
  <c r="Y11" i="6"/>
  <c r="Y17" i="6"/>
  <c r="Y24" i="6" l="1"/>
  <c r="Y36" i="6" l="1"/>
  <c r="Y35" i="6"/>
  <c r="Y9" i="6"/>
  <c r="Y7" i="6"/>
  <c r="Y28" i="6"/>
  <c r="Y31" i="6" l="1"/>
  <c r="Y27" i="6" l="1"/>
  <c r="Y25" i="6"/>
  <c r="Y23" i="6" l="1"/>
</calcChain>
</file>

<file path=xl/sharedStrings.xml><?xml version="1.0" encoding="utf-8"?>
<sst xmlns="http://schemas.openxmlformats.org/spreadsheetml/2006/main" count="24" uniqueCount="24">
  <si>
    <t>種　　　別</t>
    <rPh sb="0" eb="1">
      <t>タネ</t>
    </rPh>
    <rPh sb="4" eb="5">
      <t>ベツ</t>
    </rPh>
    <phoneticPr fontId="1"/>
  </si>
  <si>
    <t>算　　　式</t>
    <rPh sb="0" eb="1">
      <t>サン</t>
    </rPh>
    <rPh sb="4" eb="5">
      <t>シキ</t>
    </rPh>
    <phoneticPr fontId="1"/>
  </si>
  <si>
    <t>合計</t>
    <rPh sb="0" eb="2">
      <t>ゴウケイケイ</t>
    </rPh>
    <phoneticPr fontId="1"/>
  </si>
  <si>
    <t>復旧面積集計</t>
    <rPh sb="0" eb="2">
      <t>フッキュウ</t>
    </rPh>
    <rPh sb="2" eb="4">
      <t>メンセキ</t>
    </rPh>
    <rPh sb="4" eb="6">
      <t>シュウケイ</t>
    </rPh>
    <phoneticPr fontId="1"/>
  </si>
  <si>
    <t>舗装切断集計</t>
    <rPh sb="0" eb="2">
      <t>ホソウ</t>
    </rPh>
    <rPh sb="2" eb="4">
      <t>セツダン</t>
    </rPh>
    <rPh sb="4" eb="6">
      <t>シュウケイ</t>
    </rPh>
    <phoneticPr fontId="1"/>
  </si>
  <si>
    <t>区画線集計</t>
    <rPh sb="0" eb="3">
      <t>クカクセン</t>
    </rPh>
    <rPh sb="3" eb="5">
      <t>シュウケイ</t>
    </rPh>
    <phoneticPr fontId="1"/>
  </si>
  <si>
    <t>市道3号工</t>
    <rPh sb="0" eb="2">
      <t>シドウ</t>
    </rPh>
    <rPh sb="3" eb="4">
      <t>ゴウ</t>
    </rPh>
    <rPh sb="4" eb="5">
      <t>コウ</t>
    </rPh>
    <phoneticPr fontId="1"/>
  </si>
  <si>
    <t>As t≦15cm</t>
    <phoneticPr fontId="1"/>
  </si>
  <si>
    <t>実線(15cm) 白色</t>
    <rPh sb="0" eb="2">
      <t>ジッセン</t>
    </rPh>
    <rPh sb="9" eb="11">
      <t>シロイロ</t>
    </rPh>
    <phoneticPr fontId="1"/>
  </si>
  <si>
    <t>破線(15cm) 白色</t>
    <rPh sb="0" eb="2">
      <t>ハセン</t>
    </rPh>
    <rPh sb="9" eb="11">
      <t>シロイロ</t>
    </rPh>
    <phoneticPr fontId="1"/>
  </si>
  <si>
    <t>点字ブロック集計</t>
    <rPh sb="0" eb="2">
      <t>テンジ</t>
    </rPh>
    <rPh sb="6" eb="8">
      <t>シュウケイ</t>
    </rPh>
    <phoneticPr fontId="1"/>
  </si>
  <si>
    <t>点字ブロック面積</t>
    <rPh sb="0" eb="2">
      <t>テンジ</t>
    </rPh>
    <rPh sb="6" eb="8">
      <t>メンセキ</t>
    </rPh>
    <phoneticPr fontId="1"/>
  </si>
  <si>
    <t>点字ブロック枚数</t>
    <rPh sb="0" eb="2">
      <t>テンジ</t>
    </rPh>
    <rPh sb="6" eb="8">
      <t>マイスウ</t>
    </rPh>
    <phoneticPr fontId="1"/>
  </si>
  <si>
    <t>舗装復旧面積他集計表</t>
    <rPh sb="0" eb="2">
      <t>ホソウ</t>
    </rPh>
    <rPh sb="2" eb="4">
      <t>フッキュウ</t>
    </rPh>
    <rPh sb="4" eb="6">
      <t>メンセキ</t>
    </rPh>
    <rPh sb="6" eb="7">
      <t>ホカ</t>
    </rPh>
    <rPh sb="7" eb="9">
      <t>シュウケイ</t>
    </rPh>
    <rPh sb="9" eb="10">
      <t>ヒョウ</t>
    </rPh>
    <phoneticPr fontId="1"/>
  </si>
  <si>
    <t>市道2号工</t>
    <rPh sb="0" eb="2">
      <t>シドウ</t>
    </rPh>
    <rPh sb="3" eb="4">
      <t>ゴウ</t>
    </rPh>
    <rPh sb="4" eb="5">
      <t>コウ</t>
    </rPh>
    <phoneticPr fontId="1"/>
  </si>
  <si>
    <t>市道10号工→市道10-1号工</t>
    <rPh sb="0" eb="2">
      <t>シドウ</t>
    </rPh>
    <rPh sb="13" eb="15">
      <t>ゴウコウ</t>
    </rPh>
    <phoneticPr fontId="1"/>
  </si>
  <si>
    <t>市道10号工乗→市道10-1号工乗</t>
    <rPh sb="0" eb="2">
      <t>シドウ</t>
    </rPh>
    <rPh sb="6" eb="7">
      <t>ノリ</t>
    </rPh>
    <rPh sb="14" eb="16">
      <t>ゴウコウ</t>
    </rPh>
    <rPh sb="16" eb="17">
      <t>ノリ</t>
    </rPh>
    <phoneticPr fontId="1"/>
  </si>
  <si>
    <t>破線(20cm) 白色</t>
    <rPh sb="0" eb="2">
      <t>ハセン</t>
    </rPh>
    <rPh sb="9" eb="11">
      <t>シロイロ</t>
    </rPh>
    <phoneticPr fontId="1"/>
  </si>
  <si>
    <t>文字 『文』</t>
    <rPh sb="0" eb="2">
      <t>モジ</t>
    </rPh>
    <rPh sb="4" eb="5">
      <t>ブン</t>
    </rPh>
    <phoneticPr fontId="1"/>
  </si>
  <si>
    <t>文字 『速度落せ』</t>
    <rPh sb="0" eb="2">
      <t>モジ</t>
    </rPh>
    <rPh sb="4" eb="6">
      <t>ソクド</t>
    </rPh>
    <rPh sb="6" eb="7">
      <t>オ</t>
    </rPh>
    <phoneticPr fontId="1"/>
  </si>
  <si>
    <t>構造物取壊し工集計</t>
    <rPh sb="0" eb="2">
      <t>コウゾウ</t>
    </rPh>
    <rPh sb="2" eb="3">
      <t>ブツ</t>
    </rPh>
    <rPh sb="3" eb="5">
      <t>トリコワ</t>
    </rPh>
    <rPh sb="6" eb="7">
      <t>コウ</t>
    </rPh>
    <rPh sb="7" eb="9">
      <t>シュウケイ</t>
    </rPh>
    <phoneticPr fontId="8"/>
  </si>
  <si>
    <t>NG-L-B</t>
    <phoneticPr fontId="1"/>
  </si>
  <si>
    <t>NG-L-LB</t>
    <phoneticPr fontId="1"/>
  </si>
  <si>
    <t>ゼブラ(45cm) 白色</t>
    <rPh sb="10" eb="12">
      <t>シロイロ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</si>
</sst>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0.0_);[Red]\(0.0\)"/>
    <numFmt numFmtId="178" formatCode="0.00;;"/>
    <numFmt numFmtId="179" formatCode="0.0;;"/>
    <numFmt numFmtId="180" formatCode="0.00_);[Red]\(0.00\)"/>
    <numFmt numFmtId="181" formatCode="#,##0.0_);[Red]\(#,##0.0\)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4"/>
      <name val="ＭＳ ゴシック"/>
      <family val="3"/>
      <charset val="128"/>
    </font>
    <font>
      <sz val="11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auto="1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auto="1"/>
      </right>
      <top style="double">
        <color indexed="64"/>
      </top>
      <bottom/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180" fontId="4" fillId="0" borderId="26" xfId="0" applyNumberFormat="1" applyFont="1" applyBorder="1" applyAlignment="1">
      <alignment vertical="center" shrinkToFit="1"/>
    </xf>
    <xf numFmtId="180" fontId="4" fillId="0" borderId="27" xfId="0" applyNumberFormat="1" applyFont="1" applyBorder="1" applyAlignment="1">
      <alignment vertical="center" shrinkToFit="1"/>
    </xf>
    <xf numFmtId="180" fontId="4" fillId="0" borderId="33" xfId="0" applyNumberFormat="1" applyFont="1" applyBorder="1" applyAlignment="1">
      <alignment vertical="center" shrinkToFit="1"/>
    </xf>
    <xf numFmtId="180" fontId="5" fillId="0" borderId="34" xfId="0" applyNumberFormat="1" applyFont="1" applyBorder="1" applyAlignment="1">
      <alignment vertical="center" shrinkToFit="1"/>
    </xf>
    <xf numFmtId="180" fontId="4" fillId="0" borderId="34" xfId="0" applyNumberFormat="1" applyFont="1" applyBorder="1" applyAlignment="1">
      <alignment vertical="center" shrinkToFit="1"/>
    </xf>
    <xf numFmtId="180" fontId="4" fillId="0" borderId="8" xfId="0" applyNumberFormat="1" applyFont="1" applyBorder="1" applyAlignment="1">
      <alignment vertical="center" shrinkToFit="1"/>
    </xf>
    <xf numFmtId="180" fontId="4" fillId="0" borderId="9" xfId="0" applyNumberFormat="1" applyFont="1" applyBorder="1" applyAlignment="1">
      <alignment vertical="center" shrinkToFit="1"/>
    </xf>
    <xf numFmtId="0" fontId="2" fillId="0" borderId="0" xfId="0" applyFo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178" fontId="2" fillId="0" borderId="27" xfId="0" applyNumberFormat="1" applyFont="1" applyBorder="1" applyAlignment="1">
      <alignment vertical="center" shrinkToFit="1"/>
    </xf>
    <xf numFmtId="178" fontId="2" fillId="0" borderId="28" xfId="0" applyNumberFormat="1" applyFont="1" applyBorder="1" applyAlignment="1">
      <alignment vertical="center" shrinkToFit="1"/>
    </xf>
    <xf numFmtId="178" fontId="2" fillId="0" borderId="34" xfId="0" applyNumberFormat="1" applyFont="1" applyBorder="1" applyAlignment="1">
      <alignment vertical="center" shrinkToFit="1"/>
    </xf>
    <xf numFmtId="178" fontId="2" fillId="0" borderId="35" xfId="0" applyNumberFormat="1" applyFont="1" applyBorder="1" applyAlignment="1">
      <alignment vertical="center" shrinkToFit="1"/>
    </xf>
    <xf numFmtId="178" fontId="2" fillId="0" borderId="9" xfId="0" applyNumberFormat="1" applyFont="1" applyBorder="1" applyAlignment="1">
      <alignment vertical="center" shrinkToFit="1"/>
    </xf>
    <xf numFmtId="178" fontId="2" fillId="0" borderId="10" xfId="0" applyNumberFormat="1" applyFont="1" applyBorder="1" applyAlignment="1">
      <alignment vertical="center" shrinkToFit="1"/>
    </xf>
    <xf numFmtId="178" fontId="2" fillId="0" borderId="8" xfId="0" applyNumberFormat="1" applyFont="1" applyBorder="1" applyAlignment="1">
      <alignment vertical="center" shrinkToFit="1"/>
    </xf>
    <xf numFmtId="177" fontId="2" fillId="0" borderId="24" xfId="0" applyNumberFormat="1" applyFont="1" applyBorder="1" applyAlignment="1">
      <alignment vertical="center" shrinkToFit="1"/>
    </xf>
    <xf numFmtId="176" fontId="2" fillId="0" borderId="40" xfId="0" applyNumberFormat="1" applyFont="1" applyBorder="1" applyAlignment="1">
      <alignment vertical="center" shrinkToFit="1"/>
    </xf>
    <xf numFmtId="177" fontId="2" fillId="0" borderId="6" xfId="0" applyNumberFormat="1" applyFont="1" applyBorder="1" applyAlignment="1">
      <alignment vertical="center" shrinkToFit="1"/>
    </xf>
    <xf numFmtId="176" fontId="2" fillId="0" borderId="39" xfId="0" applyNumberFormat="1" applyFont="1" applyBorder="1" applyAlignment="1">
      <alignment vertical="center" shrinkToFit="1"/>
    </xf>
    <xf numFmtId="178" fontId="2" fillId="0" borderId="41" xfId="0" applyNumberFormat="1" applyFont="1" applyBorder="1" applyAlignment="1">
      <alignment vertical="center" shrinkToFit="1"/>
    </xf>
    <xf numFmtId="178" fontId="2" fillId="0" borderId="42" xfId="0" applyNumberFormat="1" applyFont="1" applyBorder="1" applyAlignment="1">
      <alignment vertical="center" shrinkToFit="1"/>
    </xf>
    <xf numFmtId="179" fontId="2" fillId="0" borderId="1" xfId="0" applyNumberFormat="1" applyFont="1" applyBorder="1" applyAlignment="1">
      <alignment vertical="center" shrinkToFit="1"/>
    </xf>
    <xf numFmtId="179" fontId="2" fillId="0" borderId="2" xfId="0" applyNumberFormat="1" applyFont="1" applyBorder="1" applyAlignment="1">
      <alignment vertical="center" shrinkToFit="1"/>
    </xf>
    <xf numFmtId="179" fontId="2" fillId="0" borderId="3" xfId="0" applyNumberFormat="1" applyFont="1" applyBorder="1" applyAlignment="1">
      <alignment vertical="center" shrinkToFit="1"/>
    </xf>
    <xf numFmtId="179" fontId="2" fillId="0" borderId="15" xfId="0" applyNumberFormat="1" applyFont="1" applyBorder="1" applyAlignment="1">
      <alignment vertical="center" shrinkToFit="1"/>
    </xf>
    <xf numFmtId="178" fontId="2" fillId="0" borderId="15" xfId="0" applyNumberFormat="1" applyFont="1" applyBorder="1" applyAlignment="1">
      <alignment vertical="center" shrinkToFit="1"/>
    </xf>
    <xf numFmtId="179" fontId="2" fillId="0" borderId="8" xfId="0" applyNumberFormat="1" applyFont="1" applyBorder="1" applyAlignment="1">
      <alignment vertical="center" shrinkToFit="1"/>
    </xf>
    <xf numFmtId="179" fontId="2" fillId="0" borderId="9" xfId="0" applyNumberFormat="1" applyFont="1" applyBorder="1" applyAlignment="1">
      <alignment vertical="center" shrinkToFit="1"/>
    </xf>
    <xf numFmtId="181" fontId="2" fillId="0" borderId="8" xfId="0" applyNumberFormat="1" applyFont="1" applyBorder="1" applyAlignment="1">
      <alignment vertical="center" shrinkToFit="1"/>
    </xf>
    <xf numFmtId="181" fontId="2" fillId="0" borderId="9" xfId="0" applyNumberFormat="1" applyFont="1" applyBorder="1" applyAlignment="1">
      <alignment vertical="center" shrinkToFit="1"/>
    </xf>
    <xf numFmtId="181" fontId="2" fillId="0" borderId="10" xfId="0" applyNumberFormat="1" applyFont="1" applyBorder="1" applyAlignment="1">
      <alignment vertical="center" shrinkToFit="1"/>
    </xf>
    <xf numFmtId="181" fontId="2" fillId="0" borderId="15" xfId="0" applyNumberFormat="1" applyFont="1" applyBorder="1" applyAlignment="1">
      <alignment vertical="center" shrinkToFit="1"/>
    </xf>
    <xf numFmtId="181" fontId="2" fillId="0" borderId="47" xfId="0" applyNumberFormat="1" applyFont="1" applyBorder="1" applyAlignment="1">
      <alignment vertical="center" shrinkToFit="1"/>
    </xf>
    <xf numFmtId="181" fontId="2" fillId="0" borderId="48" xfId="0" applyNumberFormat="1" applyFont="1" applyBorder="1" applyAlignment="1">
      <alignment vertical="center" shrinkToFit="1"/>
    </xf>
    <xf numFmtId="181" fontId="2" fillId="0" borderId="20" xfId="0" applyNumberFormat="1" applyFont="1" applyBorder="1" applyAlignment="1">
      <alignment vertical="center" shrinkToFit="1"/>
    </xf>
    <xf numFmtId="181" fontId="2" fillId="0" borderId="21" xfId="0" applyNumberFormat="1" applyFont="1" applyBorder="1" applyAlignment="1">
      <alignment vertical="center" shrinkToFit="1"/>
    </xf>
    <xf numFmtId="181" fontId="2" fillId="0" borderId="49" xfId="0" applyNumberFormat="1" applyFont="1" applyBorder="1" applyAlignment="1">
      <alignment vertical="center" shrinkToFit="1"/>
    </xf>
    <xf numFmtId="178" fontId="2" fillId="0" borderId="26" xfId="0" applyNumberFormat="1" applyFont="1" applyBorder="1" applyAlignment="1">
      <alignment horizontal="right" vertical="center" shrinkToFit="1"/>
    </xf>
    <xf numFmtId="178" fontId="2" fillId="0" borderId="27" xfId="0" applyNumberFormat="1" applyFont="1" applyBorder="1" applyAlignment="1">
      <alignment horizontal="right" vertical="center" shrinkToFit="1"/>
    </xf>
    <xf numFmtId="178" fontId="2" fillId="0" borderId="28" xfId="0" applyNumberFormat="1" applyFont="1" applyBorder="1" applyAlignment="1">
      <alignment horizontal="right" vertical="center" shrinkToFit="1"/>
    </xf>
    <xf numFmtId="178" fontId="2" fillId="0" borderId="45" xfId="0" applyNumberFormat="1" applyFont="1" applyBorder="1" applyAlignment="1">
      <alignment horizontal="right" vertical="center" shrinkToFit="1"/>
    </xf>
    <xf numFmtId="178" fontId="2" fillId="0" borderId="41" xfId="0" applyNumberFormat="1" applyFont="1" applyBorder="1" applyAlignment="1">
      <alignment horizontal="right" vertical="center" shrinkToFit="1"/>
    </xf>
    <xf numFmtId="178" fontId="2" fillId="0" borderId="42" xfId="0" applyNumberFormat="1" applyFont="1" applyBorder="1" applyAlignment="1">
      <alignment horizontal="right" vertical="center" shrinkToFit="1"/>
    </xf>
    <xf numFmtId="0" fontId="2" fillId="0" borderId="44" xfId="0" applyNumberFormat="1" applyFont="1" applyBorder="1" applyAlignment="1">
      <alignment horizontal="right" vertical="center" shrinkToFit="1"/>
    </xf>
    <xf numFmtId="2" fontId="2" fillId="0" borderId="46" xfId="0" applyNumberFormat="1" applyFont="1" applyBorder="1" applyAlignment="1">
      <alignment horizontal="right" vertical="center" shrinkToFit="1"/>
    </xf>
    <xf numFmtId="2" fontId="2" fillId="0" borderId="43" xfId="0" applyNumberFormat="1" applyFont="1" applyBorder="1" applyAlignment="1">
      <alignment horizontal="right" vertical="center" shrinkToFit="1"/>
    </xf>
    <xf numFmtId="2" fontId="2" fillId="0" borderId="44" xfId="0" applyNumberFormat="1" applyFont="1" applyBorder="1" applyAlignment="1">
      <alignment horizontal="right" vertical="center" shrinkToFit="1"/>
    </xf>
    <xf numFmtId="0" fontId="2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8" fontId="2" fillId="0" borderId="22" xfId="0" applyNumberFormat="1" applyFont="1" applyBorder="1" applyAlignment="1">
      <alignment horizontal="center" vertical="center" shrinkToFit="1"/>
    </xf>
    <xf numFmtId="178" fontId="2" fillId="0" borderId="29" xfId="0" applyNumberFormat="1" applyFont="1" applyBorder="1" applyAlignment="1">
      <alignment horizontal="center" vertical="center" shrinkToFit="1"/>
    </xf>
    <xf numFmtId="178" fontId="7" fillId="0" borderId="15" xfId="0" applyNumberFormat="1" applyFont="1" applyBorder="1" applyAlignment="1">
      <alignment horizontal="center" vertical="center" shrinkToFit="1"/>
    </xf>
    <xf numFmtId="0" fontId="3" fillId="0" borderId="14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78" fontId="2" fillId="0" borderId="15" xfId="0" applyNumberFormat="1" applyFont="1" applyBorder="1" applyAlignment="1">
      <alignment horizontal="center" vertical="center" shrinkToFit="1"/>
    </xf>
    <xf numFmtId="0" fontId="6" fillId="0" borderId="0" xfId="0" applyFont="1" applyAlignment="1">
      <alignment horizontal="left" vertical="center"/>
    </xf>
    <xf numFmtId="0" fontId="6" fillId="0" borderId="32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3" xfId="0" applyFont="1" applyBorder="1">
      <alignment vertical="center"/>
    </xf>
    <xf numFmtId="0" fontId="3" fillId="0" borderId="24" xfId="0" applyFont="1" applyBorder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  <color rgb="FFFF0066"/>
      <color rgb="FF1489EA"/>
      <color rgb="FFFF00FF"/>
      <color rgb="FF76B531"/>
      <color rgb="FFCCCC00"/>
      <color rgb="FFF80891"/>
      <color rgb="FF5DE92B"/>
      <color rgb="FFBD33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showGridLines="0" showZeros="0" tabSelected="1" view="pageBreakPreview" zoomScaleNormal="85" zoomScaleSheetLayoutView="100" workbookViewId="0">
      <selection activeCell="S18" sqref="S18"/>
    </sheetView>
  </sheetViews>
  <sheetFormatPr defaultColWidth="9" defaultRowHeight="13" x14ac:dyDescent="0.2"/>
  <cols>
    <col min="1" max="4" width="9" style="8"/>
    <col min="5" max="24" width="6.08984375" style="8" customWidth="1"/>
    <col min="25" max="25" width="5.6328125" style="8" customWidth="1"/>
    <col min="26" max="42" width="5" style="8" customWidth="1"/>
    <col min="43" max="16384" width="9" style="8"/>
  </cols>
  <sheetData>
    <row r="1" spans="1:30" x14ac:dyDescent="0.2">
      <c r="A1" s="70" t="s">
        <v>13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</row>
    <row r="2" spans="1:30" x14ac:dyDescent="0.2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</row>
    <row r="3" spans="1:30" ht="13.5" thickBot="1" x14ac:dyDescent="0.25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</row>
    <row r="4" spans="1:30" ht="13.5" thickBot="1" x14ac:dyDescent="0.25">
      <c r="A4" s="72" t="s">
        <v>0</v>
      </c>
      <c r="B4" s="73"/>
      <c r="C4" s="73"/>
      <c r="D4" s="73"/>
      <c r="E4" s="73" t="s">
        <v>1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9" t="s">
        <v>2</v>
      </c>
    </row>
    <row r="5" spans="1:30" ht="13.75" thickTop="1" x14ac:dyDescent="0.2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2"/>
    </row>
    <row r="6" spans="1:30" x14ac:dyDescent="0.2">
      <c r="A6" s="61" t="s">
        <v>3</v>
      </c>
      <c r="B6" s="62"/>
      <c r="C6" s="62"/>
      <c r="D6" s="6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</row>
    <row r="7" spans="1:30" x14ac:dyDescent="0.2">
      <c r="A7" s="63" t="s">
        <v>14</v>
      </c>
      <c r="B7" s="64"/>
      <c r="C7" s="64"/>
      <c r="D7" s="65"/>
      <c r="E7" s="1">
        <v>35.6</v>
      </c>
      <c r="F7" s="2">
        <v>8.6999999999999993</v>
      </c>
      <c r="G7" s="2"/>
      <c r="H7" s="2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6"/>
      <c r="Y7" s="58">
        <f>SUM(E7:X8)</f>
        <v>44.3</v>
      </c>
    </row>
    <row r="8" spans="1:30" x14ac:dyDescent="0.2">
      <c r="A8" s="66"/>
      <c r="B8" s="67"/>
      <c r="C8" s="67"/>
      <c r="D8" s="68"/>
      <c r="E8" s="3"/>
      <c r="F8" s="4"/>
      <c r="G8" s="5"/>
      <c r="H8" s="5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8"/>
      <c r="Y8" s="69"/>
    </row>
    <row r="9" spans="1:30" x14ac:dyDescent="0.2">
      <c r="A9" s="63" t="s">
        <v>6</v>
      </c>
      <c r="B9" s="64"/>
      <c r="C9" s="64"/>
      <c r="D9" s="65"/>
      <c r="E9" s="2">
        <v>2077.8000000000002</v>
      </c>
      <c r="F9" s="2">
        <v>287.10000000000002</v>
      </c>
      <c r="G9" s="2">
        <v>268.89999999999998</v>
      </c>
      <c r="H9" s="2">
        <v>216</v>
      </c>
      <c r="I9" s="15">
        <v>1381.8</v>
      </c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6"/>
      <c r="Y9" s="58">
        <f t="shared" ref="Y9" si="0">SUM(E9:X10)</f>
        <v>4231.6000000000004</v>
      </c>
    </row>
    <row r="10" spans="1:30" x14ac:dyDescent="0.2">
      <c r="A10" s="66"/>
      <c r="B10" s="67"/>
      <c r="C10" s="67"/>
      <c r="D10" s="68"/>
      <c r="E10" s="6"/>
      <c r="F10" s="7"/>
      <c r="G10" s="7"/>
      <c r="H10" s="7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20"/>
      <c r="Y10" s="69"/>
      <c r="AA10" s="54"/>
      <c r="AB10" s="54"/>
      <c r="AC10" s="54"/>
      <c r="AD10" s="54"/>
    </row>
    <row r="11" spans="1:30" x14ac:dyDescent="0.2">
      <c r="A11" s="63" t="s">
        <v>15</v>
      </c>
      <c r="B11" s="64"/>
      <c r="C11" s="64"/>
      <c r="D11" s="65"/>
      <c r="E11" s="1">
        <v>122.1</v>
      </c>
      <c r="F11" s="2">
        <v>4.3</v>
      </c>
      <c r="G11" s="2">
        <v>22</v>
      </c>
      <c r="H11" s="2">
        <v>36.299999999999997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6"/>
      <c r="Y11" s="58">
        <f>SUM(E11:X12)</f>
        <v>184.7</v>
      </c>
    </row>
    <row r="12" spans="1:30" x14ac:dyDescent="0.2">
      <c r="A12" s="66"/>
      <c r="B12" s="67"/>
      <c r="C12" s="67"/>
      <c r="D12" s="68"/>
      <c r="E12" s="6"/>
      <c r="F12" s="7"/>
      <c r="G12" s="7"/>
      <c r="H12" s="7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20"/>
      <c r="Y12" s="69"/>
    </row>
    <row r="13" spans="1:30" x14ac:dyDescent="0.2">
      <c r="A13" s="63" t="s">
        <v>16</v>
      </c>
      <c r="B13" s="64"/>
      <c r="C13" s="64"/>
      <c r="D13" s="65"/>
      <c r="E13" s="1">
        <v>15.6</v>
      </c>
      <c r="F13" s="2"/>
      <c r="G13" s="2"/>
      <c r="H13" s="2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6"/>
      <c r="Y13" s="58">
        <f>SUM(E13:X14)</f>
        <v>15.6</v>
      </c>
    </row>
    <row r="14" spans="1:30" x14ac:dyDescent="0.2">
      <c r="A14" s="66"/>
      <c r="B14" s="67"/>
      <c r="C14" s="67"/>
      <c r="D14" s="68"/>
      <c r="E14" s="6"/>
      <c r="F14" s="7"/>
      <c r="G14" s="7"/>
      <c r="H14" s="7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20"/>
      <c r="Y14" s="69"/>
    </row>
    <row r="15" spans="1:30" x14ac:dyDescent="0.2">
      <c r="A15" s="83"/>
      <c r="B15" s="84"/>
      <c r="C15" s="84"/>
      <c r="D15" s="84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3"/>
      <c r="AA15" s="54"/>
      <c r="AB15" s="54"/>
      <c r="AC15" s="54"/>
      <c r="AD15" s="54"/>
    </row>
    <row r="16" spans="1:30" x14ac:dyDescent="0.2">
      <c r="A16" s="61" t="s">
        <v>4</v>
      </c>
      <c r="B16" s="62"/>
      <c r="C16" s="62"/>
      <c r="D16" s="62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5"/>
    </row>
    <row r="17" spans="1:30" x14ac:dyDescent="0.2">
      <c r="A17" s="63" t="s">
        <v>7</v>
      </c>
      <c r="B17" s="64"/>
      <c r="C17" s="64"/>
      <c r="D17" s="65"/>
      <c r="E17" s="44">
        <v>2.9</v>
      </c>
      <c r="F17" s="45">
        <v>1.6</v>
      </c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6"/>
      <c r="Y17" s="58">
        <f>SUM(E17:X20)</f>
        <v>563.20000000000005</v>
      </c>
    </row>
    <row r="18" spans="1:30" x14ac:dyDescent="0.2">
      <c r="A18" s="85"/>
      <c r="B18" s="86"/>
      <c r="C18" s="86"/>
      <c r="D18" s="87"/>
      <c r="E18" s="51">
        <v>13.1</v>
      </c>
      <c r="F18" s="52">
        <v>10.1</v>
      </c>
      <c r="G18" s="52">
        <v>32.9</v>
      </c>
      <c r="H18" s="52">
        <v>10.9</v>
      </c>
      <c r="I18" s="52">
        <v>6.7</v>
      </c>
      <c r="J18" s="52">
        <v>3.9</v>
      </c>
      <c r="K18" s="52">
        <v>10.9</v>
      </c>
      <c r="L18" s="52">
        <v>22.5</v>
      </c>
      <c r="M18" s="52">
        <v>27</v>
      </c>
      <c r="N18" s="52">
        <v>3.1</v>
      </c>
      <c r="O18" s="52">
        <v>121.4</v>
      </c>
      <c r="P18" s="52">
        <v>88.7</v>
      </c>
      <c r="Q18" s="52">
        <v>29.8</v>
      </c>
      <c r="R18" s="52">
        <v>12</v>
      </c>
      <c r="S18" s="52">
        <v>8.8000000000000007</v>
      </c>
      <c r="T18" s="52">
        <v>34.200000000000003</v>
      </c>
      <c r="U18" s="52">
        <v>56.8</v>
      </c>
      <c r="V18" s="53">
        <v>5.2</v>
      </c>
      <c r="W18" s="52">
        <v>38.1</v>
      </c>
      <c r="X18" s="50"/>
      <c r="Y18" s="59"/>
    </row>
    <row r="19" spans="1:30" x14ac:dyDescent="0.2">
      <c r="A19" s="85"/>
      <c r="B19" s="86"/>
      <c r="C19" s="86"/>
      <c r="D19" s="87"/>
      <c r="E19" s="47">
        <v>13.6</v>
      </c>
      <c r="F19" s="48">
        <v>9</v>
      </c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9"/>
      <c r="X19" s="49"/>
      <c r="Y19" s="59"/>
    </row>
    <row r="20" spans="1:30" x14ac:dyDescent="0.2">
      <c r="A20" s="88"/>
      <c r="B20" s="89"/>
      <c r="C20" s="89"/>
      <c r="D20" s="90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7"/>
      <c r="X20" s="27"/>
      <c r="Y20" s="60"/>
    </row>
    <row r="21" spans="1:30" x14ac:dyDescent="0.2">
      <c r="A21" s="83"/>
      <c r="B21" s="84"/>
      <c r="C21" s="84"/>
      <c r="D21" s="84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3"/>
      <c r="AA21" s="54"/>
      <c r="AB21" s="54"/>
      <c r="AC21" s="54"/>
      <c r="AD21" s="54"/>
    </row>
    <row r="22" spans="1:30" x14ac:dyDescent="0.2">
      <c r="A22" s="61" t="s">
        <v>5</v>
      </c>
      <c r="B22" s="62"/>
      <c r="C22" s="62"/>
      <c r="D22" s="62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5"/>
      <c r="AA22" s="54"/>
      <c r="AB22" s="54"/>
      <c r="AC22" s="54"/>
      <c r="AD22" s="54"/>
    </row>
    <row r="23" spans="1:30" x14ac:dyDescent="0.2">
      <c r="A23" s="55" t="s">
        <v>8</v>
      </c>
      <c r="B23" s="56"/>
      <c r="C23" s="56"/>
      <c r="D23" s="57"/>
      <c r="E23" s="28">
        <v>8.6</v>
      </c>
      <c r="F23" s="29">
        <v>4.7</v>
      </c>
      <c r="G23" s="29">
        <v>64.599999999999994</v>
      </c>
      <c r="H23" s="29">
        <v>74.5</v>
      </c>
      <c r="I23" s="29">
        <v>99.6</v>
      </c>
      <c r="J23" s="29">
        <v>18.5</v>
      </c>
      <c r="K23" s="29">
        <v>30.7</v>
      </c>
      <c r="L23" s="29">
        <v>16.5</v>
      </c>
      <c r="M23" s="29">
        <v>24.2</v>
      </c>
      <c r="N23" s="29">
        <v>1.7</v>
      </c>
      <c r="O23" s="29">
        <v>1.7</v>
      </c>
      <c r="P23" s="29">
        <v>1.3</v>
      </c>
      <c r="Q23" s="29"/>
      <c r="R23" s="29"/>
      <c r="S23" s="29"/>
      <c r="T23" s="29"/>
      <c r="U23" s="29"/>
      <c r="V23" s="29"/>
      <c r="W23" s="29"/>
      <c r="X23" s="30"/>
      <c r="Y23" s="31">
        <f t="shared" ref="Y23" si="1">SUM(E23:X23)</f>
        <v>346.59999999999997</v>
      </c>
    </row>
    <row r="24" spans="1:30" x14ac:dyDescent="0.2">
      <c r="A24" s="55" t="s">
        <v>23</v>
      </c>
      <c r="B24" s="56"/>
      <c r="C24" s="56"/>
      <c r="D24" s="57"/>
      <c r="E24" s="28">
        <v>13.4</v>
      </c>
      <c r="F24" s="29">
        <v>3.3</v>
      </c>
      <c r="G24" s="29">
        <v>1.7</v>
      </c>
      <c r="H24" s="29">
        <v>24.8</v>
      </c>
      <c r="I24" s="29">
        <v>41.2</v>
      </c>
      <c r="J24" s="29">
        <v>3.2</v>
      </c>
      <c r="K24" s="29">
        <v>2.4</v>
      </c>
      <c r="L24" s="29">
        <v>1.7</v>
      </c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30"/>
      <c r="Y24" s="31">
        <f>SUM(E24:X24)</f>
        <v>91.700000000000017</v>
      </c>
    </row>
    <row r="25" spans="1:30" x14ac:dyDescent="0.2">
      <c r="A25" s="55" t="s">
        <v>9</v>
      </c>
      <c r="B25" s="56"/>
      <c r="C25" s="56"/>
      <c r="D25" s="57"/>
      <c r="E25" s="28">
        <v>60</v>
      </c>
      <c r="F25" s="29">
        <v>70</v>
      </c>
      <c r="G25" s="29">
        <v>3</v>
      </c>
      <c r="H25" s="29">
        <v>15</v>
      </c>
      <c r="I25" s="29">
        <v>1.2</v>
      </c>
      <c r="J25" s="29">
        <v>0.4</v>
      </c>
      <c r="K25" s="29">
        <v>1.2</v>
      </c>
      <c r="L25" s="29">
        <v>0.4</v>
      </c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0"/>
      <c r="Y25" s="31">
        <f t="shared" ref="Y25:Y31" si="2">SUM(E25:X25)</f>
        <v>151.19999999999999</v>
      </c>
    </row>
    <row r="26" spans="1:30" x14ac:dyDescent="0.2">
      <c r="A26" s="55" t="s">
        <v>17</v>
      </c>
      <c r="B26" s="56"/>
      <c r="C26" s="56"/>
      <c r="D26" s="57"/>
      <c r="E26" s="28">
        <v>138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30"/>
      <c r="Y26" s="31">
        <f>SUM(E26:X26)</f>
        <v>138</v>
      </c>
    </row>
    <row r="27" spans="1:30" x14ac:dyDescent="0.2">
      <c r="A27" s="55" t="s">
        <v>18</v>
      </c>
      <c r="B27" s="56"/>
      <c r="C27" s="56"/>
      <c r="D27" s="57"/>
      <c r="E27" s="28">
        <v>1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30"/>
      <c r="Y27" s="31">
        <f t="shared" si="2"/>
        <v>1</v>
      </c>
    </row>
    <row r="28" spans="1:30" x14ac:dyDescent="0.2">
      <c r="A28" s="55" t="s">
        <v>19</v>
      </c>
      <c r="B28" s="56"/>
      <c r="C28" s="56"/>
      <c r="D28" s="57"/>
      <c r="E28" s="28">
        <v>1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30"/>
      <c r="Y28" s="31">
        <f t="shared" ref="Y28" si="3">SUM(E28:X28)</f>
        <v>1</v>
      </c>
    </row>
    <row r="29" spans="1:30" x14ac:dyDescent="0.2">
      <c r="A29" s="83"/>
      <c r="B29" s="84"/>
      <c r="C29" s="84"/>
      <c r="D29" s="84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3"/>
      <c r="AA29" s="54"/>
      <c r="AB29" s="54"/>
      <c r="AC29" s="54"/>
      <c r="AD29" s="54"/>
    </row>
    <row r="30" spans="1:30" x14ac:dyDescent="0.2">
      <c r="A30" s="61" t="s">
        <v>10</v>
      </c>
      <c r="B30" s="62"/>
      <c r="C30" s="62"/>
      <c r="D30" s="62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5"/>
      <c r="AA30" s="54"/>
      <c r="AB30" s="54"/>
      <c r="AC30" s="54"/>
      <c r="AD30" s="54"/>
    </row>
    <row r="31" spans="1:30" x14ac:dyDescent="0.2">
      <c r="A31" s="55" t="s">
        <v>11</v>
      </c>
      <c r="B31" s="56"/>
      <c r="C31" s="56"/>
      <c r="D31" s="57"/>
      <c r="E31" s="21">
        <v>3.96</v>
      </c>
      <c r="F31" s="19">
        <v>4.1399999999999997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20"/>
      <c r="Y31" s="32">
        <f t="shared" si="2"/>
        <v>8.1</v>
      </c>
    </row>
    <row r="32" spans="1:30" x14ac:dyDescent="0.2">
      <c r="A32" s="55" t="s">
        <v>12</v>
      </c>
      <c r="B32" s="56"/>
      <c r="C32" s="56"/>
      <c r="D32" s="57"/>
      <c r="E32" s="33">
        <v>44</v>
      </c>
      <c r="F32" s="34">
        <v>46</v>
      </c>
      <c r="G32" s="34"/>
      <c r="H32" s="34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30"/>
      <c r="Y32" s="31">
        <f>SUM(E32:X32)</f>
        <v>90</v>
      </c>
    </row>
    <row r="33" spans="1:25" x14ac:dyDescent="0.2">
      <c r="A33" s="74" t="s">
        <v>20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6"/>
    </row>
    <row r="34" spans="1:25" x14ac:dyDescent="0.2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9"/>
    </row>
    <row r="35" spans="1:25" x14ac:dyDescent="0.2">
      <c r="A35" s="66" t="s">
        <v>21</v>
      </c>
      <c r="B35" s="67"/>
      <c r="C35" s="67"/>
      <c r="D35" s="68"/>
      <c r="E35" s="35">
        <v>5.0999999999999996</v>
      </c>
      <c r="F35" s="36">
        <v>2</v>
      </c>
      <c r="G35" s="36">
        <v>1</v>
      </c>
      <c r="H35" s="36">
        <v>2.5</v>
      </c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7"/>
      <c r="Y35" s="38">
        <f t="shared" ref="Y35:Y36" si="4">SUM(E35:X35)</f>
        <v>10.6</v>
      </c>
    </row>
    <row r="36" spans="1:25" ht="13.5" thickBot="1" x14ac:dyDescent="0.25">
      <c r="A36" s="80" t="s">
        <v>22</v>
      </c>
      <c r="B36" s="81"/>
      <c r="C36" s="81"/>
      <c r="D36" s="82"/>
      <c r="E36" s="39">
        <v>1.5</v>
      </c>
      <c r="F36" s="40">
        <v>4.3</v>
      </c>
      <c r="G36" s="40">
        <v>4</v>
      </c>
      <c r="H36" s="40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/>
      <c r="Y36" s="43">
        <f t="shared" si="4"/>
        <v>9.8000000000000007</v>
      </c>
    </row>
  </sheetData>
  <mergeCells count="37">
    <mergeCell ref="A33:Y34"/>
    <mergeCell ref="A35:D35"/>
    <mergeCell ref="A36:D36"/>
    <mergeCell ref="A15:D15"/>
    <mergeCell ref="A27:D27"/>
    <mergeCell ref="A25:D25"/>
    <mergeCell ref="A28:D28"/>
    <mergeCell ref="A26:D26"/>
    <mergeCell ref="A32:D32"/>
    <mergeCell ref="A29:D29"/>
    <mergeCell ref="A30:D30"/>
    <mergeCell ref="A23:D23"/>
    <mergeCell ref="A17:D20"/>
    <mergeCell ref="A21:D21"/>
    <mergeCell ref="A22:D22"/>
    <mergeCell ref="A1:Y3"/>
    <mergeCell ref="Y7:Y8"/>
    <mergeCell ref="A4:D4"/>
    <mergeCell ref="E4:X4"/>
    <mergeCell ref="A6:D6"/>
    <mergeCell ref="A7:D8"/>
    <mergeCell ref="A13:D14"/>
    <mergeCell ref="Y13:Y14"/>
    <mergeCell ref="AA10:AD10"/>
    <mergeCell ref="A9:D10"/>
    <mergeCell ref="Y9:Y10"/>
    <mergeCell ref="A11:D12"/>
    <mergeCell ref="Y11:Y12"/>
    <mergeCell ref="AA15:AD15"/>
    <mergeCell ref="A31:D31"/>
    <mergeCell ref="AA29:AD29"/>
    <mergeCell ref="AA30:AD30"/>
    <mergeCell ref="AA21:AD21"/>
    <mergeCell ref="AA22:AD22"/>
    <mergeCell ref="Y17:Y20"/>
    <mergeCell ref="A24:D24"/>
    <mergeCell ref="A16:D16"/>
  </mergeCells>
  <phoneticPr fontId="1"/>
  <printOptions horizontalCentered="1"/>
  <pageMargins left="0.39370078740157483" right="0.39370078740157483" top="0.78740157480314965" bottom="0.19685039370078741" header="0.31496062992125984" footer="0.31496062992125984"/>
  <pageSetup paperSize="9" scale="83" orientation="landscape" cellComments="asDisplayed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舗装集計</vt:lpstr>
      <vt:lpstr>舗装集計!Print_Area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y.yanagawa</dc:creator>
  <cp:lastModifiedBy>Windows ユーザー</cp:lastModifiedBy>
  <cp:lastPrinted>2025-06-05T10:18:48Z</cp:lastPrinted>
  <dcterms:created xsi:type="dcterms:W3CDTF">2015-03-17T06:39:31Z</dcterms:created>
  <dcterms:modified xsi:type="dcterms:W3CDTF">2025-06-05T10:18:49Z</dcterms:modified>
</cp:coreProperties>
</file>
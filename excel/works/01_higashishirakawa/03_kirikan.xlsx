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0282\Desktop\東白川特2高層配水池揚水管取替工事\【当初設計これをさわっていく】00成果品\数量計算書\"/>
    </mc:Choice>
  </mc:AlternateContent>
  <bookViews>
    <workbookView xWindow="-108" yWindow="-108" windowWidth="23256" windowHeight="12576" activeTab="5"/>
  </bookViews>
  <sheets>
    <sheet name="白紙(4m)" sheetId="32" r:id="rId1"/>
    <sheet name="白紙(5m)" sheetId="29" r:id="rId2"/>
    <sheet name="白紙(6m)" sheetId="33" r:id="rId3"/>
    <sheet name="GX　200" sheetId="49" r:id="rId4"/>
    <sheet name="GX　400" sheetId="54" r:id="rId5"/>
    <sheet name="GX　400 (2)" sheetId="57" r:id="rId6"/>
    <sheet name="GX　400 (3)" sheetId="58" r:id="rId7"/>
    <sheet name="GX　400 (4)" sheetId="56" r:id="rId8"/>
    <sheet name="不要→" sheetId="55" r:id="rId9"/>
    <sheet name="ＰＥ管（スピゴット）" sheetId="52" r:id="rId10"/>
    <sheet name="GX 75" sheetId="51" r:id="rId11"/>
    <sheet name="GX 100" sheetId="53" r:id="rId12"/>
    <sheet name="GX　150" sheetId="30" r:id="rId13"/>
    <sheet name="GX　300" sheetId="26" r:id="rId14"/>
    <sheet name="Ｔ150" sheetId="44" r:id="rId15"/>
    <sheet name="K300" sheetId="50" r:id="rId16"/>
    <sheet name="NSφ700" sheetId="11" state="hidden" r:id="rId17"/>
    <sheet name="KF-Sφ700" sheetId="12" state="hidden" r:id="rId18"/>
  </sheets>
  <definedNames>
    <definedName name="_xlnm.Print_Area" localSheetId="11">'GX 100'!$A$1:$AA$114</definedName>
    <definedName name="_xlnm.Print_Area" localSheetId="12">'GX　150'!$A$1:$AA$114</definedName>
    <definedName name="_xlnm.Print_Area" localSheetId="3">'GX　200'!$A$1:$AA$114</definedName>
    <definedName name="_xlnm.Print_Area" localSheetId="13">'GX　300'!$A$1:$AA$114</definedName>
    <definedName name="_xlnm.Print_Area" localSheetId="4">'GX　400'!$A$1:$AA$114</definedName>
    <definedName name="_xlnm.Print_Area" localSheetId="5">'GX　400 (2)'!$A$1:$AA$114</definedName>
    <definedName name="_xlnm.Print_Area" localSheetId="6">'GX　400 (3)'!$A$1:$AA$114</definedName>
    <definedName name="_xlnm.Print_Area" localSheetId="7">'GX　400 (4)'!$A$1:$AA$108</definedName>
    <definedName name="_xlnm.Print_Area" localSheetId="10">'GX 75'!$A$1:$AA$114</definedName>
    <definedName name="_xlnm.Print_Area" localSheetId="15">'K300'!$A$1:$AA$114</definedName>
    <definedName name="_xlnm.Print_Area" localSheetId="17">'KF-Sφ700'!$A$1:$AA$114</definedName>
    <definedName name="_xlnm.Print_Area" localSheetId="16">NSφ700!$A$1:$AA$114</definedName>
    <definedName name="_xlnm.Print_Area" localSheetId="9">'ＰＥ管（スピゴット）'!$A$1:$AA$114</definedName>
    <definedName name="_xlnm.Print_Area" localSheetId="14">'Ｔ150'!$A$1:$AA$114</definedName>
    <definedName name="_xlnm.Print_Area" localSheetId="0">'白紙(4m)'!$A$1:$AA$114</definedName>
    <definedName name="_xlnm.Print_Area" localSheetId="1">'白紙(5m)'!$A$1:$AA$114</definedName>
    <definedName name="_xlnm.Print_Area" localSheetId="2">'白紙(6m)'!$A$1:$AA$114</definedName>
  </definedNames>
  <calcPr calcId="162913"/>
</workbook>
</file>

<file path=xl/calcChain.xml><?xml version="1.0" encoding="utf-8"?>
<calcChain xmlns="http://schemas.openxmlformats.org/spreadsheetml/2006/main">
  <c r="K108" i="56" l="1"/>
  <c r="B34" i="56"/>
  <c r="B34" i="26"/>
  <c r="AA108" i="56"/>
  <c r="Z108" i="56"/>
  <c r="Y108" i="56"/>
  <c r="X108" i="56"/>
  <c r="AA114" i="58"/>
  <c r="Z114" i="58"/>
  <c r="Y114" i="58"/>
  <c r="X114" i="58"/>
  <c r="W114" i="58"/>
  <c r="V114" i="58"/>
  <c r="H114" i="58"/>
  <c r="G114" i="58"/>
  <c r="Q111" i="58"/>
  <c r="N111" i="58"/>
  <c r="K111" i="58"/>
  <c r="H111" i="58"/>
  <c r="N106" i="58"/>
  <c r="K106" i="58"/>
  <c r="H106" i="58"/>
  <c r="E106" i="58"/>
  <c r="Q103" i="58"/>
  <c r="N103" i="58"/>
  <c r="K103" i="58"/>
  <c r="H103" i="58"/>
  <c r="S98" i="58"/>
  <c r="R98" i="58" s="1"/>
  <c r="R101" i="58" s="1"/>
  <c r="N98" i="58"/>
  <c r="K98" i="58"/>
  <c r="H98" i="58"/>
  <c r="E98" i="58"/>
  <c r="Q95" i="58"/>
  <c r="N95" i="58"/>
  <c r="K95" i="58"/>
  <c r="H95" i="58"/>
  <c r="N90" i="58"/>
  <c r="K90" i="58"/>
  <c r="H90" i="58"/>
  <c r="E90" i="58"/>
  <c r="Q87" i="58"/>
  <c r="N87" i="58"/>
  <c r="K87" i="58"/>
  <c r="H87" i="58"/>
  <c r="N82" i="58"/>
  <c r="K82" i="58"/>
  <c r="H82" i="58"/>
  <c r="E82" i="58"/>
  <c r="Q79" i="58"/>
  <c r="N79" i="58"/>
  <c r="K79" i="58"/>
  <c r="H79" i="58"/>
  <c r="N74" i="58"/>
  <c r="K74" i="58"/>
  <c r="H74" i="58"/>
  <c r="E74" i="58"/>
  <c r="Q71" i="58"/>
  <c r="N71" i="58"/>
  <c r="K71" i="58"/>
  <c r="H71" i="58"/>
  <c r="S66" i="58"/>
  <c r="R66" i="58" s="1"/>
  <c r="R69" i="58" s="1"/>
  <c r="N66" i="58"/>
  <c r="K66" i="58"/>
  <c r="H66" i="58"/>
  <c r="E66" i="58"/>
  <c r="Q63" i="58"/>
  <c r="N63" i="58"/>
  <c r="K63" i="58"/>
  <c r="H63" i="58"/>
  <c r="N58" i="58"/>
  <c r="K58" i="58"/>
  <c r="H58" i="58"/>
  <c r="E58" i="58"/>
  <c r="Q55" i="58"/>
  <c r="N55" i="58"/>
  <c r="K55" i="58"/>
  <c r="H55" i="58"/>
  <c r="N50" i="58"/>
  <c r="K50" i="58"/>
  <c r="H50" i="58"/>
  <c r="E50" i="58"/>
  <c r="Q47" i="58"/>
  <c r="N47" i="58"/>
  <c r="K47" i="58"/>
  <c r="H47" i="58"/>
  <c r="N42" i="58"/>
  <c r="K42" i="58"/>
  <c r="H42" i="58"/>
  <c r="E42" i="58"/>
  <c r="Q39" i="58"/>
  <c r="N39" i="58"/>
  <c r="K39" i="58"/>
  <c r="H39" i="58"/>
  <c r="S34" i="58"/>
  <c r="R34" i="58" s="1"/>
  <c r="R37" i="58" s="1"/>
  <c r="N34" i="58"/>
  <c r="K34" i="58"/>
  <c r="H34" i="58"/>
  <c r="E34" i="58"/>
  <c r="Q31" i="58"/>
  <c r="N31" i="58"/>
  <c r="K31" i="58"/>
  <c r="H31" i="58"/>
  <c r="N26" i="58"/>
  <c r="K26" i="58"/>
  <c r="H26" i="58"/>
  <c r="E26" i="58"/>
  <c r="Q23" i="58"/>
  <c r="N23" i="58"/>
  <c r="K23" i="58"/>
  <c r="H23" i="58"/>
  <c r="N18" i="58"/>
  <c r="K18" i="58"/>
  <c r="H18" i="58"/>
  <c r="E18" i="58"/>
  <c r="Q15" i="58"/>
  <c r="N15" i="58"/>
  <c r="K15" i="58"/>
  <c r="H15" i="58"/>
  <c r="N10" i="58"/>
  <c r="K10" i="58"/>
  <c r="H10" i="58"/>
  <c r="E10" i="58"/>
  <c r="AC3" i="58"/>
  <c r="AC2" i="58"/>
  <c r="AC1" i="58"/>
  <c r="S90" i="58" s="1"/>
  <c r="C1" i="58"/>
  <c r="AA114" i="57"/>
  <c r="Z114" i="57"/>
  <c r="Y114" i="57"/>
  <c r="X114" i="57"/>
  <c r="W114" i="57"/>
  <c r="V114" i="57"/>
  <c r="H114" i="57"/>
  <c r="G114" i="57"/>
  <c r="Q111" i="57"/>
  <c r="N111" i="57"/>
  <c r="K111" i="57"/>
  <c r="H111" i="57"/>
  <c r="N106" i="57"/>
  <c r="K106" i="57"/>
  <c r="H106" i="57"/>
  <c r="E106" i="57"/>
  <c r="Q103" i="57"/>
  <c r="N103" i="57"/>
  <c r="K103" i="57"/>
  <c r="H103" i="57"/>
  <c r="N98" i="57"/>
  <c r="K98" i="57"/>
  <c r="H98" i="57"/>
  <c r="E98" i="57"/>
  <c r="Q95" i="57"/>
  <c r="N95" i="57"/>
  <c r="K95" i="57"/>
  <c r="H95" i="57"/>
  <c r="N90" i="57"/>
  <c r="K90" i="57"/>
  <c r="H90" i="57"/>
  <c r="E90" i="57"/>
  <c r="Q87" i="57"/>
  <c r="N87" i="57"/>
  <c r="K87" i="57"/>
  <c r="H87" i="57"/>
  <c r="N82" i="57"/>
  <c r="K82" i="57"/>
  <c r="H82" i="57"/>
  <c r="E82" i="57"/>
  <c r="Q79" i="57"/>
  <c r="N79" i="57"/>
  <c r="K79" i="57"/>
  <c r="H79" i="57"/>
  <c r="N74" i="57"/>
  <c r="K74" i="57"/>
  <c r="H74" i="57"/>
  <c r="E74" i="57"/>
  <c r="Q71" i="57"/>
  <c r="N71" i="57"/>
  <c r="K71" i="57"/>
  <c r="H71" i="57"/>
  <c r="N66" i="57"/>
  <c r="K66" i="57"/>
  <c r="H66" i="57"/>
  <c r="E66" i="57"/>
  <c r="Q63" i="57"/>
  <c r="N63" i="57"/>
  <c r="K63" i="57"/>
  <c r="H63" i="57"/>
  <c r="N58" i="57"/>
  <c r="K58" i="57"/>
  <c r="H58" i="57"/>
  <c r="E58" i="57"/>
  <c r="Q55" i="57"/>
  <c r="N55" i="57"/>
  <c r="K55" i="57"/>
  <c r="H55" i="57"/>
  <c r="N50" i="57"/>
  <c r="K50" i="57"/>
  <c r="H50" i="57"/>
  <c r="E50" i="57"/>
  <c r="Q47" i="57"/>
  <c r="N47" i="57"/>
  <c r="K47" i="57"/>
  <c r="H47" i="57"/>
  <c r="N42" i="57"/>
  <c r="K42" i="57"/>
  <c r="H42" i="57"/>
  <c r="E42" i="57"/>
  <c r="Q39" i="57"/>
  <c r="N39" i="57"/>
  <c r="K39" i="57"/>
  <c r="H39" i="57"/>
  <c r="N34" i="57"/>
  <c r="K34" i="57"/>
  <c r="H34" i="57"/>
  <c r="E34" i="57"/>
  <c r="Q31" i="57"/>
  <c r="N31" i="57"/>
  <c r="K31" i="57"/>
  <c r="H31" i="57"/>
  <c r="N26" i="57"/>
  <c r="K26" i="57"/>
  <c r="H26" i="57"/>
  <c r="E26" i="57"/>
  <c r="Q23" i="57"/>
  <c r="N23" i="57"/>
  <c r="K23" i="57"/>
  <c r="H23" i="57"/>
  <c r="N18" i="57"/>
  <c r="K18" i="57"/>
  <c r="H18" i="57"/>
  <c r="E18" i="57"/>
  <c r="Q15" i="57"/>
  <c r="N15" i="57"/>
  <c r="K15" i="57"/>
  <c r="H15" i="57"/>
  <c r="N10" i="57"/>
  <c r="K10" i="57"/>
  <c r="H10" i="57"/>
  <c r="E10" i="57"/>
  <c r="AC3" i="57"/>
  <c r="AC1" i="57"/>
  <c r="C1" i="57"/>
  <c r="H106" i="56"/>
  <c r="AA106" i="56"/>
  <c r="Z106" i="56"/>
  <c r="Y106" i="56"/>
  <c r="X106" i="56"/>
  <c r="W106" i="56"/>
  <c r="V106" i="56"/>
  <c r="V108" i="56" s="1"/>
  <c r="G106" i="56"/>
  <c r="H108" i="56"/>
  <c r="G108" i="56"/>
  <c r="Q103" i="56"/>
  <c r="N103" i="56"/>
  <c r="K103" i="56"/>
  <c r="H103" i="56"/>
  <c r="S98" i="56"/>
  <c r="B98" i="56" s="1"/>
  <c r="U98" i="56" s="1"/>
  <c r="AC103" i="56" s="1"/>
  <c r="R98" i="56"/>
  <c r="R101" i="56" s="1"/>
  <c r="N98" i="56"/>
  <c r="K98" i="56"/>
  <c r="H98" i="56"/>
  <c r="E98" i="56"/>
  <c r="Q95" i="56"/>
  <c r="N95" i="56"/>
  <c r="K95" i="56"/>
  <c r="H95" i="56"/>
  <c r="S90" i="56"/>
  <c r="T90" i="56" s="1"/>
  <c r="R90" i="56"/>
  <c r="R93" i="56" s="1"/>
  <c r="N90" i="56"/>
  <c r="K90" i="56"/>
  <c r="H90" i="56"/>
  <c r="E90" i="56"/>
  <c r="Q87" i="56"/>
  <c r="N87" i="56"/>
  <c r="K87" i="56"/>
  <c r="H87" i="56"/>
  <c r="S82" i="56"/>
  <c r="T82" i="56" s="1"/>
  <c r="N82" i="56"/>
  <c r="K82" i="56"/>
  <c r="H82" i="56"/>
  <c r="E82" i="56"/>
  <c r="B82" i="56"/>
  <c r="U82" i="56" s="1"/>
  <c r="AC87" i="56" s="1"/>
  <c r="Q79" i="56"/>
  <c r="N79" i="56"/>
  <c r="K79" i="56"/>
  <c r="H79" i="56"/>
  <c r="S74" i="56"/>
  <c r="R74" i="56" s="1"/>
  <c r="R77" i="56" s="1"/>
  <c r="N74" i="56"/>
  <c r="K74" i="56"/>
  <c r="H74" i="56"/>
  <c r="E74" i="56"/>
  <c r="Q71" i="56"/>
  <c r="N71" i="56"/>
  <c r="K71" i="56"/>
  <c r="H71" i="56"/>
  <c r="S66" i="56"/>
  <c r="B66" i="56" s="1"/>
  <c r="U66" i="56" s="1"/>
  <c r="AC71" i="56" s="1"/>
  <c r="R66" i="56"/>
  <c r="R69" i="56" s="1"/>
  <c r="N66" i="56"/>
  <c r="K66" i="56"/>
  <c r="H66" i="56"/>
  <c r="E66" i="56"/>
  <c r="Q63" i="56"/>
  <c r="N63" i="56"/>
  <c r="K63" i="56"/>
  <c r="H63" i="56"/>
  <c r="S58" i="56"/>
  <c r="T58" i="56" s="1"/>
  <c r="R58" i="56"/>
  <c r="R61" i="56" s="1"/>
  <c r="N58" i="56"/>
  <c r="K58" i="56"/>
  <c r="H58" i="56"/>
  <c r="E58" i="56"/>
  <c r="Q55" i="56"/>
  <c r="N55" i="56"/>
  <c r="K55" i="56"/>
  <c r="H55" i="56"/>
  <c r="S50" i="56"/>
  <c r="T50" i="56" s="1"/>
  <c r="R50" i="56"/>
  <c r="R53" i="56" s="1"/>
  <c r="N50" i="56"/>
  <c r="K50" i="56"/>
  <c r="H50" i="56"/>
  <c r="E50" i="56"/>
  <c r="Q47" i="56"/>
  <c r="N47" i="56"/>
  <c r="K47" i="56"/>
  <c r="H47" i="56"/>
  <c r="S42" i="56"/>
  <c r="T42" i="56" s="1"/>
  <c r="N42" i="56"/>
  <c r="K42" i="56"/>
  <c r="H42" i="56"/>
  <c r="E42" i="56"/>
  <c r="B42" i="56"/>
  <c r="U42" i="56" s="1"/>
  <c r="AC47" i="56" s="1"/>
  <c r="Q39" i="56"/>
  <c r="N39" i="56"/>
  <c r="K39" i="56"/>
  <c r="H39" i="56"/>
  <c r="S34" i="56"/>
  <c r="AC39" i="56" s="1"/>
  <c r="R34" i="56"/>
  <c r="R37" i="56" s="1"/>
  <c r="N34" i="56"/>
  <c r="K34" i="56"/>
  <c r="H34" i="56"/>
  <c r="E34" i="56"/>
  <c r="Q31" i="56"/>
  <c r="N31" i="56"/>
  <c r="K31" i="56"/>
  <c r="H31" i="56"/>
  <c r="N26" i="56"/>
  <c r="K26" i="56"/>
  <c r="H26" i="56"/>
  <c r="E26" i="56"/>
  <c r="Q23" i="56"/>
  <c r="N23" i="56"/>
  <c r="K23" i="56"/>
  <c r="H23" i="56"/>
  <c r="N18" i="56"/>
  <c r="K18" i="56"/>
  <c r="H18" i="56"/>
  <c r="E18" i="56"/>
  <c r="Q15" i="56"/>
  <c r="N15" i="56"/>
  <c r="K15" i="56"/>
  <c r="H15" i="56"/>
  <c r="N10" i="56"/>
  <c r="K10" i="56"/>
  <c r="H10" i="56"/>
  <c r="E10" i="56"/>
  <c r="AC3" i="56"/>
  <c r="AC1" i="56"/>
  <c r="AC2" i="56" s="1"/>
  <c r="S26" i="56" s="1"/>
  <c r="C1" i="56"/>
  <c r="AA114" i="54"/>
  <c r="Z114" i="54"/>
  <c r="Y114" i="54"/>
  <c r="X114" i="54"/>
  <c r="W114" i="54"/>
  <c r="V114" i="54"/>
  <c r="H114" i="54"/>
  <c r="G114" i="54"/>
  <c r="Q111" i="54"/>
  <c r="N111" i="54"/>
  <c r="K111" i="54"/>
  <c r="H111" i="54"/>
  <c r="S106" i="54"/>
  <c r="T106" i="54" s="1"/>
  <c r="N106" i="54"/>
  <c r="K106" i="54"/>
  <c r="H106" i="54"/>
  <c r="E106" i="54"/>
  <c r="Q103" i="54"/>
  <c r="N103" i="54"/>
  <c r="K103" i="54"/>
  <c r="H103" i="54"/>
  <c r="S98" i="54"/>
  <c r="R98" i="54" s="1"/>
  <c r="R101" i="54" s="1"/>
  <c r="N98" i="54"/>
  <c r="K98" i="54"/>
  <c r="H98" i="54"/>
  <c r="E98" i="54"/>
  <c r="Q95" i="54"/>
  <c r="N95" i="54"/>
  <c r="K95" i="54"/>
  <c r="H95" i="54"/>
  <c r="S90" i="54"/>
  <c r="T90" i="54" s="1"/>
  <c r="N90" i="54"/>
  <c r="K90" i="54"/>
  <c r="H90" i="54"/>
  <c r="E90" i="54"/>
  <c r="Q87" i="54"/>
  <c r="N87" i="54"/>
  <c r="K87" i="54"/>
  <c r="H87" i="54"/>
  <c r="S82" i="54"/>
  <c r="R82" i="54" s="1"/>
  <c r="R85" i="54" s="1"/>
  <c r="N82" i="54"/>
  <c r="K82" i="54"/>
  <c r="H82" i="54"/>
  <c r="E82" i="54"/>
  <c r="Q79" i="54"/>
  <c r="N79" i="54"/>
  <c r="K79" i="54"/>
  <c r="H79" i="54"/>
  <c r="S74" i="54"/>
  <c r="T74" i="54" s="1"/>
  <c r="N74" i="54"/>
  <c r="K74" i="54"/>
  <c r="H74" i="54"/>
  <c r="E74" i="54"/>
  <c r="Q71" i="54"/>
  <c r="N71" i="54"/>
  <c r="K71" i="54"/>
  <c r="H71" i="54"/>
  <c r="S66" i="54"/>
  <c r="R66" i="54" s="1"/>
  <c r="R69" i="54" s="1"/>
  <c r="N66" i="54"/>
  <c r="K66" i="54"/>
  <c r="H66" i="54"/>
  <c r="E66" i="54"/>
  <c r="Q63" i="54"/>
  <c r="N63" i="54"/>
  <c r="K63" i="54"/>
  <c r="H63" i="54"/>
  <c r="S58" i="54"/>
  <c r="T58" i="54" s="1"/>
  <c r="N58" i="54"/>
  <c r="K58" i="54"/>
  <c r="H58" i="54"/>
  <c r="E58" i="54"/>
  <c r="Q55" i="54"/>
  <c r="N55" i="54"/>
  <c r="K55" i="54"/>
  <c r="H55" i="54"/>
  <c r="S50" i="54"/>
  <c r="R50" i="54" s="1"/>
  <c r="R53" i="54" s="1"/>
  <c r="N50" i="54"/>
  <c r="K50" i="54"/>
  <c r="H50" i="54"/>
  <c r="E50" i="54"/>
  <c r="Q47" i="54"/>
  <c r="N47" i="54"/>
  <c r="K47" i="54"/>
  <c r="H47" i="54"/>
  <c r="S42" i="54"/>
  <c r="T42" i="54" s="1"/>
  <c r="N42" i="54"/>
  <c r="K42" i="54"/>
  <c r="H42" i="54"/>
  <c r="E42" i="54"/>
  <c r="Q39" i="54"/>
  <c r="N39" i="54"/>
  <c r="K39" i="54"/>
  <c r="H39" i="54"/>
  <c r="S34" i="54"/>
  <c r="R34" i="54" s="1"/>
  <c r="R37" i="54" s="1"/>
  <c r="N34" i="54"/>
  <c r="K34" i="54"/>
  <c r="H34" i="54"/>
  <c r="E34" i="54"/>
  <c r="Q31" i="54"/>
  <c r="N31" i="54"/>
  <c r="K31" i="54"/>
  <c r="H31" i="54"/>
  <c r="S26" i="54"/>
  <c r="T26" i="54" s="1"/>
  <c r="N26" i="54"/>
  <c r="K26" i="54"/>
  <c r="H26" i="54"/>
  <c r="E26" i="54"/>
  <c r="Q23" i="54"/>
  <c r="N23" i="54"/>
  <c r="K23" i="54"/>
  <c r="H23" i="54"/>
  <c r="S18" i="54"/>
  <c r="R18" i="54" s="1"/>
  <c r="R21" i="54" s="1"/>
  <c r="N18" i="54"/>
  <c r="K18" i="54"/>
  <c r="H18" i="54"/>
  <c r="E18" i="54"/>
  <c r="Q15" i="54"/>
  <c r="N15" i="54"/>
  <c r="K15" i="54"/>
  <c r="H15" i="54"/>
  <c r="S10" i="54"/>
  <c r="T10" i="54" s="1"/>
  <c r="N10" i="54"/>
  <c r="K10" i="54"/>
  <c r="H10" i="54"/>
  <c r="E10" i="54"/>
  <c r="AC3" i="54"/>
  <c r="AC1" i="54"/>
  <c r="AC2" i="54" s="1"/>
  <c r="C1" i="54"/>
  <c r="S90" i="51"/>
  <c r="W108" i="56" l="1"/>
  <c r="T90" i="58"/>
  <c r="R90" i="58"/>
  <c r="R93" i="58" s="1"/>
  <c r="T34" i="58"/>
  <c r="T66" i="58"/>
  <c r="T98" i="58"/>
  <c r="S10" i="58"/>
  <c r="B10" i="58" s="1"/>
  <c r="S42" i="58"/>
  <c r="S74" i="58"/>
  <c r="S106" i="58"/>
  <c r="S18" i="58"/>
  <c r="S50" i="58"/>
  <c r="S82" i="58"/>
  <c r="S26" i="58"/>
  <c r="S58" i="58"/>
  <c r="S90" i="57"/>
  <c r="S34" i="57"/>
  <c r="S66" i="57"/>
  <c r="S98" i="57"/>
  <c r="S10" i="57"/>
  <c r="B10" i="57" s="1"/>
  <c r="S50" i="57"/>
  <c r="AC2" i="57"/>
  <c r="S42" i="57" s="1"/>
  <c r="R114" i="57" s="1"/>
  <c r="S26" i="57"/>
  <c r="S58" i="57"/>
  <c r="T82" i="54"/>
  <c r="B50" i="56"/>
  <c r="U50" i="56" s="1"/>
  <c r="AC55" i="56" s="1"/>
  <c r="R42" i="56"/>
  <c r="R45" i="56" s="1"/>
  <c r="T74" i="56"/>
  <c r="R82" i="56"/>
  <c r="R85" i="56" s="1"/>
  <c r="B74" i="56"/>
  <c r="U74" i="56" s="1"/>
  <c r="AC79" i="56" s="1"/>
  <c r="T26" i="56"/>
  <c r="R26" i="56"/>
  <c r="R29" i="56" s="1"/>
  <c r="T34" i="56"/>
  <c r="T66" i="56"/>
  <c r="T98" i="56"/>
  <c r="S10" i="56"/>
  <c r="B10" i="56" s="1"/>
  <c r="B58" i="56"/>
  <c r="U58" i="56" s="1"/>
  <c r="AC63" i="56" s="1"/>
  <c r="B90" i="56"/>
  <c r="U90" i="56" s="1"/>
  <c r="AC95" i="56" s="1"/>
  <c r="S18" i="56"/>
  <c r="T50" i="54"/>
  <c r="T18" i="54"/>
  <c r="B10" i="54"/>
  <c r="U10" i="54" s="1"/>
  <c r="AC15" i="54" s="1"/>
  <c r="T34" i="54"/>
  <c r="T66" i="54"/>
  <c r="T98" i="54"/>
  <c r="R10" i="54"/>
  <c r="R13" i="54" s="1"/>
  <c r="R42" i="54"/>
  <c r="R45" i="54" s="1"/>
  <c r="R74" i="54"/>
  <c r="R77" i="54" s="1"/>
  <c r="R106" i="54"/>
  <c r="R109" i="54" s="1"/>
  <c r="R114" i="54"/>
  <c r="R26" i="54"/>
  <c r="R29" i="54" s="1"/>
  <c r="R58" i="54"/>
  <c r="R61" i="54" s="1"/>
  <c r="R90" i="54"/>
  <c r="R93" i="54" s="1"/>
  <c r="S106" i="50"/>
  <c r="T106" i="50" s="1"/>
  <c r="S106" i="44"/>
  <c r="T106" i="44" s="1"/>
  <c r="U106" i="44"/>
  <c r="AC111" i="44" s="1"/>
  <c r="U106" i="30"/>
  <c r="AC111" i="30" s="1"/>
  <c r="U98" i="30"/>
  <c r="AC103" i="30" s="1"/>
  <c r="U106" i="53"/>
  <c r="AC111" i="53" s="1"/>
  <c r="AC80" i="51"/>
  <c r="U106" i="51"/>
  <c r="AC111" i="51" s="1"/>
  <c r="U106" i="52"/>
  <c r="AC111" i="52" s="1"/>
  <c r="U106" i="29"/>
  <c r="AC111" i="29" s="1"/>
  <c r="U106" i="32"/>
  <c r="AC111" i="32" s="1"/>
  <c r="T82" i="58" l="1"/>
  <c r="R82" i="58"/>
  <c r="R85" i="58" s="1"/>
  <c r="T18" i="58"/>
  <c r="R18" i="58"/>
  <c r="R21" i="58" s="1"/>
  <c r="T106" i="58"/>
  <c r="R106" i="58"/>
  <c r="R109" i="58" s="1"/>
  <c r="T74" i="58"/>
  <c r="R74" i="58"/>
  <c r="R77" i="58" s="1"/>
  <c r="T42" i="58"/>
  <c r="R42" i="58"/>
  <c r="R45" i="58" s="1"/>
  <c r="T26" i="58"/>
  <c r="R26" i="58"/>
  <c r="R29" i="58" s="1"/>
  <c r="T50" i="58"/>
  <c r="R50" i="58"/>
  <c r="R53" i="58" s="1"/>
  <c r="T10" i="58"/>
  <c r="R114" i="58"/>
  <c r="R10" i="58"/>
  <c r="R13" i="58" s="1"/>
  <c r="T58" i="58"/>
  <c r="R58" i="58"/>
  <c r="R61" i="58" s="1"/>
  <c r="T42" i="57"/>
  <c r="R42" i="57"/>
  <c r="R45" i="57" s="1"/>
  <c r="R98" i="57"/>
  <c r="R101" i="57" s="1"/>
  <c r="T98" i="57"/>
  <c r="T26" i="57"/>
  <c r="R26" i="57"/>
  <c r="R29" i="57" s="1"/>
  <c r="T58" i="57"/>
  <c r="R58" i="57"/>
  <c r="R61" i="57" s="1"/>
  <c r="T90" i="57"/>
  <c r="R90" i="57"/>
  <c r="R93" i="57" s="1"/>
  <c r="S82" i="57"/>
  <c r="T10" i="57"/>
  <c r="R10" i="57"/>
  <c r="R13" i="57" s="1"/>
  <c r="T34" i="57"/>
  <c r="R34" i="57"/>
  <c r="R37" i="57" s="1"/>
  <c r="S18" i="57"/>
  <c r="S106" i="57"/>
  <c r="R66" i="57"/>
  <c r="R69" i="57" s="1"/>
  <c r="T66" i="57"/>
  <c r="T50" i="57"/>
  <c r="R50" i="57"/>
  <c r="R53" i="57" s="1"/>
  <c r="S74" i="57"/>
  <c r="R106" i="56"/>
  <c r="B18" i="54"/>
  <c r="B18" i="56"/>
  <c r="R10" i="56"/>
  <c r="R13" i="56" s="1"/>
  <c r="T10" i="56"/>
  <c r="T18" i="56"/>
  <c r="R18" i="56"/>
  <c r="R21" i="56" s="1"/>
  <c r="R106" i="44"/>
  <c r="R109" i="44" s="1"/>
  <c r="R106" i="50"/>
  <c r="R109" i="50" s="1"/>
  <c r="AA114" i="50"/>
  <c r="Z114" i="50"/>
  <c r="Y114" i="50"/>
  <c r="X114" i="50"/>
  <c r="W114" i="50"/>
  <c r="V114" i="50"/>
  <c r="AA114" i="44"/>
  <c r="Z114" i="44"/>
  <c r="Y114" i="44"/>
  <c r="X114" i="44"/>
  <c r="W114" i="44"/>
  <c r="V114" i="44"/>
  <c r="AA114" i="26"/>
  <c r="Z114" i="26"/>
  <c r="Y114" i="26"/>
  <c r="X114" i="26"/>
  <c r="W114" i="26"/>
  <c r="V114" i="26"/>
  <c r="AA114" i="49"/>
  <c r="Z114" i="49"/>
  <c r="Y114" i="49"/>
  <c r="X114" i="49"/>
  <c r="W114" i="49"/>
  <c r="V114" i="49"/>
  <c r="AA114" i="30"/>
  <c r="Z114" i="30"/>
  <c r="Y114" i="30"/>
  <c r="X114" i="30"/>
  <c r="W114" i="30"/>
  <c r="V114" i="30"/>
  <c r="AA114" i="53"/>
  <c r="Z114" i="53"/>
  <c r="Y114" i="53"/>
  <c r="X114" i="53"/>
  <c r="W114" i="53"/>
  <c r="V114" i="53"/>
  <c r="AA114" i="51"/>
  <c r="Z114" i="51"/>
  <c r="Y114" i="51"/>
  <c r="X114" i="51"/>
  <c r="W114" i="51"/>
  <c r="V114" i="51"/>
  <c r="AA114" i="33"/>
  <c r="Z114" i="33"/>
  <c r="Y114" i="33"/>
  <c r="X114" i="33"/>
  <c r="W114" i="33"/>
  <c r="V114" i="33"/>
  <c r="AA114" i="29"/>
  <c r="Z114" i="29"/>
  <c r="Y114" i="29"/>
  <c r="X114" i="29"/>
  <c r="W114" i="29"/>
  <c r="V114" i="29"/>
  <c r="AA114" i="32"/>
  <c r="Z114" i="32"/>
  <c r="Y114" i="32"/>
  <c r="X114" i="32"/>
  <c r="W114" i="32"/>
  <c r="V114" i="32"/>
  <c r="R108" i="56" l="1"/>
  <c r="U10" i="58"/>
  <c r="B18" i="58"/>
  <c r="T82" i="57"/>
  <c r="R82" i="57"/>
  <c r="R85" i="57" s="1"/>
  <c r="T106" i="57"/>
  <c r="R106" i="57"/>
  <c r="R109" i="57" s="1"/>
  <c r="T18" i="57"/>
  <c r="R18" i="57"/>
  <c r="R21" i="57" s="1"/>
  <c r="B18" i="57"/>
  <c r="U10" i="57"/>
  <c r="T74" i="57"/>
  <c r="R74" i="57"/>
  <c r="R77" i="57" s="1"/>
  <c r="U18" i="54"/>
  <c r="B26" i="54"/>
  <c r="U18" i="56"/>
  <c r="AC23" i="56" s="1"/>
  <c r="B26" i="56"/>
  <c r="U26" i="56" s="1"/>
  <c r="AC31" i="56" s="1"/>
  <c r="U10" i="56"/>
  <c r="H31" i="52"/>
  <c r="U26" i="54" l="1"/>
  <c r="AC31" i="54" s="1"/>
  <c r="B34" i="54"/>
  <c r="U18" i="58"/>
  <c r="AC23" i="58" s="1"/>
  <c r="B26" i="58"/>
  <c r="AC15" i="58"/>
  <c r="AC15" i="57"/>
  <c r="U18" i="57"/>
  <c r="AC23" i="57" s="1"/>
  <c r="B26" i="57"/>
  <c r="U106" i="56"/>
  <c r="AC23" i="54"/>
  <c r="AC15" i="56"/>
  <c r="H114" i="53"/>
  <c r="G114" i="53"/>
  <c r="Q111" i="53"/>
  <c r="N111" i="53"/>
  <c r="K111" i="53"/>
  <c r="H111" i="53"/>
  <c r="N106" i="53"/>
  <c r="K106" i="53"/>
  <c r="H106" i="53"/>
  <c r="E106" i="53"/>
  <c r="Q103" i="53"/>
  <c r="N103" i="53"/>
  <c r="K103" i="53"/>
  <c r="H103" i="53"/>
  <c r="S98" i="53"/>
  <c r="B98" i="53" s="1"/>
  <c r="U98" i="53" s="1"/>
  <c r="AC103" i="53" s="1"/>
  <c r="R98" i="53"/>
  <c r="R101" i="53" s="1"/>
  <c r="N98" i="53"/>
  <c r="K98" i="53"/>
  <c r="H98" i="53"/>
  <c r="E98" i="53"/>
  <c r="Q95" i="53"/>
  <c r="N95" i="53"/>
  <c r="K95" i="53"/>
  <c r="H95" i="53"/>
  <c r="T90" i="53"/>
  <c r="R90" i="53"/>
  <c r="R93" i="53" s="1"/>
  <c r="N90" i="53"/>
  <c r="K90" i="53"/>
  <c r="H90" i="53"/>
  <c r="E90" i="53"/>
  <c r="B90" i="53"/>
  <c r="U90" i="53" s="1"/>
  <c r="AC95" i="53" s="1"/>
  <c r="Q87" i="53"/>
  <c r="N87" i="53"/>
  <c r="K87" i="53"/>
  <c r="H87" i="53"/>
  <c r="S82" i="53"/>
  <c r="T82" i="53" s="1"/>
  <c r="N82" i="53"/>
  <c r="K82" i="53"/>
  <c r="H82" i="53"/>
  <c r="E82" i="53"/>
  <c r="Q79" i="53"/>
  <c r="N79" i="53"/>
  <c r="K79" i="53"/>
  <c r="H79" i="53"/>
  <c r="S74" i="53"/>
  <c r="R74" i="53" s="1"/>
  <c r="R77" i="53" s="1"/>
  <c r="N74" i="53"/>
  <c r="K74" i="53"/>
  <c r="H74" i="53"/>
  <c r="E74" i="53"/>
  <c r="Q71" i="53"/>
  <c r="N71" i="53"/>
  <c r="K71" i="53"/>
  <c r="H71" i="53"/>
  <c r="S66" i="53"/>
  <c r="B66" i="53" s="1"/>
  <c r="U66" i="53" s="1"/>
  <c r="AC71" i="53" s="1"/>
  <c r="N66" i="53"/>
  <c r="K66" i="53"/>
  <c r="H66" i="53"/>
  <c r="E66" i="53"/>
  <c r="Q63" i="53"/>
  <c r="N63" i="53"/>
  <c r="K63" i="53"/>
  <c r="H63" i="53"/>
  <c r="S58" i="53"/>
  <c r="T58" i="53" s="1"/>
  <c r="N58" i="53"/>
  <c r="K58" i="53"/>
  <c r="H58" i="53"/>
  <c r="E58" i="53"/>
  <c r="Q55" i="53"/>
  <c r="N55" i="53"/>
  <c r="K55" i="53"/>
  <c r="H55" i="53"/>
  <c r="S50" i="53"/>
  <c r="R50" i="53" s="1"/>
  <c r="R53" i="53" s="1"/>
  <c r="N50" i="53"/>
  <c r="K50" i="53"/>
  <c r="H50" i="53"/>
  <c r="E50" i="53"/>
  <c r="Q47" i="53"/>
  <c r="N47" i="53"/>
  <c r="K47" i="53"/>
  <c r="H47" i="53"/>
  <c r="S42" i="53"/>
  <c r="R42" i="53" s="1"/>
  <c r="R45" i="53" s="1"/>
  <c r="N42" i="53"/>
  <c r="K42" i="53"/>
  <c r="H42" i="53"/>
  <c r="E42" i="53"/>
  <c r="Q39" i="53"/>
  <c r="N39" i="53"/>
  <c r="K39" i="53"/>
  <c r="H39" i="53"/>
  <c r="S34" i="53"/>
  <c r="B34" i="53" s="1"/>
  <c r="U34" i="53" s="1"/>
  <c r="AC39" i="53" s="1"/>
  <c r="N34" i="53"/>
  <c r="K34" i="53"/>
  <c r="H34" i="53"/>
  <c r="E34" i="53"/>
  <c r="Q31" i="53"/>
  <c r="N31" i="53"/>
  <c r="K31" i="53"/>
  <c r="H31" i="53"/>
  <c r="S26" i="53"/>
  <c r="T26" i="53" s="1"/>
  <c r="R26" i="53"/>
  <c r="R29" i="53" s="1"/>
  <c r="N26" i="53"/>
  <c r="K26" i="53"/>
  <c r="H26" i="53"/>
  <c r="E26" i="53"/>
  <c r="Q23" i="53"/>
  <c r="N23" i="53"/>
  <c r="K23" i="53"/>
  <c r="H23" i="53"/>
  <c r="S18" i="53"/>
  <c r="T18" i="53" s="1"/>
  <c r="N18" i="53"/>
  <c r="K18" i="53"/>
  <c r="H18" i="53"/>
  <c r="E18" i="53"/>
  <c r="Q15" i="53"/>
  <c r="N15" i="53"/>
  <c r="K15" i="53"/>
  <c r="H15" i="53"/>
  <c r="N10" i="53"/>
  <c r="K10" i="53"/>
  <c r="H10" i="53"/>
  <c r="E10" i="53"/>
  <c r="AC3" i="53"/>
  <c r="AC1" i="53"/>
  <c r="AC2" i="53" s="1"/>
  <c r="S10" i="53" s="1"/>
  <c r="C1" i="53"/>
  <c r="AA114" i="52"/>
  <c r="Z114" i="52"/>
  <c r="Y114" i="52"/>
  <c r="X114" i="52"/>
  <c r="W114" i="52"/>
  <c r="V114" i="52"/>
  <c r="H114" i="52"/>
  <c r="G114" i="52"/>
  <c r="Q111" i="52"/>
  <c r="N111" i="52"/>
  <c r="H111" i="52"/>
  <c r="S106" i="52"/>
  <c r="R106" i="52" s="1"/>
  <c r="R109" i="52" s="1"/>
  <c r="N106" i="52"/>
  <c r="K106" i="52"/>
  <c r="E106" i="52"/>
  <c r="Q103" i="52"/>
  <c r="N103" i="52"/>
  <c r="H103" i="52"/>
  <c r="S98" i="52"/>
  <c r="R98" i="52" s="1"/>
  <c r="R101" i="52" s="1"/>
  <c r="N98" i="52"/>
  <c r="K98" i="52"/>
  <c r="E98" i="52"/>
  <c r="Q95" i="52"/>
  <c r="N95" i="52"/>
  <c r="H95" i="52"/>
  <c r="S90" i="52"/>
  <c r="R90" i="52" s="1"/>
  <c r="R93" i="52" s="1"/>
  <c r="N90" i="52"/>
  <c r="K90" i="52"/>
  <c r="E90" i="52"/>
  <c r="Q87" i="52"/>
  <c r="N87" i="52"/>
  <c r="H87" i="52"/>
  <c r="S82" i="52"/>
  <c r="T82" i="52" s="1"/>
  <c r="N82" i="52"/>
  <c r="K82" i="52"/>
  <c r="E82" i="52"/>
  <c r="Q79" i="52"/>
  <c r="N79" i="52"/>
  <c r="H79" i="52"/>
  <c r="S74" i="52"/>
  <c r="T74" i="52" s="1"/>
  <c r="N74" i="52"/>
  <c r="K74" i="52"/>
  <c r="E74" i="52"/>
  <c r="Q71" i="52"/>
  <c r="N71" i="52"/>
  <c r="H71" i="52"/>
  <c r="S66" i="52"/>
  <c r="R66" i="52" s="1"/>
  <c r="R69" i="52" s="1"/>
  <c r="N66" i="52"/>
  <c r="K66" i="52"/>
  <c r="E66" i="52"/>
  <c r="Q63" i="52"/>
  <c r="N63" i="52"/>
  <c r="H63" i="52"/>
  <c r="S58" i="52"/>
  <c r="R58" i="52" s="1"/>
  <c r="R61" i="52" s="1"/>
  <c r="N58" i="52"/>
  <c r="K58" i="52"/>
  <c r="E58" i="52"/>
  <c r="Q55" i="52"/>
  <c r="N55" i="52"/>
  <c r="H55" i="52"/>
  <c r="S50" i="52"/>
  <c r="T50" i="52" s="1"/>
  <c r="N50" i="52"/>
  <c r="K50" i="52"/>
  <c r="E50" i="52"/>
  <c r="Q47" i="52"/>
  <c r="N47" i="52"/>
  <c r="H47" i="52"/>
  <c r="S42" i="52"/>
  <c r="T42" i="52" s="1"/>
  <c r="N42" i="52"/>
  <c r="K42" i="52"/>
  <c r="E42" i="52"/>
  <c r="Q39" i="52"/>
  <c r="N39" i="52"/>
  <c r="H39" i="52"/>
  <c r="S34" i="52"/>
  <c r="R34" i="52" s="1"/>
  <c r="R37" i="52" s="1"/>
  <c r="N34" i="52"/>
  <c r="K34" i="52"/>
  <c r="E34" i="52"/>
  <c r="Q31" i="52"/>
  <c r="N31" i="52"/>
  <c r="S26" i="52"/>
  <c r="T26" i="52" s="1"/>
  <c r="N26" i="52"/>
  <c r="K26" i="52"/>
  <c r="E26" i="52"/>
  <c r="Q23" i="52"/>
  <c r="N23" i="52"/>
  <c r="K23" i="52"/>
  <c r="H23" i="52"/>
  <c r="N18" i="52"/>
  <c r="K18" i="52"/>
  <c r="H18" i="52"/>
  <c r="E18" i="52"/>
  <c r="Q15" i="52"/>
  <c r="N15" i="52"/>
  <c r="K15" i="52"/>
  <c r="H15" i="52"/>
  <c r="N10" i="52"/>
  <c r="K10" i="52"/>
  <c r="H10" i="52"/>
  <c r="E10" i="52"/>
  <c r="AC3" i="52"/>
  <c r="AC2" i="52"/>
  <c r="S10" i="52" s="1"/>
  <c r="R10" i="52" s="1"/>
  <c r="R13" i="52" s="1"/>
  <c r="U34" i="54" l="1"/>
  <c r="AC39" i="54" s="1"/>
  <c r="B42" i="54"/>
  <c r="U26" i="58"/>
  <c r="B34" i="58"/>
  <c r="U26" i="57"/>
  <c r="B34" i="57"/>
  <c r="AC108" i="56"/>
  <c r="AC106" i="56"/>
  <c r="T50" i="53"/>
  <c r="B82" i="53"/>
  <c r="U82" i="53" s="1"/>
  <c r="AC87" i="53" s="1"/>
  <c r="R66" i="53"/>
  <c r="R69" i="53" s="1"/>
  <c r="R82" i="53"/>
  <c r="R85" i="53" s="1"/>
  <c r="S18" i="52"/>
  <c r="T18" i="52" s="1"/>
  <c r="B74" i="52"/>
  <c r="U74" i="52" s="1"/>
  <c r="AC79" i="52" s="1"/>
  <c r="R74" i="52"/>
  <c r="R77" i="52" s="1"/>
  <c r="B50" i="52"/>
  <c r="U50" i="52" s="1"/>
  <c r="AC55" i="52" s="1"/>
  <c r="R50" i="52"/>
  <c r="R53" i="52" s="1"/>
  <c r="R26" i="52"/>
  <c r="R29" i="52" s="1"/>
  <c r="R18" i="53"/>
  <c r="R21" i="53" s="1"/>
  <c r="B50" i="53"/>
  <c r="U50" i="53" s="1"/>
  <c r="AC55" i="53" s="1"/>
  <c r="B58" i="53"/>
  <c r="U58" i="53" s="1"/>
  <c r="AC63" i="53" s="1"/>
  <c r="R34" i="53"/>
  <c r="R37" i="53" s="1"/>
  <c r="R58" i="53"/>
  <c r="R61" i="53" s="1"/>
  <c r="T98" i="53"/>
  <c r="R10" i="53"/>
  <c r="R13" i="53" s="1"/>
  <c r="R114" i="53"/>
  <c r="B10" i="53"/>
  <c r="U10" i="53" s="1"/>
  <c r="AC15" i="53" s="1"/>
  <c r="T10" i="53"/>
  <c r="T42" i="53"/>
  <c r="T74" i="53"/>
  <c r="T34" i="53"/>
  <c r="B42" i="53"/>
  <c r="U42" i="53" s="1"/>
  <c r="AC47" i="53" s="1"/>
  <c r="T66" i="53"/>
  <c r="B74" i="53"/>
  <c r="U74" i="53" s="1"/>
  <c r="AC79" i="53" s="1"/>
  <c r="T58" i="52"/>
  <c r="B82" i="52"/>
  <c r="U82" i="52" s="1"/>
  <c r="AC87" i="52" s="1"/>
  <c r="R82" i="52"/>
  <c r="R85" i="52" s="1"/>
  <c r="B10" i="52"/>
  <c r="U10" i="52" s="1"/>
  <c r="AC15" i="52" s="1"/>
  <c r="T90" i="52"/>
  <c r="B58" i="52"/>
  <c r="U58" i="52" s="1"/>
  <c r="AC63" i="52" s="1"/>
  <c r="B42" i="52"/>
  <c r="U42" i="52" s="1"/>
  <c r="AC47" i="52" s="1"/>
  <c r="R42" i="52"/>
  <c r="R45" i="52" s="1"/>
  <c r="B90" i="52"/>
  <c r="U90" i="52" s="1"/>
  <c r="AC95" i="52" s="1"/>
  <c r="T34" i="52"/>
  <c r="T66" i="52"/>
  <c r="T98" i="52"/>
  <c r="T106" i="52"/>
  <c r="T10" i="52"/>
  <c r="B34" i="52"/>
  <c r="U34" i="52" s="1"/>
  <c r="AC39" i="52" s="1"/>
  <c r="B66" i="52"/>
  <c r="U66" i="52" s="1"/>
  <c r="AC71" i="52" s="1"/>
  <c r="B98" i="52"/>
  <c r="U98" i="52" s="1"/>
  <c r="AC103" i="52" s="1"/>
  <c r="H114" i="51"/>
  <c r="G114" i="51"/>
  <c r="Q111" i="51"/>
  <c r="N111" i="51"/>
  <c r="K111" i="51"/>
  <c r="H111" i="51"/>
  <c r="N106" i="51"/>
  <c r="K106" i="51"/>
  <c r="H106" i="51"/>
  <c r="E106" i="51"/>
  <c r="Q103" i="51"/>
  <c r="N103" i="51"/>
  <c r="K103" i="51"/>
  <c r="H103" i="51"/>
  <c r="S98" i="51"/>
  <c r="R98" i="51" s="1"/>
  <c r="R101" i="51" s="1"/>
  <c r="N98" i="51"/>
  <c r="K98" i="51"/>
  <c r="H98" i="51"/>
  <c r="E98" i="51"/>
  <c r="Q95" i="51"/>
  <c r="N95" i="51"/>
  <c r="K95" i="51"/>
  <c r="H95" i="51"/>
  <c r="T90" i="51"/>
  <c r="R90" i="51"/>
  <c r="R93" i="51" s="1"/>
  <c r="N90" i="51"/>
  <c r="K90" i="51"/>
  <c r="H90" i="51"/>
  <c r="E90" i="51"/>
  <c r="B90" i="51"/>
  <c r="U90" i="51" s="1"/>
  <c r="AC95" i="51" s="1"/>
  <c r="Q87" i="51"/>
  <c r="N87" i="51"/>
  <c r="K87" i="51"/>
  <c r="H87" i="51"/>
  <c r="S82" i="51"/>
  <c r="R82" i="51" s="1"/>
  <c r="R85" i="51" s="1"/>
  <c r="N82" i="51"/>
  <c r="K82" i="51"/>
  <c r="H82" i="51"/>
  <c r="E82" i="51"/>
  <c r="Q79" i="51"/>
  <c r="N79" i="51"/>
  <c r="K79" i="51"/>
  <c r="H79" i="51"/>
  <c r="S74" i="51"/>
  <c r="R74" i="51" s="1"/>
  <c r="R77" i="51" s="1"/>
  <c r="N74" i="51"/>
  <c r="K74" i="51"/>
  <c r="H74" i="51"/>
  <c r="E74" i="51"/>
  <c r="Q71" i="51"/>
  <c r="N71" i="51"/>
  <c r="K71" i="51"/>
  <c r="H71" i="51"/>
  <c r="S66" i="51"/>
  <c r="B66" i="51" s="1"/>
  <c r="U66" i="51" s="1"/>
  <c r="AC71" i="51" s="1"/>
  <c r="N66" i="51"/>
  <c r="K66" i="51"/>
  <c r="H66" i="51"/>
  <c r="E66" i="51"/>
  <c r="Q63" i="51"/>
  <c r="N63" i="51"/>
  <c r="K63" i="51"/>
  <c r="H63" i="51"/>
  <c r="S58" i="51"/>
  <c r="B58" i="51" s="1"/>
  <c r="U58" i="51" s="1"/>
  <c r="AC63" i="51" s="1"/>
  <c r="N58" i="51"/>
  <c r="K58" i="51"/>
  <c r="H58" i="51"/>
  <c r="E58" i="51"/>
  <c r="Q55" i="51"/>
  <c r="N55" i="51"/>
  <c r="K55" i="51"/>
  <c r="H55" i="51"/>
  <c r="S50" i="51"/>
  <c r="R50" i="51" s="1"/>
  <c r="R53" i="51" s="1"/>
  <c r="N50" i="51"/>
  <c r="K50" i="51"/>
  <c r="H50" i="51"/>
  <c r="E50" i="51"/>
  <c r="Q47" i="51"/>
  <c r="N47" i="51"/>
  <c r="K47" i="51"/>
  <c r="H47" i="51"/>
  <c r="S42" i="51"/>
  <c r="R42" i="51" s="1"/>
  <c r="R45" i="51" s="1"/>
  <c r="N42" i="51"/>
  <c r="K42" i="51"/>
  <c r="H42" i="51"/>
  <c r="E42" i="51"/>
  <c r="Q39" i="51"/>
  <c r="N39" i="51"/>
  <c r="K39" i="51"/>
  <c r="H39" i="51"/>
  <c r="S34" i="51"/>
  <c r="B34" i="51" s="1"/>
  <c r="U34" i="51" s="1"/>
  <c r="AC39" i="51" s="1"/>
  <c r="R34" i="51"/>
  <c r="R37" i="51" s="1"/>
  <c r="N34" i="51"/>
  <c r="K34" i="51"/>
  <c r="H34" i="51"/>
  <c r="E34" i="51"/>
  <c r="Q31" i="51"/>
  <c r="N31" i="51"/>
  <c r="K31" i="51"/>
  <c r="H31" i="51"/>
  <c r="S26" i="51"/>
  <c r="T26" i="51" s="1"/>
  <c r="R26" i="51"/>
  <c r="R29" i="51" s="1"/>
  <c r="N26" i="51"/>
  <c r="K26" i="51"/>
  <c r="H26" i="51"/>
  <c r="E26" i="51"/>
  <c r="B26" i="51"/>
  <c r="U26" i="51" s="1"/>
  <c r="AC31" i="51" s="1"/>
  <c r="Q23" i="51"/>
  <c r="N23" i="51"/>
  <c r="K23" i="51"/>
  <c r="H23" i="51"/>
  <c r="S18" i="51"/>
  <c r="R18" i="51" s="1"/>
  <c r="R21" i="51" s="1"/>
  <c r="N18" i="51"/>
  <c r="K18" i="51"/>
  <c r="H18" i="51"/>
  <c r="E18" i="51"/>
  <c r="Q15" i="51"/>
  <c r="N15" i="51"/>
  <c r="K15" i="51"/>
  <c r="H15" i="51"/>
  <c r="S10" i="51"/>
  <c r="R10" i="51" s="1"/>
  <c r="R13" i="51" s="1"/>
  <c r="N10" i="51"/>
  <c r="K10" i="51"/>
  <c r="H10" i="51"/>
  <c r="E10" i="51"/>
  <c r="AC3" i="51"/>
  <c r="AC1" i="51"/>
  <c r="AC2" i="51" s="1"/>
  <c r="C1" i="51"/>
  <c r="U42" i="54" l="1"/>
  <c r="AC47" i="54" s="1"/>
  <c r="B50" i="54"/>
  <c r="AC31" i="58"/>
  <c r="U34" i="58"/>
  <c r="AC39" i="58" s="1"/>
  <c r="B42" i="58"/>
  <c r="U34" i="57"/>
  <c r="AC39" i="57" s="1"/>
  <c r="B42" i="57"/>
  <c r="AC31" i="57"/>
  <c r="T82" i="51"/>
  <c r="B50" i="51"/>
  <c r="U50" i="51" s="1"/>
  <c r="AC55" i="51" s="1"/>
  <c r="B98" i="51"/>
  <c r="U98" i="51" s="1"/>
  <c r="AC103" i="51" s="1"/>
  <c r="R58" i="51"/>
  <c r="R61" i="51" s="1"/>
  <c r="B82" i="51"/>
  <c r="U82" i="51" s="1"/>
  <c r="AC87" i="51" s="1"/>
  <c r="T50" i="51"/>
  <c r="T58" i="51"/>
  <c r="T98" i="51"/>
  <c r="R66" i="51"/>
  <c r="R69" i="51" s="1"/>
  <c r="B18" i="53"/>
  <c r="U18" i="53" s="1"/>
  <c r="AC23" i="53" s="1"/>
  <c r="R18" i="52"/>
  <c r="R21" i="52" s="1"/>
  <c r="B18" i="52"/>
  <c r="U18" i="52" s="1"/>
  <c r="AC23" i="52" s="1"/>
  <c r="R114" i="52"/>
  <c r="T18" i="51"/>
  <c r="B26" i="52"/>
  <c r="U26" i="52" s="1"/>
  <c r="AC31" i="52" s="1"/>
  <c r="B26" i="53"/>
  <c r="U26" i="53" s="1"/>
  <c r="AC31" i="53" s="1"/>
  <c r="T10" i="51"/>
  <c r="T42" i="51"/>
  <c r="R114" i="51"/>
  <c r="B10" i="51"/>
  <c r="U10" i="51" s="1"/>
  <c r="AC15" i="51" s="1"/>
  <c r="T34" i="51"/>
  <c r="B42" i="51"/>
  <c r="U42" i="51" s="1"/>
  <c r="AC47" i="51" s="1"/>
  <c r="T66" i="51"/>
  <c r="B74" i="51"/>
  <c r="U74" i="51" s="1"/>
  <c r="AC79" i="51" s="1"/>
  <c r="T74" i="51"/>
  <c r="C1" i="44"/>
  <c r="H114" i="50"/>
  <c r="G114" i="50"/>
  <c r="Q111" i="50"/>
  <c r="N111" i="50"/>
  <c r="K111" i="50"/>
  <c r="H111" i="50"/>
  <c r="N106" i="50"/>
  <c r="K106" i="50"/>
  <c r="H106" i="50"/>
  <c r="E106" i="50"/>
  <c r="B106" i="50"/>
  <c r="U106" i="50" s="1"/>
  <c r="Q103" i="50"/>
  <c r="N103" i="50"/>
  <c r="K103" i="50"/>
  <c r="H103" i="50"/>
  <c r="S98" i="50"/>
  <c r="T98" i="50" s="1"/>
  <c r="N98" i="50"/>
  <c r="K98" i="50"/>
  <c r="H98" i="50"/>
  <c r="E98" i="50"/>
  <c r="B98" i="50"/>
  <c r="U98" i="50" s="1"/>
  <c r="AC103" i="50" s="1"/>
  <c r="Q95" i="50"/>
  <c r="N95" i="50"/>
  <c r="K95" i="50"/>
  <c r="H95" i="50"/>
  <c r="S90" i="50"/>
  <c r="B90" i="50" s="1"/>
  <c r="U90" i="50" s="1"/>
  <c r="AC95" i="50" s="1"/>
  <c r="N90" i="50"/>
  <c r="K90" i="50"/>
  <c r="H90" i="50"/>
  <c r="E90" i="50"/>
  <c r="Q87" i="50"/>
  <c r="N87" i="50"/>
  <c r="K87" i="50"/>
  <c r="H87" i="50"/>
  <c r="S82" i="50"/>
  <c r="B82" i="50" s="1"/>
  <c r="U82" i="50" s="1"/>
  <c r="AC87" i="50" s="1"/>
  <c r="N82" i="50"/>
  <c r="K82" i="50"/>
  <c r="H82" i="50"/>
  <c r="E82" i="50"/>
  <c r="Q79" i="50"/>
  <c r="N79" i="50"/>
  <c r="K79" i="50"/>
  <c r="H79" i="50"/>
  <c r="S74" i="50"/>
  <c r="T74" i="50" s="1"/>
  <c r="N74" i="50"/>
  <c r="K74" i="50"/>
  <c r="H74" i="50"/>
  <c r="E74" i="50"/>
  <c r="Q71" i="50"/>
  <c r="N71" i="50"/>
  <c r="K71" i="50"/>
  <c r="H71" i="50"/>
  <c r="S66" i="50"/>
  <c r="R66" i="50" s="1"/>
  <c r="R69" i="50" s="1"/>
  <c r="N66" i="50"/>
  <c r="K66" i="50"/>
  <c r="H66" i="50"/>
  <c r="E66" i="50"/>
  <c r="Q63" i="50"/>
  <c r="N63" i="50"/>
  <c r="K63" i="50"/>
  <c r="H63" i="50"/>
  <c r="S58" i="50"/>
  <c r="B58" i="50" s="1"/>
  <c r="U58" i="50" s="1"/>
  <c r="AC63" i="50" s="1"/>
  <c r="N58" i="50"/>
  <c r="K58" i="50"/>
  <c r="H58" i="50"/>
  <c r="E58" i="50"/>
  <c r="Q55" i="50"/>
  <c r="N55" i="50"/>
  <c r="K55" i="50"/>
  <c r="H55" i="50"/>
  <c r="S50" i="50"/>
  <c r="B50" i="50" s="1"/>
  <c r="U50" i="50" s="1"/>
  <c r="AC55" i="50" s="1"/>
  <c r="N50" i="50"/>
  <c r="K50" i="50"/>
  <c r="H50" i="50"/>
  <c r="E50" i="50"/>
  <c r="Q47" i="50"/>
  <c r="N47" i="50"/>
  <c r="K47" i="50"/>
  <c r="H47" i="50"/>
  <c r="N42" i="50"/>
  <c r="K42" i="50"/>
  <c r="H42" i="50"/>
  <c r="E42" i="50"/>
  <c r="Q39" i="50"/>
  <c r="N39" i="50"/>
  <c r="K39" i="50"/>
  <c r="H39" i="50"/>
  <c r="N34" i="50"/>
  <c r="K34" i="50"/>
  <c r="H34" i="50"/>
  <c r="E34" i="50"/>
  <c r="Q31" i="50"/>
  <c r="N31" i="50"/>
  <c r="K31" i="50"/>
  <c r="H31" i="50"/>
  <c r="N26" i="50"/>
  <c r="K26" i="50"/>
  <c r="H26" i="50"/>
  <c r="E26" i="50"/>
  <c r="Q23" i="50"/>
  <c r="N23" i="50"/>
  <c r="K23" i="50"/>
  <c r="H23" i="50"/>
  <c r="N18" i="50"/>
  <c r="K18" i="50"/>
  <c r="H18" i="50"/>
  <c r="E18" i="50"/>
  <c r="Q15" i="50"/>
  <c r="N15" i="50"/>
  <c r="K15" i="50"/>
  <c r="H15" i="50"/>
  <c r="N10" i="50"/>
  <c r="K10" i="50"/>
  <c r="H10" i="50"/>
  <c r="E10" i="50"/>
  <c r="AC3" i="50"/>
  <c r="AC1" i="50"/>
  <c r="C1" i="50"/>
  <c r="U50" i="54" l="1"/>
  <c r="AC55" i="54" s="1"/>
  <c r="B58" i="54"/>
  <c r="U42" i="58"/>
  <c r="AC47" i="58" s="1"/>
  <c r="B50" i="58"/>
  <c r="U42" i="57"/>
  <c r="AC47" i="57" s="1"/>
  <c r="B50" i="57"/>
  <c r="R98" i="50"/>
  <c r="R101" i="50" s="1"/>
  <c r="R82" i="50"/>
  <c r="R85" i="50" s="1"/>
  <c r="B66" i="50"/>
  <c r="U66" i="50" s="1"/>
  <c r="AC71" i="50" s="1"/>
  <c r="B74" i="50"/>
  <c r="U74" i="50" s="1"/>
  <c r="AC79" i="50" s="1"/>
  <c r="T66" i="50"/>
  <c r="R50" i="50"/>
  <c r="R53" i="50" s="1"/>
  <c r="R74" i="50"/>
  <c r="R77" i="50" s="1"/>
  <c r="AC111" i="50"/>
  <c r="U114" i="53"/>
  <c r="B18" i="51"/>
  <c r="U18" i="51" s="1"/>
  <c r="AC23" i="51" s="1"/>
  <c r="K114" i="52"/>
  <c r="AC114" i="52"/>
  <c r="U114" i="52"/>
  <c r="K114" i="53"/>
  <c r="K114" i="51"/>
  <c r="AC2" i="50"/>
  <c r="S26" i="50" s="1"/>
  <c r="S42" i="50"/>
  <c r="T50" i="50"/>
  <c r="T82" i="50"/>
  <c r="S34" i="50"/>
  <c r="R58" i="50"/>
  <c r="R61" i="50" s="1"/>
  <c r="R90" i="50"/>
  <c r="R93" i="50" s="1"/>
  <c r="T58" i="50"/>
  <c r="T90" i="50"/>
  <c r="H114" i="49"/>
  <c r="G114" i="49"/>
  <c r="Q111" i="49"/>
  <c r="N111" i="49"/>
  <c r="K111" i="49"/>
  <c r="H111" i="49"/>
  <c r="S106" i="49"/>
  <c r="R106" i="49" s="1"/>
  <c r="R109" i="49" s="1"/>
  <c r="N106" i="49"/>
  <c r="K106" i="49"/>
  <c r="H106" i="49"/>
  <c r="E106" i="49"/>
  <c r="B106" i="49"/>
  <c r="U106" i="49" s="1"/>
  <c r="AC111" i="49" s="1"/>
  <c r="Q103" i="49"/>
  <c r="N103" i="49"/>
  <c r="K103" i="49"/>
  <c r="H103" i="49"/>
  <c r="S98" i="49"/>
  <c r="B98" i="49" s="1"/>
  <c r="U98" i="49" s="1"/>
  <c r="AC103" i="49" s="1"/>
  <c r="N98" i="49"/>
  <c r="K98" i="49"/>
  <c r="H98" i="49"/>
  <c r="E98" i="49"/>
  <c r="Q95" i="49"/>
  <c r="N95" i="49"/>
  <c r="K95" i="49"/>
  <c r="H95" i="49"/>
  <c r="S90" i="49"/>
  <c r="T90" i="49" s="1"/>
  <c r="N90" i="49"/>
  <c r="K90" i="49"/>
  <c r="H90" i="49"/>
  <c r="E90" i="49"/>
  <c r="Q87" i="49"/>
  <c r="N87" i="49"/>
  <c r="K87" i="49"/>
  <c r="H87" i="49"/>
  <c r="S82" i="49"/>
  <c r="B82" i="49" s="1"/>
  <c r="U82" i="49" s="1"/>
  <c r="AC87" i="49" s="1"/>
  <c r="R82" i="49"/>
  <c r="R85" i="49" s="1"/>
  <c r="N82" i="49"/>
  <c r="K82" i="49"/>
  <c r="H82" i="49"/>
  <c r="E82" i="49"/>
  <c r="Q79" i="49"/>
  <c r="N79" i="49"/>
  <c r="K79" i="49"/>
  <c r="H79" i="49"/>
  <c r="S74" i="49"/>
  <c r="R74" i="49" s="1"/>
  <c r="R77" i="49" s="1"/>
  <c r="N74" i="49"/>
  <c r="K74" i="49"/>
  <c r="H74" i="49"/>
  <c r="E74" i="49"/>
  <c r="Q71" i="49"/>
  <c r="N71" i="49"/>
  <c r="K71" i="49"/>
  <c r="H71" i="49"/>
  <c r="S66" i="49"/>
  <c r="B66" i="49" s="1"/>
  <c r="U66" i="49" s="1"/>
  <c r="AC71" i="49" s="1"/>
  <c r="N66" i="49"/>
  <c r="K66" i="49"/>
  <c r="H66" i="49"/>
  <c r="E66" i="49"/>
  <c r="Q63" i="49"/>
  <c r="N63" i="49"/>
  <c r="K63" i="49"/>
  <c r="H63" i="49"/>
  <c r="S58" i="49"/>
  <c r="T58" i="49" s="1"/>
  <c r="N58" i="49"/>
  <c r="K58" i="49"/>
  <c r="H58" i="49"/>
  <c r="E58" i="49"/>
  <c r="Q55" i="49"/>
  <c r="N55" i="49"/>
  <c r="K55" i="49"/>
  <c r="H55" i="49"/>
  <c r="S50" i="49"/>
  <c r="T50" i="49" s="1"/>
  <c r="N50" i="49"/>
  <c r="K50" i="49"/>
  <c r="H50" i="49"/>
  <c r="E50" i="49"/>
  <c r="Q47" i="49"/>
  <c r="N47" i="49"/>
  <c r="K47" i="49"/>
  <c r="H47" i="49"/>
  <c r="S42" i="49"/>
  <c r="R42" i="49" s="1"/>
  <c r="R45" i="49" s="1"/>
  <c r="N42" i="49"/>
  <c r="K42" i="49"/>
  <c r="H42" i="49"/>
  <c r="E42" i="49"/>
  <c r="Q39" i="49"/>
  <c r="N39" i="49"/>
  <c r="K39" i="49"/>
  <c r="H39" i="49"/>
  <c r="S34" i="49"/>
  <c r="N34" i="49"/>
  <c r="K34" i="49"/>
  <c r="H34" i="49"/>
  <c r="E34" i="49"/>
  <c r="Q31" i="49"/>
  <c r="N31" i="49"/>
  <c r="K31" i="49"/>
  <c r="H31" i="49"/>
  <c r="N26" i="49"/>
  <c r="K26" i="49"/>
  <c r="H26" i="49"/>
  <c r="E26" i="49"/>
  <c r="Q23" i="49"/>
  <c r="N23" i="49"/>
  <c r="K23" i="49"/>
  <c r="H23" i="49"/>
  <c r="N18" i="49"/>
  <c r="K18" i="49"/>
  <c r="H18" i="49"/>
  <c r="E18" i="49"/>
  <c r="Q15" i="49"/>
  <c r="N15" i="49"/>
  <c r="K15" i="49"/>
  <c r="H15" i="49"/>
  <c r="N10" i="49"/>
  <c r="K10" i="49"/>
  <c r="H10" i="49"/>
  <c r="E10" i="49"/>
  <c r="AC3" i="49"/>
  <c r="AC1" i="49"/>
  <c r="C1" i="49"/>
  <c r="R34" i="49" l="1"/>
  <c r="R37" i="49" s="1"/>
  <c r="U58" i="54"/>
  <c r="AC63" i="54" s="1"/>
  <c r="B66" i="54"/>
  <c r="U50" i="58"/>
  <c r="AC55" i="58" s="1"/>
  <c r="B58" i="58"/>
  <c r="U50" i="57"/>
  <c r="AC55" i="57" s="1"/>
  <c r="B58" i="57"/>
  <c r="R50" i="49"/>
  <c r="R53" i="49" s="1"/>
  <c r="B58" i="49"/>
  <c r="U58" i="49" s="1"/>
  <c r="AC63" i="49" s="1"/>
  <c r="AC114" i="53"/>
  <c r="U114" i="51"/>
  <c r="R34" i="50"/>
  <c r="R37" i="50" s="1"/>
  <c r="T34" i="50"/>
  <c r="R42" i="50"/>
  <c r="R45" i="50" s="1"/>
  <c r="T42" i="50"/>
  <c r="R26" i="50"/>
  <c r="R29" i="50" s="1"/>
  <c r="T26" i="50"/>
  <c r="S18" i="50"/>
  <c r="S10" i="50"/>
  <c r="R98" i="49"/>
  <c r="R101" i="49" s="1"/>
  <c r="T82" i="49"/>
  <c r="AC2" i="49"/>
  <c r="S26" i="49" s="1"/>
  <c r="T26" i="49" s="1"/>
  <c r="T34" i="49"/>
  <c r="R66" i="49"/>
  <c r="R69" i="49" s="1"/>
  <c r="B90" i="49"/>
  <c r="U90" i="49" s="1"/>
  <c r="AC95" i="49" s="1"/>
  <c r="T98" i="49"/>
  <c r="T66" i="49"/>
  <c r="T42" i="49"/>
  <c r="R58" i="49"/>
  <c r="R61" i="49" s="1"/>
  <c r="T74" i="49"/>
  <c r="R90" i="49"/>
  <c r="R93" i="49" s="1"/>
  <c r="T106" i="49"/>
  <c r="B74" i="49"/>
  <c r="U74" i="49" s="1"/>
  <c r="AC79" i="49" s="1"/>
  <c r="AC3" i="29"/>
  <c r="K55" i="44"/>
  <c r="K47" i="44"/>
  <c r="K39" i="44"/>
  <c r="K31" i="44"/>
  <c r="K23" i="44"/>
  <c r="K15" i="44"/>
  <c r="H58" i="44"/>
  <c r="H50" i="44"/>
  <c r="H42" i="44"/>
  <c r="H34" i="44"/>
  <c r="H26" i="44"/>
  <c r="H114" i="44"/>
  <c r="G114" i="44"/>
  <c r="Q111" i="44"/>
  <c r="N111" i="44"/>
  <c r="H111" i="44"/>
  <c r="N106" i="44"/>
  <c r="K106" i="44"/>
  <c r="E106" i="44"/>
  <c r="Q103" i="44"/>
  <c r="N103" i="44"/>
  <c r="H103" i="44"/>
  <c r="S98" i="44"/>
  <c r="T98" i="44" s="1"/>
  <c r="N98" i="44"/>
  <c r="K98" i="44"/>
  <c r="E98" i="44"/>
  <c r="Q95" i="44"/>
  <c r="N95" i="44"/>
  <c r="H95" i="44"/>
  <c r="S90" i="44"/>
  <c r="R90" i="44" s="1"/>
  <c r="R93" i="44" s="1"/>
  <c r="N90" i="44"/>
  <c r="K90" i="44"/>
  <c r="E90" i="44"/>
  <c r="Q87" i="44"/>
  <c r="N87" i="44"/>
  <c r="H87" i="44"/>
  <c r="S82" i="44"/>
  <c r="R82" i="44"/>
  <c r="R85" i="44" s="1"/>
  <c r="N82" i="44"/>
  <c r="K82" i="44"/>
  <c r="E82" i="44"/>
  <c r="Q79" i="44"/>
  <c r="N79" i="44"/>
  <c r="H79" i="44"/>
  <c r="S74" i="44"/>
  <c r="T74" i="44" s="1"/>
  <c r="N74" i="44"/>
  <c r="K74" i="44"/>
  <c r="E74" i="44"/>
  <c r="Q71" i="44"/>
  <c r="N71" i="44"/>
  <c r="H71" i="44"/>
  <c r="S66" i="44"/>
  <c r="B66" i="44" s="1"/>
  <c r="U66" i="44" s="1"/>
  <c r="AC71" i="44" s="1"/>
  <c r="T66" i="44"/>
  <c r="R66" i="44"/>
  <c r="R69" i="44"/>
  <c r="N66" i="44"/>
  <c r="K66" i="44"/>
  <c r="E66" i="44"/>
  <c r="Q63" i="44"/>
  <c r="N63" i="44"/>
  <c r="H63" i="44"/>
  <c r="S58" i="44"/>
  <c r="R58" i="44" s="1"/>
  <c r="R61" i="44" s="1"/>
  <c r="N58" i="44"/>
  <c r="K58" i="44"/>
  <c r="E58" i="44"/>
  <c r="Q55" i="44"/>
  <c r="N55" i="44"/>
  <c r="H55" i="44"/>
  <c r="S50" i="44"/>
  <c r="R50" i="44" s="1"/>
  <c r="R53" i="44" s="1"/>
  <c r="N50" i="44"/>
  <c r="K50" i="44"/>
  <c r="E50" i="44"/>
  <c r="Q47" i="44"/>
  <c r="N47" i="44"/>
  <c r="H47" i="44"/>
  <c r="S42" i="44"/>
  <c r="T42" i="44" s="1"/>
  <c r="N42" i="44"/>
  <c r="K42" i="44"/>
  <c r="E42" i="44"/>
  <c r="Q39" i="44"/>
  <c r="N39" i="44"/>
  <c r="H39" i="44"/>
  <c r="S34" i="44"/>
  <c r="T34" i="44" s="1"/>
  <c r="R34" i="44"/>
  <c r="R37" i="44" s="1"/>
  <c r="N34" i="44"/>
  <c r="K34" i="44"/>
  <c r="E34" i="44"/>
  <c r="Q31" i="44"/>
  <c r="N31" i="44"/>
  <c r="H31" i="44"/>
  <c r="N26" i="44"/>
  <c r="K26" i="44"/>
  <c r="E26" i="44"/>
  <c r="Q23" i="44"/>
  <c r="N23" i="44"/>
  <c r="H23" i="44"/>
  <c r="N18" i="44"/>
  <c r="K18" i="44"/>
  <c r="H18" i="44"/>
  <c r="E18" i="44"/>
  <c r="Q15" i="44"/>
  <c r="N15" i="44"/>
  <c r="H15" i="44"/>
  <c r="N10" i="44"/>
  <c r="K10" i="44"/>
  <c r="H10" i="44"/>
  <c r="E10" i="44"/>
  <c r="AC3" i="44"/>
  <c r="AC1" i="44"/>
  <c r="T82" i="44"/>
  <c r="B82" i="44"/>
  <c r="U82" i="44" s="1"/>
  <c r="AC87" i="44" s="1"/>
  <c r="H114" i="33"/>
  <c r="G114" i="33"/>
  <c r="Q111" i="33"/>
  <c r="N111" i="33"/>
  <c r="K111" i="33"/>
  <c r="H111" i="33"/>
  <c r="S106" i="33"/>
  <c r="R106" i="33" s="1"/>
  <c r="R109" i="33" s="1"/>
  <c r="N106" i="33"/>
  <c r="K106" i="33"/>
  <c r="H106" i="33"/>
  <c r="E106" i="33"/>
  <c r="Q103" i="33"/>
  <c r="N103" i="33"/>
  <c r="K103" i="33"/>
  <c r="H103" i="33"/>
  <c r="S98" i="33"/>
  <c r="R98" i="33" s="1"/>
  <c r="R101" i="33" s="1"/>
  <c r="N98" i="33"/>
  <c r="K98" i="33"/>
  <c r="H98" i="33"/>
  <c r="E98" i="33"/>
  <c r="Q95" i="33"/>
  <c r="N95" i="33"/>
  <c r="K95" i="33"/>
  <c r="H95" i="33"/>
  <c r="S90" i="33"/>
  <c r="T90" i="33" s="1"/>
  <c r="N90" i="33"/>
  <c r="K90" i="33"/>
  <c r="H90" i="33"/>
  <c r="E90" i="33"/>
  <c r="Q87" i="33"/>
  <c r="N87" i="33"/>
  <c r="K87" i="33"/>
  <c r="H87" i="33"/>
  <c r="S82" i="33"/>
  <c r="B82" i="33" s="1"/>
  <c r="U82" i="33" s="1"/>
  <c r="AC87" i="33" s="1"/>
  <c r="T82" i="33"/>
  <c r="N82" i="33"/>
  <c r="K82" i="33"/>
  <c r="H82" i="33"/>
  <c r="E82" i="33"/>
  <c r="Q79" i="33"/>
  <c r="N79" i="33"/>
  <c r="K79" i="33"/>
  <c r="H79" i="33"/>
  <c r="S74" i="33"/>
  <c r="T74" i="33" s="1"/>
  <c r="N74" i="33"/>
  <c r="K74" i="33"/>
  <c r="H74" i="33"/>
  <c r="E74" i="33"/>
  <c r="Q71" i="33"/>
  <c r="N71" i="33"/>
  <c r="K71" i="33"/>
  <c r="H71" i="33"/>
  <c r="S66" i="33"/>
  <c r="R66" i="33"/>
  <c r="R69" i="33"/>
  <c r="N66" i="33"/>
  <c r="K66" i="33"/>
  <c r="H66" i="33"/>
  <c r="E66" i="33"/>
  <c r="Q63" i="33"/>
  <c r="N63" i="33"/>
  <c r="K63" i="33"/>
  <c r="H63" i="33"/>
  <c r="S58" i="33"/>
  <c r="T58" i="33" s="1"/>
  <c r="N58" i="33"/>
  <c r="K58" i="33"/>
  <c r="H58" i="33"/>
  <c r="E58" i="33"/>
  <c r="Q55" i="33"/>
  <c r="N55" i="33"/>
  <c r="K55" i="33"/>
  <c r="H55" i="33"/>
  <c r="S50" i="33"/>
  <c r="T50" i="33" s="1"/>
  <c r="N50" i="33"/>
  <c r="K50" i="33"/>
  <c r="H50" i="33"/>
  <c r="E50" i="33"/>
  <c r="B50" i="33"/>
  <c r="U50" i="33" s="1"/>
  <c r="AC55" i="33" s="1"/>
  <c r="Q47" i="33"/>
  <c r="N47" i="33"/>
  <c r="K47" i="33"/>
  <c r="H47" i="33"/>
  <c r="S42" i="33"/>
  <c r="T42" i="33" s="1"/>
  <c r="R42" i="33"/>
  <c r="R45" i="33" s="1"/>
  <c r="N42" i="33"/>
  <c r="K42" i="33"/>
  <c r="H42" i="33"/>
  <c r="E42" i="33"/>
  <c r="Q39" i="33"/>
  <c r="N39" i="33"/>
  <c r="K39" i="33"/>
  <c r="H39" i="33"/>
  <c r="S34" i="33"/>
  <c r="T34" i="33" s="1"/>
  <c r="N34" i="33"/>
  <c r="K34" i="33"/>
  <c r="H34" i="33"/>
  <c r="E34" i="33"/>
  <c r="Q31" i="33"/>
  <c r="N31" i="33"/>
  <c r="K31" i="33"/>
  <c r="H31" i="33"/>
  <c r="S26" i="33"/>
  <c r="T26" i="33" s="1"/>
  <c r="N26" i="33"/>
  <c r="K26" i="33"/>
  <c r="H26" i="33"/>
  <c r="E26" i="33"/>
  <c r="Q23" i="33"/>
  <c r="N23" i="33"/>
  <c r="K23" i="33"/>
  <c r="H23" i="33"/>
  <c r="S18" i="33"/>
  <c r="T18" i="33" s="1"/>
  <c r="N18" i="33"/>
  <c r="K18" i="33"/>
  <c r="H18" i="33"/>
  <c r="E18" i="33"/>
  <c r="Q15" i="33"/>
  <c r="N15" i="33"/>
  <c r="K15" i="33"/>
  <c r="H15" i="33"/>
  <c r="N10" i="33"/>
  <c r="K10" i="33"/>
  <c r="H10" i="33"/>
  <c r="E10" i="33"/>
  <c r="AC3" i="33"/>
  <c r="AC1" i="33"/>
  <c r="S10" i="33" s="1"/>
  <c r="B10" i="33" s="1"/>
  <c r="U10" i="33" s="1"/>
  <c r="AC15" i="33" s="1"/>
  <c r="AC2" i="33"/>
  <c r="C1" i="33"/>
  <c r="H114" i="32"/>
  <c r="G114" i="32"/>
  <c r="Q111" i="32"/>
  <c r="N111" i="32"/>
  <c r="K111" i="32"/>
  <c r="H111" i="32"/>
  <c r="S106" i="32"/>
  <c r="R106" i="32" s="1"/>
  <c r="R109" i="32" s="1"/>
  <c r="N106" i="32"/>
  <c r="K106" i="32"/>
  <c r="H106" i="32"/>
  <c r="E106" i="32"/>
  <c r="Q103" i="32"/>
  <c r="N103" i="32"/>
  <c r="K103" i="32"/>
  <c r="H103" i="32"/>
  <c r="S98" i="32"/>
  <c r="R98" i="32" s="1"/>
  <c r="R101" i="32" s="1"/>
  <c r="N98" i="32"/>
  <c r="K98" i="32"/>
  <c r="H98" i="32"/>
  <c r="E98" i="32"/>
  <c r="Q95" i="32"/>
  <c r="N95" i="32"/>
  <c r="K95" i="32"/>
  <c r="H95" i="32"/>
  <c r="T90" i="32"/>
  <c r="R90" i="32"/>
  <c r="R93" i="32" s="1"/>
  <c r="N90" i="32"/>
  <c r="K90" i="32"/>
  <c r="H90" i="32"/>
  <c r="E90" i="32"/>
  <c r="B90" i="32"/>
  <c r="U90" i="32" s="1"/>
  <c r="AC95" i="32" s="1"/>
  <c r="Q87" i="32"/>
  <c r="N87" i="32"/>
  <c r="K87" i="32"/>
  <c r="H87" i="32"/>
  <c r="S82" i="32"/>
  <c r="R82" i="32" s="1"/>
  <c r="R85" i="32" s="1"/>
  <c r="N82" i="32"/>
  <c r="K82" i="32"/>
  <c r="H82" i="32"/>
  <c r="E82" i="32"/>
  <c r="Q79" i="32"/>
  <c r="N79" i="32"/>
  <c r="K79" i="32"/>
  <c r="H79" i="32"/>
  <c r="S74" i="32"/>
  <c r="T74" i="32" s="1"/>
  <c r="N74" i="32"/>
  <c r="K74" i="32"/>
  <c r="H74" i="32"/>
  <c r="E74" i="32"/>
  <c r="Q71" i="32"/>
  <c r="N71" i="32"/>
  <c r="K71" i="32"/>
  <c r="H71" i="32"/>
  <c r="S66" i="32"/>
  <c r="R66" i="32" s="1"/>
  <c r="R69" i="32" s="1"/>
  <c r="B66" i="32"/>
  <c r="U66" i="32" s="1"/>
  <c r="AC71" i="32" s="1"/>
  <c r="N66" i="32"/>
  <c r="K66" i="32"/>
  <c r="H66" i="32"/>
  <c r="E66" i="32"/>
  <c r="Q63" i="32"/>
  <c r="N63" i="32"/>
  <c r="K63" i="32"/>
  <c r="H63" i="32"/>
  <c r="S58" i="32"/>
  <c r="R58" i="32" s="1"/>
  <c r="R61" i="32" s="1"/>
  <c r="N58" i="32"/>
  <c r="K58" i="32"/>
  <c r="H58" i="32"/>
  <c r="E58" i="32"/>
  <c r="Q55" i="32"/>
  <c r="N55" i="32"/>
  <c r="K55" i="32"/>
  <c r="H55" i="32"/>
  <c r="S50" i="32"/>
  <c r="B50" i="32" s="1"/>
  <c r="U50" i="32" s="1"/>
  <c r="AC55" i="32" s="1"/>
  <c r="R50" i="32"/>
  <c r="R53" i="32"/>
  <c r="N50" i="32"/>
  <c r="K50" i="32"/>
  <c r="H50" i="32"/>
  <c r="E50" i="32"/>
  <c r="Q47" i="32"/>
  <c r="N47" i="32"/>
  <c r="K47" i="32"/>
  <c r="H47" i="32"/>
  <c r="S42" i="32"/>
  <c r="T42" i="32"/>
  <c r="N42" i="32"/>
  <c r="K42" i="32"/>
  <c r="H42" i="32"/>
  <c r="E42" i="32"/>
  <c r="Q39" i="32"/>
  <c r="N39" i="32"/>
  <c r="K39" i="32"/>
  <c r="H39" i="32"/>
  <c r="S34" i="32"/>
  <c r="R34" i="32" s="1"/>
  <c r="R37" i="32" s="1"/>
  <c r="N34" i="32"/>
  <c r="K34" i="32"/>
  <c r="H34" i="32"/>
  <c r="E34" i="32"/>
  <c r="Q31" i="32"/>
  <c r="N31" i="32"/>
  <c r="K31" i="32"/>
  <c r="H31" i="32"/>
  <c r="S26" i="32"/>
  <c r="R26" i="32" s="1"/>
  <c r="R29" i="32" s="1"/>
  <c r="N26" i="32"/>
  <c r="K26" i="32"/>
  <c r="H26" i="32"/>
  <c r="E26" i="32"/>
  <c r="Q23" i="32"/>
  <c r="N23" i="32"/>
  <c r="K23" i="32"/>
  <c r="H23" i="32"/>
  <c r="S18" i="32"/>
  <c r="R18" i="32" s="1"/>
  <c r="R21" i="32" s="1"/>
  <c r="N18" i="32"/>
  <c r="K18" i="32"/>
  <c r="H18" i="32"/>
  <c r="E18" i="32"/>
  <c r="Q15" i="32"/>
  <c r="N15" i="32"/>
  <c r="K15" i="32"/>
  <c r="H15" i="32"/>
  <c r="N10" i="32"/>
  <c r="K10" i="32"/>
  <c r="H10" i="32"/>
  <c r="E10" i="32"/>
  <c r="AC3" i="32"/>
  <c r="AC1" i="32"/>
  <c r="C1" i="32"/>
  <c r="H114" i="30"/>
  <c r="G114" i="30"/>
  <c r="Q111" i="30"/>
  <c r="N111" i="30"/>
  <c r="K111" i="30"/>
  <c r="H111" i="30"/>
  <c r="S106" i="30"/>
  <c r="T106" i="30" s="1"/>
  <c r="N106" i="30"/>
  <c r="K106" i="30"/>
  <c r="H106" i="30"/>
  <c r="E106" i="30"/>
  <c r="Q103" i="30"/>
  <c r="N103" i="30"/>
  <c r="K103" i="30"/>
  <c r="H103" i="30"/>
  <c r="S98" i="30"/>
  <c r="R98" i="30" s="1"/>
  <c r="R101" i="30" s="1"/>
  <c r="N98" i="30"/>
  <c r="K98" i="30"/>
  <c r="H98" i="30"/>
  <c r="E98" i="30"/>
  <c r="Q95" i="30"/>
  <c r="N95" i="30"/>
  <c r="K95" i="30"/>
  <c r="H95" i="30"/>
  <c r="S90" i="30"/>
  <c r="R90" i="30" s="1"/>
  <c r="R93" i="30" s="1"/>
  <c r="B90" i="30"/>
  <c r="U90" i="30" s="1"/>
  <c r="AC95" i="30" s="1"/>
  <c r="N90" i="30"/>
  <c r="K90" i="30"/>
  <c r="H90" i="30"/>
  <c r="E90" i="30"/>
  <c r="Q87" i="30"/>
  <c r="N87" i="30"/>
  <c r="K87" i="30"/>
  <c r="H87" i="30"/>
  <c r="S82" i="30"/>
  <c r="R82" i="30" s="1"/>
  <c r="R85" i="30" s="1"/>
  <c r="N82" i="30"/>
  <c r="K82" i="30"/>
  <c r="H82" i="30"/>
  <c r="E82" i="30"/>
  <c r="B82" i="30"/>
  <c r="U82" i="30" s="1"/>
  <c r="AC87" i="30" s="1"/>
  <c r="Q79" i="30"/>
  <c r="N79" i="30"/>
  <c r="K79" i="30"/>
  <c r="H79" i="30"/>
  <c r="S74" i="30"/>
  <c r="B74" i="30" s="1"/>
  <c r="U74" i="30" s="1"/>
  <c r="AC79" i="30" s="1"/>
  <c r="N74" i="30"/>
  <c r="K74" i="30"/>
  <c r="H74" i="30"/>
  <c r="E74" i="30"/>
  <c r="Q71" i="30"/>
  <c r="N71" i="30"/>
  <c r="K71" i="30"/>
  <c r="H71" i="30"/>
  <c r="S66" i="30"/>
  <c r="T66" i="30" s="1"/>
  <c r="N66" i="30"/>
  <c r="K66" i="30"/>
  <c r="H66" i="30"/>
  <c r="E66" i="30"/>
  <c r="Q63" i="30"/>
  <c r="N63" i="30"/>
  <c r="K63" i="30"/>
  <c r="H63" i="30"/>
  <c r="S58" i="30"/>
  <c r="B58" i="30" s="1"/>
  <c r="U58" i="30" s="1"/>
  <c r="AC63" i="30" s="1"/>
  <c r="N58" i="30"/>
  <c r="K58" i="30"/>
  <c r="H58" i="30"/>
  <c r="E58" i="30"/>
  <c r="Q55" i="30"/>
  <c r="N55" i="30"/>
  <c r="K55" i="30"/>
  <c r="H55" i="30"/>
  <c r="S50" i="30"/>
  <c r="T50" i="30" s="1"/>
  <c r="N50" i="30"/>
  <c r="K50" i="30"/>
  <c r="H50" i="30"/>
  <c r="E50" i="30"/>
  <c r="Q47" i="30"/>
  <c r="N47" i="30"/>
  <c r="K47" i="30"/>
  <c r="H47" i="30"/>
  <c r="S42" i="30"/>
  <c r="R42" i="30" s="1"/>
  <c r="R45" i="30" s="1"/>
  <c r="N42" i="30"/>
  <c r="K42" i="30"/>
  <c r="H42" i="30"/>
  <c r="E42" i="30"/>
  <c r="Q39" i="30"/>
  <c r="N39" i="30"/>
  <c r="K39" i="30"/>
  <c r="H39" i="30"/>
  <c r="S34" i="30"/>
  <c r="R34" i="30" s="1"/>
  <c r="R37" i="30" s="1"/>
  <c r="N34" i="30"/>
  <c r="K34" i="30"/>
  <c r="H34" i="30"/>
  <c r="E34" i="30"/>
  <c r="Q31" i="30"/>
  <c r="N31" i="30"/>
  <c r="K31" i="30"/>
  <c r="H31" i="30"/>
  <c r="S26" i="30"/>
  <c r="T26" i="30" s="1"/>
  <c r="R26" i="30"/>
  <c r="R29" i="30" s="1"/>
  <c r="N26" i="30"/>
  <c r="K26" i="30"/>
  <c r="H26" i="30"/>
  <c r="E26" i="30"/>
  <c r="Q23" i="30"/>
  <c r="N23" i="30"/>
  <c r="K23" i="30"/>
  <c r="H23" i="30"/>
  <c r="S18" i="30"/>
  <c r="T18" i="30" s="1"/>
  <c r="N18" i="30"/>
  <c r="K18" i="30"/>
  <c r="H18" i="30"/>
  <c r="E18" i="30"/>
  <c r="Q15" i="30"/>
  <c r="N15" i="30"/>
  <c r="K15" i="30"/>
  <c r="H15" i="30"/>
  <c r="S10" i="30"/>
  <c r="N10" i="30"/>
  <c r="K10" i="30"/>
  <c r="H10" i="30"/>
  <c r="E10" i="30"/>
  <c r="AC3" i="30"/>
  <c r="AC1" i="30"/>
  <c r="AC2" i="30" s="1"/>
  <c r="C1" i="30"/>
  <c r="C1" i="26"/>
  <c r="H114" i="29"/>
  <c r="G114" i="29"/>
  <c r="Q111" i="29"/>
  <c r="N111" i="29"/>
  <c r="H111" i="29"/>
  <c r="S106" i="29"/>
  <c r="R106" i="29" s="1"/>
  <c r="R109" i="29" s="1"/>
  <c r="N106" i="29"/>
  <c r="K106" i="29"/>
  <c r="E106" i="29"/>
  <c r="Q103" i="29"/>
  <c r="N103" i="29"/>
  <c r="H103" i="29"/>
  <c r="S98" i="29"/>
  <c r="R98" i="29" s="1"/>
  <c r="R101" i="29" s="1"/>
  <c r="N98" i="29"/>
  <c r="K98" i="29"/>
  <c r="E98" i="29"/>
  <c r="Q95" i="29"/>
  <c r="N95" i="29"/>
  <c r="H95" i="29"/>
  <c r="S90" i="29"/>
  <c r="T90" i="29"/>
  <c r="N90" i="29"/>
  <c r="K90" i="29"/>
  <c r="E90" i="29"/>
  <c r="Q87" i="29"/>
  <c r="N87" i="29"/>
  <c r="H87" i="29"/>
  <c r="S82" i="29"/>
  <c r="T82" i="29"/>
  <c r="R82" i="29"/>
  <c r="R85" i="29" s="1"/>
  <c r="N82" i="29"/>
  <c r="K82" i="29"/>
  <c r="E82" i="29"/>
  <c r="Q79" i="29"/>
  <c r="N79" i="29"/>
  <c r="H79" i="29"/>
  <c r="S74" i="29"/>
  <c r="T74" i="29" s="1"/>
  <c r="N74" i="29"/>
  <c r="K74" i="29"/>
  <c r="E74" i="29"/>
  <c r="Q71" i="29"/>
  <c r="N71" i="29"/>
  <c r="H71" i="29"/>
  <c r="S66" i="29"/>
  <c r="R66" i="29" s="1"/>
  <c r="R69" i="29" s="1"/>
  <c r="N66" i="29"/>
  <c r="K66" i="29"/>
  <c r="E66" i="29"/>
  <c r="Q63" i="29"/>
  <c r="N63" i="29"/>
  <c r="H63" i="29"/>
  <c r="S58" i="29"/>
  <c r="B58" i="29" s="1"/>
  <c r="N58" i="29"/>
  <c r="K58" i="29"/>
  <c r="E58" i="29"/>
  <c r="Q55" i="29"/>
  <c r="N55" i="29"/>
  <c r="H55" i="29"/>
  <c r="S50" i="29"/>
  <c r="R50" i="29" s="1"/>
  <c r="R53" i="29" s="1"/>
  <c r="N50" i="29"/>
  <c r="K50" i="29"/>
  <c r="E50" i="29"/>
  <c r="Q47" i="29"/>
  <c r="N47" i="29"/>
  <c r="H47" i="29"/>
  <c r="S42" i="29"/>
  <c r="R42" i="29" s="1"/>
  <c r="R45" i="29" s="1"/>
  <c r="T42" i="29"/>
  <c r="N42" i="29"/>
  <c r="K42" i="29"/>
  <c r="E42" i="29"/>
  <c r="Q39" i="29"/>
  <c r="N39" i="29"/>
  <c r="H39" i="29"/>
  <c r="S34" i="29"/>
  <c r="R34" i="29" s="1"/>
  <c r="R37" i="29" s="1"/>
  <c r="N34" i="29"/>
  <c r="K34" i="29"/>
  <c r="E34" i="29"/>
  <c r="Q31" i="29"/>
  <c r="N31" i="29"/>
  <c r="H31" i="29"/>
  <c r="S26" i="29"/>
  <c r="R26" i="29" s="1"/>
  <c r="R29" i="29" s="1"/>
  <c r="N26" i="29"/>
  <c r="K26" i="29"/>
  <c r="E26" i="29"/>
  <c r="Q23" i="29"/>
  <c r="N23" i="29"/>
  <c r="K23" i="29"/>
  <c r="H23" i="29"/>
  <c r="S18" i="29"/>
  <c r="R18" i="29" s="1"/>
  <c r="R21" i="29" s="1"/>
  <c r="B18" i="29"/>
  <c r="N18" i="29"/>
  <c r="K18" i="29"/>
  <c r="H18" i="29"/>
  <c r="E18" i="29"/>
  <c r="Q15" i="29"/>
  <c r="N15" i="29"/>
  <c r="K15" i="29"/>
  <c r="H15" i="29"/>
  <c r="S10" i="29"/>
  <c r="T10" i="29" s="1"/>
  <c r="N10" i="29"/>
  <c r="K10" i="29"/>
  <c r="H10" i="29"/>
  <c r="E10" i="29"/>
  <c r="AC1" i="29"/>
  <c r="AC2" i="29" s="1"/>
  <c r="S90" i="26"/>
  <c r="T90" i="26" s="1"/>
  <c r="H114" i="26"/>
  <c r="G114" i="26"/>
  <c r="Q111" i="26"/>
  <c r="N111" i="26"/>
  <c r="K111" i="26"/>
  <c r="H111" i="26"/>
  <c r="S106" i="26"/>
  <c r="R106" i="26" s="1"/>
  <c r="R109" i="26" s="1"/>
  <c r="N106" i="26"/>
  <c r="K106" i="26"/>
  <c r="H106" i="26"/>
  <c r="E106" i="26"/>
  <c r="Q103" i="26"/>
  <c r="N103" i="26"/>
  <c r="K103" i="26"/>
  <c r="H103" i="26"/>
  <c r="S98" i="26"/>
  <c r="R98" i="26" s="1"/>
  <c r="R101" i="26" s="1"/>
  <c r="N98" i="26"/>
  <c r="K98" i="26"/>
  <c r="H98" i="26"/>
  <c r="E98" i="26"/>
  <c r="Q95" i="26"/>
  <c r="N95" i="26"/>
  <c r="K95" i="26"/>
  <c r="H95" i="26"/>
  <c r="N90" i="26"/>
  <c r="K90" i="26"/>
  <c r="H90" i="26"/>
  <c r="E90" i="26"/>
  <c r="Q87" i="26"/>
  <c r="N87" i="26"/>
  <c r="K87" i="26"/>
  <c r="H87" i="26"/>
  <c r="S82" i="26"/>
  <c r="R82" i="26" s="1"/>
  <c r="R85" i="26" s="1"/>
  <c r="N82" i="26"/>
  <c r="K82" i="26"/>
  <c r="H82" i="26"/>
  <c r="E82" i="26"/>
  <c r="Q79" i="26"/>
  <c r="N79" i="26"/>
  <c r="K79" i="26"/>
  <c r="H79" i="26"/>
  <c r="S74" i="26"/>
  <c r="R74" i="26" s="1"/>
  <c r="R77" i="26" s="1"/>
  <c r="N74" i="26"/>
  <c r="K74" i="26"/>
  <c r="H74" i="26"/>
  <c r="E74" i="26"/>
  <c r="Q71" i="26"/>
  <c r="N71" i="26"/>
  <c r="K71" i="26"/>
  <c r="H71" i="26"/>
  <c r="S66" i="26"/>
  <c r="T66" i="26" s="1"/>
  <c r="N66" i="26"/>
  <c r="K66" i="26"/>
  <c r="H66" i="26"/>
  <c r="E66" i="26"/>
  <c r="Q63" i="26"/>
  <c r="N63" i="26"/>
  <c r="K63" i="26"/>
  <c r="H63" i="26"/>
  <c r="S58" i="26"/>
  <c r="R58" i="26" s="1"/>
  <c r="R61" i="26" s="1"/>
  <c r="N58" i="26"/>
  <c r="K58" i="26"/>
  <c r="H58" i="26"/>
  <c r="E58" i="26"/>
  <c r="Q55" i="26"/>
  <c r="N55" i="26"/>
  <c r="K55" i="26"/>
  <c r="H55" i="26"/>
  <c r="S50" i="26"/>
  <c r="T50" i="26" s="1"/>
  <c r="N50" i="26"/>
  <c r="K50" i="26"/>
  <c r="H50" i="26"/>
  <c r="E50" i="26"/>
  <c r="Q47" i="26"/>
  <c r="N47" i="26"/>
  <c r="K47" i="26"/>
  <c r="H47" i="26"/>
  <c r="N42" i="26"/>
  <c r="K42" i="26"/>
  <c r="H42" i="26"/>
  <c r="E42" i="26"/>
  <c r="Q39" i="26"/>
  <c r="N39" i="26"/>
  <c r="K39" i="26"/>
  <c r="H39" i="26"/>
  <c r="N34" i="26"/>
  <c r="K34" i="26"/>
  <c r="H34" i="26"/>
  <c r="E34" i="26"/>
  <c r="Q31" i="26"/>
  <c r="N31" i="26"/>
  <c r="K31" i="26"/>
  <c r="H31" i="26"/>
  <c r="N26" i="26"/>
  <c r="K26" i="26"/>
  <c r="H26" i="26"/>
  <c r="E26" i="26"/>
  <c r="Q23" i="26"/>
  <c r="N23" i="26"/>
  <c r="K23" i="26"/>
  <c r="H23" i="26"/>
  <c r="S18" i="26"/>
  <c r="R18" i="26" s="1"/>
  <c r="R21" i="26" s="1"/>
  <c r="N18" i="26"/>
  <c r="K18" i="26"/>
  <c r="H18" i="26"/>
  <c r="E18" i="26"/>
  <c r="Q15" i="26"/>
  <c r="N15" i="26"/>
  <c r="K15" i="26"/>
  <c r="H15" i="26"/>
  <c r="N10" i="26"/>
  <c r="K10" i="26"/>
  <c r="H10" i="26"/>
  <c r="E10" i="26"/>
  <c r="AC3" i="26"/>
  <c r="AC1" i="26"/>
  <c r="S34" i="26" s="1"/>
  <c r="Q79" i="12"/>
  <c r="N79" i="12"/>
  <c r="K79" i="12"/>
  <c r="H79" i="12"/>
  <c r="N74" i="12"/>
  <c r="K74" i="12"/>
  <c r="H74" i="12"/>
  <c r="E74" i="12"/>
  <c r="Q71" i="12"/>
  <c r="N71" i="12"/>
  <c r="K71" i="12"/>
  <c r="H71" i="12"/>
  <c r="N66" i="12"/>
  <c r="K66" i="12"/>
  <c r="H66" i="12"/>
  <c r="E66" i="12"/>
  <c r="Q63" i="12"/>
  <c r="N63" i="12"/>
  <c r="K63" i="12"/>
  <c r="H63" i="12"/>
  <c r="N58" i="12"/>
  <c r="K58" i="12"/>
  <c r="H58" i="12"/>
  <c r="E58" i="12"/>
  <c r="Q55" i="12"/>
  <c r="N55" i="12"/>
  <c r="K55" i="12"/>
  <c r="H55" i="12"/>
  <c r="N50" i="12"/>
  <c r="K50" i="12"/>
  <c r="H50" i="12"/>
  <c r="E50" i="12"/>
  <c r="Q47" i="12"/>
  <c r="N47" i="12"/>
  <c r="K47" i="12"/>
  <c r="H47" i="12"/>
  <c r="N42" i="12"/>
  <c r="K42" i="12"/>
  <c r="H42" i="12"/>
  <c r="E42" i="12"/>
  <c r="Q39" i="12"/>
  <c r="N39" i="12"/>
  <c r="K39" i="12"/>
  <c r="H39" i="12"/>
  <c r="N34" i="12"/>
  <c r="K34" i="12"/>
  <c r="H34" i="12"/>
  <c r="E34" i="12"/>
  <c r="Q31" i="12"/>
  <c r="N31" i="12"/>
  <c r="K31" i="12"/>
  <c r="H31" i="12"/>
  <c r="N26" i="12"/>
  <c r="K26" i="12"/>
  <c r="H26" i="12"/>
  <c r="E26" i="12"/>
  <c r="Q23" i="12"/>
  <c r="N23" i="12"/>
  <c r="K23" i="12"/>
  <c r="H23" i="12"/>
  <c r="N18" i="12"/>
  <c r="K18" i="12"/>
  <c r="H18" i="12"/>
  <c r="E18" i="12"/>
  <c r="Q15" i="12"/>
  <c r="N15" i="12"/>
  <c r="K15" i="12"/>
  <c r="H15" i="12"/>
  <c r="N10" i="12"/>
  <c r="K10" i="12"/>
  <c r="H10" i="12"/>
  <c r="E10" i="12"/>
  <c r="AC1" i="12"/>
  <c r="AC2" i="12" s="1"/>
  <c r="AC3" i="12"/>
  <c r="S50" i="12"/>
  <c r="R50" i="12" s="1"/>
  <c r="R53" i="12" s="1"/>
  <c r="S58" i="12"/>
  <c r="B58" i="12" s="1"/>
  <c r="U58" i="12" s="1"/>
  <c r="AC63" i="12" s="1"/>
  <c r="S66" i="12"/>
  <c r="B66" i="12"/>
  <c r="U66" i="12" s="1"/>
  <c r="AC71" i="12" s="1"/>
  <c r="R66" i="12"/>
  <c r="T66" i="12"/>
  <c r="R69" i="12"/>
  <c r="S74" i="12"/>
  <c r="R74" i="12" s="1"/>
  <c r="R77" i="12" s="1"/>
  <c r="S82" i="12"/>
  <c r="T82" i="12" s="1"/>
  <c r="E82" i="12"/>
  <c r="H82" i="12"/>
  <c r="K82" i="12"/>
  <c r="N82" i="12"/>
  <c r="H87" i="12"/>
  <c r="K87" i="12"/>
  <c r="N87" i="12"/>
  <c r="Q87" i="12"/>
  <c r="S90" i="12"/>
  <c r="B90" i="12" s="1"/>
  <c r="U90" i="12" s="1"/>
  <c r="AC95" i="12" s="1"/>
  <c r="E90" i="12"/>
  <c r="H90" i="12"/>
  <c r="K90" i="12"/>
  <c r="N90" i="12"/>
  <c r="H95" i="12"/>
  <c r="K95" i="12"/>
  <c r="N95" i="12"/>
  <c r="Q95" i="12"/>
  <c r="S98" i="12"/>
  <c r="T98" i="12" s="1"/>
  <c r="B98" i="12"/>
  <c r="U98" i="12" s="1"/>
  <c r="AC103" i="12" s="1"/>
  <c r="E98" i="12"/>
  <c r="H98" i="12"/>
  <c r="K98" i="12"/>
  <c r="N98" i="12"/>
  <c r="H103" i="12"/>
  <c r="K103" i="12"/>
  <c r="N103" i="12"/>
  <c r="Q103" i="12"/>
  <c r="E106" i="12"/>
  <c r="H106" i="12"/>
  <c r="K106" i="12"/>
  <c r="N106" i="12"/>
  <c r="S106" i="12"/>
  <c r="U106" i="12"/>
  <c r="AC111" i="12" s="1"/>
  <c r="H111" i="12"/>
  <c r="K111" i="12"/>
  <c r="N111" i="12"/>
  <c r="Q111" i="12"/>
  <c r="G114" i="12"/>
  <c r="H114" i="12"/>
  <c r="V114" i="12"/>
  <c r="W114" i="12"/>
  <c r="X114" i="12"/>
  <c r="Y114" i="12"/>
  <c r="Z114" i="12"/>
  <c r="AA114" i="12"/>
  <c r="AC1" i="11"/>
  <c r="AC3" i="11"/>
  <c r="S50" i="11"/>
  <c r="B50" i="11" s="1"/>
  <c r="U50" i="11" s="1"/>
  <c r="AC55" i="11" s="1"/>
  <c r="S58" i="11"/>
  <c r="T58" i="11" s="1"/>
  <c r="S66" i="11"/>
  <c r="B66" i="11" s="1"/>
  <c r="U66" i="11" s="1"/>
  <c r="AC71" i="11" s="1"/>
  <c r="S74" i="11"/>
  <c r="B74" i="11" s="1"/>
  <c r="U74" i="11" s="1"/>
  <c r="AC79" i="11" s="1"/>
  <c r="S82" i="11"/>
  <c r="B82" i="11" s="1"/>
  <c r="U82" i="11" s="1"/>
  <c r="AC87" i="11" s="1"/>
  <c r="S90" i="11"/>
  <c r="B90" i="11"/>
  <c r="U90" i="11" s="1"/>
  <c r="AC95" i="11" s="1"/>
  <c r="S98" i="11"/>
  <c r="T98" i="11" s="1"/>
  <c r="S106" i="11"/>
  <c r="H79" i="11"/>
  <c r="H74" i="11"/>
  <c r="E74" i="11"/>
  <c r="N55" i="11"/>
  <c r="K55" i="11"/>
  <c r="H55" i="11"/>
  <c r="N50" i="11"/>
  <c r="K50" i="11"/>
  <c r="H50" i="11"/>
  <c r="E50" i="11"/>
  <c r="N47" i="11"/>
  <c r="K47" i="11"/>
  <c r="H47" i="11"/>
  <c r="N42" i="11"/>
  <c r="K42" i="11"/>
  <c r="H42" i="11"/>
  <c r="E42" i="11"/>
  <c r="B98" i="11"/>
  <c r="U98" i="11" s="1"/>
  <c r="AC103" i="11" s="1"/>
  <c r="U106" i="11"/>
  <c r="AC111" i="11" s="1"/>
  <c r="Q15" i="11"/>
  <c r="N15" i="11"/>
  <c r="K15" i="11"/>
  <c r="N10" i="11"/>
  <c r="K10" i="11"/>
  <c r="H15" i="11"/>
  <c r="H10" i="11"/>
  <c r="E10" i="11"/>
  <c r="Q23" i="11"/>
  <c r="N23" i="11"/>
  <c r="K23" i="11"/>
  <c r="H23" i="11"/>
  <c r="N18" i="11"/>
  <c r="K18" i="11"/>
  <c r="H18" i="11"/>
  <c r="E18" i="11"/>
  <c r="Q111" i="11"/>
  <c r="N111" i="11"/>
  <c r="K111" i="11"/>
  <c r="H111" i="11"/>
  <c r="N106" i="11"/>
  <c r="K106" i="11"/>
  <c r="H106" i="11"/>
  <c r="E106" i="11"/>
  <c r="Q103" i="11"/>
  <c r="N103" i="11"/>
  <c r="K103" i="11"/>
  <c r="H103" i="11"/>
  <c r="N98" i="11"/>
  <c r="K98" i="11"/>
  <c r="H98" i="11"/>
  <c r="E98" i="11"/>
  <c r="Q95" i="11"/>
  <c r="N95" i="11"/>
  <c r="K95" i="11"/>
  <c r="H95" i="11"/>
  <c r="N90" i="11"/>
  <c r="K90" i="11"/>
  <c r="H90" i="11"/>
  <c r="E90" i="11"/>
  <c r="Q87" i="11"/>
  <c r="N87" i="11"/>
  <c r="K87" i="11"/>
  <c r="H87" i="11"/>
  <c r="N82" i="11"/>
  <c r="K82" i="11"/>
  <c r="H82" i="11"/>
  <c r="E82" i="11"/>
  <c r="Q79" i="11"/>
  <c r="N79" i="11"/>
  <c r="K79" i="11"/>
  <c r="N74" i="11"/>
  <c r="K74" i="11"/>
  <c r="Q71" i="11"/>
  <c r="N71" i="11"/>
  <c r="K71" i="11"/>
  <c r="H71" i="11"/>
  <c r="N66" i="11"/>
  <c r="K66" i="11"/>
  <c r="H66" i="11"/>
  <c r="E66" i="11"/>
  <c r="Q63" i="11"/>
  <c r="N63" i="11"/>
  <c r="K63" i="11"/>
  <c r="H63" i="11"/>
  <c r="N58" i="11"/>
  <c r="K58" i="11"/>
  <c r="H58" i="11"/>
  <c r="E58" i="11"/>
  <c r="Q55" i="11"/>
  <c r="Q47" i="11"/>
  <c r="Q39" i="11"/>
  <c r="N39" i="11"/>
  <c r="K39" i="11"/>
  <c r="H39" i="11"/>
  <c r="N34" i="11"/>
  <c r="K34" i="11"/>
  <c r="H34" i="11"/>
  <c r="E34" i="11"/>
  <c r="Q31" i="11"/>
  <c r="N31" i="11"/>
  <c r="K31" i="11"/>
  <c r="H31" i="11"/>
  <c r="N26" i="11"/>
  <c r="K26" i="11"/>
  <c r="H26" i="11"/>
  <c r="E26" i="11"/>
  <c r="G114" i="11"/>
  <c r="R98" i="11"/>
  <c r="R101" i="11" s="1"/>
  <c r="R90" i="11"/>
  <c r="R93" i="11"/>
  <c r="T90" i="11"/>
  <c r="R50" i="11"/>
  <c r="R53" i="11"/>
  <c r="T50" i="11"/>
  <c r="V114" i="11"/>
  <c r="AA114" i="11"/>
  <c r="Z114" i="11"/>
  <c r="Y114" i="11"/>
  <c r="X114" i="11"/>
  <c r="W114" i="11"/>
  <c r="T82" i="11"/>
  <c r="H114" i="11"/>
  <c r="T106" i="11"/>
  <c r="R106" i="11"/>
  <c r="R109" i="11" s="1"/>
  <c r="R106" i="12"/>
  <c r="R109" i="12" s="1"/>
  <c r="T106" i="12"/>
  <c r="B50" i="12"/>
  <c r="U50" i="12" s="1"/>
  <c r="AC55" i="12" s="1"/>
  <c r="T50" i="12"/>
  <c r="AC2" i="11"/>
  <c r="S42" i="11" s="1"/>
  <c r="T74" i="12"/>
  <c r="B74" i="12"/>
  <c r="U74" i="12" s="1"/>
  <c r="AC79" i="12" s="1"/>
  <c r="S18" i="11"/>
  <c r="R18" i="11" s="1"/>
  <c r="R21" i="11" s="1"/>
  <c r="S10" i="11"/>
  <c r="R10" i="11" s="1"/>
  <c r="R13" i="11" s="1"/>
  <c r="S26" i="11"/>
  <c r="T26" i="11" s="1"/>
  <c r="AC2" i="26"/>
  <c r="S42" i="26" s="1"/>
  <c r="R42" i="26" s="1"/>
  <c r="R45" i="26" s="1"/>
  <c r="S10" i="26"/>
  <c r="T58" i="30"/>
  <c r="B66" i="30"/>
  <c r="U66" i="30" s="1"/>
  <c r="AC71" i="30" s="1"/>
  <c r="T90" i="30"/>
  <c r="T18" i="29"/>
  <c r="B34" i="29"/>
  <c r="B42" i="30"/>
  <c r="U42" i="30" s="1"/>
  <c r="AC47" i="30" s="1"/>
  <c r="T42" i="30"/>
  <c r="T98" i="30"/>
  <c r="R50" i="30"/>
  <c r="R53" i="30" s="1"/>
  <c r="B50" i="30"/>
  <c r="U50" i="30" s="1"/>
  <c r="AC55" i="30" s="1"/>
  <c r="R18" i="33"/>
  <c r="R21" i="33"/>
  <c r="B42" i="33"/>
  <c r="U42" i="33" s="1"/>
  <c r="AC47" i="33" s="1"/>
  <c r="R50" i="33"/>
  <c r="R53" i="33"/>
  <c r="T66" i="33"/>
  <c r="B74" i="33"/>
  <c r="U74" i="33" s="1"/>
  <c r="AC79" i="33" s="1"/>
  <c r="R82" i="33"/>
  <c r="R85" i="33"/>
  <c r="B66" i="33"/>
  <c r="U66" i="33" s="1"/>
  <c r="AC71" i="33" s="1"/>
  <c r="B98" i="33"/>
  <c r="U98" i="33" s="1"/>
  <c r="AC103" i="33" s="1"/>
  <c r="T34" i="32"/>
  <c r="B42" i="32"/>
  <c r="U42" i="32" s="1"/>
  <c r="AC47" i="32" s="1"/>
  <c r="T66" i="32"/>
  <c r="R42" i="32"/>
  <c r="R45" i="32" s="1"/>
  <c r="B10" i="30"/>
  <c r="U10" i="30" s="1"/>
  <c r="AC15" i="30" s="1"/>
  <c r="R10" i="30"/>
  <c r="R13" i="30" s="1"/>
  <c r="R90" i="29"/>
  <c r="R93" i="29" s="1"/>
  <c r="B90" i="29"/>
  <c r="B82" i="29"/>
  <c r="T26" i="29"/>
  <c r="B26" i="29"/>
  <c r="T50" i="29"/>
  <c r="T58" i="29"/>
  <c r="T98" i="29"/>
  <c r="B98" i="29"/>
  <c r="U66" i="54" l="1"/>
  <c r="B74" i="54"/>
  <c r="U58" i="58"/>
  <c r="B66" i="58"/>
  <c r="U58" i="57"/>
  <c r="AC63" i="57" s="1"/>
  <c r="B66" i="57"/>
  <c r="R42" i="11"/>
  <c r="R45" i="11" s="1"/>
  <c r="T42" i="11"/>
  <c r="B34" i="33"/>
  <c r="U34" i="33" s="1"/>
  <c r="AC39" i="33" s="1"/>
  <c r="B34" i="30"/>
  <c r="U34" i="30" s="1"/>
  <c r="AC39" i="30" s="1"/>
  <c r="R82" i="11"/>
  <c r="R85" i="11" s="1"/>
  <c r="R66" i="30"/>
  <c r="R69" i="30" s="1"/>
  <c r="T98" i="33"/>
  <c r="T34" i="30"/>
  <c r="S34" i="11"/>
  <c r="T74" i="11"/>
  <c r="B58" i="11"/>
  <c r="U58" i="11" s="1"/>
  <c r="AC63" i="11" s="1"/>
  <c r="R58" i="29"/>
  <c r="R61" i="29" s="1"/>
  <c r="R58" i="30"/>
  <c r="R61" i="30" s="1"/>
  <c r="R74" i="30"/>
  <c r="R77" i="30" s="1"/>
  <c r="T82" i="30"/>
  <c r="B26" i="33"/>
  <c r="U26" i="33" s="1"/>
  <c r="AC31" i="33" s="1"/>
  <c r="R74" i="33"/>
  <c r="R77" i="33" s="1"/>
  <c r="B74" i="44"/>
  <c r="U74" i="44" s="1"/>
  <c r="AC79" i="44" s="1"/>
  <c r="T82" i="32"/>
  <c r="B18" i="33"/>
  <c r="U18" i="33" s="1"/>
  <c r="AC23" i="33" s="1"/>
  <c r="R26" i="11"/>
  <c r="R29" i="11" s="1"/>
  <c r="T74" i="30"/>
  <c r="B18" i="32"/>
  <c r="U18" i="32" s="1"/>
  <c r="AC23" i="32" s="1"/>
  <c r="B82" i="32"/>
  <c r="U82" i="32" s="1"/>
  <c r="AC87" i="32" s="1"/>
  <c r="R74" i="32"/>
  <c r="R77" i="32" s="1"/>
  <c r="T18" i="11"/>
  <c r="R58" i="11"/>
  <c r="R61" i="11" s="1"/>
  <c r="B42" i="29"/>
  <c r="U42" i="29" s="1"/>
  <c r="AC47" i="29" s="1"/>
  <c r="B50" i="29"/>
  <c r="R58" i="33"/>
  <c r="R61" i="33" s="1"/>
  <c r="T90" i="12"/>
  <c r="B34" i="32"/>
  <c r="U34" i="32" s="1"/>
  <c r="AC39" i="32" s="1"/>
  <c r="T50" i="32"/>
  <c r="T106" i="32"/>
  <c r="T18" i="32"/>
  <c r="R90" i="12"/>
  <c r="R93" i="12" s="1"/>
  <c r="S42" i="12"/>
  <c r="B74" i="32"/>
  <c r="U74" i="32" s="1"/>
  <c r="AC79" i="32" s="1"/>
  <c r="T66" i="11"/>
  <c r="R98" i="12"/>
  <c r="R101" i="12" s="1"/>
  <c r="R106" i="30"/>
  <c r="R109" i="30" s="1"/>
  <c r="R26" i="33"/>
  <c r="R29" i="33" s="1"/>
  <c r="R34" i="33"/>
  <c r="R37" i="33" s="1"/>
  <c r="R66" i="11"/>
  <c r="R69" i="11" s="1"/>
  <c r="R90" i="33"/>
  <c r="R93" i="33" s="1"/>
  <c r="R42" i="12"/>
  <c r="R45" i="12" s="1"/>
  <c r="T42" i="12"/>
  <c r="AC63" i="29"/>
  <c r="U58" i="29"/>
  <c r="U82" i="29"/>
  <c r="AC87" i="29" s="1"/>
  <c r="U34" i="29"/>
  <c r="AC39" i="29" s="1"/>
  <c r="B10" i="11"/>
  <c r="R114" i="11"/>
  <c r="R82" i="12"/>
  <c r="R85" i="12" s="1"/>
  <c r="S26" i="12"/>
  <c r="S10" i="12"/>
  <c r="B82" i="12"/>
  <c r="U82" i="12" s="1"/>
  <c r="AC87" i="12" s="1"/>
  <c r="R74" i="11"/>
  <c r="R77" i="11" s="1"/>
  <c r="AC2" i="32"/>
  <c r="S10" i="32" s="1"/>
  <c r="B26" i="32"/>
  <c r="U26" i="32" s="1"/>
  <c r="AC31" i="32" s="1"/>
  <c r="T26" i="32"/>
  <c r="B58" i="32"/>
  <c r="U58" i="32" s="1"/>
  <c r="AC63" i="32" s="1"/>
  <c r="T58" i="32"/>
  <c r="B98" i="32"/>
  <c r="U98" i="32" s="1"/>
  <c r="AC103" i="32" s="1"/>
  <c r="T98" i="32"/>
  <c r="T106" i="33"/>
  <c r="R58" i="12"/>
  <c r="R61" i="12" s="1"/>
  <c r="U18" i="29"/>
  <c r="AC23" i="29" s="1"/>
  <c r="U50" i="29"/>
  <c r="AC55" i="29" s="1"/>
  <c r="R74" i="29"/>
  <c r="R77" i="29" s="1"/>
  <c r="B74" i="29"/>
  <c r="U90" i="29"/>
  <c r="AC95" i="29" s="1"/>
  <c r="T106" i="29"/>
  <c r="S34" i="12"/>
  <c r="T58" i="12"/>
  <c r="B90" i="33"/>
  <c r="U90" i="33" s="1"/>
  <c r="AC95" i="33" s="1"/>
  <c r="T58" i="44"/>
  <c r="T10" i="11"/>
  <c r="U26" i="29"/>
  <c r="AC31" i="29" s="1"/>
  <c r="T34" i="29"/>
  <c r="R66" i="26"/>
  <c r="R69" i="26" s="1"/>
  <c r="U98" i="29"/>
  <c r="AC103" i="29" s="1"/>
  <c r="B106" i="33"/>
  <c r="U106" i="33" s="1"/>
  <c r="AC111" i="33" s="1"/>
  <c r="B66" i="29"/>
  <c r="T66" i="29"/>
  <c r="S18" i="12"/>
  <c r="B58" i="33"/>
  <c r="U58" i="33" s="1"/>
  <c r="AC63" i="33" s="1"/>
  <c r="R114" i="29"/>
  <c r="R10" i="29"/>
  <c r="R13" i="29" s="1"/>
  <c r="B10" i="29"/>
  <c r="U10" i="29" s="1"/>
  <c r="AC114" i="51"/>
  <c r="T10" i="33"/>
  <c r="R10" i="33"/>
  <c r="R13" i="33" s="1"/>
  <c r="R114" i="33"/>
  <c r="K114" i="33"/>
  <c r="T34" i="26"/>
  <c r="R34" i="26"/>
  <c r="R37" i="26" s="1"/>
  <c r="T74" i="26"/>
  <c r="R90" i="26"/>
  <c r="R93" i="26" s="1"/>
  <c r="T58" i="26"/>
  <c r="S26" i="26"/>
  <c r="R26" i="26" s="1"/>
  <c r="R29" i="26" s="1"/>
  <c r="R18" i="30"/>
  <c r="R21" i="30" s="1"/>
  <c r="R114" i="30"/>
  <c r="R114" i="50"/>
  <c r="R10" i="50"/>
  <c r="R13" i="50" s="1"/>
  <c r="T10" i="50"/>
  <c r="B10" i="50"/>
  <c r="U10" i="50" s="1"/>
  <c r="AC15" i="50" s="1"/>
  <c r="T18" i="50"/>
  <c r="R18" i="50"/>
  <c r="R21" i="50" s="1"/>
  <c r="B18" i="50"/>
  <c r="U18" i="50" s="1"/>
  <c r="AC23" i="50" s="1"/>
  <c r="S18" i="44"/>
  <c r="B90" i="44"/>
  <c r="U90" i="44" s="1"/>
  <c r="AC95" i="44" s="1"/>
  <c r="AC2" i="44"/>
  <c r="S10" i="44" s="1"/>
  <c r="T10" i="44" s="1"/>
  <c r="S26" i="44"/>
  <c r="R26" i="44" s="1"/>
  <c r="R29" i="44" s="1"/>
  <c r="R42" i="44"/>
  <c r="R45" i="44" s="1"/>
  <c r="R74" i="44"/>
  <c r="R77" i="44" s="1"/>
  <c r="B98" i="44"/>
  <c r="U98" i="44" s="1"/>
  <c r="AC103" i="44" s="1"/>
  <c r="R98" i="44"/>
  <c r="R101" i="44" s="1"/>
  <c r="T90" i="44"/>
  <c r="T50" i="44"/>
  <c r="B18" i="30"/>
  <c r="U18" i="30" s="1"/>
  <c r="AC23" i="30" s="1"/>
  <c r="T10" i="30"/>
  <c r="R26" i="49"/>
  <c r="R29" i="49" s="1"/>
  <c r="S10" i="49"/>
  <c r="B10" i="49" s="1"/>
  <c r="U10" i="49" s="1"/>
  <c r="AC15" i="49" s="1"/>
  <c r="S18" i="49"/>
  <c r="R114" i="49" s="1"/>
  <c r="T42" i="26"/>
  <c r="T18" i="26"/>
  <c r="T106" i="26"/>
  <c r="T98" i="26"/>
  <c r="T82" i="26"/>
  <c r="R50" i="26"/>
  <c r="R53" i="26" s="1"/>
  <c r="B10" i="26"/>
  <c r="U10" i="26" s="1"/>
  <c r="AC15" i="26" s="1"/>
  <c r="T10" i="26"/>
  <c r="R10" i="26"/>
  <c r="R13" i="26" s="1"/>
  <c r="U74" i="54" l="1"/>
  <c r="AC79" i="54" s="1"/>
  <c r="B82" i="54"/>
  <c r="AC71" i="54"/>
  <c r="AC63" i="58"/>
  <c r="U66" i="58"/>
  <c r="AC71" i="58" s="1"/>
  <c r="B74" i="58"/>
  <c r="U66" i="57"/>
  <c r="AC71" i="57" s="1"/>
  <c r="B74" i="57"/>
  <c r="T34" i="11"/>
  <c r="R34" i="11"/>
  <c r="R37" i="11" s="1"/>
  <c r="R114" i="44"/>
  <c r="T26" i="26"/>
  <c r="R114" i="32"/>
  <c r="R10" i="32"/>
  <c r="R13" i="32" s="1"/>
  <c r="B10" i="32"/>
  <c r="K114" i="32" s="1"/>
  <c r="T10" i="32"/>
  <c r="R10" i="12"/>
  <c r="R13" i="12" s="1"/>
  <c r="T10" i="12"/>
  <c r="B10" i="12"/>
  <c r="R114" i="12"/>
  <c r="U10" i="11"/>
  <c r="B18" i="11"/>
  <c r="R18" i="12"/>
  <c r="R21" i="12" s="1"/>
  <c r="B18" i="12"/>
  <c r="U18" i="12" s="1"/>
  <c r="AC23" i="12" s="1"/>
  <c r="T18" i="12"/>
  <c r="U66" i="29"/>
  <c r="AC71" i="29" s="1"/>
  <c r="T34" i="12"/>
  <c r="R34" i="12"/>
  <c r="R37" i="12" s="1"/>
  <c r="U74" i="29"/>
  <c r="AC79" i="29" s="1"/>
  <c r="R26" i="12"/>
  <c r="R29" i="12" s="1"/>
  <c r="T26" i="12"/>
  <c r="U10" i="32"/>
  <c r="K114" i="29"/>
  <c r="U114" i="33"/>
  <c r="AC114" i="33"/>
  <c r="B10" i="44"/>
  <c r="U10" i="44" s="1"/>
  <c r="AC15" i="44" s="1"/>
  <c r="R10" i="44"/>
  <c r="R13" i="44" s="1"/>
  <c r="R114" i="26"/>
  <c r="B26" i="50"/>
  <c r="U26" i="50" s="1"/>
  <c r="AC31" i="50" s="1"/>
  <c r="T26" i="44"/>
  <c r="R18" i="44"/>
  <c r="R21" i="44" s="1"/>
  <c r="T18" i="44"/>
  <c r="B26" i="30"/>
  <c r="U26" i="30" s="1"/>
  <c r="AC31" i="30" s="1"/>
  <c r="R10" i="49"/>
  <c r="R13" i="49" s="1"/>
  <c r="R18" i="49"/>
  <c r="R21" i="49" s="1"/>
  <c r="T18" i="49"/>
  <c r="T10" i="49"/>
  <c r="B18" i="26"/>
  <c r="U18" i="26" s="1"/>
  <c r="AC23" i="26" s="1"/>
  <c r="B18" i="49"/>
  <c r="U18" i="49" s="1"/>
  <c r="AC23" i="49" s="1"/>
  <c r="U82" i="54" l="1"/>
  <c r="AC87" i="54" s="1"/>
  <c r="B90" i="54"/>
  <c r="U74" i="58"/>
  <c r="AC79" i="58" s="1"/>
  <c r="B82" i="58"/>
  <c r="U74" i="57"/>
  <c r="AC79" i="57" s="1"/>
  <c r="B82" i="57"/>
  <c r="B26" i="12"/>
  <c r="U18" i="11"/>
  <c r="AC23" i="11" s="1"/>
  <c r="B26" i="11"/>
  <c r="U10" i="12"/>
  <c r="AC15" i="11"/>
  <c r="AC15" i="32"/>
  <c r="AC114" i="32" s="1"/>
  <c r="U114" i="32"/>
  <c r="AC15" i="29"/>
  <c r="AC114" i="29" s="1"/>
  <c r="U114" i="29"/>
  <c r="B18" i="44"/>
  <c r="U18" i="44" s="1"/>
  <c r="AC23" i="44" s="1"/>
  <c r="AC114" i="30"/>
  <c r="U114" i="30"/>
  <c r="K114" i="30"/>
  <c r="B34" i="50"/>
  <c r="U34" i="50" s="1"/>
  <c r="AC39" i="50" s="1"/>
  <c r="B26" i="26"/>
  <c r="U26" i="26" s="1"/>
  <c r="AC31" i="26" s="1"/>
  <c r="B26" i="49"/>
  <c r="U26" i="49" l="1"/>
  <c r="AC31" i="49" s="1"/>
  <c r="B34" i="49"/>
  <c r="U90" i="54"/>
  <c r="AC95" i="54" s="1"/>
  <c r="B98" i="54"/>
  <c r="U82" i="58"/>
  <c r="AC87" i="58" s="1"/>
  <c r="B90" i="58"/>
  <c r="U82" i="57"/>
  <c r="AC87" i="57" s="1"/>
  <c r="B90" i="57"/>
  <c r="AC15" i="12"/>
  <c r="U26" i="11"/>
  <c r="B34" i="11"/>
  <c r="U26" i="12"/>
  <c r="AC31" i="12" s="1"/>
  <c r="B34" i="12"/>
  <c r="B26" i="44"/>
  <c r="U26" i="44" s="1"/>
  <c r="AC31" i="44" s="1"/>
  <c r="B42" i="50"/>
  <c r="U42" i="50" s="1"/>
  <c r="AC47" i="50" s="1"/>
  <c r="B34" i="44"/>
  <c r="U34" i="44" s="1"/>
  <c r="AC39" i="44" s="1"/>
  <c r="AC39" i="26"/>
  <c r="U34" i="49" l="1"/>
  <c r="B42" i="49"/>
  <c r="U98" i="54"/>
  <c r="AC103" i="54" s="1"/>
  <c r="B106" i="54"/>
  <c r="U90" i="58"/>
  <c r="AC95" i="58" s="1"/>
  <c r="B98" i="58"/>
  <c r="U90" i="57"/>
  <c r="AC95" i="57" s="1"/>
  <c r="B98" i="57"/>
  <c r="U34" i="12"/>
  <c r="AC39" i="12" s="1"/>
  <c r="B42" i="12"/>
  <c r="U42" i="12" s="1"/>
  <c r="AC47" i="12" s="1"/>
  <c r="K114" i="12"/>
  <c r="U114" i="12"/>
  <c r="AC31" i="11"/>
  <c r="U34" i="11"/>
  <c r="AC39" i="11" s="1"/>
  <c r="B42" i="11"/>
  <c r="AC114" i="12"/>
  <c r="AC114" i="50"/>
  <c r="U114" i="50"/>
  <c r="K114" i="50"/>
  <c r="B42" i="44"/>
  <c r="U42" i="44" s="1"/>
  <c r="AC47" i="44" s="1"/>
  <c r="B42" i="26"/>
  <c r="U42" i="26" s="1"/>
  <c r="AC47" i="26" s="1"/>
  <c r="AC39" i="49" l="1"/>
  <c r="U42" i="49"/>
  <c r="AC47" i="49" s="1"/>
  <c r="B50" i="49"/>
  <c r="U50" i="49" s="1"/>
  <c r="AC55" i="49" s="1"/>
  <c r="K114" i="49"/>
  <c r="U106" i="54"/>
  <c r="K114" i="54"/>
  <c r="U98" i="58"/>
  <c r="AC103" i="58" s="1"/>
  <c r="B106" i="58"/>
  <c r="U98" i="57"/>
  <c r="AC103" i="57" s="1"/>
  <c r="B106" i="57"/>
  <c r="U42" i="11"/>
  <c r="AC47" i="11" s="1"/>
  <c r="K114" i="11"/>
  <c r="U114" i="11"/>
  <c r="AC114" i="11"/>
  <c r="B50" i="44"/>
  <c r="U50" i="44" s="1"/>
  <c r="AC55" i="44" s="1"/>
  <c r="B50" i="26"/>
  <c r="U50" i="26" s="1"/>
  <c r="AC55" i="26" s="1"/>
  <c r="U114" i="49" l="1"/>
  <c r="AC114" i="49"/>
  <c r="AC111" i="54"/>
  <c r="AC114" i="54" s="1"/>
  <c r="U114" i="54"/>
  <c r="U106" i="58"/>
  <c r="U106" i="57"/>
  <c r="B58" i="44"/>
  <c r="B58" i="26"/>
  <c r="U58" i="26" s="1"/>
  <c r="AC63" i="26" s="1"/>
  <c r="AC111" i="58" l="1"/>
  <c r="AC114" i="58" s="1"/>
  <c r="U114" i="58"/>
  <c r="AC111" i="57"/>
  <c r="AC114" i="57" s="1"/>
  <c r="U114" i="57"/>
  <c r="U58" i="44"/>
  <c r="AC63" i="44" s="1"/>
  <c r="K114" i="44"/>
  <c r="B66" i="26"/>
  <c r="U66" i="26" s="1"/>
  <c r="AC71" i="26" s="1"/>
  <c r="U108" i="56" l="1"/>
  <c r="U114" i="44"/>
  <c r="AC114" i="44"/>
  <c r="B74" i="26"/>
  <c r="U74" i="26" s="1"/>
  <c r="AC79" i="26" s="1"/>
  <c r="B82" i="26" l="1"/>
  <c r="U82" i="26" s="1"/>
  <c r="AC87" i="26" s="1"/>
  <c r="B90" i="26" l="1"/>
  <c r="U90" i="26" s="1"/>
  <c r="AC95" i="26" s="1"/>
  <c r="B98" i="26" l="1"/>
  <c r="U98" i="26" s="1"/>
  <c r="AC103" i="26" s="1"/>
  <c r="B106" i="26" l="1"/>
  <c r="U106" i="26" l="1"/>
  <c r="AC111" i="26" s="1"/>
  <c r="K114" i="26"/>
  <c r="U114" i="26" l="1"/>
  <c r="AC114" i="26"/>
</calcChain>
</file>

<file path=xl/sharedStrings.xml><?xml version="1.0" encoding="utf-8"?>
<sst xmlns="http://schemas.openxmlformats.org/spreadsheetml/2006/main" count="454" uniqueCount="42">
  <si>
    <t>管番号</t>
    <rPh sb="0" eb="1">
      <t>カン</t>
    </rPh>
    <rPh sb="1" eb="3">
      <t>バンゴウ</t>
    </rPh>
    <phoneticPr fontId="2"/>
  </si>
  <si>
    <t>残延長</t>
    <rPh sb="0" eb="1">
      <t>ザン</t>
    </rPh>
    <rPh sb="1" eb="3">
      <t>エンチョウ</t>
    </rPh>
    <phoneticPr fontId="2"/>
  </si>
  <si>
    <t>切断</t>
    <rPh sb="0" eb="2">
      <t>セツダン</t>
    </rPh>
    <phoneticPr fontId="2"/>
  </si>
  <si>
    <t>形　　　　　　　状</t>
    <rPh sb="0" eb="1">
      <t>カタチ</t>
    </rPh>
    <rPh sb="8" eb="9">
      <t>ジョウ</t>
    </rPh>
    <phoneticPr fontId="2"/>
  </si>
  <si>
    <t>挿 し 口 加 工</t>
    <rPh sb="0" eb="1">
      <t>サ</t>
    </rPh>
    <rPh sb="4" eb="5">
      <t>グチ</t>
    </rPh>
    <rPh sb="6" eb="7">
      <t>クワ</t>
    </rPh>
    <rPh sb="8" eb="9">
      <t>タクミ</t>
    </rPh>
    <phoneticPr fontId="2"/>
  </si>
  <si>
    <t>ＳⅡ形</t>
    <rPh sb="2" eb="3">
      <t>カタチ</t>
    </rPh>
    <phoneticPr fontId="2"/>
  </si>
  <si>
    <t>ＮＳ形</t>
    <rPh sb="2" eb="3">
      <t>カタチ</t>
    </rPh>
    <phoneticPr fontId="2"/>
  </si>
  <si>
    <t>Ｓ形</t>
    <rPh sb="1" eb="2">
      <t>カタチ</t>
    </rPh>
    <phoneticPr fontId="2"/>
  </si>
  <si>
    <t>ＫＦ形</t>
    <rPh sb="2" eb="3">
      <t>カタチ</t>
    </rPh>
    <phoneticPr fontId="2"/>
  </si>
  <si>
    <t>ＮＳ(溝)</t>
    <rPh sb="3" eb="4">
      <t>ミゾ</t>
    </rPh>
    <phoneticPr fontId="2"/>
  </si>
  <si>
    <t>ＳⅡ(溝)</t>
    <rPh sb="3" eb="4">
      <t>ミゾ</t>
    </rPh>
    <phoneticPr fontId="2"/>
  </si>
  <si>
    <t>管</t>
    <rPh sb="0" eb="1">
      <t>カン</t>
    </rPh>
    <phoneticPr fontId="2"/>
  </si>
  <si>
    <t>種</t>
    <rPh sb="0" eb="1">
      <t>シュ</t>
    </rPh>
    <phoneticPr fontId="2"/>
  </si>
  <si>
    <t>口</t>
    <rPh sb="0" eb="1">
      <t>クチ</t>
    </rPh>
    <phoneticPr fontId="2"/>
  </si>
  <si>
    <t>径</t>
    <rPh sb="0" eb="1">
      <t>ケイ</t>
    </rPh>
    <phoneticPr fontId="2"/>
  </si>
  <si>
    <t>形</t>
    <rPh sb="0" eb="1">
      <t>カタチ</t>
    </rPh>
    <phoneticPr fontId="2"/>
  </si>
  <si>
    <t>　　管切断工・挿し口加工数量計算書</t>
    <rPh sb="2" eb="3">
      <t>カン</t>
    </rPh>
    <rPh sb="3" eb="5">
      <t>セツダン</t>
    </rPh>
    <rPh sb="5" eb="6">
      <t>コウ</t>
    </rPh>
    <rPh sb="7" eb="8">
      <t>サ</t>
    </rPh>
    <rPh sb="9" eb="10">
      <t>グチ</t>
    </rPh>
    <rPh sb="10" eb="12">
      <t>カコウ</t>
    </rPh>
    <rPh sb="12" eb="14">
      <t>スウリョウ</t>
    </rPh>
    <rPh sb="14" eb="17">
      <t>ケイサンショ</t>
    </rPh>
    <phoneticPr fontId="2"/>
  </si>
  <si>
    <t>合　　計</t>
    <rPh sb="0" eb="1">
      <t>ゴウ</t>
    </rPh>
    <rPh sb="3" eb="4">
      <t>ケイ</t>
    </rPh>
    <phoneticPr fontId="2"/>
  </si>
  <si>
    <t>本</t>
    <rPh sb="0" eb="1">
      <t>ホン</t>
    </rPh>
    <phoneticPr fontId="2"/>
  </si>
  <si>
    <t>工事名：</t>
    <rPh sb="0" eb="3">
      <t>コウジメイ</t>
    </rPh>
    <phoneticPr fontId="2"/>
  </si>
  <si>
    <t>㎜</t>
    <phoneticPr fontId="2"/>
  </si>
  <si>
    <t>φ</t>
    <phoneticPr fontId="2"/>
  </si>
  <si>
    <t>m</t>
    <phoneticPr fontId="2"/>
  </si>
  <si>
    <t>NS</t>
    <phoneticPr fontId="2"/>
  </si>
  <si>
    <t>KF-S</t>
    <phoneticPr fontId="2"/>
  </si>
  <si>
    <t>KF</t>
    <phoneticPr fontId="2"/>
  </si>
  <si>
    <r>
      <t xml:space="preserve">西部（若松町他）配水管取替工事 </t>
    </r>
    <r>
      <rPr>
        <sz val="10"/>
        <rFont val="ＭＳ 明朝"/>
        <family val="1"/>
        <charset val="128"/>
      </rPr>
      <t>No.2</t>
    </r>
    <rPh sb="0" eb="2">
      <t>セイブ</t>
    </rPh>
    <rPh sb="3" eb="6">
      <t>ワカマツチョウ</t>
    </rPh>
    <rPh sb="6" eb="7">
      <t>ホカ</t>
    </rPh>
    <rPh sb="8" eb="11">
      <t>ハイスイカン</t>
    </rPh>
    <rPh sb="11" eb="13">
      <t>トリカエ</t>
    </rPh>
    <rPh sb="13" eb="15">
      <t>コウジ</t>
    </rPh>
    <phoneticPr fontId="2"/>
  </si>
  <si>
    <t>西部（若松町他）配水管取替工事 No.2</t>
    <rPh sb="0" eb="2">
      <t>セイブ</t>
    </rPh>
    <rPh sb="3" eb="6">
      <t>ワカマツチョウ</t>
    </rPh>
    <rPh sb="6" eb="7">
      <t>ホカ</t>
    </rPh>
    <rPh sb="8" eb="11">
      <t>ハイスイカン</t>
    </rPh>
    <rPh sb="11" eb="13">
      <t>トリカエ</t>
    </rPh>
    <rPh sb="13" eb="15">
      <t>コウジ</t>
    </rPh>
    <phoneticPr fontId="2"/>
  </si>
  <si>
    <t>NS</t>
    <phoneticPr fontId="2"/>
  </si>
  <si>
    <t>NS</t>
    <phoneticPr fontId="2"/>
  </si>
  <si>
    <t>T</t>
    <phoneticPr fontId="2"/>
  </si>
  <si>
    <t>K</t>
    <phoneticPr fontId="2"/>
  </si>
  <si>
    <t>PE</t>
    <phoneticPr fontId="2"/>
  </si>
  <si>
    <t>(受口なし）</t>
    <rPh sb="1" eb="3">
      <t>ウケグチ</t>
    </rPh>
    <phoneticPr fontId="2"/>
  </si>
  <si>
    <t>.</t>
    <phoneticPr fontId="2"/>
  </si>
  <si>
    <t>ＫＴ形</t>
    <rPh sb="2" eb="3">
      <t>カタチ</t>
    </rPh>
    <phoneticPr fontId="2"/>
  </si>
  <si>
    <t>GX</t>
    <phoneticPr fontId="2"/>
  </si>
  <si>
    <t>※切管延長に挿し口リング延長を含む</t>
  </si>
  <si>
    <t>※切管延長に挿し口リング延長を含む</t>
    <rPh sb="1" eb="2">
      <t>キリ</t>
    </rPh>
    <rPh sb="2" eb="3">
      <t>カン</t>
    </rPh>
    <rPh sb="3" eb="5">
      <t>エンチョウ</t>
    </rPh>
    <rPh sb="6" eb="7">
      <t>サ</t>
    </rPh>
    <rPh sb="8" eb="9">
      <t>グチ</t>
    </rPh>
    <rPh sb="12" eb="14">
      <t>エンチョウ</t>
    </rPh>
    <rPh sb="15" eb="16">
      <t>フク</t>
    </rPh>
    <phoneticPr fontId="2"/>
  </si>
  <si>
    <t>ＧＸ形</t>
    <rPh sb="2" eb="3">
      <t>カタチ</t>
    </rPh>
    <phoneticPr fontId="2"/>
  </si>
  <si>
    <t>小　　計</t>
    <rPh sb="0" eb="1">
      <t>ショウ</t>
    </rPh>
    <rPh sb="3" eb="4">
      <t>ケイ</t>
    </rPh>
    <phoneticPr fontId="2"/>
  </si>
  <si>
    <t>東白川特2高層配水池揚水管取替工事</t>
    <rPh sb="0" eb="3">
      <t>ヒガシシラカワ</t>
    </rPh>
    <rPh sb="5" eb="7">
      <t>コウソウ</t>
    </rPh>
    <rPh sb="7" eb="10">
      <t>ハイスイイケ</t>
    </rPh>
    <rPh sb="10" eb="12">
      <t>ヨウスイ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</si>
</sst>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11" x14ac:knownFonts="1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b/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0"/>
      <color rgb="FF00B050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thick">
        <color indexed="10"/>
      </top>
      <bottom style="dashed">
        <color indexed="64"/>
      </bottom>
      <diagonal/>
    </border>
    <border>
      <left style="thin">
        <color indexed="64"/>
      </left>
      <right/>
      <top style="thick">
        <color indexed="10"/>
      </top>
      <bottom style="dashed">
        <color indexed="64"/>
      </bottom>
      <diagonal/>
    </border>
    <border>
      <left/>
      <right style="thin">
        <color indexed="64"/>
      </right>
      <top style="thick">
        <color indexed="10"/>
      </top>
      <bottom style="dashed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/>
      <top/>
      <bottom style="thick">
        <color indexed="10"/>
      </bottom>
      <diagonal/>
    </border>
    <border>
      <left/>
      <right style="thin">
        <color indexed="64"/>
      </right>
      <top/>
      <bottom style="thick">
        <color indexed="10"/>
      </bottom>
      <diagonal/>
    </border>
    <border>
      <left/>
      <right style="thin">
        <color indexed="10"/>
      </right>
      <top style="thick">
        <color indexed="10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176" fontId="0" fillId="0" borderId="19" xfId="0" applyNumberFormat="1" applyBorder="1" applyAlignment="1">
      <alignment vertical="center"/>
    </xf>
    <xf numFmtId="176" fontId="0" fillId="0" borderId="36" xfId="0" applyNumberFormat="1" applyBorder="1" applyAlignment="1">
      <alignment vertical="center"/>
    </xf>
    <xf numFmtId="176" fontId="0" fillId="0" borderId="37" xfId="0" applyNumberFormat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4" fillId="0" borderId="63" xfId="0" applyFont="1" applyBorder="1" applyAlignment="1">
      <alignment horizontal="center" vertical="center" shrinkToFit="1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176" fontId="0" fillId="0" borderId="66" xfId="0" applyNumberFormat="1" applyBorder="1" applyAlignment="1">
      <alignment vertical="center"/>
    </xf>
    <xf numFmtId="0" fontId="4" fillId="0" borderId="67" xfId="0" applyFont="1" applyBorder="1" applyAlignment="1">
      <alignment horizontal="center" vertical="center" shrinkToFit="1"/>
    </xf>
    <xf numFmtId="0" fontId="4" fillId="0" borderId="68" xfId="0" applyFont="1" applyBorder="1" applyAlignment="1">
      <alignment horizontal="center" vertical="center" shrinkToFit="1"/>
    </xf>
    <xf numFmtId="0" fontId="0" fillId="0" borderId="69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71" xfId="0" applyBorder="1" applyAlignment="1">
      <alignment vertical="center"/>
    </xf>
    <xf numFmtId="176" fontId="0" fillId="0" borderId="72" xfId="0" applyNumberFormat="1" applyBorder="1" applyAlignment="1">
      <alignment vertical="center"/>
    </xf>
    <xf numFmtId="2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2" borderId="12" xfId="0" applyFill="1" applyBorder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8" fillId="0" borderId="0" xfId="0" applyFont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2" fontId="0" fillId="2" borderId="0" xfId="0" applyNumberFormat="1" applyFill="1" applyAlignment="1">
      <alignment horizontal="right" vertical="center"/>
    </xf>
    <xf numFmtId="0" fontId="0" fillId="0" borderId="5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2" borderId="23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" vertical="top"/>
    </xf>
    <xf numFmtId="177" fontId="0" fillId="2" borderId="22" xfId="0" applyNumberFormat="1" applyFill="1" applyBorder="1" applyAlignment="1">
      <alignment horizontal="right" vertical="center"/>
    </xf>
    <xf numFmtId="177" fontId="9" fillId="2" borderId="22" xfId="0" applyNumberFormat="1" applyFont="1" applyFill="1" applyBorder="1" applyAlignment="1">
      <alignment horizontal="right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77" fontId="0" fillId="2" borderId="64" xfId="0" applyNumberFormat="1" applyFill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2" borderId="69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2" fontId="0" fillId="0" borderId="19" xfId="0" applyNumberForma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2" fontId="10" fillId="2" borderId="0" xfId="0" applyNumberFormat="1" applyFont="1" applyFill="1" applyAlignment="1">
      <alignment horizontal="right" vertical="center"/>
    </xf>
    <xf numFmtId="2" fontId="0" fillId="2" borderId="0" xfId="0" applyNumberFormat="1" applyFont="1" applyFill="1" applyAlignment="1">
      <alignment horizontal="right" vertical="center"/>
    </xf>
    <xf numFmtId="2" fontId="0" fillId="0" borderId="15" xfId="0" applyNumberForma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60" xfId="0" applyBorder="1" applyAlignment="1">
      <alignment horizontal="center" vertical="center"/>
    </xf>
    <xf numFmtId="176" fontId="0" fillId="0" borderId="29" xfId="0" applyNumberFormat="1" applyBorder="1" applyAlignment="1">
      <alignment horizontal="right" vertical="center"/>
    </xf>
    <xf numFmtId="177" fontId="0" fillId="2" borderId="24" xfId="0" applyNumberFormat="1" applyFill="1" applyBorder="1" applyAlignment="1">
      <alignment horizontal="right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標準" xfId="0" builtinId="0"/>
  </cellStyles>
  <dxfs count="2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39818" name="Rectangle 2">
          <a:extLst>
            <a:ext uri="{FF2B5EF4-FFF2-40B4-BE49-F238E27FC236}">
              <a16:creationId xmlns:a16="http://schemas.microsoft.com/office/drawing/2014/main" id="{00000000-0008-0000-0000-00006A2F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39819" name="Oval 3">
          <a:extLst>
            <a:ext uri="{FF2B5EF4-FFF2-40B4-BE49-F238E27FC236}">
              <a16:creationId xmlns:a16="http://schemas.microsoft.com/office/drawing/2014/main" id="{00000000-0008-0000-0000-00006B2F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39820" name="Oval 4">
          <a:extLst>
            <a:ext uri="{FF2B5EF4-FFF2-40B4-BE49-F238E27FC236}">
              <a16:creationId xmlns:a16="http://schemas.microsoft.com/office/drawing/2014/main" id="{00000000-0008-0000-0000-00006C2F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39821" name="Oval 5">
          <a:extLst>
            <a:ext uri="{FF2B5EF4-FFF2-40B4-BE49-F238E27FC236}">
              <a16:creationId xmlns:a16="http://schemas.microsoft.com/office/drawing/2014/main" id="{00000000-0008-0000-0000-00006D2F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39822" name="Oval 8">
          <a:extLst>
            <a:ext uri="{FF2B5EF4-FFF2-40B4-BE49-F238E27FC236}">
              <a16:creationId xmlns:a16="http://schemas.microsoft.com/office/drawing/2014/main" id="{00000000-0008-0000-0000-00006E2F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39823" name="Oval 12">
          <a:extLst>
            <a:ext uri="{FF2B5EF4-FFF2-40B4-BE49-F238E27FC236}">
              <a16:creationId xmlns:a16="http://schemas.microsoft.com/office/drawing/2014/main" id="{00000000-0008-0000-0000-00006F2F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39824" name="Oval 13">
          <a:extLst>
            <a:ext uri="{FF2B5EF4-FFF2-40B4-BE49-F238E27FC236}">
              <a16:creationId xmlns:a16="http://schemas.microsoft.com/office/drawing/2014/main" id="{00000000-0008-0000-0000-0000702F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39825" name="Rectangle 16">
          <a:extLst>
            <a:ext uri="{FF2B5EF4-FFF2-40B4-BE49-F238E27FC236}">
              <a16:creationId xmlns:a16="http://schemas.microsoft.com/office/drawing/2014/main" id="{00000000-0008-0000-0000-0000712F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39826" name="Oval 18">
          <a:extLst>
            <a:ext uri="{FF2B5EF4-FFF2-40B4-BE49-F238E27FC236}">
              <a16:creationId xmlns:a16="http://schemas.microsoft.com/office/drawing/2014/main" id="{00000000-0008-0000-0000-0000722F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39827" name="Oval 30">
          <a:extLst>
            <a:ext uri="{FF2B5EF4-FFF2-40B4-BE49-F238E27FC236}">
              <a16:creationId xmlns:a16="http://schemas.microsoft.com/office/drawing/2014/main" id="{00000000-0008-0000-0000-0000732F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39828" name="Oval 34">
          <a:extLst>
            <a:ext uri="{FF2B5EF4-FFF2-40B4-BE49-F238E27FC236}">
              <a16:creationId xmlns:a16="http://schemas.microsoft.com/office/drawing/2014/main" id="{00000000-0008-0000-0000-0000742F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39829" name="Oval 51">
          <a:extLst>
            <a:ext uri="{FF2B5EF4-FFF2-40B4-BE49-F238E27FC236}">
              <a16:creationId xmlns:a16="http://schemas.microsoft.com/office/drawing/2014/main" id="{00000000-0008-0000-0000-0000752F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39830" name="Oval 81">
          <a:extLst>
            <a:ext uri="{FF2B5EF4-FFF2-40B4-BE49-F238E27FC236}">
              <a16:creationId xmlns:a16="http://schemas.microsoft.com/office/drawing/2014/main" id="{00000000-0008-0000-0000-0000762F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31" name="AutoShape 102">
          <a:extLst>
            <a:ext uri="{FF2B5EF4-FFF2-40B4-BE49-F238E27FC236}">
              <a16:creationId xmlns:a16="http://schemas.microsoft.com/office/drawing/2014/main" id="{00000000-0008-0000-0000-00007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32" name="Rectangle 103">
          <a:extLst>
            <a:ext uri="{FF2B5EF4-FFF2-40B4-BE49-F238E27FC236}">
              <a16:creationId xmlns:a16="http://schemas.microsoft.com/office/drawing/2014/main" id="{00000000-0008-0000-0000-00007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33" name="Oval 104">
          <a:extLst>
            <a:ext uri="{FF2B5EF4-FFF2-40B4-BE49-F238E27FC236}">
              <a16:creationId xmlns:a16="http://schemas.microsoft.com/office/drawing/2014/main" id="{00000000-0008-0000-0000-00007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34" name="AutoShape 105">
          <a:extLst>
            <a:ext uri="{FF2B5EF4-FFF2-40B4-BE49-F238E27FC236}">
              <a16:creationId xmlns:a16="http://schemas.microsoft.com/office/drawing/2014/main" id="{00000000-0008-0000-0000-00007A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35" name="Rectangle 106">
          <a:extLst>
            <a:ext uri="{FF2B5EF4-FFF2-40B4-BE49-F238E27FC236}">
              <a16:creationId xmlns:a16="http://schemas.microsoft.com/office/drawing/2014/main" id="{00000000-0008-0000-0000-00007B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36" name="Oval 107">
          <a:extLst>
            <a:ext uri="{FF2B5EF4-FFF2-40B4-BE49-F238E27FC236}">
              <a16:creationId xmlns:a16="http://schemas.microsoft.com/office/drawing/2014/main" id="{00000000-0008-0000-0000-00007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37" name="AutoShape 108">
          <a:extLst>
            <a:ext uri="{FF2B5EF4-FFF2-40B4-BE49-F238E27FC236}">
              <a16:creationId xmlns:a16="http://schemas.microsoft.com/office/drawing/2014/main" id="{00000000-0008-0000-0000-00007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38" name="Rectangle 109">
          <a:extLst>
            <a:ext uri="{FF2B5EF4-FFF2-40B4-BE49-F238E27FC236}">
              <a16:creationId xmlns:a16="http://schemas.microsoft.com/office/drawing/2014/main" id="{00000000-0008-0000-0000-00007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39" name="Oval 110">
          <a:extLst>
            <a:ext uri="{FF2B5EF4-FFF2-40B4-BE49-F238E27FC236}">
              <a16:creationId xmlns:a16="http://schemas.microsoft.com/office/drawing/2014/main" id="{00000000-0008-0000-0000-00007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40" name="AutoShape 111">
          <a:extLst>
            <a:ext uri="{FF2B5EF4-FFF2-40B4-BE49-F238E27FC236}">
              <a16:creationId xmlns:a16="http://schemas.microsoft.com/office/drawing/2014/main" id="{00000000-0008-0000-0000-000080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41" name="Rectangle 112">
          <a:extLst>
            <a:ext uri="{FF2B5EF4-FFF2-40B4-BE49-F238E27FC236}">
              <a16:creationId xmlns:a16="http://schemas.microsoft.com/office/drawing/2014/main" id="{00000000-0008-0000-0000-000081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42" name="Oval 113">
          <a:extLst>
            <a:ext uri="{FF2B5EF4-FFF2-40B4-BE49-F238E27FC236}">
              <a16:creationId xmlns:a16="http://schemas.microsoft.com/office/drawing/2014/main" id="{00000000-0008-0000-0000-00008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43" name="AutoShape 114">
          <a:extLst>
            <a:ext uri="{FF2B5EF4-FFF2-40B4-BE49-F238E27FC236}">
              <a16:creationId xmlns:a16="http://schemas.microsoft.com/office/drawing/2014/main" id="{00000000-0008-0000-0000-00008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44" name="Rectangle 115">
          <a:extLst>
            <a:ext uri="{FF2B5EF4-FFF2-40B4-BE49-F238E27FC236}">
              <a16:creationId xmlns:a16="http://schemas.microsoft.com/office/drawing/2014/main" id="{00000000-0008-0000-0000-00008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45" name="Oval 116">
          <a:extLst>
            <a:ext uri="{FF2B5EF4-FFF2-40B4-BE49-F238E27FC236}">
              <a16:creationId xmlns:a16="http://schemas.microsoft.com/office/drawing/2014/main" id="{00000000-0008-0000-0000-00008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46" name="AutoShape 117">
          <a:extLst>
            <a:ext uri="{FF2B5EF4-FFF2-40B4-BE49-F238E27FC236}">
              <a16:creationId xmlns:a16="http://schemas.microsoft.com/office/drawing/2014/main" id="{00000000-0008-0000-0000-000086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47" name="Rectangle 118">
          <a:extLst>
            <a:ext uri="{FF2B5EF4-FFF2-40B4-BE49-F238E27FC236}">
              <a16:creationId xmlns:a16="http://schemas.microsoft.com/office/drawing/2014/main" id="{00000000-0008-0000-0000-000087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48" name="Oval 119">
          <a:extLst>
            <a:ext uri="{FF2B5EF4-FFF2-40B4-BE49-F238E27FC236}">
              <a16:creationId xmlns:a16="http://schemas.microsoft.com/office/drawing/2014/main" id="{00000000-0008-0000-0000-00008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49" name="AutoShape 120">
          <a:extLst>
            <a:ext uri="{FF2B5EF4-FFF2-40B4-BE49-F238E27FC236}">
              <a16:creationId xmlns:a16="http://schemas.microsoft.com/office/drawing/2014/main" id="{00000000-0008-0000-0000-00008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50" name="Rectangle 121">
          <a:extLst>
            <a:ext uri="{FF2B5EF4-FFF2-40B4-BE49-F238E27FC236}">
              <a16:creationId xmlns:a16="http://schemas.microsoft.com/office/drawing/2014/main" id="{00000000-0008-0000-0000-00008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51" name="Oval 122">
          <a:extLst>
            <a:ext uri="{FF2B5EF4-FFF2-40B4-BE49-F238E27FC236}">
              <a16:creationId xmlns:a16="http://schemas.microsoft.com/office/drawing/2014/main" id="{00000000-0008-0000-0000-00008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52" name="AutoShape 123">
          <a:extLst>
            <a:ext uri="{FF2B5EF4-FFF2-40B4-BE49-F238E27FC236}">
              <a16:creationId xmlns:a16="http://schemas.microsoft.com/office/drawing/2014/main" id="{00000000-0008-0000-0000-00008C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53" name="Rectangle 124">
          <a:extLst>
            <a:ext uri="{FF2B5EF4-FFF2-40B4-BE49-F238E27FC236}">
              <a16:creationId xmlns:a16="http://schemas.microsoft.com/office/drawing/2014/main" id="{00000000-0008-0000-0000-00008D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54" name="Oval 125">
          <a:extLst>
            <a:ext uri="{FF2B5EF4-FFF2-40B4-BE49-F238E27FC236}">
              <a16:creationId xmlns:a16="http://schemas.microsoft.com/office/drawing/2014/main" id="{00000000-0008-0000-0000-00008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55" name="AutoShape 126">
          <a:extLst>
            <a:ext uri="{FF2B5EF4-FFF2-40B4-BE49-F238E27FC236}">
              <a16:creationId xmlns:a16="http://schemas.microsoft.com/office/drawing/2014/main" id="{00000000-0008-0000-0000-00008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56" name="Rectangle 127">
          <a:extLst>
            <a:ext uri="{FF2B5EF4-FFF2-40B4-BE49-F238E27FC236}">
              <a16:creationId xmlns:a16="http://schemas.microsoft.com/office/drawing/2014/main" id="{00000000-0008-0000-0000-00009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57" name="Oval 128">
          <a:extLst>
            <a:ext uri="{FF2B5EF4-FFF2-40B4-BE49-F238E27FC236}">
              <a16:creationId xmlns:a16="http://schemas.microsoft.com/office/drawing/2014/main" id="{00000000-0008-0000-0000-00009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58" name="AutoShape 129">
          <a:extLst>
            <a:ext uri="{FF2B5EF4-FFF2-40B4-BE49-F238E27FC236}">
              <a16:creationId xmlns:a16="http://schemas.microsoft.com/office/drawing/2014/main" id="{00000000-0008-0000-0000-000092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59" name="Rectangle 130">
          <a:extLst>
            <a:ext uri="{FF2B5EF4-FFF2-40B4-BE49-F238E27FC236}">
              <a16:creationId xmlns:a16="http://schemas.microsoft.com/office/drawing/2014/main" id="{00000000-0008-0000-0000-000093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60" name="Oval 131">
          <a:extLst>
            <a:ext uri="{FF2B5EF4-FFF2-40B4-BE49-F238E27FC236}">
              <a16:creationId xmlns:a16="http://schemas.microsoft.com/office/drawing/2014/main" id="{00000000-0008-0000-0000-00009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61" name="AutoShape 132">
          <a:extLst>
            <a:ext uri="{FF2B5EF4-FFF2-40B4-BE49-F238E27FC236}">
              <a16:creationId xmlns:a16="http://schemas.microsoft.com/office/drawing/2014/main" id="{00000000-0008-0000-0000-00009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62" name="Rectangle 133">
          <a:extLst>
            <a:ext uri="{FF2B5EF4-FFF2-40B4-BE49-F238E27FC236}">
              <a16:creationId xmlns:a16="http://schemas.microsoft.com/office/drawing/2014/main" id="{00000000-0008-0000-0000-00009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63" name="Oval 134">
          <a:extLst>
            <a:ext uri="{FF2B5EF4-FFF2-40B4-BE49-F238E27FC236}">
              <a16:creationId xmlns:a16="http://schemas.microsoft.com/office/drawing/2014/main" id="{00000000-0008-0000-0000-00009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64" name="AutoShape 135">
          <a:extLst>
            <a:ext uri="{FF2B5EF4-FFF2-40B4-BE49-F238E27FC236}">
              <a16:creationId xmlns:a16="http://schemas.microsoft.com/office/drawing/2014/main" id="{00000000-0008-0000-0000-000098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65" name="Rectangle 136">
          <a:extLst>
            <a:ext uri="{FF2B5EF4-FFF2-40B4-BE49-F238E27FC236}">
              <a16:creationId xmlns:a16="http://schemas.microsoft.com/office/drawing/2014/main" id="{00000000-0008-0000-0000-000099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66" name="Oval 137">
          <a:extLst>
            <a:ext uri="{FF2B5EF4-FFF2-40B4-BE49-F238E27FC236}">
              <a16:creationId xmlns:a16="http://schemas.microsoft.com/office/drawing/2014/main" id="{00000000-0008-0000-0000-00009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67" name="AutoShape 138">
          <a:extLst>
            <a:ext uri="{FF2B5EF4-FFF2-40B4-BE49-F238E27FC236}">
              <a16:creationId xmlns:a16="http://schemas.microsoft.com/office/drawing/2014/main" id="{00000000-0008-0000-0000-00009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68" name="Rectangle 139">
          <a:extLst>
            <a:ext uri="{FF2B5EF4-FFF2-40B4-BE49-F238E27FC236}">
              <a16:creationId xmlns:a16="http://schemas.microsoft.com/office/drawing/2014/main" id="{00000000-0008-0000-0000-00009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69" name="Oval 140">
          <a:extLst>
            <a:ext uri="{FF2B5EF4-FFF2-40B4-BE49-F238E27FC236}">
              <a16:creationId xmlns:a16="http://schemas.microsoft.com/office/drawing/2014/main" id="{00000000-0008-0000-0000-00009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70" name="Rectangle 141">
          <a:extLst>
            <a:ext uri="{FF2B5EF4-FFF2-40B4-BE49-F238E27FC236}">
              <a16:creationId xmlns:a16="http://schemas.microsoft.com/office/drawing/2014/main" id="{00000000-0008-0000-0000-00009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71" name="AutoShape 142">
          <a:extLst>
            <a:ext uri="{FF2B5EF4-FFF2-40B4-BE49-F238E27FC236}">
              <a16:creationId xmlns:a16="http://schemas.microsoft.com/office/drawing/2014/main" id="{00000000-0008-0000-0000-00009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72" name="Rectangle 143">
          <a:extLst>
            <a:ext uri="{FF2B5EF4-FFF2-40B4-BE49-F238E27FC236}">
              <a16:creationId xmlns:a16="http://schemas.microsoft.com/office/drawing/2014/main" id="{00000000-0008-0000-0000-0000A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73" name="Oval 144">
          <a:extLst>
            <a:ext uri="{FF2B5EF4-FFF2-40B4-BE49-F238E27FC236}">
              <a16:creationId xmlns:a16="http://schemas.microsoft.com/office/drawing/2014/main" id="{00000000-0008-0000-0000-0000A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74" name="AutoShape 145">
          <a:extLst>
            <a:ext uri="{FF2B5EF4-FFF2-40B4-BE49-F238E27FC236}">
              <a16:creationId xmlns:a16="http://schemas.microsoft.com/office/drawing/2014/main" id="{00000000-0008-0000-0000-0000A2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75" name="Rectangle 146">
          <a:extLst>
            <a:ext uri="{FF2B5EF4-FFF2-40B4-BE49-F238E27FC236}">
              <a16:creationId xmlns:a16="http://schemas.microsoft.com/office/drawing/2014/main" id="{00000000-0008-0000-0000-0000A3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76" name="Oval 147">
          <a:extLst>
            <a:ext uri="{FF2B5EF4-FFF2-40B4-BE49-F238E27FC236}">
              <a16:creationId xmlns:a16="http://schemas.microsoft.com/office/drawing/2014/main" id="{00000000-0008-0000-0000-0000A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77" name="AutoShape 148">
          <a:extLst>
            <a:ext uri="{FF2B5EF4-FFF2-40B4-BE49-F238E27FC236}">
              <a16:creationId xmlns:a16="http://schemas.microsoft.com/office/drawing/2014/main" id="{00000000-0008-0000-0000-0000A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78" name="Rectangle 149">
          <a:extLst>
            <a:ext uri="{FF2B5EF4-FFF2-40B4-BE49-F238E27FC236}">
              <a16:creationId xmlns:a16="http://schemas.microsoft.com/office/drawing/2014/main" id="{00000000-0008-0000-0000-0000A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79" name="Oval 150">
          <a:extLst>
            <a:ext uri="{FF2B5EF4-FFF2-40B4-BE49-F238E27FC236}">
              <a16:creationId xmlns:a16="http://schemas.microsoft.com/office/drawing/2014/main" id="{00000000-0008-0000-0000-0000A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0" name="Oval 151">
          <a:extLst>
            <a:ext uri="{FF2B5EF4-FFF2-40B4-BE49-F238E27FC236}">
              <a16:creationId xmlns:a16="http://schemas.microsoft.com/office/drawing/2014/main" id="{00000000-0008-0000-0000-0000A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1" name="Oval 152">
          <a:extLst>
            <a:ext uri="{FF2B5EF4-FFF2-40B4-BE49-F238E27FC236}">
              <a16:creationId xmlns:a16="http://schemas.microsoft.com/office/drawing/2014/main" id="{00000000-0008-0000-0000-0000A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2" name="Oval 153">
          <a:extLst>
            <a:ext uri="{FF2B5EF4-FFF2-40B4-BE49-F238E27FC236}">
              <a16:creationId xmlns:a16="http://schemas.microsoft.com/office/drawing/2014/main" id="{00000000-0008-0000-0000-0000A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83" name="AutoShape 154">
          <a:extLst>
            <a:ext uri="{FF2B5EF4-FFF2-40B4-BE49-F238E27FC236}">
              <a16:creationId xmlns:a16="http://schemas.microsoft.com/office/drawing/2014/main" id="{00000000-0008-0000-0000-0000A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84" name="Rectangle 155">
          <a:extLst>
            <a:ext uri="{FF2B5EF4-FFF2-40B4-BE49-F238E27FC236}">
              <a16:creationId xmlns:a16="http://schemas.microsoft.com/office/drawing/2014/main" id="{00000000-0008-0000-0000-0000A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5" name="Oval 156">
          <a:extLst>
            <a:ext uri="{FF2B5EF4-FFF2-40B4-BE49-F238E27FC236}">
              <a16:creationId xmlns:a16="http://schemas.microsoft.com/office/drawing/2014/main" id="{00000000-0008-0000-0000-0000A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6" name="Oval 157">
          <a:extLst>
            <a:ext uri="{FF2B5EF4-FFF2-40B4-BE49-F238E27FC236}">
              <a16:creationId xmlns:a16="http://schemas.microsoft.com/office/drawing/2014/main" id="{00000000-0008-0000-0000-0000A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7" name="Oval 158">
          <a:extLst>
            <a:ext uri="{FF2B5EF4-FFF2-40B4-BE49-F238E27FC236}">
              <a16:creationId xmlns:a16="http://schemas.microsoft.com/office/drawing/2014/main" id="{00000000-0008-0000-0000-0000A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88" name="Oval 159">
          <a:extLst>
            <a:ext uri="{FF2B5EF4-FFF2-40B4-BE49-F238E27FC236}">
              <a16:creationId xmlns:a16="http://schemas.microsoft.com/office/drawing/2014/main" id="{00000000-0008-0000-0000-0000B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89" name="AutoShape 160">
          <a:extLst>
            <a:ext uri="{FF2B5EF4-FFF2-40B4-BE49-F238E27FC236}">
              <a16:creationId xmlns:a16="http://schemas.microsoft.com/office/drawing/2014/main" id="{00000000-0008-0000-0000-0000B1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90" name="Rectangle 161">
          <a:extLst>
            <a:ext uri="{FF2B5EF4-FFF2-40B4-BE49-F238E27FC236}">
              <a16:creationId xmlns:a16="http://schemas.microsoft.com/office/drawing/2014/main" id="{00000000-0008-0000-0000-0000B2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1" name="Oval 162">
          <a:extLst>
            <a:ext uri="{FF2B5EF4-FFF2-40B4-BE49-F238E27FC236}">
              <a16:creationId xmlns:a16="http://schemas.microsoft.com/office/drawing/2014/main" id="{00000000-0008-0000-0000-0000B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2" name="Oval 163">
          <a:extLst>
            <a:ext uri="{FF2B5EF4-FFF2-40B4-BE49-F238E27FC236}">
              <a16:creationId xmlns:a16="http://schemas.microsoft.com/office/drawing/2014/main" id="{00000000-0008-0000-0000-0000B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3" name="Oval 164">
          <a:extLst>
            <a:ext uri="{FF2B5EF4-FFF2-40B4-BE49-F238E27FC236}">
              <a16:creationId xmlns:a16="http://schemas.microsoft.com/office/drawing/2014/main" id="{00000000-0008-0000-0000-0000B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4" name="Oval 165">
          <a:extLst>
            <a:ext uri="{FF2B5EF4-FFF2-40B4-BE49-F238E27FC236}">
              <a16:creationId xmlns:a16="http://schemas.microsoft.com/office/drawing/2014/main" id="{00000000-0008-0000-0000-0000B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895" name="AutoShape 166">
          <a:extLst>
            <a:ext uri="{FF2B5EF4-FFF2-40B4-BE49-F238E27FC236}">
              <a16:creationId xmlns:a16="http://schemas.microsoft.com/office/drawing/2014/main" id="{00000000-0008-0000-0000-0000B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896" name="Rectangle 167">
          <a:extLst>
            <a:ext uri="{FF2B5EF4-FFF2-40B4-BE49-F238E27FC236}">
              <a16:creationId xmlns:a16="http://schemas.microsoft.com/office/drawing/2014/main" id="{00000000-0008-0000-0000-0000B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7" name="Oval 168">
          <a:extLst>
            <a:ext uri="{FF2B5EF4-FFF2-40B4-BE49-F238E27FC236}">
              <a16:creationId xmlns:a16="http://schemas.microsoft.com/office/drawing/2014/main" id="{00000000-0008-0000-0000-0000B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8" name="Oval 169">
          <a:extLst>
            <a:ext uri="{FF2B5EF4-FFF2-40B4-BE49-F238E27FC236}">
              <a16:creationId xmlns:a16="http://schemas.microsoft.com/office/drawing/2014/main" id="{00000000-0008-0000-0000-0000B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899" name="Oval 170">
          <a:extLst>
            <a:ext uri="{FF2B5EF4-FFF2-40B4-BE49-F238E27FC236}">
              <a16:creationId xmlns:a16="http://schemas.microsoft.com/office/drawing/2014/main" id="{00000000-0008-0000-0000-0000B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0" name="Oval 171">
          <a:extLst>
            <a:ext uri="{FF2B5EF4-FFF2-40B4-BE49-F238E27FC236}">
              <a16:creationId xmlns:a16="http://schemas.microsoft.com/office/drawing/2014/main" id="{00000000-0008-0000-0000-0000B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01" name="AutoShape 172">
          <a:extLst>
            <a:ext uri="{FF2B5EF4-FFF2-40B4-BE49-F238E27FC236}">
              <a16:creationId xmlns:a16="http://schemas.microsoft.com/office/drawing/2014/main" id="{00000000-0008-0000-0000-0000B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02" name="Rectangle 173">
          <a:extLst>
            <a:ext uri="{FF2B5EF4-FFF2-40B4-BE49-F238E27FC236}">
              <a16:creationId xmlns:a16="http://schemas.microsoft.com/office/drawing/2014/main" id="{00000000-0008-0000-0000-0000B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3" name="Oval 174">
          <a:extLst>
            <a:ext uri="{FF2B5EF4-FFF2-40B4-BE49-F238E27FC236}">
              <a16:creationId xmlns:a16="http://schemas.microsoft.com/office/drawing/2014/main" id="{00000000-0008-0000-0000-0000B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4" name="Oval 175">
          <a:extLst>
            <a:ext uri="{FF2B5EF4-FFF2-40B4-BE49-F238E27FC236}">
              <a16:creationId xmlns:a16="http://schemas.microsoft.com/office/drawing/2014/main" id="{00000000-0008-0000-0000-0000C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5" name="Oval 176">
          <a:extLst>
            <a:ext uri="{FF2B5EF4-FFF2-40B4-BE49-F238E27FC236}">
              <a16:creationId xmlns:a16="http://schemas.microsoft.com/office/drawing/2014/main" id="{00000000-0008-0000-0000-0000C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6" name="Oval 177">
          <a:extLst>
            <a:ext uri="{FF2B5EF4-FFF2-40B4-BE49-F238E27FC236}">
              <a16:creationId xmlns:a16="http://schemas.microsoft.com/office/drawing/2014/main" id="{00000000-0008-0000-0000-0000C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07" name="AutoShape 178">
          <a:extLst>
            <a:ext uri="{FF2B5EF4-FFF2-40B4-BE49-F238E27FC236}">
              <a16:creationId xmlns:a16="http://schemas.microsoft.com/office/drawing/2014/main" id="{00000000-0008-0000-0000-0000C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08" name="Rectangle 179">
          <a:extLst>
            <a:ext uri="{FF2B5EF4-FFF2-40B4-BE49-F238E27FC236}">
              <a16:creationId xmlns:a16="http://schemas.microsoft.com/office/drawing/2014/main" id="{00000000-0008-0000-0000-0000C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09" name="Oval 180">
          <a:extLst>
            <a:ext uri="{FF2B5EF4-FFF2-40B4-BE49-F238E27FC236}">
              <a16:creationId xmlns:a16="http://schemas.microsoft.com/office/drawing/2014/main" id="{00000000-0008-0000-0000-0000C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0" name="Oval 181">
          <a:extLst>
            <a:ext uri="{FF2B5EF4-FFF2-40B4-BE49-F238E27FC236}">
              <a16:creationId xmlns:a16="http://schemas.microsoft.com/office/drawing/2014/main" id="{00000000-0008-0000-0000-0000C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1" name="Oval 182">
          <a:extLst>
            <a:ext uri="{FF2B5EF4-FFF2-40B4-BE49-F238E27FC236}">
              <a16:creationId xmlns:a16="http://schemas.microsoft.com/office/drawing/2014/main" id="{00000000-0008-0000-0000-0000C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2" name="Oval 183">
          <a:extLst>
            <a:ext uri="{FF2B5EF4-FFF2-40B4-BE49-F238E27FC236}">
              <a16:creationId xmlns:a16="http://schemas.microsoft.com/office/drawing/2014/main" id="{00000000-0008-0000-0000-0000C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13" name="AutoShape 184">
          <a:extLst>
            <a:ext uri="{FF2B5EF4-FFF2-40B4-BE49-F238E27FC236}">
              <a16:creationId xmlns:a16="http://schemas.microsoft.com/office/drawing/2014/main" id="{00000000-0008-0000-0000-0000C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14" name="Rectangle 185">
          <a:extLst>
            <a:ext uri="{FF2B5EF4-FFF2-40B4-BE49-F238E27FC236}">
              <a16:creationId xmlns:a16="http://schemas.microsoft.com/office/drawing/2014/main" id="{00000000-0008-0000-0000-0000C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5" name="Oval 186">
          <a:extLst>
            <a:ext uri="{FF2B5EF4-FFF2-40B4-BE49-F238E27FC236}">
              <a16:creationId xmlns:a16="http://schemas.microsoft.com/office/drawing/2014/main" id="{00000000-0008-0000-0000-0000C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6" name="Oval 187">
          <a:extLst>
            <a:ext uri="{FF2B5EF4-FFF2-40B4-BE49-F238E27FC236}">
              <a16:creationId xmlns:a16="http://schemas.microsoft.com/office/drawing/2014/main" id="{00000000-0008-0000-0000-0000C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7" name="Oval 188">
          <a:extLst>
            <a:ext uri="{FF2B5EF4-FFF2-40B4-BE49-F238E27FC236}">
              <a16:creationId xmlns:a16="http://schemas.microsoft.com/office/drawing/2014/main" id="{00000000-0008-0000-0000-0000C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18" name="Oval 189">
          <a:extLst>
            <a:ext uri="{FF2B5EF4-FFF2-40B4-BE49-F238E27FC236}">
              <a16:creationId xmlns:a16="http://schemas.microsoft.com/office/drawing/2014/main" id="{00000000-0008-0000-0000-0000C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19" name="AutoShape 190">
          <a:extLst>
            <a:ext uri="{FF2B5EF4-FFF2-40B4-BE49-F238E27FC236}">
              <a16:creationId xmlns:a16="http://schemas.microsoft.com/office/drawing/2014/main" id="{00000000-0008-0000-0000-0000C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20" name="Rectangle 191">
          <a:extLst>
            <a:ext uri="{FF2B5EF4-FFF2-40B4-BE49-F238E27FC236}">
              <a16:creationId xmlns:a16="http://schemas.microsoft.com/office/drawing/2014/main" id="{00000000-0008-0000-0000-0000D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1" name="Oval 192">
          <a:extLst>
            <a:ext uri="{FF2B5EF4-FFF2-40B4-BE49-F238E27FC236}">
              <a16:creationId xmlns:a16="http://schemas.microsoft.com/office/drawing/2014/main" id="{00000000-0008-0000-0000-0000D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2" name="Oval 193">
          <a:extLst>
            <a:ext uri="{FF2B5EF4-FFF2-40B4-BE49-F238E27FC236}">
              <a16:creationId xmlns:a16="http://schemas.microsoft.com/office/drawing/2014/main" id="{00000000-0008-0000-0000-0000D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3" name="Oval 194">
          <a:extLst>
            <a:ext uri="{FF2B5EF4-FFF2-40B4-BE49-F238E27FC236}">
              <a16:creationId xmlns:a16="http://schemas.microsoft.com/office/drawing/2014/main" id="{00000000-0008-0000-0000-0000D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4" name="Oval 195">
          <a:extLst>
            <a:ext uri="{FF2B5EF4-FFF2-40B4-BE49-F238E27FC236}">
              <a16:creationId xmlns:a16="http://schemas.microsoft.com/office/drawing/2014/main" id="{00000000-0008-0000-0000-0000D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25" name="AutoShape 196">
          <a:extLst>
            <a:ext uri="{FF2B5EF4-FFF2-40B4-BE49-F238E27FC236}">
              <a16:creationId xmlns:a16="http://schemas.microsoft.com/office/drawing/2014/main" id="{00000000-0008-0000-0000-0000D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26" name="Rectangle 197">
          <a:extLst>
            <a:ext uri="{FF2B5EF4-FFF2-40B4-BE49-F238E27FC236}">
              <a16:creationId xmlns:a16="http://schemas.microsoft.com/office/drawing/2014/main" id="{00000000-0008-0000-0000-0000D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7" name="Oval 198">
          <a:extLst>
            <a:ext uri="{FF2B5EF4-FFF2-40B4-BE49-F238E27FC236}">
              <a16:creationId xmlns:a16="http://schemas.microsoft.com/office/drawing/2014/main" id="{00000000-0008-0000-0000-0000D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8" name="Oval 199">
          <a:extLst>
            <a:ext uri="{FF2B5EF4-FFF2-40B4-BE49-F238E27FC236}">
              <a16:creationId xmlns:a16="http://schemas.microsoft.com/office/drawing/2014/main" id="{00000000-0008-0000-0000-0000D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29" name="Oval 200">
          <a:extLst>
            <a:ext uri="{FF2B5EF4-FFF2-40B4-BE49-F238E27FC236}">
              <a16:creationId xmlns:a16="http://schemas.microsoft.com/office/drawing/2014/main" id="{00000000-0008-0000-0000-0000D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0" name="Oval 201">
          <a:extLst>
            <a:ext uri="{FF2B5EF4-FFF2-40B4-BE49-F238E27FC236}">
              <a16:creationId xmlns:a16="http://schemas.microsoft.com/office/drawing/2014/main" id="{00000000-0008-0000-0000-0000D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31" name="AutoShape 202">
          <a:extLst>
            <a:ext uri="{FF2B5EF4-FFF2-40B4-BE49-F238E27FC236}">
              <a16:creationId xmlns:a16="http://schemas.microsoft.com/office/drawing/2014/main" id="{00000000-0008-0000-0000-0000D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32" name="Rectangle 203">
          <a:extLst>
            <a:ext uri="{FF2B5EF4-FFF2-40B4-BE49-F238E27FC236}">
              <a16:creationId xmlns:a16="http://schemas.microsoft.com/office/drawing/2014/main" id="{00000000-0008-0000-0000-0000D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3" name="Oval 204">
          <a:extLst>
            <a:ext uri="{FF2B5EF4-FFF2-40B4-BE49-F238E27FC236}">
              <a16:creationId xmlns:a16="http://schemas.microsoft.com/office/drawing/2014/main" id="{00000000-0008-0000-0000-0000D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4" name="Oval 205">
          <a:extLst>
            <a:ext uri="{FF2B5EF4-FFF2-40B4-BE49-F238E27FC236}">
              <a16:creationId xmlns:a16="http://schemas.microsoft.com/office/drawing/2014/main" id="{00000000-0008-0000-0000-0000D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5" name="Oval 206">
          <a:extLst>
            <a:ext uri="{FF2B5EF4-FFF2-40B4-BE49-F238E27FC236}">
              <a16:creationId xmlns:a16="http://schemas.microsoft.com/office/drawing/2014/main" id="{00000000-0008-0000-0000-0000D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6" name="Oval 207">
          <a:extLst>
            <a:ext uri="{FF2B5EF4-FFF2-40B4-BE49-F238E27FC236}">
              <a16:creationId xmlns:a16="http://schemas.microsoft.com/office/drawing/2014/main" id="{00000000-0008-0000-0000-0000E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37" name="AutoShape 208">
          <a:extLst>
            <a:ext uri="{FF2B5EF4-FFF2-40B4-BE49-F238E27FC236}">
              <a16:creationId xmlns:a16="http://schemas.microsoft.com/office/drawing/2014/main" id="{00000000-0008-0000-0000-0000E1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38" name="Rectangle 209">
          <a:extLst>
            <a:ext uri="{FF2B5EF4-FFF2-40B4-BE49-F238E27FC236}">
              <a16:creationId xmlns:a16="http://schemas.microsoft.com/office/drawing/2014/main" id="{00000000-0008-0000-0000-0000E2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39" name="Oval 210">
          <a:extLst>
            <a:ext uri="{FF2B5EF4-FFF2-40B4-BE49-F238E27FC236}">
              <a16:creationId xmlns:a16="http://schemas.microsoft.com/office/drawing/2014/main" id="{00000000-0008-0000-0000-0000E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0" name="Oval 211">
          <a:extLst>
            <a:ext uri="{FF2B5EF4-FFF2-40B4-BE49-F238E27FC236}">
              <a16:creationId xmlns:a16="http://schemas.microsoft.com/office/drawing/2014/main" id="{00000000-0008-0000-0000-0000E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1" name="Oval 212">
          <a:extLst>
            <a:ext uri="{FF2B5EF4-FFF2-40B4-BE49-F238E27FC236}">
              <a16:creationId xmlns:a16="http://schemas.microsoft.com/office/drawing/2014/main" id="{00000000-0008-0000-0000-0000E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2" name="Oval 213">
          <a:extLst>
            <a:ext uri="{FF2B5EF4-FFF2-40B4-BE49-F238E27FC236}">
              <a16:creationId xmlns:a16="http://schemas.microsoft.com/office/drawing/2014/main" id="{00000000-0008-0000-0000-0000E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43" name="AutoShape 214">
          <a:extLst>
            <a:ext uri="{FF2B5EF4-FFF2-40B4-BE49-F238E27FC236}">
              <a16:creationId xmlns:a16="http://schemas.microsoft.com/office/drawing/2014/main" id="{00000000-0008-0000-0000-0000E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44" name="Rectangle 215">
          <a:extLst>
            <a:ext uri="{FF2B5EF4-FFF2-40B4-BE49-F238E27FC236}">
              <a16:creationId xmlns:a16="http://schemas.microsoft.com/office/drawing/2014/main" id="{00000000-0008-0000-0000-0000E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5" name="Oval 216">
          <a:extLst>
            <a:ext uri="{FF2B5EF4-FFF2-40B4-BE49-F238E27FC236}">
              <a16:creationId xmlns:a16="http://schemas.microsoft.com/office/drawing/2014/main" id="{00000000-0008-0000-0000-0000E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6" name="Oval 217">
          <a:extLst>
            <a:ext uri="{FF2B5EF4-FFF2-40B4-BE49-F238E27FC236}">
              <a16:creationId xmlns:a16="http://schemas.microsoft.com/office/drawing/2014/main" id="{00000000-0008-0000-0000-0000E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7" name="Oval 218">
          <a:extLst>
            <a:ext uri="{FF2B5EF4-FFF2-40B4-BE49-F238E27FC236}">
              <a16:creationId xmlns:a16="http://schemas.microsoft.com/office/drawing/2014/main" id="{00000000-0008-0000-0000-0000E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48" name="Oval 219">
          <a:extLst>
            <a:ext uri="{FF2B5EF4-FFF2-40B4-BE49-F238E27FC236}">
              <a16:creationId xmlns:a16="http://schemas.microsoft.com/office/drawing/2014/main" id="{00000000-0008-0000-0000-0000E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49" name="AutoShape 220">
          <a:extLst>
            <a:ext uri="{FF2B5EF4-FFF2-40B4-BE49-F238E27FC236}">
              <a16:creationId xmlns:a16="http://schemas.microsoft.com/office/drawing/2014/main" id="{00000000-0008-0000-0000-0000E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50" name="Rectangle 221">
          <a:extLst>
            <a:ext uri="{FF2B5EF4-FFF2-40B4-BE49-F238E27FC236}">
              <a16:creationId xmlns:a16="http://schemas.microsoft.com/office/drawing/2014/main" id="{00000000-0008-0000-0000-0000E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1" name="Oval 222">
          <a:extLst>
            <a:ext uri="{FF2B5EF4-FFF2-40B4-BE49-F238E27FC236}">
              <a16:creationId xmlns:a16="http://schemas.microsoft.com/office/drawing/2014/main" id="{00000000-0008-0000-0000-0000E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2" name="Oval 223">
          <a:extLst>
            <a:ext uri="{FF2B5EF4-FFF2-40B4-BE49-F238E27FC236}">
              <a16:creationId xmlns:a16="http://schemas.microsoft.com/office/drawing/2014/main" id="{00000000-0008-0000-0000-0000F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3" name="Oval 224">
          <a:extLst>
            <a:ext uri="{FF2B5EF4-FFF2-40B4-BE49-F238E27FC236}">
              <a16:creationId xmlns:a16="http://schemas.microsoft.com/office/drawing/2014/main" id="{00000000-0008-0000-0000-0000F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4" name="Oval 225">
          <a:extLst>
            <a:ext uri="{FF2B5EF4-FFF2-40B4-BE49-F238E27FC236}">
              <a16:creationId xmlns:a16="http://schemas.microsoft.com/office/drawing/2014/main" id="{00000000-0008-0000-0000-0000F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55" name="AutoShape 226">
          <a:extLst>
            <a:ext uri="{FF2B5EF4-FFF2-40B4-BE49-F238E27FC236}">
              <a16:creationId xmlns:a16="http://schemas.microsoft.com/office/drawing/2014/main" id="{00000000-0008-0000-0000-0000F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56" name="Rectangle 227">
          <a:extLst>
            <a:ext uri="{FF2B5EF4-FFF2-40B4-BE49-F238E27FC236}">
              <a16:creationId xmlns:a16="http://schemas.microsoft.com/office/drawing/2014/main" id="{00000000-0008-0000-0000-0000F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7" name="Oval 228">
          <a:extLst>
            <a:ext uri="{FF2B5EF4-FFF2-40B4-BE49-F238E27FC236}">
              <a16:creationId xmlns:a16="http://schemas.microsoft.com/office/drawing/2014/main" id="{00000000-0008-0000-0000-0000F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8" name="Oval 229">
          <a:extLst>
            <a:ext uri="{FF2B5EF4-FFF2-40B4-BE49-F238E27FC236}">
              <a16:creationId xmlns:a16="http://schemas.microsoft.com/office/drawing/2014/main" id="{00000000-0008-0000-0000-0000F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59" name="Oval 230">
          <a:extLst>
            <a:ext uri="{FF2B5EF4-FFF2-40B4-BE49-F238E27FC236}">
              <a16:creationId xmlns:a16="http://schemas.microsoft.com/office/drawing/2014/main" id="{00000000-0008-0000-0000-0000F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60" name="Oval 231">
          <a:extLst>
            <a:ext uri="{FF2B5EF4-FFF2-40B4-BE49-F238E27FC236}">
              <a16:creationId xmlns:a16="http://schemas.microsoft.com/office/drawing/2014/main" id="{00000000-0008-0000-0000-0000F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61" name="AutoShape 232">
          <a:extLst>
            <a:ext uri="{FF2B5EF4-FFF2-40B4-BE49-F238E27FC236}">
              <a16:creationId xmlns:a16="http://schemas.microsoft.com/office/drawing/2014/main" id="{00000000-0008-0000-0000-0000F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9962" name="Rectangle 233">
          <a:extLst>
            <a:ext uri="{FF2B5EF4-FFF2-40B4-BE49-F238E27FC236}">
              <a16:creationId xmlns:a16="http://schemas.microsoft.com/office/drawing/2014/main" id="{00000000-0008-0000-0000-0000F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63" name="Oval 234">
          <a:extLst>
            <a:ext uri="{FF2B5EF4-FFF2-40B4-BE49-F238E27FC236}">
              <a16:creationId xmlns:a16="http://schemas.microsoft.com/office/drawing/2014/main" id="{00000000-0008-0000-0000-0000F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64" name="Oval 235">
          <a:extLst>
            <a:ext uri="{FF2B5EF4-FFF2-40B4-BE49-F238E27FC236}">
              <a16:creationId xmlns:a16="http://schemas.microsoft.com/office/drawing/2014/main" id="{00000000-0008-0000-0000-0000F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65" name="Oval 236">
          <a:extLst>
            <a:ext uri="{FF2B5EF4-FFF2-40B4-BE49-F238E27FC236}">
              <a16:creationId xmlns:a16="http://schemas.microsoft.com/office/drawing/2014/main" id="{00000000-0008-0000-0000-0000F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39966" name="Oval 237">
          <a:extLst>
            <a:ext uri="{FF2B5EF4-FFF2-40B4-BE49-F238E27FC236}">
              <a16:creationId xmlns:a16="http://schemas.microsoft.com/office/drawing/2014/main" id="{00000000-0008-0000-0000-0000F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9967" name="AutoShape 238">
          <a:extLst>
            <a:ext uri="{FF2B5EF4-FFF2-40B4-BE49-F238E27FC236}">
              <a16:creationId xmlns:a16="http://schemas.microsoft.com/office/drawing/2014/main" id="{00000000-0008-0000-0000-0000F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280" name="Rectangle 239">
          <a:extLst>
            <a:ext uri="{FF2B5EF4-FFF2-40B4-BE49-F238E27FC236}">
              <a16:creationId xmlns:a16="http://schemas.microsoft.com/office/drawing/2014/main" id="{00000000-0008-0000-0000-000000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1" name="Oval 240">
          <a:extLst>
            <a:ext uri="{FF2B5EF4-FFF2-40B4-BE49-F238E27FC236}">
              <a16:creationId xmlns:a16="http://schemas.microsoft.com/office/drawing/2014/main" id="{00000000-0008-0000-0000-000001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2" name="Oval 241">
          <a:extLst>
            <a:ext uri="{FF2B5EF4-FFF2-40B4-BE49-F238E27FC236}">
              <a16:creationId xmlns:a16="http://schemas.microsoft.com/office/drawing/2014/main" id="{00000000-0008-0000-0000-000002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3" name="Oval 242">
          <a:extLst>
            <a:ext uri="{FF2B5EF4-FFF2-40B4-BE49-F238E27FC236}">
              <a16:creationId xmlns:a16="http://schemas.microsoft.com/office/drawing/2014/main" id="{00000000-0008-0000-0000-000003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4" name="Oval 243">
          <a:extLst>
            <a:ext uri="{FF2B5EF4-FFF2-40B4-BE49-F238E27FC236}">
              <a16:creationId xmlns:a16="http://schemas.microsoft.com/office/drawing/2014/main" id="{00000000-0008-0000-0000-00000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3285" name="AutoShape 244">
          <a:extLst>
            <a:ext uri="{FF2B5EF4-FFF2-40B4-BE49-F238E27FC236}">
              <a16:creationId xmlns:a16="http://schemas.microsoft.com/office/drawing/2014/main" id="{00000000-0008-0000-0000-000005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286" name="Rectangle 245">
          <a:extLst>
            <a:ext uri="{FF2B5EF4-FFF2-40B4-BE49-F238E27FC236}">
              <a16:creationId xmlns:a16="http://schemas.microsoft.com/office/drawing/2014/main" id="{00000000-0008-0000-0000-000006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7" name="Oval 246">
          <a:extLst>
            <a:ext uri="{FF2B5EF4-FFF2-40B4-BE49-F238E27FC236}">
              <a16:creationId xmlns:a16="http://schemas.microsoft.com/office/drawing/2014/main" id="{00000000-0008-0000-0000-000007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8" name="Oval 247">
          <a:extLst>
            <a:ext uri="{FF2B5EF4-FFF2-40B4-BE49-F238E27FC236}">
              <a16:creationId xmlns:a16="http://schemas.microsoft.com/office/drawing/2014/main" id="{00000000-0008-0000-0000-000008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89" name="Oval 248">
          <a:extLst>
            <a:ext uri="{FF2B5EF4-FFF2-40B4-BE49-F238E27FC236}">
              <a16:creationId xmlns:a16="http://schemas.microsoft.com/office/drawing/2014/main" id="{00000000-0008-0000-0000-00000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0" name="Oval 249">
          <a:extLst>
            <a:ext uri="{FF2B5EF4-FFF2-40B4-BE49-F238E27FC236}">
              <a16:creationId xmlns:a16="http://schemas.microsoft.com/office/drawing/2014/main" id="{00000000-0008-0000-0000-00000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3291" name="AutoShape 250">
          <a:extLst>
            <a:ext uri="{FF2B5EF4-FFF2-40B4-BE49-F238E27FC236}">
              <a16:creationId xmlns:a16="http://schemas.microsoft.com/office/drawing/2014/main" id="{00000000-0008-0000-0000-00000B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292" name="Rectangle 251">
          <a:extLst>
            <a:ext uri="{FF2B5EF4-FFF2-40B4-BE49-F238E27FC236}">
              <a16:creationId xmlns:a16="http://schemas.microsoft.com/office/drawing/2014/main" id="{00000000-0008-0000-0000-00000C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3" name="Oval 252">
          <a:extLst>
            <a:ext uri="{FF2B5EF4-FFF2-40B4-BE49-F238E27FC236}">
              <a16:creationId xmlns:a16="http://schemas.microsoft.com/office/drawing/2014/main" id="{00000000-0008-0000-0000-00000D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4" name="Oval 253">
          <a:extLst>
            <a:ext uri="{FF2B5EF4-FFF2-40B4-BE49-F238E27FC236}">
              <a16:creationId xmlns:a16="http://schemas.microsoft.com/office/drawing/2014/main" id="{00000000-0008-0000-0000-00000E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5" name="Oval 254">
          <a:extLst>
            <a:ext uri="{FF2B5EF4-FFF2-40B4-BE49-F238E27FC236}">
              <a16:creationId xmlns:a16="http://schemas.microsoft.com/office/drawing/2014/main" id="{00000000-0008-0000-0000-00000F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6" name="Oval 255">
          <a:extLst>
            <a:ext uri="{FF2B5EF4-FFF2-40B4-BE49-F238E27FC236}">
              <a16:creationId xmlns:a16="http://schemas.microsoft.com/office/drawing/2014/main" id="{00000000-0008-0000-0000-000010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3297" name="AutoShape 256">
          <a:extLst>
            <a:ext uri="{FF2B5EF4-FFF2-40B4-BE49-F238E27FC236}">
              <a16:creationId xmlns:a16="http://schemas.microsoft.com/office/drawing/2014/main" id="{00000000-0008-0000-0000-000011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298" name="Rectangle 257">
          <a:extLst>
            <a:ext uri="{FF2B5EF4-FFF2-40B4-BE49-F238E27FC236}">
              <a16:creationId xmlns:a16="http://schemas.microsoft.com/office/drawing/2014/main" id="{00000000-0008-0000-0000-000012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299" name="Oval 258">
          <a:extLst>
            <a:ext uri="{FF2B5EF4-FFF2-40B4-BE49-F238E27FC236}">
              <a16:creationId xmlns:a16="http://schemas.microsoft.com/office/drawing/2014/main" id="{00000000-0008-0000-0000-000013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0" name="Oval 259">
          <a:extLst>
            <a:ext uri="{FF2B5EF4-FFF2-40B4-BE49-F238E27FC236}">
              <a16:creationId xmlns:a16="http://schemas.microsoft.com/office/drawing/2014/main" id="{00000000-0008-0000-0000-00001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1" name="Oval 260">
          <a:extLst>
            <a:ext uri="{FF2B5EF4-FFF2-40B4-BE49-F238E27FC236}">
              <a16:creationId xmlns:a16="http://schemas.microsoft.com/office/drawing/2014/main" id="{00000000-0008-0000-0000-000015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2" name="Oval 261">
          <a:extLst>
            <a:ext uri="{FF2B5EF4-FFF2-40B4-BE49-F238E27FC236}">
              <a16:creationId xmlns:a16="http://schemas.microsoft.com/office/drawing/2014/main" id="{00000000-0008-0000-0000-000016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3303" name="AutoShape 262">
          <a:extLst>
            <a:ext uri="{FF2B5EF4-FFF2-40B4-BE49-F238E27FC236}">
              <a16:creationId xmlns:a16="http://schemas.microsoft.com/office/drawing/2014/main" id="{00000000-0008-0000-0000-000017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304" name="Rectangle 263">
          <a:extLst>
            <a:ext uri="{FF2B5EF4-FFF2-40B4-BE49-F238E27FC236}">
              <a16:creationId xmlns:a16="http://schemas.microsoft.com/office/drawing/2014/main" id="{00000000-0008-0000-0000-000018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5" name="Oval 264">
          <a:extLst>
            <a:ext uri="{FF2B5EF4-FFF2-40B4-BE49-F238E27FC236}">
              <a16:creationId xmlns:a16="http://schemas.microsoft.com/office/drawing/2014/main" id="{00000000-0008-0000-0000-00001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6" name="Oval 265">
          <a:extLst>
            <a:ext uri="{FF2B5EF4-FFF2-40B4-BE49-F238E27FC236}">
              <a16:creationId xmlns:a16="http://schemas.microsoft.com/office/drawing/2014/main" id="{00000000-0008-0000-0000-00001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7" name="Oval 266">
          <a:extLst>
            <a:ext uri="{FF2B5EF4-FFF2-40B4-BE49-F238E27FC236}">
              <a16:creationId xmlns:a16="http://schemas.microsoft.com/office/drawing/2014/main" id="{00000000-0008-0000-0000-00001B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08" name="Oval 267">
          <a:extLst>
            <a:ext uri="{FF2B5EF4-FFF2-40B4-BE49-F238E27FC236}">
              <a16:creationId xmlns:a16="http://schemas.microsoft.com/office/drawing/2014/main" id="{00000000-0008-0000-0000-00001C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3309" name="AutoShape 268">
          <a:extLst>
            <a:ext uri="{FF2B5EF4-FFF2-40B4-BE49-F238E27FC236}">
              <a16:creationId xmlns:a16="http://schemas.microsoft.com/office/drawing/2014/main" id="{00000000-0008-0000-0000-00001D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310" name="Rectangle 269">
          <a:extLst>
            <a:ext uri="{FF2B5EF4-FFF2-40B4-BE49-F238E27FC236}">
              <a16:creationId xmlns:a16="http://schemas.microsoft.com/office/drawing/2014/main" id="{00000000-0008-0000-0000-00001E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1" name="Oval 270">
          <a:extLst>
            <a:ext uri="{FF2B5EF4-FFF2-40B4-BE49-F238E27FC236}">
              <a16:creationId xmlns:a16="http://schemas.microsoft.com/office/drawing/2014/main" id="{00000000-0008-0000-0000-00001F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2" name="Oval 271">
          <a:extLst>
            <a:ext uri="{FF2B5EF4-FFF2-40B4-BE49-F238E27FC236}">
              <a16:creationId xmlns:a16="http://schemas.microsoft.com/office/drawing/2014/main" id="{00000000-0008-0000-0000-000020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3" name="Oval 272">
          <a:extLst>
            <a:ext uri="{FF2B5EF4-FFF2-40B4-BE49-F238E27FC236}">
              <a16:creationId xmlns:a16="http://schemas.microsoft.com/office/drawing/2014/main" id="{00000000-0008-0000-0000-000021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4" name="Oval 273">
          <a:extLst>
            <a:ext uri="{FF2B5EF4-FFF2-40B4-BE49-F238E27FC236}">
              <a16:creationId xmlns:a16="http://schemas.microsoft.com/office/drawing/2014/main" id="{00000000-0008-0000-0000-000022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315" name="Rectangle 274">
          <a:extLst>
            <a:ext uri="{FF2B5EF4-FFF2-40B4-BE49-F238E27FC236}">
              <a16:creationId xmlns:a16="http://schemas.microsoft.com/office/drawing/2014/main" id="{00000000-0008-0000-0000-000023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6" name="Oval 275">
          <a:extLst>
            <a:ext uri="{FF2B5EF4-FFF2-40B4-BE49-F238E27FC236}">
              <a16:creationId xmlns:a16="http://schemas.microsoft.com/office/drawing/2014/main" id="{00000000-0008-0000-0000-00002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7" name="Oval 276">
          <a:extLst>
            <a:ext uri="{FF2B5EF4-FFF2-40B4-BE49-F238E27FC236}">
              <a16:creationId xmlns:a16="http://schemas.microsoft.com/office/drawing/2014/main" id="{00000000-0008-0000-0000-000025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8" name="Oval 277">
          <a:extLst>
            <a:ext uri="{FF2B5EF4-FFF2-40B4-BE49-F238E27FC236}">
              <a16:creationId xmlns:a16="http://schemas.microsoft.com/office/drawing/2014/main" id="{00000000-0008-0000-0000-000026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19" name="Oval 278">
          <a:extLst>
            <a:ext uri="{FF2B5EF4-FFF2-40B4-BE49-F238E27FC236}">
              <a16:creationId xmlns:a16="http://schemas.microsoft.com/office/drawing/2014/main" id="{00000000-0008-0000-0000-000027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3320" name="Rectangle 279">
          <a:extLst>
            <a:ext uri="{FF2B5EF4-FFF2-40B4-BE49-F238E27FC236}">
              <a16:creationId xmlns:a16="http://schemas.microsoft.com/office/drawing/2014/main" id="{00000000-0008-0000-0000-000028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21" name="Oval 280">
          <a:extLst>
            <a:ext uri="{FF2B5EF4-FFF2-40B4-BE49-F238E27FC236}">
              <a16:creationId xmlns:a16="http://schemas.microsoft.com/office/drawing/2014/main" id="{00000000-0008-0000-0000-00002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22" name="Oval 281">
          <a:extLst>
            <a:ext uri="{FF2B5EF4-FFF2-40B4-BE49-F238E27FC236}">
              <a16:creationId xmlns:a16="http://schemas.microsoft.com/office/drawing/2014/main" id="{00000000-0008-0000-0000-00002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23" name="Oval 282">
          <a:extLst>
            <a:ext uri="{FF2B5EF4-FFF2-40B4-BE49-F238E27FC236}">
              <a16:creationId xmlns:a16="http://schemas.microsoft.com/office/drawing/2014/main" id="{00000000-0008-0000-0000-00002B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3324" name="Oval 283">
          <a:extLst>
            <a:ext uri="{FF2B5EF4-FFF2-40B4-BE49-F238E27FC236}">
              <a16:creationId xmlns:a16="http://schemas.microsoft.com/office/drawing/2014/main" id="{00000000-0008-0000-0000-00002C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3325" name="Rectangle 285">
          <a:extLst>
            <a:ext uri="{FF2B5EF4-FFF2-40B4-BE49-F238E27FC236}">
              <a16:creationId xmlns:a16="http://schemas.microsoft.com/office/drawing/2014/main" id="{00000000-0008-0000-0000-00002D64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3326" name="Rectangle 287">
          <a:extLst>
            <a:ext uri="{FF2B5EF4-FFF2-40B4-BE49-F238E27FC236}">
              <a16:creationId xmlns:a16="http://schemas.microsoft.com/office/drawing/2014/main" id="{00000000-0008-0000-0000-00002E64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3327" name="Rectangle 289">
          <a:extLst>
            <a:ext uri="{FF2B5EF4-FFF2-40B4-BE49-F238E27FC236}">
              <a16:creationId xmlns:a16="http://schemas.microsoft.com/office/drawing/2014/main" id="{00000000-0008-0000-0000-00002F64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3328" name="Rectangle 291">
          <a:extLst>
            <a:ext uri="{FF2B5EF4-FFF2-40B4-BE49-F238E27FC236}">
              <a16:creationId xmlns:a16="http://schemas.microsoft.com/office/drawing/2014/main" id="{00000000-0008-0000-0000-00003064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3329" name="Rectangle 293">
          <a:extLst>
            <a:ext uri="{FF2B5EF4-FFF2-40B4-BE49-F238E27FC236}">
              <a16:creationId xmlns:a16="http://schemas.microsoft.com/office/drawing/2014/main" id="{00000000-0008-0000-0000-00003164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3330" name="Rectangle 295">
          <a:extLst>
            <a:ext uri="{FF2B5EF4-FFF2-40B4-BE49-F238E27FC236}">
              <a16:creationId xmlns:a16="http://schemas.microsoft.com/office/drawing/2014/main" id="{00000000-0008-0000-0000-000032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3331" name="Rectangle 297">
          <a:extLst>
            <a:ext uri="{FF2B5EF4-FFF2-40B4-BE49-F238E27FC236}">
              <a16:creationId xmlns:a16="http://schemas.microsoft.com/office/drawing/2014/main" id="{00000000-0008-0000-0000-000033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3332" name="Rectangle 299">
          <a:extLst>
            <a:ext uri="{FF2B5EF4-FFF2-40B4-BE49-F238E27FC236}">
              <a16:creationId xmlns:a16="http://schemas.microsoft.com/office/drawing/2014/main" id="{00000000-0008-0000-0000-000034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3333" name="Rectangle 301">
          <a:extLst>
            <a:ext uri="{FF2B5EF4-FFF2-40B4-BE49-F238E27FC236}">
              <a16:creationId xmlns:a16="http://schemas.microsoft.com/office/drawing/2014/main" id="{00000000-0008-0000-0000-000035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3334" name="Rectangle 303">
          <a:extLst>
            <a:ext uri="{FF2B5EF4-FFF2-40B4-BE49-F238E27FC236}">
              <a16:creationId xmlns:a16="http://schemas.microsoft.com/office/drawing/2014/main" id="{00000000-0008-0000-0000-000036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3335" name="Rectangle 305">
          <a:extLst>
            <a:ext uri="{FF2B5EF4-FFF2-40B4-BE49-F238E27FC236}">
              <a16:creationId xmlns:a16="http://schemas.microsoft.com/office/drawing/2014/main" id="{00000000-0008-0000-0000-000037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3336" name="Rectangle 307">
          <a:extLst>
            <a:ext uri="{FF2B5EF4-FFF2-40B4-BE49-F238E27FC236}">
              <a16:creationId xmlns:a16="http://schemas.microsoft.com/office/drawing/2014/main" id="{00000000-0008-0000-0000-000038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53337" name="フリーフォーム 311">
          <a:extLst>
            <a:ext uri="{FF2B5EF4-FFF2-40B4-BE49-F238E27FC236}">
              <a16:creationId xmlns:a16="http://schemas.microsoft.com/office/drawing/2014/main" id="{00000000-0008-0000-0000-00003964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53338" name="フリーフォーム 312">
          <a:extLst>
            <a:ext uri="{FF2B5EF4-FFF2-40B4-BE49-F238E27FC236}">
              <a16:creationId xmlns:a16="http://schemas.microsoft.com/office/drawing/2014/main" id="{00000000-0008-0000-0000-00003A64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53339" name="フリーフォーム 313">
          <a:extLst>
            <a:ext uri="{FF2B5EF4-FFF2-40B4-BE49-F238E27FC236}">
              <a16:creationId xmlns:a16="http://schemas.microsoft.com/office/drawing/2014/main" id="{00000000-0008-0000-0000-00003B64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53340" name="フリーフォーム 314">
          <a:extLst>
            <a:ext uri="{FF2B5EF4-FFF2-40B4-BE49-F238E27FC236}">
              <a16:creationId xmlns:a16="http://schemas.microsoft.com/office/drawing/2014/main" id="{00000000-0008-0000-0000-00003C64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53341" name="フリーフォーム 315">
          <a:extLst>
            <a:ext uri="{FF2B5EF4-FFF2-40B4-BE49-F238E27FC236}">
              <a16:creationId xmlns:a16="http://schemas.microsoft.com/office/drawing/2014/main" id="{00000000-0008-0000-0000-00003D64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53342" name="フリーフォーム 316">
          <a:extLst>
            <a:ext uri="{FF2B5EF4-FFF2-40B4-BE49-F238E27FC236}">
              <a16:creationId xmlns:a16="http://schemas.microsoft.com/office/drawing/2014/main" id="{00000000-0008-0000-0000-00003E64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53343" name="フリーフォーム 317">
          <a:extLst>
            <a:ext uri="{FF2B5EF4-FFF2-40B4-BE49-F238E27FC236}">
              <a16:creationId xmlns:a16="http://schemas.microsoft.com/office/drawing/2014/main" id="{00000000-0008-0000-0000-00003F64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53344" name="フリーフォーム 319">
          <a:extLst>
            <a:ext uri="{FF2B5EF4-FFF2-40B4-BE49-F238E27FC236}">
              <a16:creationId xmlns:a16="http://schemas.microsoft.com/office/drawing/2014/main" id="{00000000-0008-0000-0000-00004064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53345" name="フリーフォーム 320">
          <a:extLst>
            <a:ext uri="{FF2B5EF4-FFF2-40B4-BE49-F238E27FC236}">
              <a16:creationId xmlns:a16="http://schemas.microsoft.com/office/drawing/2014/main" id="{00000000-0008-0000-0000-00004164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3346" name="フリーフォーム 321">
          <a:extLst>
            <a:ext uri="{FF2B5EF4-FFF2-40B4-BE49-F238E27FC236}">
              <a16:creationId xmlns:a16="http://schemas.microsoft.com/office/drawing/2014/main" id="{00000000-0008-0000-0000-00004264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53347" name="フリーフォーム 322">
          <a:extLst>
            <a:ext uri="{FF2B5EF4-FFF2-40B4-BE49-F238E27FC236}">
              <a16:creationId xmlns:a16="http://schemas.microsoft.com/office/drawing/2014/main" id="{00000000-0008-0000-0000-00004364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3348" name="Rectangle 2">
          <a:extLst>
            <a:ext uri="{FF2B5EF4-FFF2-40B4-BE49-F238E27FC236}">
              <a16:creationId xmlns:a16="http://schemas.microsoft.com/office/drawing/2014/main" id="{00000000-0008-0000-0000-00004464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3349" name="Rectangle 2">
          <a:extLst>
            <a:ext uri="{FF2B5EF4-FFF2-40B4-BE49-F238E27FC236}">
              <a16:creationId xmlns:a16="http://schemas.microsoft.com/office/drawing/2014/main" id="{00000000-0008-0000-0000-00004564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3350" name="Rectangle 2">
          <a:extLst>
            <a:ext uri="{FF2B5EF4-FFF2-40B4-BE49-F238E27FC236}">
              <a16:creationId xmlns:a16="http://schemas.microsoft.com/office/drawing/2014/main" id="{00000000-0008-0000-0000-00004664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3351" name="Rectangle 2">
          <a:extLst>
            <a:ext uri="{FF2B5EF4-FFF2-40B4-BE49-F238E27FC236}">
              <a16:creationId xmlns:a16="http://schemas.microsoft.com/office/drawing/2014/main" id="{00000000-0008-0000-0000-00004764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3352" name="Rectangle 2">
          <a:extLst>
            <a:ext uri="{FF2B5EF4-FFF2-40B4-BE49-F238E27FC236}">
              <a16:creationId xmlns:a16="http://schemas.microsoft.com/office/drawing/2014/main" id="{00000000-0008-0000-0000-00004864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3353" name="Rectangle 293">
          <a:extLst>
            <a:ext uri="{FF2B5EF4-FFF2-40B4-BE49-F238E27FC236}">
              <a16:creationId xmlns:a16="http://schemas.microsoft.com/office/drawing/2014/main" id="{00000000-0008-0000-0000-000049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3354" name="Rectangle 2">
          <a:extLst>
            <a:ext uri="{FF2B5EF4-FFF2-40B4-BE49-F238E27FC236}">
              <a16:creationId xmlns:a16="http://schemas.microsoft.com/office/drawing/2014/main" id="{00000000-0008-0000-0000-00004A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3355" name="Rectangle 293">
          <a:extLst>
            <a:ext uri="{FF2B5EF4-FFF2-40B4-BE49-F238E27FC236}">
              <a16:creationId xmlns:a16="http://schemas.microsoft.com/office/drawing/2014/main" id="{00000000-0008-0000-0000-00004B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3356" name="Rectangle 2">
          <a:extLst>
            <a:ext uri="{FF2B5EF4-FFF2-40B4-BE49-F238E27FC236}">
              <a16:creationId xmlns:a16="http://schemas.microsoft.com/office/drawing/2014/main" id="{00000000-0008-0000-0000-00004C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3357" name="Rectangle 293">
          <a:extLst>
            <a:ext uri="{FF2B5EF4-FFF2-40B4-BE49-F238E27FC236}">
              <a16:creationId xmlns:a16="http://schemas.microsoft.com/office/drawing/2014/main" id="{00000000-0008-0000-0000-00004D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353358" name="フリーフォーム 342">
          <a:extLst>
            <a:ext uri="{FF2B5EF4-FFF2-40B4-BE49-F238E27FC236}">
              <a16:creationId xmlns:a16="http://schemas.microsoft.com/office/drawing/2014/main" id="{00000000-0008-0000-0000-00004E64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3359" name="Rectangle 2">
          <a:extLst>
            <a:ext uri="{FF2B5EF4-FFF2-40B4-BE49-F238E27FC236}">
              <a16:creationId xmlns:a16="http://schemas.microsoft.com/office/drawing/2014/main" id="{00000000-0008-0000-0000-00004F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3360" name="Rectangle 293">
          <a:extLst>
            <a:ext uri="{FF2B5EF4-FFF2-40B4-BE49-F238E27FC236}">
              <a16:creationId xmlns:a16="http://schemas.microsoft.com/office/drawing/2014/main" id="{00000000-0008-0000-0000-000050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3361" name="Rectangle 2">
          <a:extLst>
            <a:ext uri="{FF2B5EF4-FFF2-40B4-BE49-F238E27FC236}">
              <a16:creationId xmlns:a16="http://schemas.microsoft.com/office/drawing/2014/main" id="{00000000-0008-0000-0000-000051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3362" name="Rectangle 293">
          <a:extLst>
            <a:ext uri="{FF2B5EF4-FFF2-40B4-BE49-F238E27FC236}">
              <a16:creationId xmlns:a16="http://schemas.microsoft.com/office/drawing/2014/main" id="{00000000-0008-0000-0000-000052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53363" name="フリーフォーム 350">
          <a:extLst>
            <a:ext uri="{FF2B5EF4-FFF2-40B4-BE49-F238E27FC236}">
              <a16:creationId xmlns:a16="http://schemas.microsoft.com/office/drawing/2014/main" id="{00000000-0008-0000-0000-00005364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3364" name="Rectangle 2">
          <a:extLst>
            <a:ext uri="{FF2B5EF4-FFF2-40B4-BE49-F238E27FC236}">
              <a16:creationId xmlns:a16="http://schemas.microsoft.com/office/drawing/2014/main" id="{00000000-0008-0000-0000-000054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3365" name="Rectangle 293">
          <a:extLst>
            <a:ext uri="{FF2B5EF4-FFF2-40B4-BE49-F238E27FC236}">
              <a16:creationId xmlns:a16="http://schemas.microsoft.com/office/drawing/2014/main" id="{00000000-0008-0000-0000-000055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3366" name="フリーフォーム 354">
          <a:extLst>
            <a:ext uri="{FF2B5EF4-FFF2-40B4-BE49-F238E27FC236}">
              <a16:creationId xmlns:a16="http://schemas.microsoft.com/office/drawing/2014/main" id="{00000000-0008-0000-0000-00005664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3367" name="Rectangle 2">
          <a:extLst>
            <a:ext uri="{FF2B5EF4-FFF2-40B4-BE49-F238E27FC236}">
              <a16:creationId xmlns:a16="http://schemas.microsoft.com/office/drawing/2014/main" id="{00000000-0008-0000-0000-000057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3368" name="Rectangle 293">
          <a:extLst>
            <a:ext uri="{FF2B5EF4-FFF2-40B4-BE49-F238E27FC236}">
              <a16:creationId xmlns:a16="http://schemas.microsoft.com/office/drawing/2014/main" id="{00000000-0008-0000-0000-000058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3369" name="Rectangle 2">
          <a:extLst>
            <a:ext uri="{FF2B5EF4-FFF2-40B4-BE49-F238E27FC236}">
              <a16:creationId xmlns:a16="http://schemas.microsoft.com/office/drawing/2014/main" id="{00000000-0008-0000-0000-000059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3370" name="Rectangle 285">
          <a:extLst>
            <a:ext uri="{FF2B5EF4-FFF2-40B4-BE49-F238E27FC236}">
              <a16:creationId xmlns:a16="http://schemas.microsoft.com/office/drawing/2014/main" id="{00000000-0008-0000-0000-00005A64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53371" name="フリーフォーム 362">
          <a:extLst>
            <a:ext uri="{FF2B5EF4-FFF2-40B4-BE49-F238E27FC236}">
              <a16:creationId xmlns:a16="http://schemas.microsoft.com/office/drawing/2014/main" id="{00000000-0008-0000-0000-00005B64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3372" name="Rectangle 2">
          <a:extLst>
            <a:ext uri="{FF2B5EF4-FFF2-40B4-BE49-F238E27FC236}">
              <a16:creationId xmlns:a16="http://schemas.microsoft.com/office/drawing/2014/main" id="{00000000-0008-0000-0000-00005C64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353373" name="Oval 18">
          <a:extLst>
            <a:ext uri="{FF2B5EF4-FFF2-40B4-BE49-F238E27FC236}">
              <a16:creationId xmlns:a16="http://schemas.microsoft.com/office/drawing/2014/main" id="{00000000-0008-0000-0000-00005D64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53374" name="Oval 51">
          <a:extLst>
            <a:ext uri="{FF2B5EF4-FFF2-40B4-BE49-F238E27FC236}">
              <a16:creationId xmlns:a16="http://schemas.microsoft.com/office/drawing/2014/main" id="{00000000-0008-0000-0000-00005E64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167640</xdr:colOff>
      <xdr:row>11</xdr:row>
      <xdr:rowOff>16669</xdr:rowOff>
    </xdr:from>
    <xdr:to>
      <xdr:col>6</xdr:col>
      <xdr:colOff>0</xdr:colOff>
      <xdr:row>11</xdr:row>
      <xdr:rowOff>18312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/>
      </xdr:nvCxnSpPr>
      <xdr:spPr bwMode="auto">
        <a:xfrm flipV="1">
          <a:off x="996315" y="1540669"/>
          <a:ext cx="375285" cy="164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1431</xdr:colOff>
      <xdr:row>11</xdr:row>
      <xdr:rowOff>16403</xdr:rowOff>
    </xdr:from>
    <xdr:to>
      <xdr:col>12</xdr:col>
      <xdr:colOff>1468</xdr:colOff>
      <xdr:row>11</xdr:row>
      <xdr:rowOff>18515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/>
      </xdr:nvCxnSpPr>
      <xdr:spPr bwMode="auto">
        <a:xfrm>
          <a:off x="2096931" y="1543632"/>
          <a:ext cx="361664" cy="21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2224</xdr:colOff>
      <xdr:row>12</xdr:row>
      <xdr:rowOff>21431</xdr:rowOff>
    </xdr:from>
    <xdr:to>
      <xdr:col>9</xdr:col>
      <xdr:colOff>178594</xdr:colOff>
      <xdr:row>12</xdr:row>
      <xdr:rowOff>21697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CxnSpPr/>
      </xdr:nvCxnSpPr>
      <xdr:spPr bwMode="auto">
        <a:xfrm flipV="1">
          <a:off x="1735774" y="1583531"/>
          <a:ext cx="357345" cy="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4</xdr:col>
      <xdr:colOff>117230</xdr:colOff>
      <xdr:row>11</xdr:row>
      <xdr:rowOff>14652</xdr:rowOff>
    </xdr:from>
    <xdr:ext cx="329713" cy="196849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1135672" y="1545979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  <xdr:oneCellAnchor>
    <xdr:from>
      <xdr:col>8</xdr:col>
      <xdr:colOff>109902</xdr:colOff>
      <xdr:row>9</xdr:row>
      <xdr:rowOff>95249</xdr:rowOff>
    </xdr:from>
    <xdr:ext cx="329713" cy="196849"/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861037" y="1399441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  <xdr:oneCellAnchor>
    <xdr:from>
      <xdr:col>9</xdr:col>
      <xdr:colOff>117227</xdr:colOff>
      <xdr:row>11</xdr:row>
      <xdr:rowOff>7326</xdr:rowOff>
    </xdr:from>
    <xdr:ext cx="329713" cy="196849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2051535" y="1538653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0900" name="Rectangle 2">
          <a:extLst>
            <a:ext uri="{FF2B5EF4-FFF2-40B4-BE49-F238E27FC236}">
              <a16:creationId xmlns:a16="http://schemas.microsoft.com/office/drawing/2014/main" id="{00000000-0008-0000-0100-0000A433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0901" name="Oval 3">
          <a:extLst>
            <a:ext uri="{FF2B5EF4-FFF2-40B4-BE49-F238E27FC236}">
              <a16:creationId xmlns:a16="http://schemas.microsoft.com/office/drawing/2014/main" id="{00000000-0008-0000-0100-0000A533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0902" name="Oval 8">
          <a:extLst>
            <a:ext uri="{FF2B5EF4-FFF2-40B4-BE49-F238E27FC236}">
              <a16:creationId xmlns:a16="http://schemas.microsoft.com/office/drawing/2014/main" id="{00000000-0008-0000-0100-0000A633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0903" name="Oval 9">
          <a:extLst>
            <a:ext uri="{FF2B5EF4-FFF2-40B4-BE49-F238E27FC236}">
              <a16:creationId xmlns:a16="http://schemas.microsoft.com/office/drawing/2014/main" id="{00000000-0008-0000-0100-0000A733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0904" name="Oval 10">
          <a:extLst>
            <a:ext uri="{FF2B5EF4-FFF2-40B4-BE49-F238E27FC236}">
              <a16:creationId xmlns:a16="http://schemas.microsoft.com/office/drawing/2014/main" id="{00000000-0008-0000-0100-0000A833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0905" name="Oval 12">
          <a:extLst>
            <a:ext uri="{FF2B5EF4-FFF2-40B4-BE49-F238E27FC236}">
              <a16:creationId xmlns:a16="http://schemas.microsoft.com/office/drawing/2014/main" id="{00000000-0008-0000-0100-0000A933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0906" name="Oval 13">
          <a:extLst>
            <a:ext uri="{FF2B5EF4-FFF2-40B4-BE49-F238E27FC236}">
              <a16:creationId xmlns:a16="http://schemas.microsoft.com/office/drawing/2014/main" id="{00000000-0008-0000-0100-0000AA33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0907" name="Oval 14">
          <a:extLst>
            <a:ext uri="{FF2B5EF4-FFF2-40B4-BE49-F238E27FC236}">
              <a16:creationId xmlns:a16="http://schemas.microsoft.com/office/drawing/2014/main" id="{00000000-0008-0000-0100-0000AB33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0908" name="Oval 15">
          <a:extLst>
            <a:ext uri="{FF2B5EF4-FFF2-40B4-BE49-F238E27FC236}">
              <a16:creationId xmlns:a16="http://schemas.microsoft.com/office/drawing/2014/main" id="{00000000-0008-0000-0100-0000AC33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0909" name="Rectangle 16">
          <a:extLst>
            <a:ext uri="{FF2B5EF4-FFF2-40B4-BE49-F238E27FC236}">
              <a16:creationId xmlns:a16="http://schemas.microsoft.com/office/drawing/2014/main" id="{00000000-0008-0000-0100-0000AD33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0910" name="Oval 17">
          <a:extLst>
            <a:ext uri="{FF2B5EF4-FFF2-40B4-BE49-F238E27FC236}">
              <a16:creationId xmlns:a16="http://schemas.microsoft.com/office/drawing/2014/main" id="{00000000-0008-0000-0100-0000AE33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40911" name="Oval 18">
          <a:extLst>
            <a:ext uri="{FF2B5EF4-FFF2-40B4-BE49-F238E27FC236}">
              <a16:creationId xmlns:a16="http://schemas.microsoft.com/office/drawing/2014/main" id="{00000000-0008-0000-0100-0000AF33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0912" name="Oval 21">
          <a:extLst>
            <a:ext uri="{FF2B5EF4-FFF2-40B4-BE49-F238E27FC236}">
              <a16:creationId xmlns:a16="http://schemas.microsoft.com/office/drawing/2014/main" id="{00000000-0008-0000-0100-0000B033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0913" name="Oval 65">
          <a:extLst>
            <a:ext uri="{FF2B5EF4-FFF2-40B4-BE49-F238E27FC236}">
              <a16:creationId xmlns:a16="http://schemas.microsoft.com/office/drawing/2014/main" id="{00000000-0008-0000-0100-0000B133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0914" name="Oval 80">
          <a:extLst>
            <a:ext uri="{FF2B5EF4-FFF2-40B4-BE49-F238E27FC236}">
              <a16:creationId xmlns:a16="http://schemas.microsoft.com/office/drawing/2014/main" id="{00000000-0008-0000-0100-0000B233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15" name="AutoShape 102">
          <a:extLst>
            <a:ext uri="{FF2B5EF4-FFF2-40B4-BE49-F238E27FC236}">
              <a16:creationId xmlns:a16="http://schemas.microsoft.com/office/drawing/2014/main" id="{00000000-0008-0000-0100-0000B3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16" name="Rectangle 103">
          <a:extLst>
            <a:ext uri="{FF2B5EF4-FFF2-40B4-BE49-F238E27FC236}">
              <a16:creationId xmlns:a16="http://schemas.microsoft.com/office/drawing/2014/main" id="{00000000-0008-0000-0100-0000B4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17" name="Oval 104">
          <a:extLst>
            <a:ext uri="{FF2B5EF4-FFF2-40B4-BE49-F238E27FC236}">
              <a16:creationId xmlns:a16="http://schemas.microsoft.com/office/drawing/2014/main" id="{00000000-0008-0000-0100-0000B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18" name="AutoShape 105">
          <a:extLst>
            <a:ext uri="{FF2B5EF4-FFF2-40B4-BE49-F238E27FC236}">
              <a16:creationId xmlns:a16="http://schemas.microsoft.com/office/drawing/2014/main" id="{00000000-0008-0000-0100-0000B6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19" name="Rectangle 106">
          <a:extLst>
            <a:ext uri="{FF2B5EF4-FFF2-40B4-BE49-F238E27FC236}">
              <a16:creationId xmlns:a16="http://schemas.microsoft.com/office/drawing/2014/main" id="{00000000-0008-0000-0100-0000B7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20" name="Oval 107">
          <a:extLst>
            <a:ext uri="{FF2B5EF4-FFF2-40B4-BE49-F238E27FC236}">
              <a16:creationId xmlns:a16="http://schemas.microsoft.com/office/drawing/2014/main" id="{00000000-0008-0000-0100-0000B8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21" name="AutoShape 108">
          <a:extLst>
            <a:ext uri="{FF2B5EF4-FFF2-40B4-BE49-F238E27FC236}">
              <a16:creationId xmlns:a16="http://schemas.microsoft.com/office/drawing/2014/main" id="{00000000-0008-0000-0100-0000B9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22" name="Rectangle 109">
          <a:extLst>
            <a:ext uri="{FF2B5EF4-FFF2-40B4-BE49-F238E27FC236}">
              <a16:creationId xmlns:a16="http://schemas.microsoft.com/office/drawing/2014/main" id="{00000000-0008-0000-0100-0000B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23" name="Oval 110">
          <a:extLst>
            <a:ext uri="{FF2B5EF4-FFF2-40B4-BE49-F238E27FC236}">
              <a16:creationId xmlns:a16="http://schemas.microsoft.com/office/drawing/2014/main" id="{00000000-0008-0000-0100-0000B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24" name="AutoShape 111">
          <a:extLst>
            <a:ext uri="{FF2B5EF4-FFF2-40B4-BE49-F238E27FC236}">
              <a16:creationId xmlns:a16="http://schemas.microsoft.com/office/drawing/2014/main" id="{00000000-0008-0000-0100-0000BC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25" name="Rectangle 112">
          <a:extLst>
            <a:ext uri="{FF2B5EF4-FFF2-40B4-BE49-F238E27FC236}">
              <a16:creationId xmlns:a16="http://schemas.microsoft.com/office/drawing/2014/main" id="{00000000-0008-0000-0100-0000BD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26" name="Oval 113">
          <a:extLst>
            <a:ext uri="{FF2B5EF4-FFF2-40B4-BE49-F238E27FC236}">
              <a16:creationId xmlns:a16="http://schemas.microsoft.com/office/drawing/2014/main" id="{00000000-0008-0000-0100-0000BE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27" name="AutoShape 114">
          <a:extLst>
            <a:ext uri="{FF2B5EF4-FFF2-40B4-BE49-F238E27FC236}">
              <a16:creationId xmlns:a16="http://schemas.microsoft.com/office/drawing/2014/main" id="{00000000-0008-0000-0100-0000BF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28" name="Rectangle 115">
          <a:extLst>
            <a:ext uri="{FF2B5EF4-FFF2-40B4-BE49-F238E27FC236}">
              <a16:creationId xmlns:a16="http://schemas.microsoft.com/office/drawing/2014/main" id="{00000000-0008-0000-0100-0000C0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29" name="Oval 116">
          <a:extLst>
            <a:ext uri="{FF2B5EF4-FFF2-40B4-BE49-F238E27FC236}">
              <a16:creationId xmlns:a16="http://schemas.microsoft.com/office/drawing/2014/main" id="{00000000-0008-0000-0100-0000C1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30" name="AutoShape 117">
          <a:extLst>
            <a:ext uri="{FF2B5EF4-FFF2-40B4-BE49-F238E27FC236}">
              <a16:creationId xmlns:a16="http://schemas.microsoft.com/office/drawing/2014/main" id="{00000000-0008-0000-0100-0000C2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31" name="Rectangle 118">
          <a:extLst>
            <a:ext uri="{FF2B5EF4-FFF2-40B4-BE49-F238E27FC236}">
              <a16:creationId xmlns:a16="http://schemas.microsoft.com/office/drawing/2014/main" id="{00000000-0008-0000-0100-0000C3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32" name="Oval 119">
          <a:extLst>
            <a:ext uri="{FF2B5EF4-FFF2-40B4-BE49-F238E27FC236}">
              <a16:creationId xmlns:a16="http://schemas.microsoft.com/office/drawing/2014/main" id="{00000000-0008-0000-0100-0000C4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33" name="AutoShape 120">
          <a:extLst>
            <a:ext uri="{FF2B5EF4-FFF2-40B4-BE49-F238E27FC236}">
              <a16:creationId xmlns:a16="http://schemas.microsoft.com/office/drawing/2014/main" id="{00000000-0008-0000-0100-0000C5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34" name="Rectangle 121">
          <a:extLst>
            <a:ext uri="{FF2B5EF4-FFF2-40B4-BE49-F238E27FC236}">
              <a16:creationId xmlns:a16="http://schemas.microsoft.com/office/drawing/2014/main" id="{00000000-0008-0000-0100-0000C6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35" name="Oval 122">
          <a:extLst>
            <a:ext uri="{FF2B5EF4-FFF2-40B4-BE49-F238E27FC236}">
              <a16:creationId xmlns:a16="http://schemas.microsoft.com/office/drawing/2014/main" id="{00000000-0008-0000-0100-0000C7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36" name="AutoShape 123">
          <a:extLst>
            <a:ext uri="{FF2B5EF4-FFF2-40B4-BE49-F238E27FC236}">
              <a16:creationId xmlns:a16="http://schemas.microsoft.com/office/drawing/2014/main" id="{00000000-0008-0000-0100-0000C8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37" name="Rectangle 124">
          <a:extLst>
            <a:ext uri="{FF2B5EF4-FFF2-40B4-BE49-F238E27FC236}">
              <a16:creationId xmlns:a16="http://schemas.microsoft.com/office/drawing/2014/main" id="{00000000-0008-0000-0100-0000C9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38" name="Oval 125">
          <a:extLst>
            <a:ext uri="{FF2B5EF4-FFF2-40B4-BE49-F238E27FC236}">
              <a16:creationId xmlns:a16="http://schemas.microsoft.com/office/drawing/2014/main" id="{00000000-0008-0000-0100-0000CA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39" name="AutoShape 126">
          <a:extLst>
            <a:ext uri="{FF2B5EF4-FFF2-40B4-BE49-F238E27FC236}">
              <a16:creationId xmlns:a16="http://schemas.microsoft.com/office/drawing/2014/main" id="{00000000-0008-0000-0100-0000CB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40" name="Rectangle 127">
          <a:extLst>
            <a:ext uri="{FF2B5EF4-FFF2-40B4-BE49-F238E27FC236}">
              <a16:creationId xmlns:a16="http://schemas.microsoft.com/office/drawing/2014/main" id="{00000000-0008-0000-0100-0000CC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41" name="Oval 128">
          <a:extLst>
            <a:ext uri="{FF2B5EF4-FFF2-40B4-BE49-F238E27FC236}">
              <a16:creationId xmlns:a16="http://schemas.microsoft.com/office/drawing/2014/main" id="{00000000-0008-0000-0100-0000C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42" name="AutoShape 129">
          <a:extLst>
            <a:ext uri="{FF2B5EF4-FFF2-40B4-BE49-F238E27FC236}">
              <a16:creationId xmlns:a16="http://schemas.microsoft.com/office/drawing/2014/main" id="{00000000-0008-0000-0100-0000CE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43" name="Rectangle 130">
          <a:extLst>
            <a:ext uri="{FF2B5EF4-FFF2-40B4-BE49-F238E27FC236}">
              <a16:creationId xmlns:a16="http://schemas.microsoft.com/office/drawing/2014/main" id="{00000000-0008-0000-0100-0000CF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44" name="Oval 131">
          <a:extLst>
            <a:ext uri="{FF2B5EF4-FFF2-40B4-BE49-F238E27FC236}">
              <a16:creationId xmlns:a16="http://schemas.microsoft.com/office/drawing/2014/main" id="{00000000-0008-0000-0100-0000D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45" name="AutoShape 132">
          <a:extLst>
            <a:ext uri="{FF2B5EF4-FFF2-40B4-BE49-F238E27FC236}">
              <a16:creationId xmlns:a16="http://schemas.microsoft.com/office/drawing/2014/main" id="{00000000-0008-0000-0100-0000D1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46" name="Rectangle 133">
          <a:extLst>
            <a:ext uri="{FF2B5EF4-FFF2-40B4-BE49-F238E27FC236}">
              <a16:creationId xmlns:a16="http://schemas.microsoft.com/office/drawing/2014/main" id="{00000000-0008-0000-0100-0000D2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47" name="Oval 134">
          <a:extLst>
            <a:ext uri="{FF2B5EF4-FFF2-40B4-BE49-F238E27FC236}">
              <a16:creationId xmlns:a16="http://schemas.microsoft.com/office/drawing/2014/main" id="{00000000-0008-0000-0100-0000D3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48" name="AutoShape 135">
          <a:extLst>
            <a:ext uri="{FF2B5EF4-FFF2-40B4-BE49-F238E27FC236}">
              <a16:creationId xmlns:a16="http://schemas.microsoft.com/office/drawing/2014/main" id="{00000000-0008-0000-0100-0000D4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49" name="Rectangle 136">
          <a:extLst>
            <a:ext uri="{FF2B5EF4-FFF2-40B4-BE49-F238E27FC236}">
              <a16:creationId xmlns:a16="http://schemas.microsoft.com/office/drawing/2014/main" id="{00000000-0008-0000-0100-0000D5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50" name="Oval 137">
          <a:extLst>
            <a:ext uri="{FF2B5EF4-FFF2-40B4-BE49-F238E27FC236}">
              <a16:creationId xmlns:a16="http://schemas.microsoft.com/office/drawing/2014/main" id="{00000000-0008-0000-0100-0000D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51" name="AutoShape 138">
          <a:extLst>
            <a:ext uri="{FF2B5EF4-FFF2-40B4-BE49-F238E27FC236}">
              <a16:creationId xmlns:a16="http://schemas.microsoft.com/office/drawing/2014/main" id="{00000000-0008-0000-0100-0000D7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52" name="Rectangle 139">
          <a:extLst>
            <a:ext uri="{FF2B5EF4-FFF2-40B4-BE49-F238E27FC236}">
              <a16:creationId xmlns:a16="http://schemas.microsoft.com/office/drawing/2014/main" id="{00000000-0008-0000-0100-0000D8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53" name="Oval 140">
          <a:extLst>
            <a:ext uri="{FF2B5EF4-FFF2-40B4-BE49-F238E27FC236}">
              <a16:creationId xmlns:a16="http://schemas.microsoft.com/office/drawing/2014/main" id="{00000000-0008-0000-0100-0000D9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54" name="Rectangle 141">
          <a:extLst>
            <a:ext uri="{FF2B5EF4-FFF2-40B4-BE49-F238E27FC236}">
              <a16:creationId xmlns:a16="http://schemas.microsoft.com/office/drawing/2014/main" id="{00000000-0008-0000-0100-0000D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55" name="AutoShape 142">
          <a:extLst>
            <a:ext uri="{FF2B5EF4-FFF2-40B4-BE49-F238E27FC236}">
              <a16:creationId xmlns:a16="http://schemas.microsoft.com/office/drawing/2014/main" id="{00000000-0008-0000-0100-0000DB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56" name="Rectangle 143">
          <a:extLst>
            <a:ext uri="{FF2B5EF4-FFF2-40B4-BE49-F238E27FC236}">
              <a16:creationId xmlns:a16="http://schemas.microsoft.com/office/drawing/2014/main" id="{00000000-0008-0000-0100-0000DC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57" name="Oval 144">
          <a:extLst>
            <a:ext uri="{FF2B5EF4-FFF2-40B4-BE49-F238E27FC236}">
              <a16:creationId xmlns:a16="http://schemas.microsoft.com/office/drawing/2014/main" id="{00000000-0008-0000-0100-0000D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58" name="AutoShape 145">
          <a:extLst>
            <a:ext uri="{FF2B5EF4-FFF2-40B4-BE49-F238E27FC236}">
              <a16:creationId xmlns:a16="http://schemas.microsoft.com/office/drawing/2014/main" id="{00000000-0008-0000-0100-0000DE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59" name="Rectangle 146">
          <a:extLst>
            <a:ext uri="{FF2B5EF4-FFF2-40B4-BE49-F238E27FC236}">
              <a16:creationId xmlns:a16="http://schemas.microsoft.com/office/drawing/2014/main" id="{00000000-0008-0000-0100-0000DF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0" name="Oval 147">
          <a:extLst>
            <a:ext uri="{FF2B5EF4-FFF2-40B4-BE49-F238E27FC236}">
              <a16:creationId xmlns:a16="http://schemas.microsoft.com/office/drawing/2014/main" id="{00000000-0008-0000-0100-0000E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61" name="AutoShape 148">
          <a:extLst>
            <a:ext uri="{FF2B5EF4-FFF2-40B4-BE49-F238E27FC236}">
              <a16:creationId xmlns:a16="http://schemas.microsoft.com/office/drawing/2014/main" id="{00000000-0008-0000-0100-0000E1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62" name="Rectangle 149">
          <a:extLst>
            <a:ext uri="{FF2B5EF4-FFF2-40B4-BE49-F238E27FC236}">
              <a16:creationId xmlns:a16="http://schemas.microsoft.com/office/drawing/2014/main" id="{00000000-0008-0000-0100-0000E2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3" name="Oval 150">
          <a:extLst>
            <a:ext uri="{FF2B5EF4-FFF2-40B4-BE49-F238E27FC236}">
              <a16:creationId xmlns:a16="http://schemas.microsoft.com/office/drawing/2014/main" id="{00000000-0008-0000-0100-0000E3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4" name="Oval 151">
          <a:extLst>
            <a:ext uri="{FF2B5EF4-FFF2-40B4-BE49-F238E27FC236}">
              <a16:creationId xmlns:a16="http://schemas.microsoft.com/office/drawing/2014/main" id="{00000000-0008-0000-0100-0000E4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5" name="Oval 152">
          <a:extLst>
            <a:ext uri="{FF2B5EF4-FFF2-40B4-BE49-F238E27FC236}">
              <a16:creationId xmlns:a16="http://schemas.microsoft.com/office/drawing/2014/main" id="{00000000-0008-0000-0100-0000E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6" name="Oval 153">
          <a:extLst>
            <a:ext uri="{FF2B5EF4-FFF2-40B4-BE49-F238E27FC236}">
              <a16:creationId xmlns:a16="http://schemas.microsoft.com/office/drawing/2014/main" id="{00000000-0008-0000-0100-0000E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67" name="AutoShape 154">
          <a:extLst>
            <a:ext uri="{FF2B5EF4-FFF2-40B4-BE49-F238E27FC236}">
              <a16:creationId xmlns:a16="http://schemas.microsoft.com/office/drawing/2014/main" id="{00000000-0008-0000-0100-0000E7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68" name="Rectangle 155">
          <a:extLst>
            <a:ext uri="{FF2B5EF4-FFF2-40B4-BE49-F238E27FC236}">
              <a16:creationId xmlns:a16="http://schemas.microsoft.com/office/drawing/2014/main" id="{00000000-0008-0000-0100-0000E8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69" name="Oval 156">
          <a:extLst>
            <a:ext uri="{FF2B5EF4-FFF2-40B4-BE49-F238E27FC236}">
              <a16:creationId xmlns:a16="http://schemas.microsoft.com/office/drawing/2014/main" id="{00000000-0008-0000-0100-0000E9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0" name="Oval 157">
          <a:extLst>
            <a:ext uri="{FF2B5EF4-FFF2-40B4-BE49-F238E27FC236}">
              <a16:creationId xmlns:a16="http://schemas.microsoft.com/office/drawing/2014/main" id="{00000000-0008-0000-0100-0000EA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1" name="Oval 158">
          <a:extLst>
            <a:ext uri="{FF2B5EF4-FFF2-40B4-BE49-F238E27FC236}">
              <a16:creationId xmlns:a16="http://schemas.microsoft.com/office/drawing/2014/main" id="{00000000-0008-0000-0100-0000E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2" name="Oval 159">
          <a:extLst>
            <a:ext uri="{FF2B5EF4-FFF2-40B4-BE49-F238E27FC236}">
              <a16:creationId xmlns:a16="http://schemas.microsoft.com/office/drawing/2014/main" id="{00000000-0008-0000-0100-0000EC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73" name="AutoShape 160">
          <a:extLst>
            <a:ext uri="{FF2B5EF4-FFF2-40B4-BE49-F238E27FC236}">
              <a16:creationId xmlns:a16="http://schemas.microsoft.com/office/drawing/2014/main" id="{00000000-0008-0000-0100-0000ED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74" name="Rectangle 161">
          <a:extLst>
            <a:ext uri="{FF2B5EF4-FFF2-40B4-BE49-F238E27FC236}">
              <a16:creationId xmlns:a16="http://schemas.microsoft.com/office/drawing/2014/main" id="{00000000-0008-0000-0100-0000EE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5" name="Oval 162">
          <a:extLst>
            <a:ext uri="{FF2B5EF4-FFF2-40B4-BE49-F238E27FC236}">
              <a16:creationId xmlns:a16="http://schemas.microsoft.com/office/drawing/2014/main" id="{00000000-0008-0000-0100-0000EF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6" name="Oval 163">
          <a:extLst>
            <a:ext uri="{FF2B5EF4-FFF2-40B4-BE49-F238E27FC236}">
              <a16:creationId xmlns:a16="http://schemas.microsoft.com/office/drawing/2014/main" id="{00000000-0008-0000-0100-0000F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7" name="Oval 164">
          <a:extLst>
            <a:ext uri="{FF2B5EF4-FFF2-40B4-BE49-F238E27FC236}">
              <a16:creationId xmlns:a16="http://schemas.microsoft.com/office/drawing/2014/main" id="{00000000-0008-0000-0100-0000F1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78" name="Oval 165">
          <a:extLst>
            <a:ext uri="{FF2B5EF4-FFF2-40B4-BE49-F238E27FC236}">
              <a16:creationId xmlns:a16="http://schemas.microsoft.com/office/drawing/2014/main" id="{00000000-0008-0000-0100-0000F2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79" name="AutoShape 166">
          <a:extLst>
            <a:ext uri="{FF2B5EF4-FFF2-40B4-BE49-F238E27FC236}">
              <a16:creationId xmlns:a16="http://schemas.microsoft.com/office/drawing/2014/main" id="{00000000-0008-0000-0100-0000F3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80" name="Rectangle 167">
          <a:extLst>
            <a:ext uri="{FF2B5EF4-FFF2-40B4-BE49-F238E27FC236}">
              <a16:creationId xmlns:a16="http://schemas.microsoft.com/office/drawing/2014/main" id="{00000000-0008-0000-0100-0000F4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1" name="Oval 168">
          <a:extLst>
            <a:ext uri="{FF2B5EF4-FFF2-40B4-BE49-F238E27FC236}">
              <a16:creationId xmlns:a16="http://schemas.microsoft.com/office/drawing/2014/main" id="{00000000-0008-0000-0100-0000F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2" name="Oval 169">
          <a:extLst>
            <a:ext uri="{FF2B5EF4-FFF2-40B4-BE49-F238E27FC236}">
              <a16:creationId xmlns:a16="http://schemas.microsoft.com/office/drawing/2014/main" id="{00000000-0008-0000-0100-0000F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3" name="Oval 170">
          <a:extLst>
            <a:ext uri="{FF2B5EF4-FFF2-40B4-BE49-F238E27FC236}">
              <a16:creationId xmlns:a16="http://schemas.microsoft.com/office/drawing/2014/main" id="{00000000-0008-0000-0100-0000F7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4" name="Oval 171">
          <a:extLst>
            <a:ext uri="{FF2B5EF4-FFF2-40B4-BE49-F238E27FC236}">
              <a16:creationId xmlns:a16="http://schemas.microsoft.com/office/drawing/2014/main" id="{00000000-0008-0000-0100-0000F8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85" name="AutoShape 172">
          <a:extLst>
            <a:ext uri="{FF2B5EF4-FFF2-40B4-BE49-F238E27FC236}">
              <a16:creationId xmlns:a16="http://schemas.microsoft.com/office/drawing/2014/main" id="{00000000-0008-0000-0100-0000F9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0986" name="Rectangle 173">
          <a:extLst>
            <a:ext uri="{FF2B5EF4-FFF2-40B4-BE49-F238E27FC236}">
              <a16:creationId xmlns:a16="http://schemas.microsoft.com/office/drawing/2014/main" id="{00000000-0008-0000-0100-0000F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7" name="Oval 174">
          <a:extLst>
            <a:ext uri="{FF2B5EF4-FFF2-40B4-BE49-F238E27FC236}">
              <a16:creationId xmlns:a16="http://schemas.microsoft.com/office/drawing/2014/main" id="{00000000-0008-0000-0100-0000F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8" name="Oval 175">
          <a:extLst>
            <a:ext uri="{FF2B5EF4-FFF2-40B4-BE49-F238E27FC236}">
              <a16:creationId xmlns:a16="http://schemas.microsoft.com/office/drawing/2014/main" id="{00000000-0008-0000-0100-0000FC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89" name="Oval 176">
          <a:extLst>
            <a:ext uri="{FF2B5EF4-FFF2-40B4-BE49-F238E27FC236}">
              <a16:creationId xmlns:a16="http://schemas.microsoft.com/office/drawing/2014/main" id="{00000000-0008-0000-0100-0000F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0990" name="Oval 177">
          <a:extLst>
            <a:ext uri="{FF2B5EF4-FFF2-40B4-BE49-F238E27FC236}">
              <a16:creationId xmlns:a16="http://schemas.microsoft.com/office/drawing/2014/main" id="{00000000-0008-0000-0100-0000FE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0991" name="AutoShape 178">
          <a:extLst>
            <a:ext uri="{FF2B5EF4-FFF2-40B4-BE49-F238E27FC236}">
              <a16:creationId xmlns:a16="http://schemas.microsoft.com/office/drawing/2014/main" id="{00000000-0008-0000-0100-0000FF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04" name="Rectangle 179">
          <a:extLst>
            <a:ext uri="{FF2B5EF4-FFF2-40B4-BE49-F238E27FC236}">
              <a16:creationId xmlns:a16="http://schemas.microsoft.com/office/drawing/2014/main" id="{00000000-0008-0000-0100-000000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05" name="Oval 180">
          <a:extLst>
            <a:ext uri="{FF2B5EF4-FFF2-40B4-BE49-F238E27FC236}">
              <a16:creationId xmlns:a16="http://schemas.microsoft.com/office/drawing/2014/main" id="{00000000-0008-0000-0100-00000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06" name="Oval 181">
          <a:extLst>
            <a:ext uri="{FF2B5EF4-FFF2-40B4-BE49-F238E27FC236}">
              <a16:creationId xmlns:a16="http://schemas.microsoft.com/office/drawing/2014/main" id="{00000000-0008-0000-0100-00000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07" name="Oval 182">
          <a:extLst>
            <a:ext uri="{FF2B5EF4-FFF2-40B4-BE49-F238E27FC236}">
              <a16:creationId xmlns:a16="http://schemas.microsoft.com/office/drawing/2014/main" id="{00000000-0008-0000-0100-00000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08" name="Oval 183">
          <a:extLst>
            <a:ext uri="{FF2B5EF4-FFF2-40B4-BE49-F238E27FC236}">
              <a16:creationId xmlns:a16="http://schemas.microsoft.com/office/drawing/2014/main" id="{00000000-0008-0000-0100-00000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09" name="AutoShape 184">
          <a:extLst>
            <a:ext uri="{FF2B5EF4-FFF2-40B4-BE49-F238E27FC236}">
              <a16:creationId xmlns:a16="http://schemas.microsoft.com/office/drawing/2014/main" id="{00000000-0008-0000-0100-000005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10" name="Rectangle 185">
          <a:extLst>
            <a:ext uri="{FF2B5EF4-FFF2-40B4-BE49-F238E27FC236}">
              <a16:creationId xmlns:a16="http://schemas.microsoft.com/office/drawing/2014/main" id="{00000000-0008-0000-0100-000006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1" name="Oval 186">
          <a:extLst>
            <a:ext uri="{FF2B5EF4-FFF2-40B4-BE49-F238E27FC236}">
              <a16:creationId xmlns:a16="http://schemas.microsoft.com/office/drawing/2014/main" id="{00000000-0008-0000-0100-00000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2" name="Oval 187">
          <a:extLst>
            <a:ext uri="{FF2B5EF4-FFF2-40B4-BE49-F238E27FC236}">
              <a16:creationId xmlns:a16="http://schemas.microsoft.com/office/drawing/2014/main" id="{00000000-0008-0000-0100-00000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3" name="Oval 188">
          <a:extLst>
            <a:ext uri="{FF2B5EF4-FFF2-40B4-BE49-F238E27FC236}">
              <a16:creationId xmlns:a16="http://schemas.microsoft.com/office/drawing/2014/main" id="{00000000-0008-0000-0100-00000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4" name="Oval 189">
          <a:extLst>
            <a:ext uri="{FF2B5EF4-FFF2-40B4-BE49-F238E27FC236}">
              <a16:creationId xmlns:a16="http://schemas.microsoft.com/office/drawing/2014/main" id="{00000000-0008-0000-0100-00000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15" name="AutoShape 190">
          <a:extLst>
            <a:ext uri="{FF2B5EF4-FFF2-40B4-BE49-F238E27FC236}">
              <a16:creationId xmlns:a16="http://schemas.microsoft.com/office/drawing/2014/main" id="{00000000-0008-0000-0100-00000B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16" name="Rectangle 191">
          <a:extLst>
            <a:ext uri="{FF2B5EF4-FFF2-40B4-BE49-F238E27FC236}">
              <a16:creationId xmlns:a16="http://schemas.microsoft.com/office/drawing/2014/main" id="{00000000-0008-0000-0100-00000C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7" name="Oval 192">
          <a:extLst>
            <a:ext uri="{FF2B5EF4-FFF2-40B4-BE49-F238E27FC236}">
              <a16:creationId xmlns:a16="http://schemas.microsoft.com/office/drawing/2014/main" id="{00000000-0008-0000-0100-00000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8" name="Oval 193">
          <a:extLst>
            <a:ext uri="{FF2B5EF4-FFF2-40B4-BE49-F238E27FC236}">
              <a16:creationId xmlns:a16="http://schemas.microsoft.com/office/drawing/2014/main" id="{00000000-0008-0000-0100-00000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19" name="Oval 194">
          <a:extLst>
            <a:ext uri="{FF2B5EF4-FFF2-40B4-BE49-F238E27FC236}">
              <a16:creationId xmlns:a16="http://schemas.microsoft.com/office/drawing/2014/main" id="{00000000-0008-0000-0100-00000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0" name="Oval 195">
          <a:extLst>
            <a:ext uri="{FF2B5EF4-FFF2-40B4-BE49-F238E27FC236}">
              <a16:creationId xmlns:a16="http://schemas.microsoft.com/office/drawing/2014/main" id="{00000000-0008-0000-0100-00001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21" name="AutoShape 196">
          <a:extLst>
            <a:ext uri="{FF2B5EF4-FFF2-40B4-BE49-F238E27FC236}">
              <a16:creationId xmlns:a16="http://schemas.microsoft.com/office/drawing/2014/main" id="{00000000-0008-0000-0100-000011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22" name="Rectangle 197">
          <a:extLst>
            <a:ext uri="{FF2B5EF4-FFF2-40B4-BE49-F238E27FC236}">
              <a16:creationId xmlns:a16="http://schemas.microsoft.com/office/drawing/2014/main" id="{00000000-0008-0000-0100-000012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3" name="Oval 198">
          <a:extLst>
            <a:ext uri="{FF2B5EF4-FFF2-40B4-BE49-F238E27FC236}">
              <a16:creationId xmlns:a16="http://schemas.microsoft.com/office/drawing/2014/main" id="{00000000-0008-0000-0100-00001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4" name="Oval 199">
          <a:extLst>
            <a:ext uri="{FF2B5EF4-FFF2-40B4-BE49-F238E27FC236}">
              <a16:creationId xmlns:a16="http://schemas.microsoft.com/office/drawing/2014/main" id="{00000000-0008-0000-0100-00001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5" name="Oval 200">
          <a:extLst>
            <a:ext uri="{FF2B5EF4-FFF2-40B4-BE49-F238E27FC236}">
              <a16:creationId xmlns:a16="http://schemas.microsoft.com/office/drawing/2014/main" id="{00000000-0008-0000-0100-00001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6" name="Oval 201">
          <a:extLst>
            <a:ext uri="{FF2B5EF4-FFF2-40B4-BE49-F238E27FC236}">
              <a16:creationId xmlns:a16="http://schemas.microsoft.com/office/drawing/2014/main" id="{00000000-0008-0000-0100-00001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27" name="AutoShape 202">
          <a:extLst>
            <a:ext uri="{FF2B5EF4-FFF2-40B4-BE49-F238E27FC236}">
              <a16:creationId xmlns:a16="http://schemas.microsoft.com/office/drawing/2014/main" id="{00000000-0008-0000-0100-000017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28" name="Rectangle 203">
          <a:extLst>
            <a:ext uri="{FF2B5EF4-FFF2-40B4-BE49-F238E27FC236}">
              <a16:creationId xmlns:a16="http://schemas.microsoft.com/office/drawing/2014/main" id="{00000000-0008-0000-0100-000018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29" name="Oval 204">
          <a:extLst>
            <a:ext uri="{FF2B5EF4-FFF2-40B4-BE49-F238E27FC236}">
              <a16:creationId xmlns:a16="http://schemas.microsoft.com/office/drawing/2014/main" id="{00000000-0008-0000-0100-00001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0" name="Oval 205">
          <a:extLst>
            <a:ext uri="{FF2B5EF4-FFF2-40B4-BE49-F238E27FC236}">
              <a16:creationId xmlns:a16="http://schemas.microsoft.com/office/drawing/2014/main" id="{00000000-0008-0000-0100-00001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1" name="Oval 206">
          <a:extLst>
            <a:ext uri="{FF2B5EF4-FFF2-40B4-BE49-F238E27FC236}">
              <a16:creationId xmlns:a16="http://schemas.microsoft.com/office/drawing/2014/main" id="{00000000-0008-0000-0100-00001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2" name="Oval 207">
          <a:extLst>
            <a:ext uri="{FF2B5EF4-FFF2-40B4-BE49-F238E27FC236}">
              <a16:creationId xmlns:a16="http://schemas.microsoft.com/office/drawing/2014/main" id="{00000000-0008-0000-0100-00001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33" name="AutoShape 208">
          <a:extLst>
            <a:ext uri="{FF2B5EF4-FFF2-40B4-BE49-F238E27FC236}">
              <a16:creationId xmlns:a16="http://schemas.microsoft.com/office/drawing/2014/main" id="{00000000-0008-0000-0100-00001D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34" name="Rectangle 209">
          <a:extLst>
            <a:ext uri="{FF2B5EF4-FFF2-40B4-BE49-F238E27FC236}">
              <a16:creationId xmlns:a16="http://schemas.microsoft.com/office/drawing/2014/main" id="{00000000-0008-0000-0100-00001E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5" name="Oval 210">
          <a:extLst>
            <a:ext uri="{FF2B5EF4-FFF2-40B4-BE49-F238E27FC236}">
              <a16:creationId xmlns:a16="http://schemas.microsoft.com/office/drawing/2014/main" id="{00000000-0008-0000-0100-00001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6" name="Oval 211">
          <a:extLst>
            <a:ext uri="{FF2B5EF4-FFF2-40B4-BE49-F238E27FC236}">
              <a16:creationId xmlns:a16="http://schemas.microsoft.com/office/drawing/2014/main" id="{00000000-0008-0000-0100-00002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7" name="Oval 212">
          <a:extLst>
            <a:ext uri="{FF2B5EF4-FFF2-40B4-BE49-F238E27FC236}">
              <a16:creationId xmlns:a16="http://schemas.microsoft.com/office/drawing/2014/main" id="{00000000-0008-0000-0100-00002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38" name="Oval 213">
          <a:extLst>
            <a:ext uri="{FF2B5EF4-FFF2-40B4-BE49-F238E27FC236}">
              <a16:creationId xmlns:a16="http://schemas.microsoft.com/office/drawing/2014/main" id="{00000000-0008-0000-0100-00002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39" name="AutoShape 214">
          <a:extLst>
            <a:ext uri="{FF2B5EF4-FFF2-40B4-BE49-F238E27FC236}">
              <a16:creationId xmlns:a16="http://schemas.microsoft.com/office/drawing/2014/main" id="{00000000-0008-0000-0100-000023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40" name="Rectangle 215">
          <a:extLst>
            <a:ext uri="{FF2B5EF4-FFF2-40B4-BE49-F238E27FC236}">
              <a16:creationId xmlns:a16="http://schemas.microsoft.com/office/drawing/2014/main" id="{00000000-0008-0000-0100-00002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1" name="Oval 216">
          <a:extLst>
            <a:ext uri="{FF2B5EF4-FFF2-40B4-BE49-F238E27FC236}">
              <a16:creationId xmlns:a16="http://schemas.microsoft.com/office/drawing/2014/main" id="{00000000-0008-0000-0100-00002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2" name="Oval 217">
          <a:extLst>
            <a:ext uri="{FF2B5EF4-FFF2-40B4-BE49-F238E27FC236}">
              <a16:creationId xmlns:a16="http://schemas.microsoft.com/office/drawing/2014/main" id="{00000000-0008-0000-0100-00002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3" name="Oval 218">
          <a:extLst>
            <a:ext uri="{FF2B5EF4-FFF2-40B4-BE49-F238E27FC236}">
              <a16:creationId xmlns:a16="http://schemas.microsoft.com/office/drawing/2014/main" id="{00000000-0008-0000-0100-00002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4" name="Oval 219">
          <a:extLst>
            <a:ext uri="{FF2B5EF4-FFF2-40B4-BE49-F238E27FC236}">
              <a16:creationId xmlns:a16="http://schemas.microsoft.com/office/drawing/2014/main" id="{00000000-0008-0000-0100-00002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45" name="AutoShape 220">
          <a:extLst>
            <a:ext uri="{FF2B5EF4-FFF2-40B4-BE49-F238E27FC236}">
              <a16:creationId xmlns:a16="http://schemas.microsoft.com/office/drawing/2014/main" id="{00000000-0008-0000-0100-000029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46" name="Rectangle 221">
          <a:extLst>
            <a:ext uri="{FF2B5EF4-FFF2-40B4-BE49-F238E27FC236}">
              <a16:creationId xmlns:a16="http://schemas.microsoft.com/office/drawing/2014/main" id="{00000000-0008-0000-0100-00002A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7" name="Oval 222">
          <a:extLst>
            <a:ext uri="{FF2B5EF4-FFF2-40B4-BE49-F238E27FC236}">
              <a16:creationId xmlns:a16="http://schemas.microsoft.com/office/drawing/2014/main" id="{00000000-0008-0000-0100-00002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8" name="Oval 223">
          <a:extLst>
            <a:ext uri="{FF2B5EF4-FFF2-40B4-BE49-F238E27FC236}">
              <a16:creationId xmlns:a16="http://schemas.microsoft.com/office/drawing/2014/main" id="{00000000-0008-0000-0100-00002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49" name="Oval 224">
          <a:extLst>
            <a:ext uri="{FF2B5EF4-FFF2-40B4-BE49-F238E27FC236}">
              <a16:creationId xmlns:a16="http://schemas.microsoft.com/office/drawing/2014/main" id="{00000000-0008-0000-0100-00002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0" name="Oval 225">
          <a:extLst>
            <a:ext uri="{FF2B5EF4-FFF2-40B4-BE49-F238E27FC236}">
              <a16:creationId xmlns:a16="http://schemas.microsoft.com/office/drawing/2014/main" id="{00000000-0008-0000-0100-00002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51" name="AutoShape 226">
          <a:extLst>
            <a:ext uri="{FF2B5EF4-FFF2-40B4-BE49-F238E27FC236}">
              <a16:creationId xmlns:a16="http://schemas.microsoft.com/office/drawing/2014/main" id="{00000000-0008-0000-0100-00002F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52" name="Rectangle 227">
          <a:extLst>
            <a:ext uri="{FF2B5EF4-FFF2-40B4-BE49-F238E27FC236}">
              <a16:creationId xmlns:a16="http://schemas.microsoft.com/office/drawing/2014/main" id="{00000000-0008-0000-0100-000030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3" name="Oval 228">
          <a:extLst>
            <a:ext uri="{FF2B5EF4-FFF2-40B4-BE49-F238E27FC236}">
              <a16:creationId xmlns:a16="http://schemas.microsoft.com/office/drawing/2014/main" id="{00000000-0008-0000-0100-00003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4" name="Oval 229">
          <a:extLst>
            <a:ext uri="{FF2B5EF4-FFF2-40B4-BE49-F238E27FC236}">
              <a16:creationId xmlns:a16="http://schemas.microsoft.com/office/drawing/2014/main" id="{00000000-0008-0000-0100-00003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5" name="Oval 230">
          <a:extLst>
            <a:ext uri="{FF2B5EF4-FFF2-40B4-BE49-F238E27FC236}">
              <a16:creationId xmlns:a16="http://schemas.microsoft.com/office/drawing/2014/main" id="{00000000-0008-0000-0100-00003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6" name="Oval 231">
          <a:extLst>
            <a:ext uri="{FF2B5EF4-FFF2-40B4-BE49-F238E27FC236}">
              <a16:creationId xmlns:a16="http://schemas.microsoft.com/office/drawing/2014/main" id="{00000000-0008-0000-0100-00003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57" name="AutoShape 232">
          <a:extLst>
            <a:ext uri="{FF2B5EF4-FFF2-40B4-BE49-F238E27FC236}">
              <a16:creationId xmlns:a16="http://schemas.microsoft.com/office/drawing/2014/main" id="{00000000-0008-0000-0100-000035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58" name="Rectangle 233">
          <a:extLst>
            <a:ext uri="{FF2B5EF4-FFF2-40B4-BE49-F238E27FC236}">
              <a16:creationId xmlns:a16="http://schemas.microsoft.com/office/drawing/2014/main" id="{00000000-0008-0000-0100-000036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59" name="Oval 234">
          <a:extLst>
            <a:ext uri="{FF2B5EF4-FFF2-40B4-BE49-F238E27FC236}">
              <a16:creationId xmlns:a16="http://schemas.microsoft.com/office/drawing/2014/main" id="{00000000-0008-0000-0100-00003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0" name="Oval 235">
          <a:extLst>
            <a:ext uri="{FF2B5EF4-FFF2-40B4-BE49-F238E27FC236}">
              <a16:creationId xmlns:a16="http://schemas.microsoft.com/office/drawing/2014/main" id="{00000000-0008-0000-0100-00003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1" name="Oval 236">
          <a:extLst>
            <a:ext uri="{FF2B5EF4-FFF2-40B4-BE49-F238E27FC236}">
              <a16:creationId xmlns:a16="http://schemas.microsoft.com/office/drawing/2014/main" id="{00000000-0008-0000-0100-00003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2" name="Oval 237">
          <a:extLst>
            <a:ext uri="{FF2B5EF4-FFF2-40B4-BE49-F238E27FC236}">
              <a16:creationId xmlns:a16="http://schemas.microsoft.com/office/drawing/2014/main" id="{00000000-0008-0000-0100-00003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63" name="AutoShape 238">
          <a:extLst>
            <a:ext uri="{FF2B5EF4-FFF2-40B4-BE49-F238E27FC236}">
              <a16:creationId xmlns:a16="http://schemas.microsoft.com/office/drawing/2014/main" id="{00000000-0008-0000-0100-00003B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64" name="Rectangle 239">
          <a:extLst>
            <a:ext uri="{FF2B5EF4-FFF2-40B4-BE49-F238E27FC236}">
              <a16:creationId xmlns:a16="http://schemas.microsoft.com/office/drawing/2014/main" id="{00000000-0008-0000-0100-00003C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5" name="Oval 240">
          <a:extLst>
            <a:ext uri="{FF2B5EF4-FFF2-40B4-BE49-F238E27FC236}">
              <a16:creationId xmlns:a16="http://schemas.microsoft.com/office/drawing/2014/main" id="{00000000-0008-0000-0100-00003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6" name="Oval 241">
          <a:extLst>
            <a:ext uri="{FF2B5EF4-FFF2-40B4-BE49-F238E27FC236}">
              <a16:creationId xmlns:a16="http://schemas.microsoft.com/office/drawing/2014/main" id="{00000000-0008-0000-0100-00003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7" name="Oval 242">
          <a:extLst>
            <a:ext uri="{FF2B5EF4-FFF2-40B4-BE49-F238E27FC236}">
              <a16:creationId xmlns:a16="http://schemas.microsoft.com/office/drawing/2014/main" id="{00000000-0008-0000-0100-00003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68" name="Oval 243">
          <a:extLst>
            <a:ext uri="{FF2B5EF4-FFF2-40B4-BE49-F238E27FC236}">
              <a16:creationId xmlns:a16="http://schemas.microsoft.com/office/drawing/2014/main" id="{00000000-0008-0000-0100-00004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69" name="AutoShape 244">
          <a:extLst>
            <a:ext uri="{FF2B5EF4-FFF2-40B4-BE49-F238E27FC236}">
              <a16:creationId xmlns:a16="http://schemas.microsoft.com/office/drawing/2014/main" id="{00000000-0008-0000-0100-000041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70" name="Rectangle 245">
          <a:extLst>
            <a:ext uri="{FF2B5EF4-FFF2-40B4-BE49-F238E27FC236}">
              <a16:creationId xmlns:a16="http://schemas.microsoft.com/office/drawing/2014/main" id="{00000000-0008-0000-0100-000042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1" name="Oval 246">
          <a:extLst>
            <a:ext uri="{FF2B5EF4-FFF2-40B4-BE49-F238E27FC236}">
              <a16:creationId xmlns:a16="http://schemas.microsoft.com/office/drawing/2014/main" id="{00000000-0008-0000-0100-00004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2" name="Oval 247">
          <a:extLst>
            <a:ext uri="{FF2B5EF4-FFF2-40B4-BE49-F238E27FC236}">
              <a16:creationId xmlns:a16="http://schemas.microsoft.com/office/drawing/2014/main" id="{00000000-0008-0000-0100-00004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3" name="Oval 248">
          <a:extLst>
            <a:ext uri="{FF2B5EF4-FFF2-40B4-BE49-F238E27FC236}">
              <a16:creationId xmlns:a16="http://schemas.microsoft.com/office/drawing/2014/main" id="{00000000-0008-0000-0100-00004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4" name="Oval 249">
          <a:extLst>
            <a:ext uri="{FF2B5EF4-FFF2-40B4-BE49-F238E27FC236}">
              <a16:creationId xmlns:a16="http://schemas.microsoft.com/office/drawing/2014/main" id="{00000000-0008-0000-0100-00004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75" name="AutoShape 250">
          <a:extLst>
            <a:ext uri="{FF2B5EF4-FFF2-40B4-BE49-F238E27FC236}">
              <a16:creationId xmlns:a16="http://schemas.microsoft.com/office/drawing/2014/main" id="{00000000-0008-0000-0100-000047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76" name="Rectangle 251">
          <a:extLst>
            <a:ext uri="{FF2B5EF4-FFF2-40B4-BE49-F238E27FC236}">
              <a16:creationId xmlns:a16="http://schemas.microsoft.com/office/drawing/2014/main" id="{00000000-0008-0000-0100-000048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7" name="Oval 252">
          <a:extLst>
            <a:ext uri="{FF2B5EF4-FFF2-40B4-BE49-F238E27FC236}">
              <a16:creationId xmlns:a16="http://schemas.microsoft.com/office/drawing/2014/main" id="{00000000-0008-0000-0100-00004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8" name="Oval 253">
          <a:extLst>
            <a:ext uri="{FF2B5EF4-FFF2-40B4-BE49-F238E27FC236}">
              <a16:creationId xmlns:a16="http://schemas.microsoft.com/office/drawing/2014/main" id="{00000000-0008-0000-0100-00004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79" name="Oval 254">
          <a:extLst>
            <a:ext uri="{FF2B5EF4-FFF2-40B4-BE49-F238E27FC236}">
              <a16:creationId xmlns:a16="http://schemas.microsoft.com/office/drawing/2014/main" id="{00000000-0008-0000-0100-00004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0" name="Oval 255">
          <a:extLst>
            <a:ext uri="{FF2B5EF4-FFF2-40B4-BE49-F238E27FC236}">
              <a16:creationId xmlns:a16="http://schemas.microsoft.com/office/drawing/2014/main" id="{00000000-0008-0000-0100-00004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81" name="AutoShape 256">
          <a:extLst>
            <a:ext uri="{FF2B5EF4-FFF2-40B4-BE49-F238E27FC236}">
              <a16:creationId xmlns:a16="http://schemas.microsoft.com/office/drawing/2014/main" id="{00000000-0008-0000-0100-00004D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82" name="Rectangle 257">
          <a:extLst>
            <a:ext uri="{FF2B5EF4-FFF2-40B4-BE49-F238E27FC236}">
              <a16:creationId xmlns:a16="http://schemas.microsoft.com/office/drawing/2014/main" id="{00000000-0008-0000-0100-00004E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3" name="Oval 258">
          <a:extLst>
            <a:ext uri="{FF2B5EF4-FFF2-40B4-BE49-F238E27FC236}">
              <a16:creationId xmlns:a16="http://schemas.microsoft.com/office/drawing/2014/main" id="{00000000-0008-0000-0100-00004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4" name="Oval 259">
          <a:extLst>
            <a:ext uri="{FF2B5EF4-FFF2-40B4-BE49-F238E27FC236}">
              <a16:creationId xmlns:a16="http://schemas.microsoft.com/office/drawing/2014/main" id="{00000000-0008-0000-0100-00005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5" name="Oval 260">
          <a:extLst>
            <a:ext uri="{FF2B5EF4-FFF2-40B4-BE49-F238E27FC236}">
              <a16:creationId xmlns:a16="http://schemas.microsoft.com/office/drawing/2014/main" id="{00000000-0008-0000-0100-00005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6" name="Oval 261">
          <a:extLst>
            <a:ext uri="{FF2B5EF4-FFF2-40B4-BE49-F238E27FC236}">
              <a16:creationId xmlns:a16="http://schemas.microsoft.com/office/drawing/2014/main" id="{00000000-0008-0000-0100-00005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87" name="AutoShape 262">
          <a:extLst>
            <a:ext uri="{FF2B5EF4-FFF2-40B4-BE49-F238E27FC236}">
              <a16:creationId xmlns:a16="http://schemas.microsoft.com/office/drawing/2014/main" id="{00000000-0008-0000-0100-000053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88" name="Rectangle 263">
          <a:extLst>
            <a:ext uri="{FF2B5EF4-FFF2-40B4-BE49-F238E27FC236}">
              <a16:creationId xmlns:a16="http://schemas.microsoft.com/office/drawing/2014/main" id="{00000000-0008-0000-0100-00005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89" name="Oval 264">
          <a:extLst>
            <a:ext uri="{FF2B5EF4-FFF2-40B4-BE49-F238E27FC236}">
              <a16:creationId xmlns:a16="http://schemas.microsoft.com/office/drawing/2014/main" id="{00000000-0008-0000-0100-00005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0" name="Oval 265">
          <a:extLst>
            <a:ext uri="{FF2B5EF4-FFF2-40B4-BE49-F238E27FC236}">
              <a16:creationId xmlns:a16="http://schemas.microsoft.com/office/drawing/2014/main" id="{00000000-0008-0000-0100-00005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1" name="Oval 266">
          <a:extLst>
            <a:ext uri="{FF2B5EF4-FFF2-40B4-BE49-F238E27FC236}">
              <a16:creationId xmlns:a16="http://schemas.microsoft.com/office/drawing/2014/main" id="{00000000-0008-0000-0100-00005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2" name="Oval 267">
          <a:extLst>
            <a:ext uri="{FF2B5EF4-FFF2-40B4-BE49-F238E27FC236}">
              <a16:creationId xmlns:a16="http://schemas.microsoft.com/office/drawing/2014/main" id="{00000000-0008-0000-0100-00005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4393" name="AutoShape 268">
          <a:extLst>
            <a:ext uri="{FF2B5EF4-FFF2-40B4-BE49-F238E27FC236}">
              <a16:creationId xmlns:a16="http://schemas.microsoft.com/office/drawing/2014/main" id="{00000000-0008-0000-0100-000059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94" name="Rectangle 269">
          <a:extLst>
            <a:ext uri="{FF2B5EF4-FFF2-40B4-BE49-F238E27FC236}">
              <a16:creationId xmlns:a16="http://schemas.microsoft.com/office/drawing/2014/main" id="{00000000-0008-0000-0100-00005A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5" name="Oval 270">
          <a:extLst>
            <a:ext uri="{FF2B5EF4-FFF2-40B4-BE49-F238E27FC236}">
              <a16:creationId xmlns:a16="http://schemas.microsoft.com/office/drawing/2014/main" id="{00000000-0008-0000-0100-00005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6" name="Oval 271">
          <a:extLst>
            <a:ext uri="{FF2B5EF4-FFF2-40B4-BE49-F238E27FC236}">
              <a16:creationId xmlns:a16="http://schemas.microsoft.com/office/drawing/2014/main" id="{00000000-0008-0000-0100-00005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7" name="Oval 272">
          <a:extLst>
            <a:ext uri="{FF2B5EF4-FFF2-40B4-BE49-F238E27FC236}">
              <a16:creationId xmlns:a16="http://schemas.microsoft.com/office/drawing/2014/main" id="{00000000-0008-0000-0100-00005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398" name="Oval 273">
          <a:extLst>
            <a:ext uri="{FF2B5EF4-FFF2-40B4-BE49-F238E27FC236}">
              <a16:creationId xmlns:a16="http://schemas.microsoft.com/office/drawing/2014/main" id="{00000000-0008-0000-0100-00005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399" name="Rectangle 274">
          <a:extLst>
            <a:ext uri="{FF2B5EF4-FFF2-40B4-BE49-F238E27FC236}">
              <a16:creationId xmlns:a16="http://schemas.microsoft.com/office/drawing/2014/main" id="{00000000-0008-0000-0100-00005F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0" name="Oval 275">
          <a:extLst>
            <a:ext uri="{FF2B5EF4-FFF2-40B4-BE49-F238E27FC236}">
              <a16:creationId xmlns:a16="http://schemas.microsoft.com/office/drawing/2014/main" id="{00000000-0008-0000-0100-00006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1" name="Oval 276">
          <a:extLst>
            <a:ext uri="{FF2B5EF4-FFF2-40B4-BE49-F238E27FC236}">
              <a16:creationId xmlns:a16="http://schemas.microsoft.com/office/drawing/2014/main" id="{00000000-0008-0000-0100-00006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2" name="Oval 277">
          <a:extLst>
            <a:ext uri="{FF2B5EF4-FFF2-40B4-BE49-F238E27FC236}">
              <a16:creationId xmlns:a16="http://schemas.microsoft.com/office/drawing/2014/main" id="{00000000-0008-0000-0100-00006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3" name="Oval 278">
          <a:extLst>
            <a:ext uri="{FF2B5EF4-FFF2-40B4-BE49-F238E27FC236}">
              <a16:creationId xmlns:a16="http://schemas.microsoft.com/office/drawing/2014/main" id="{00000000-0008-0000-0100-00006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4404" name="Rectangle 279">
          <a:extLst>
            <a:ext uri="{FF2B5EF4-FFF2-40B4-BE49-F238E27FC236}">
              <a16:creationId xmlns:a16="http://schemas.microsoft.com/office/drawing/2014/main" id="{00000000-0008-0000-0100-00006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5" name="Oval 280">
          <a:extLst>
            <a:ext uri="{FF2B5EF4-FFF2-40B4-BE49-F238E27FC236}">
              <a16:creationId xmlns:a16="http://schemas.microsoft.com/office/drawing/2014/main" id="{00000000-0008-0000-0100-00006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6" name="Oval 281">
          <a:extLst>
            <a:ext uri="{FF2B5EF4-FFF2-40B4-BE49-F238E27FC236}">
              <a16:creationId xmlns:a16="http://schemas.microsoft.com/office/drawing/2014/main" id="{00000000-0008-0000-0100-00006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7" name="Oval 282">
          <a:extLst>
            <a:ext uri="{FF2B5EF4-FFF2-40B4-BE49-F238E27FC236}">
              <a16:creationId xmlns:a16="http://schemas.microsoft.com/office/drawing/2014/main" id="{00000000-0008-0000-0100-00006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4408" name="Oval 283">
          <a:extLst>
            <a:ext uri="{FF2B5EF4-FFF2-40B4-BE49-F238E27FC236}">
              <a16:creationId xmlns:a16="http://schemas.microsoft.com/office/drawing/2014/main" id="{00000000-0008-0000-0100-00006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4409" name="Rectangle 285">
          <a:extLst>
            <a:ext uri="{FF2B5EF4-FFF2-40B4-BE49-F238E27FC236}">
              <a16:creationId xmlns:a16="http://schemas.microsoft.com/office/drawing/2014/main" id="{00000000-0008-0000-0100-00006968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4410" name="Rectangle 287">
          <a:extLst>
            <a:ext uri="{FF2B5EF4-FFF2-40B4-BE49-F238E27FC236}">
              <a16:creationId xmlns:a16="http://schemas.microsoft.com/office/drawing/2014/main" id="{00000000-0008-0000-0100-00006A68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4411" name="Rectangle 289">
          <a:extLst>
            <a:ext uri="{FF2B5EF4-FFF2-40B4-BE49-F238E27FC236}">
              <a16:creationId xmlns:a16="http://schemas.microsoft.com/office/drawing/2014/main" id="{00000000-0008-0000-0100-00006B68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4412" name="Rectangle 291">
          <a:extLst>
            <a:ext uri="{FF2B5EF4-FFF2-40B4-BE49-F238E27FC236}">
              <a16:creationId xmlns:a16="http://schemas.microsoft.com/office/drawing/2014/main" id="{00000000-0008-0000-0100-00006C68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4413" name="Rectangle 293">
          <a:extLst>
            <a:ext uri="{FF2B5EF4-FFF2-40B4-BE49-F238E27FC236}">
              <a16:creationId xmlns:a16="http://schemas.microsoft.com/office/drawing/2014/main" id="{00000000-0008-0000-0100-00006D68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4414" name="Rectangle 295">
          <a:extLst>
            <a:ext uri="{FF2B5EF4-FFF2-40B4-BE49-F238E27FC236}">
              <a16:creationId xmlns:a16="http://schemas.microsoft.com/office/drawing/2014/main" id="{00000000-0008-0000-0100-00006E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4415" name="Rectangle 297">
          <a:extLst>
            <a:ext uri="{FF2B5EF4-FFF2-40B4-BE49-F238E27FC236}">
              <a16:creationId xmlns:a16="http://schemas.microsoft.com/office/drawing/2014/main" id="{00000000-0008-0000-0100-00006F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4416" name="Rectangle 299">
          <a:extLst>
            <a:ext uri="{FF2B5EF4-FFF2-40B4-BE49-F238E27FC236}">
              <a16:creationId xmlns:a16="http://schemas.microsoft.com/office/drawing/2014/main" id="{00000000-0008-0000-0100-000070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4417" name="Rectangle 301">
          <a:extLst>
            <a:ext uri="{FF2B5EF4-FFF2-40B4-BE49-F238E27FC236}">
              <a16:creationId xmlns:a16="http://schemas.microsoft.com/office/drawing/2014/main" id="{00000000-0008-0000-0100-000071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4418" name="Rectangle 303">
          <a:extLst>
            <a:ext uri="{FF2B5EF4-FFF2-40B4-BE49-F238E27FC236}">
              <a16:creationId xmlns:a16="http://schemas.microsoft.com/office/drawing/2014/main" id="{00000000-0008-0000-0100-000072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4419" name="Rectangle 305">
          <a:extLst>
            <a:ext uri="{FF2B5EF4-FFF2-40B4-BE49-F238E27FC236}">
              <a16:creationId xmlns:a16="http://schemas.microsoft.com/office/drawing/2014/main" id="{00000000-0008-0000-0100-000073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4420" name="Rectangle 307">
          <a:extLst>
            <a:ext uri="{FF2B5EF4-FFF2-40B4-BE49-F238E27FC236}">
              <a16:creationId xmlns:a16="http://schemas.microsoft.com/office/drawing/2014/main" id="{00000000-0008-0000-0100-000074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54421" name="フリーフォーム 311">
          <a:extLst>
            <a:ext uri="{FF2B5EF4-FFF2-40B4-BE49-F238E27FC236}">
              <a16:creationId xmlns:a16="http://schemas.microsoft.com/office/drawing/2014/main" id="{00000000-0008-0000-0100-00007568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54422" name="フリーフォーム 312">
          <a:extLst>
            <a:ext uri="{FF2B5EF4-FFF2-40B4-BE49-F238E27FC236}">
              <a16:creationId xmlns:a16="http://schemas.microsoft.com/office/drawing/2014/main" id="{00000000-0008-0000-0100-00007668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54423" name="フリーフォーム 313">
          <a:extLst>
            <a:ext uri="{FF2B5EF4-FFF2-40B4-BE49-F238E27FC236}">
              <a16:creationId xmlns:a16="http://schemas.microsoft.com/office/drawing/2014/main" id="{00000000-0008-0000-0100-00007768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54424" name="フリーフォーム 314">
          <a:extLst>
            <a:ext uri="{FF2B5EF4-FFF2-40B4-BE49-F238E27FC236}">
              <a16:creationId xmlns:a16="http://schemas.microsoft.com/office/drawing/2014/main" id="{00000000-0008-0000-0100-00007868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54425" name="フリーフォーム 315">
          <a:extLst>
            <a:ext uri="{FF2B5EF4-FFF2-40B4-BE49-F238E27FC236}">
              <a16:creationId xmlns:a16="http://schemas.microsoft.com/office/drawing/2014/main" id="{00000000-0008-0000-0100-00007968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54426" name="フリーフォーム 316">
          <a:extLst>
            <a:ext uri="{FF2B5EF4-FFF2-40B4-BE49-F238E27FC236}">
              <a16:creationId xmlns:a16="http://schemas.microsoft.com/office/drawing/2014/main" id="{00000000-0008-0000-0100-00007A68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54427" name="フリーフォーム 317">
          <a:extLst>
            <a:ext uri="{FF2B5EF4-FFF2-40B4-BE49-F238E27FC236}">
              <a16:creationId xmlns:a16="http://schemas.microsoft.com/office/drawing/2014/main" id="{00000000-0008-0000-0100-00007B68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54428" name="フリーフォーム 319">
          <a:extLst>
            <a:ext uri="{FF2B5EF4-FFF2-40B4-BE49-F238E27FC236}">
              <a16:creationId xmlns:a16="http://schemas.microsoft.com/office/drawing/2014/main" id="{00000000-0008-0000-0100-00007C68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54429" name="フリーフォーム 320">
          <a:extLst>
            <a:ext uri="{FF2B5EF4-FFF2-40B4-BE49-F238E27FC236}">
              <a16:creationId xmlns:a16="http://schemas.microsoft.com/office/drawing/2014/main" id="{00000000-0008-0000-0100-00007D68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4430" name="フリーフォーム 321">
          <a:extLst>
            <a:ext uri="{FF2B5EF4-FFF2-40B4-BE49-F238E27FC236}">
              <a16:creationId xmlns:a16="http://schemas.microsoft.com/office/drawing/2014/main" id="{00000000-0008-0000-0100-00007E68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54431" name="フリーフォーム 322">
          <a:extLst>
            <a:ext uri="{FF2B5EF4-FFF2-40B4-BE49-F238E27FC236}">
              <a16:creationId xmlns:a16="http://schemas.microsoft.com/office/drawing/2014/main" id="{00000000-0008-0000-0100-00007F68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4432" name="Rectangle 2">
          <a:extLst>
            <a:ext uri="{FF2B5EF4-FFF2-40B4-BE49-F238E27FC236}">
              <a16:creationId xmlns:a16="http://schemas.microsoft.com/office/drawing/2014/main" id="{00000000-0008-0000-0100-00008068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4433" name="Rectangle 2">
          <a:extLst>
            <a:ext uri="{FF2B5EF4-FFF2-40B4-BE49-F238E27FC236}">
              <a16:creationId xmlns:a16="http://schemas.microsoft.com/office/drawing/2014/main" id="{00000000-0008-0000-0100-00008168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4434" name="Rectangle 2">
          <a:extLst>
            <a:ext uri="{FF2B5EF4-FFF2-40B4-BE49-F238E27FC236}">
              <a16:creationId xmlns:a16="http://schemas.microsoft.com/office/drawing/2014/main" id="{00000000-0008-0000-0100-00008268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4435" name="Rectangle 2">
          <a:extLst>
            <a:ext uri="{FF2B5EF4-FFF2-40B4-BE49-F238E27FC236}">
              <a16:creationId xmlns:a16="http://schemas.microsoft.com/office/drawing/2014/main" id="{00000000-0008-0000-0100-00008368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4436" name="Rectangle 2">
          <a:extLst>
            <a:ext uri="{FF2B5EF4-FFF2-40B4-BE49-F238E27FC236}">
              <a16:creationId xmlns:a16="http://schemas.microsoft.com/office/drawing/2014/main" id="{00000000-0008-0000-0100-00008468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4437" name="Rectangle 293">
          <a:extLst>
            <a:ext uri="{FF2B5EF4-FFF2-40B4-BE49-F238E27FC236}">
              <a16:creationId xmlns:a16="http://schemas.microsoft.com/office/drawing/2014/main" id="{00000000-0008-0000-0100-000085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4438" name="Rectangle 2">
          <a:extLst>
            <a:ext uri="{FF2B5EF4-FFF2-40B4-BE49-F238E27FC236}">
              <a16:creationId xmlns:a16="http://schemas.microsoft.com/office/drawing/2014/main" id="{00000000-0008-0000-0100-000086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4439" name="Rectangle 293">
          <a:extLst>
            <a:ext uri="{FF2B5EF4-FFF2-40B4-BE49-F238E27FC236}">
              <a16:creationId xmlns:a16="http://schemas.microsoft.com/office/drawing/2014/main" id="{00000000-0008-0000-0100-000087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4440" name="Rectangle 2">
          <a:extLst>
            <a:ext uri="{FF2B5EF4-FFF2-40B4-BE49-F238E27FC236}">
              <a16:creationId xmlns:a16="http://schemas.microsoft.com/office/drawing/2014/main" id="{00000000-0008-0000-0100-000088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4441" name="Rectangle 293">
          <a:extLst>
            <a:ext uri="{FF2B5EF4-FFF2-40B4-BE49-F238E27FC236}">
              <a16:creationId xmlns:a16="http://schemas.microsoft.com/office/drawing/2014/main" id="{00000000-0008-0000-0100-000089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3</xdr:col>
      <xdr:colOff>180975</xdr:colOff>
      <xdr:row>78</xdr:row>
      <xdr:rowOff>28575</xdr:rowOff>
    </xdr:to>
    <xdr:sp macro="" textlink="">
      <xdr:nvSpPr>
        <xdr:cNvPr id="354442" name="フリーフォーム 342">
          <a:extLst>
            <a:ext uri="{FF2B5EF4-FFF2-40B4-BE49-F238E27FC236}">
              <a16:creationId xmlns:a16="http://schemas.microsoft.com/office/drawing/2014/main" id="{00000000-0008-0000-0100-00008A68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4443" name="Rectangle 2">
          <a:extLst>
            <a:ext uri="{FF2B5EF4-FFF2-40B4-BE49-F238E27FC236}">
              <a16:creationId xmlns:a16="http://schemas.microsoft.com/office/drawing/2014/main" id="{00000000-0008-0000-0100-00008B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4444" name="Rectangle 293">
          <a:extLst>
            <a:ext uri="{FF2B5EF4-FFF2-40B4-BE49-F238E27FC236}">
              <a16:creationId xmlns:a16="http://schemas.microsoft.com/office/drawing/2014/main" id="{00000000-0008-0000-0100-00008C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4445" name="Rectangle 2">
          <a:extLst>
            <a:ext uri="{FF2B5EF4-FFF2-40B4-BE49-F238E27FC236}">
              <a16:creationId xmlns:a16="http://schemas.microsoft.com/office/drawing/2014/main" id="{00000000-0008-0000-0100-00008D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4446" name="Rectangle 293">
          <a:extLst>
            <a:ext uri="{FF2B5EF4-FFF2-40B4-BE49-F238E27FC236}">
              <a16:creationId xmlns:a16="http://schemas.microsoft.com/office/drawing/2014/main" id="{00000000-0008-0000-0100-00008E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54447" name="フリーフォーム 350">
          <a:extLst>
            <a:ext uri="{FF2B5EF4-FFF2-40B4-BE49-F238E27FC236}">
              <a16:creationId xmlns:a16="http://schemas.microsoft.com/office/drawing/2014/main" id="{00000000-0008-0000-0100-00008F68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4448" name="Rectangle 2">
          <a:extLst>
            <a:ext uri="{FF2B5EF4-FFF2-40B4-BE49-F238E27FC236}">
              <a16:creationId xmlns:a16="http://schemas.microsoft.com/office/drawing/2014/main" id="{00000000-0008-0000-0100-000090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4449" name="Rectangle 293">
          <a:extLst>
            <a:ext uri="{FF2B5EF4-FFF2-40B4-BE49-F238E27FC236}">
              <a16:creationId xmlns:a16="http://schemas.microsoft.com/office/drawing/2014/main" id="{00000000-0008-0000-0100-000091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4450" name="フリーフォーム 354">
          <a:extLst>
            <a:ext uri="{FF2B5EF4-FFF2-40B4-BE49-F238E27FC236}">
              <a16:creationId xmlns:a16="http://schemas.microsoft.com/office/drawing/2014/main" id="{00000000-0008-0000-0100-00009268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4451" name="Rectangle 2">
          <a:extLst>
            <a:ext uri="{FF2B5EF4-FFF2-40B4-BE49-F238E27FC236}">
              <a16:creationId xmlns:a16="http://schemas.microsoft.com/office/drawing/2014/main" id="{00000000-0008-0000-0100-000093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4452" name="Rectangle 293">
          <a:extLst>
            <a:ext uri="{FF2B5EF4-FFF2-40B4-BE49-F238E27FC236}">
              <a16:creationId xmlns:a16="http://schemas.microsoft.com/office/drawing/2014/main" id="{00000000-0008-0000-0100-000094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4453" name="Rectangle 2">
          <a:extLst>
            <a:ext uri="{FF2B5EF4-FFF2-40B4-BE49-F238E27FC236}">
              <a16:creationId xmlns:a16="http://schemas.microsoft.com/office/drawing/2014/main" id="{00000000-0008-0000-0100-000095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4454" name="Rectangle 285">
          <a:extLst>
            <a:ext uri="{FF2B5EF4-FFF2-40B4-BE49-F238E27FC236}">
              <a16:creationId xmlns:a16="http://schemas.microsoft.com/office/drawing/2014/main" id="{00000000-0008-0000-0100-00009668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54455" name="フリーフォーム 362">
          <a:extLst>
            <a:ext uri="{FF2B5EF4-FFF2-40B4-BE49-F238E27FC236}">
              <a16:creationId xmlns:a16="http://schemas.microsoft.com/office/drawing/2014/main" id="{00000000-0008-0000-0100-00009768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4456" name="Rectangle 2">
          <a:extLst>
            <a:ext uri="{FF2B5EF4-FFF2-40B4-BE49-F238E27FC236}">
              <a16:creationId xmlns:a16="http://schemas.microsoft.com/office/drawing/2014/main" id="{00000000-0008-0000-0100-00009868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1866" name="Rectangle 2">
          <a:extLst>
            <a:ext uri="{FF2B5EF4-FFF2-40B4-BE49-F238E27FC236}">
              <a16:creationId xmlns:a16="http://schemas.microsoft.com/office/drawing/2014/main" id="{00000000-0008-0000-0200-00006A37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1867" name="Oval 3">
          <a:extLst>
            <a:ext uri="{FF2B5EF4-FFF2-40B4-BE49-F238E27FC236}">
              <a16:creationId xmlns:a16="http://schemas.microsoft.com/office/drawing/2014/main" id="{00000000-0008-0000-0200-00006B37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1868" name="Oval 4">
          <a:extLst>
            <a:ext uri="{FF2B5EF4-FFF2-40B4-BE49-F238E27FC236}">
              <a16:creationId xmlns:a16="http://schemas.microsoft.com/office/drawing/2014/main" id="{00000000-0008-0000-0200-00006C37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1869" name="Oval 5">
          <a:extLst>
            <a:ext uri="{FF2B5EF4-FFF2-40B4-BE49-F238E27FC236}">
              <a16:creationId xmlns:a16="http://schemas.microsoft.com/office/drawing/2014/main" id="{00000000-0008-0000-0200-00006D37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1870" name="Oval 8">
          <a:extLst>
            <a:ext uri="{FF2B5EF4-FFF2-40B4-BE49-F238E27FC236}">
              <a16:creationId xmlns:a16="http://schemas.microsoft.com/office/drawing/2014/main" id="{00000000-0008-0000-0200-00006E37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1871" name="Oval 12">
          <a:extLst>
            <a:ext uri="{FF2B5EF4-FFF2-40B4-BE49-F238E27FC236}">
              <a16:creationId xmlns:a16="http://schemas.microsoft.com/office/drawing/2014/main" id="{00000000-0008-0000-0200-00006F37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1872" name="Oval 13">
          <a:extLst>
            <a:ext uri="{FF2B5EF4-FFF2-40B4-BE49-F238E27FC236}">
              <a16:creationId xmlns:a16="http://schemas.microsoft.com/office/drawing/2014/main" id="{00000000-0008-0000-0200-00007037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1873" name="Rectangle 16">
          <a:extLst>
            <a:ext uri="{FF2B5EF4-FFF2-40B4-BE49-F238E27FC236}">
              <a16:creationId xmlns:a16="http://schemas.microsoft.com/office/drawing/2014/main" id="{00000000-0008-0000-0200-00007137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1874" name="Oval 30">
          <a:extLst>
            <a:ext uri="{FF2B5EF4-FFF2-40B4-BE49-F238E27FC236}">
              <a16:creationId xmlns:a16="http://schemas.microsoft.com/office/drawing/2014/main" id="{00000000-0008-0000-0200-00007237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1875" name="Oval 34">
          <a:extLst>
            <a:ext uri="{FF2B5EF4-FFF2-40B4-BE49-F238E27FC236}">
              <a16:creationId xmlns:a16="http://schemas.microsoft.com/office/drawing/2014/main" id="{00000000-0008-0000-0200-00007337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1876" name="Oval 51">
          <a:extLst>
            <a:ext uri="{FF2B5EF4-FFF2-40B4-BE49-F238E27FC236}">
              <a16:creationId xmlns:a16="http://schemas.microsoft.com/office/drawing/2014/main" id="{00000000-0008-0000-0200-00007437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1877" name="Oval 81">
          <a:extLst>
            <a:ext uri="{FF2B5EF4-FFF2-40B4-BE49-F238E27FC236}">
              <a16:creationId xmlns:a16="http://schemas.microsoft.com/office/drawing/2014/main" id="{00000000-0008-0000-0200-00007537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78" name="AutoShape 102">
          <a:extLst>
            <a:ext uri="{FF2B5EF4-FFF2-40B4-BE49-F238E27FC236}">
              <a16:creationId xmlns:a16="http://schemas.microsoft.com/office/drawing/2014/main" id="{00000000-0008-0000-0200-00007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79" name="Rectangle 103">
          <a:extLst>
            <a:ext uri="{FF2B5EF4-FFF2-40B4-BE49-F238E27FC236}">
              <a16:creationId xmlns:a16="http://schemas.microsoft.com/office/drawing/2014/main" id="{00000000-0008-0000-0200-00007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80" name="Oval 104">
          <a:extLst>
            <a:ext uri="{FF2B5EF4-FFF2-40B4-BE49-F238E27FC236}">
              <a16:creationId xmlns:a16="http://schemas.microsoft.com/office/drawing/2014/main" id="{00000000-0008-0000-0200-00007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81" name="AutoShape 105">
          <a:extLst>
            <a:ext uri="{FF2B5EF4-FFF2-40B4-BE49-F238E27FC236}">
              <a16:creationId xmlns:a16="http://schemas.microsoft.com/office/drawing/2014/main" id="{00000000-0008-0000-0200-000079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82" name="Rectangle 106">
          <a:extLst>
            <a:ext uri="{FF2B5EF4-FFF2-40B4-BE49-F238E27FC236}">
              <a16:creationId xmlns:a16="http://schemas.microsoft.com/office/drawing/2014/main" id="{00000000-0008-0000-0200-00007A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83" name="Oval 107">
          <a:extLst>
            <a:ext uri="{FF2B5EF4-FFF2-40B4-BE49-F238E27FC236}">
              <a16:creationId xmlns:a16="http://schemas.microsoft.com/office/drawing/2014/main" id="{00000000-0008-0000-0200-00007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84" name="AutoShape 108">
          <a:extLst>
            <a:ext uri="{FF2B5EF4-FFF2-40B4-BE49-F238E27FC236}">
              <a16:creationId xmlns:a16="http://schemas.microsoft.com/office/drawing/2014/main" id="{00000000-0008-0000-0200-00007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85" name="Rectangle 109">
          <a:extLst>
            <a:ext uri="{FF2B5EF4-FFF2-40B4-BE49-F238E27FC236}">
              <a16:creationId xmlns:a16="http://schemas.microsoft.com/office/drawing/2014/main" id="{00000000-0008-0000-0200-00007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86" name="Oval 110">
          <a:extLst>
            <a:ext uri="{FF2B5EF4-FFF2-40B4-BE49-F238E27FC236}">
              <a16:creationId xmlns:a16="http://schemas.microsoft.com/office/drawing/2014/main" id="{00000000-0008-0000-0200-00007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87" name="AutoShape 111">
          <a:extLst>
            <a:ext uri="{FF2B5EF4-FFF2-40B4-BE49-F238E27FC236}">
              <a16:creationId xmlns:a16="http://schemas.microsoft.com/office/drawing/2014/main" id="{00000000-0008-0000-0200-00007F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88" name="Rectangle 112">
          <a:extLst>
            <a:ext uri="{FF2B5EF4-FFF2-40B4-BE49-F238E27FC236}">
              <a16:creationId xmlns:a16="http://schemas.microsoft.com/office/drawing/2014/main" id="{00000000-0008-0000-0200-000080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89" name="Oval 113">
          <a:extLst>
            <a:ext uri="{FF2B5EF4-FFF2-40B4-BE49-F238E27FC236}">
              <a16:creationId xmlns:a16="http://schemas.microsoft.com/office/drawing/2014/main" id="{00000000-0008-0000-0200-00008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90" name="AutoShape 114">
          <a:extLst>
            <a:ext uri="{FF2B5EF4-FFF2-40B4-BE49-F238E27FC236}">
              <a16:creationId xmlns:a16="http://schemas.microsoft.com/office/drawing/2014/main" id="{00000000-0008-0000-0200-00008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91" name="Rectangle 115">
          <a:extLst>
            <a:ext uri="{FF2B5EF4-FFF2-40B4-BE49-F238E27FC236}">
              <a16:creationId xmlns:a16="http://schemas.microsoft.com/office/drawing/2014/main" id="{00000000-0008-0000-0200-00008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92" name="Oval 116">
          <a:extLst>
            <a:ext uri="{FF2B5EF4-FFF2-40B4-BE49-F238E27FC236}">
              <a16:creationId xmlns:a16="http://schemas.microsoft.com/office/drawing/2014/main" id="{00000000-0008-0000-0200-00008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93" name="AutoShape 117">
          <a:extLst>
            <a:ext uri="{FF2B5EF4-FFF2-40B4-BE49-F238E27FC236}">
              <a16:creationId xmlns:a16="http://schemas.microsoft.com/office/drawing/2014/main" id="{00000000-0008-0000-0200-000085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94" name="Rectangle 118">
          <a:extLst>
            <a:ext uri="{FF2B5EF4-FFF2-40B4-BE49-F238E27FC236}">
              <a16:creationId xmlns:a16="http://schemas.microsoft.com/office/drawing/2014/main" id="{00000000-0008-0000-0200-000086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95" name="Oval 119">
          <a:extLst>
            <a:ext uri="{FF2B5EF4-FFF2-40B4-BE49-F238E27FC236}">
              <a16:creationId xmlns:a16="http://schemas.microsoft.com/office/drawing/2014/main" id="{00000000-0008-0000-0200-00008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96" name="AutoShape 120">
          <a:extLst>
            <a:ext uri="{FF2B5EF4-FFF2-40B4-BE49-F238E27FC236}">
              <a16:creationId xmlns:a16="http://schemas.microsoft.com/office/drawing/2014/main" id="{00000000-0008-0000-0200-00008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897" name="Rectangle 121">
          <a:extLst>
            <a:ext uri="{FF2B5EF4-FFF2-40B4-BE49-F238E27FC236}">
              <a16:creationId xmlns:a16="http://schemas.microsoft.com/office/drawing/2014/main" id="{00000000-0008-0000-0200-00008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898" name="Oval 122">
          <a:extLst>
            <a:ext uri="{FF2B5EF4-FFF2-40B4-BE49-F238E27FC236}">
              <a16:creationId xmlns:a16="http://schemas.microsoft.com/office/drawing/2014/main" id="{00000000-0008-0000-0200-00008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899" name="AutoShape 123">
          <a:extLst>
            <a:ext uri="{FF2B5EF4-FFF2-40B4-BE49-F238E27FC236}">
              <a16:creationId xmlns:a16="http://schemas.microsoft.com/office/drawing/2014/main" id="{00000000-0008-0000-0200-00008B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00" name="Rectangle 124">
          <a:extLst>
            <a:ext uri="{FF2B5EF4-FFF2-40B4-BE49-F238E27FC236}">
              <a16:creationId xmlns:a16="http://schemas.microsoft.com/office/drawing/2014/main" id="{00000000-0008-0000-0200-00008C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01" name="Oval 125">
          <a:extLst>
            <a:ext uri="{FF2B5EF4-FFF2-40B4-BE49-F238E27FC236}">
              <a16:creationId xmlns:a16="http://schemas.microsoft.com/office/drawing/2014/main" id="{00000000-0008-0000-0200-00008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02" name="AutoShape 126">
          <a:extLst>
            <a:ext uri="{FF2B5EF4-FFF2-40B4-BE49-F238E27FC236}">
              <a16:creationId xmlns:a16="http://schemas.microsoft.com/office/drawing/2014/main" id="{00000000-0008-0000-0200-00008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03" name="Rectangle 127">
          <a:extLst>
            <a:ext uri="{FF2B5EF4-FFF2-40B4-BE49-F238E27FC236}">
              <a16:creationId xmlns:a16="http://schemas.microsoft.com/office/drawing/2014/main" id="{00000000-0008-0000-0200-00008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04" name="Oval 128">
          <a:extLst>
            <a:ext uri="{FF2B5EF4-FFF2-40B4-BE49-F238E27FC236}">
              <a16:creationId xmlns:a16="http://schemas.microsoft.com/office/drawing/2014/main" id="{00000000-0008-0000-0200-00009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05" name="AutoShape 129">
          <a:extLst>
            <a:ext uri="{FF2B5EF4-FFF2-40B4-BE49-F238E27FC236}">
              <a16:creationId xmlns:a16="http://schemas.microsoft.com/office/drawing/2014/main" id="{00000000-0008-0000-0200-000091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06" name="Rectangle 130">
          <a:extLst>
            <a:ext uri="{FF2B5EF4-FFF2-40B4-BE49-F238E27FC236}">
              <a16:creationId xmlns:a16="http://schemas.microsoft.com/office/drawing/2014/main" id="{00000000-0008-0000-0200-000092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07" name="Oval 131">
          <a:extLst>
            <a:ext uri="{FF2B5EF4-FFF2-40B4-BE49-F238E27FC236}">
              <a16:creationId xmlns:a16="http://schemas.microsoft.com/office/drawing/2014/main" id="{00000000-0008-0000-0200-00009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08" name="AutoShape 132">
          <a:extLst>
            <a:ext uri="{FF2B5EF4-FFF2-40B4-BE49-F238E27FC236}">
              <a16:creationId xmlns:a16="http://schemas.microsoft.com/office/drawing/2014/main" id="{00000000-0008-0000-0200-00009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09" name="Rectangle 133">
          <a:extLst>
            <a:ext uri="{FF2B5EF4-FFF2-40B4-BE49-F238E27FC236}">
              <a16:creationId xmlns:a16="http://schemas.microsoft.com/office/drawing/2014/main" id="{00000000-0008-0000-0200-00009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10" name="Oval 134">
          <a:extLst>
            <a:ext uri="{FF2B5EF4-FFF2-40B4-BE49-F238E27FC236}">
              <a16:creationId xmlns:a16="http://schemas.microsoft.com/office/drawing/2014/main" id="{00000000-0008-0000-0200-00009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11" name="AutoShape 135">
          <a:extLst>
            <a:ext uri="{FF2B5EF4-FFF2-40B4-BE49-F238E27FC236}">
              <a16:creationId xmlns:a16="http://schemas.microsoft.com/office/drawing/2014/main" id="{00000000-0008-0000-0200-000097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12" name="Rectangle 136">
          <a:extLst>
            <a:ext uri="{FF2B5EF4-FFF2-40B4-BE49-F238E27FC236}">
              <a16:creationId xmlns:a16="http://schemas.microsoft.com/office/drawing/2014/main" id="{00000000-0008-0000-0200-000098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13" name="Oval 137">
          <a:extLst>
            <a:ext uri="{FF2B5EF4-FFF2-40B4-BE49-F238E27FC236}">
              <a16:creationId xmlns:a16="http://schemas.microsoft.com/office/drawing/2014/main" id="{00000000-0008-0000-0200-00009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14" name="AutoShape 138">
          <a:extLst>
            <a:ext uri="{FF2B5EF4-FFF2-40B4-BE49-F238E27FC236}">
              <a16:creationId xmlns:a16="http://schemas.microsoft.com/office/drawing/2014/main" id="{00000000-0008-0000-0200-00009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15" name="Rectangle 139">
          <a:extLst>
            <a:ext uri="{FF2B5EF4-FFF2-40B4-BE49-F238E27FC236}">
              <a16:creationId xmlns:a16="http://schemas.microsoft.com/office/drawing/2014/main" id="{00000000-0008-0000-0200-00009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16" name="Oval 140">
          <a:extLst>
            <a:ext uri="{FF2B5EF4-FFF2-40B4-BE49-F238E27FC236}">
              <a16:creationId xmlns:a16="http://schemas.microsoft.com/office/drawing/2014/main" id="{00000000-0008-0000-0200-00009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17" name="Rectangle 141">
          <a:extLst>
            <a:ext uri="{FF2B5EF4-FFF2-40B4-BE49-F238E27FC236}">
              <a16:creationId xmlns:a16="http://schemas.microsoft.com/office/drawing/2014/main" id="{00000000-0008-0000-0200-00009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18" name="AutoShape 142">
          <a:extLst>
            <a:ext uri="{FF2B5EF4-FFF2-40B4-BE49-F238E27FC236}">
              <a16:creationId xmlns:a16="http://schemas.microsoft.com/office/drawing/2014/main" id="{00000000-0008-0000-0200-00009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19" name="Rectangle 143">
          <a:extLst>
            <a:ext uri="{FF2B5EF4-FFF2-40B4-BE49-F238E27FC236}">
              <a16:creationId xmlns:a16="http://schemas.microsoft.com/office/drawing/2014/main" id="{00000000-0008-0000-0200-00009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0" name="Oval 144">
          <a:extLst>
            <a:ext uri="{FF2B5EF4-FFF2-40B4-BE49-F238E27FC236}">
              <a16:creationId xmlns:a16="http://schemas.microsoft.com/office/drawing/2014/main" id="{00000000-0008-0000-0200-0000A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21" name="AutoShape 145">
          <a:extLst>
            <a:ext uri="{FF2B5EF4-FFF2-40B4-BE49-F238E27FC236}">
              <a16:creationId xmlns:a16="http://schemas.microsoft.com/office/drawing/2014/main" id="{00000000-0008-0000-0200-0000A1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22" name="Rectangle 146">
          <a:extLst>
            <a:ext uri="{FF2B5EF4-FFF2-40B4-BE49-F238E27FC236}">
              <a16:creationId xmlns:a16="http://schemas.microsoft.com/office/drawing/2014/main" id="{00000000-0008-0000-0200-0000A2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3" name="Oval 147">
          <a:extLst>
            <a:ext uri="{FF2B5EF4-FFF2-40B4-BE49-F238E27FC236}">
              <a16:creationId xmlns:a16="http://schemas.microsoft.com/office/drawing/2014/main" id="{00000000-0008-0000-0200-0000A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24" name="AutoShape 148">
          <a:extLst>
            <a:ext uri="{FF2B5EF4-FFF2-40B4-BE49-F238E27FC236}">
              <a16:creationId xmlns:a16="http://schemas.microsoft.com/office/drawing/2014/main" id="{00000000-0008-0000-0200-0000A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25" name="Rectangle 149">
          <a:extLst>
            <a:ext uri="{FF2B5EF4-FFF2-40B4-BE49-F238E27FC236}">
              <a16:creationId xmlns:a16="http://schemas.microsoft.com/office/drawing/2014/main" id="{00000000-0008-0000-0200-0000A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6" name="Oval 150">
          <a:extLst>
            <a:ext uri="{FF2B5EF4-FFF2-40B4-BE49-F238E27FC236}">
              <a16:creationId xmlns:a16="http://schemas.microsoft.com/office/drawing/2014/main" id="{00000000-0008-0000-0200-0000A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7" name="Oval 151">
          <a:extLst>
            <a:ext uri="{FF2B5EF4-FFF2-40B4-BE49-F238E27FC236}">
              <a16:creationId xmlns:a16="http://schemas.microsoft.com/office/drawing/2014/main" id="{00000000-0008-0000-0200-0000A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8" name="Oval 152">
          <a:extLst>
            <a:ext uri="{FF2B5EF4-FFF2-40B4-BE49-F238E27FC236}">
              <a16:creationId xmlns:a16="http://schemas.microsoft.com/office/drawing/2014/main" id="{00000000-0008-0000-0200-0000A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29" name="Oval 153">
          <a:extLst>
            <a:ext uri="{FF2B5EF4-FFF2-40B4-BE49-F238E27FC236}">
              <a16:creationId xmlns:a16="http://schemas.microsoft.com/office/drawing/2014/main" id="{00000000-0008-0000-0200-0000A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30" name="AutoShape 154">
          <a:extLst>
            <a:ext uri="{FF2B5EF4-FFF2-40B4-BE49-F238E27FC236}">
              <a16:creationId xmlns:a16="http://schemas.microsoft.com/office/drawing/2014/main" id="{00000000-0008-0000-0200-0000A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31" name="Rectangle 155">
          <a:extLst>
            <a:ext uri="{FF2B5EF4-FFF2-40B4-BE49-F238E27FC236}">
              <a16:creationId xmlns:a16="http://schemas.microsoft.com/office/drawing/2014/main" id="{00000000-0008-0000-0200-0000A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2" name="Oval 156">
          <a:extLst>
            <a:ext uri="{FF2B5EF4-FFF2-40B4-BE49-F238E27FC236}">
              <a16:creationId xmlns:a16="http://schemas.microsoft.com/office/drawing/2014/main" id="{00000000-0008-0000-0200-0000A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3" name="Oval 157">
          <a:extLst>
            <a:ext uri="{FF2B5EF4-FFF2-40B4-BE49-F238E27FC236}">
              <a16:creationId xmlns:a16="http://schemas.microsoft.com/office/drawing/2014/main" id="{00000000-0008-0000-0200-0000A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4" name="Oval 158">
          <a:extLst>
            <a:ext uri="{FF2B5EF4-FFF2-40B4-BE49-F238E27FC236}">
              <a16:creationId xmlns:a16="http://schemas.microsoft.com/office/drawing/2014/main" id="{00000000-0008-0000-0200-0000A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5" name="Oval 159">
          <a:extLst>
            <a:ext uri="{FF2B5EF4-FFF2-40B4-BE49-F238E27FC236}">
              <a16:creationId xmlns:a16="http://schemas.microsoft.com/office/drawing/2014/main" id="{00000000-0008-0000-0200-0000A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36" name="AutoShape 160">
          <a:extLst>
            <a:ext uri="{FF2B5EF4-FFF2-40B4-BE49-F238E27FC236}">
              <a16:creationId xmlns:a16="http://schemas.microsoft.com/office/drawing/2014/main" id="{00000000-0008-0000-0200-0000B0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37" name="Rectangle 161">
          <a:extLst>
            <a:ext uri="{FF2B5EF4-FFF2-40B4-BE49-F238E27FC236}">
              <a16:creationId xmlns:a16="http://schemas.microsoft.com/office/drawing/2014/main" id="{00000000-0008-0000-0200-0000B1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8" name="Oval 162">
          <a:extLst>
            <a:ext uri="{FF2B5EF4-FFF2-40B4-BE49-F238E27FC236}">
              <a16:creationId xmlns:a16="http://schemas.microsoft.com/office/drawing/2014/main" id="{00000000-0008-0000-0200-0000B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39" name="Oval 163">
          <a:extLst>
            <a:ext uri="{FF2B5EF4-FFF2-40B4-BE49-F238E27FC236}">
              <a16:creationId xmlns:a16="http://schemas.microsoft.com/office/drawing/2014/main" id="{00000000-0008-0000-0200-0000B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0" name="Oval 164">
          <a:extLst>
            <a:ext uri="{FF2B5EF4-FFF2-40B4-BE49-F238E27FC236}">
              <a16:creationId xmlns:a16="http://schemas.microsoft.com/office/drawing/2014/main" id="{00000000-0008-0000-0200-0000B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1" name="Oval 165">
          <a:extLst>
            <a:ext uri="{FF2B5EF4-FFF2-40B4-BE49-F238E27FC236}">
              <a16:creationId xmlns:a16="http://schemas.microsoft.com/office/drawing/2014/main" id="{00000000-0008-0000-0200-0000B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42" name="AutoShape 166">
          <a:extLst>
            <a:ext uri="{FF2B5EF4-FFF2-40B4-BE49-F238E27FC236}">
              <a16:creationId xmlns:a16="http://schemas.microsoft.com/office/drawing/2014/main" id="{00000000-0008-0000-0200-0000B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43" name="Rectangle 167">
          <a:extLst>
            <a:ext uri="{FF2B5EF4-FFF2-40B4-BE49-F238E27FC236}">
              <a16:creationId xmlns:a16="http://schemas.microsoft.com/office/drawing/2014/main" id="{00000000-0008-0000-0200-0000B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4" name="Oval 168">
          <a:extLst>
            <a:ext uri="{FF2B5EF4-FFF2-40B4-BE49-F238E27FC236}">
              <a16:creationId xmlns:a16="http://schemas.microsoft.com/office/drawing/2014/main" id="{00000000-0008-0000-0200-0000B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5" name="Oval 169">
          <a:extLst>
            <a:ext uri="{FF2B5EF4-FFF2-40B4-BE49-F238E27FC236}">
              <a16:creationId xmlns:a16="http://schemas.microsoft.com/office/drawing/2014/main" id="{00000000-0008-0000-0200-0000B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6" name="Oval 170">
          <a:extLst>
            <a:ext uri="{FF2B5EF4-FFF2-40B4-BE49-F238E27FC236}">
              <a16:creationId xmlns:a16="http://schemas.microsoft.com/office/drawing/2014/main" id="{00000000-0008-0000-0200-0000B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47" name="Oval 171">
          <a:extLst>
            <a:ext uri="{FF2B5EF4-FFF2-40B4-BE49-F238E27FC236}">
              <a16:creationId xmlns:a16="http://schemas.microsoft.com/office/drawing/2014/main" id="{00000000-0008-0000-0200-0000B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48" name="AutoShape 172">
          <a:extLst>
            <a:ext uri="{FF2B5EF4-FFF2-40B4-BE49-F238E27FC236}">
              <a16:creationId xmlns:a16="http://schemas.microsoft.com/office/drawing/2014/main" id="{00000000-0008-0000-0200-0000B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49" name="Rectangle 173">
          <a:extLst>
            <a:ext uri="{FF2B5EF4-FFF2-40B4-BE49-F238E27FC236}">
              <a16:creationId xmlns:a16="http://schemas.microsoft.com/office/drawing/2014/main" id="{00000000-0008-0000-0200-0000B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0" name="Oval 174">
          <a:extLst>
            <a:ext uri="{FF2B5EF4-FFF2-40B4-BE49-F238E27FC236}">
              <a16:creationId xmlns:a16="http://schemas.microsoft.com/office/drawing/2014/main" id="{00000000-0008-0000-0200-0000B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1" name="Oval 175">
          <a:extLst>
            <a:ext uri="{FF2B5EF4-FFF2-40B4-BE49-F238E27FC236}">
              <a16:creationId xmlns:a16="http://schemas.microsoft.com/office/drawing/2014/main" id="{00000000-0008-0000-0200-0000B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2" name="Oval 176">
          <a:extLst>
            <a:ext uri="{FF2B5EF4-FFF2-40B4-BE49-F238E27FC236}">
              <a16:creationId xmlns:a16="http://schemas.microsoft.com/office/drawing/2014/main" id="{00000000-0008-0000-0200-0000C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3" name="Oval 177">
          <a:extLst>
            <a:ext uri="{FF2B5EF4-FFF2-40B4-BE49-F238E27FC236}">
              <a16:creationId xmlns:a16="http://schemas.microsoft.com/office/drawing/2014/main" id="{00000000-0008-0000-0200-0000C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54" name="AutoShape 178">
          <a:extLst>
            <a:ext uri="{FF2B5EF4-FFF2-40B4-BE49-F238E27FC236}">
              <a16:creationId xmlns:a16="http://schemas.microsoft.com/office/drawing/2014/main" id="{00000000-0008-0000-0200-0000C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55" name="Rectangle 179">
          <a:extLst>
            <a:ext uri="{FF2B5EF4-FFF2-40B4-BE49-F238E27FC236}">
              <a16:creationId xmlns:a16="http://schemas.microsoft.com/office/drawing/2014/main" id="{00000000-0008-0000-0200-0000C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6" name="Oval 180">
          <a:extLst>
            <a:ext uri="{FF2B5EF4-FFF2-40B4-BE49-F238E27FC236}">
              <a16:creationId xmlns:a16="http://schemas.microsoft.com/office/drawing/2014/main" id="{00000000-0008-0000-0200-0000C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7" name="Oval 181">
          <a:extLst>
            <a:ext uri="{FF2B5EF4-FFF2-40B4-BE49-F238E27FC236}">
              <a16:creationId xmlns:a16="http://schemas.microsoft.com/office/drawing/2014/main" id="{00000000-0008-0000-0200-0000C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8" name="Oval 182">
          <a:extLst>
            <a:ext uri="{FF2B5EF4-FFF2-40B4-BE49-F238E27FC236}">
              <a16:creationId xmlns:a16="http://schemas.microsoft.com/office/drawing/2014/main" id="{00000000-0008-0000-0200-0000C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59" name="Oval 183">
          <a:extLst>
            <a:ext uri="{FF2B5EF4-FFF2-40B4-BE49-F238E27FC236}">
              <a16:creationId xmlns:a16="http://schemas.microsoft.com/office/drawing/2014/main" id="{00000000-0008-0000-0200-0000C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60" name="AutoShape 184">
          <a:extLst>
            <a:ext uri="{FF2B5EF4-FFF2-40B4-BE49-F238E27FC236}">
              <a16:creationId xmlns:a16="http://schemas.microsoft.com/office/drawing/2014/main" id="{00000000-0008-0000-0200-0000C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61" name="Rectangle 185">
          <a:extLst>
            <a:ext uri="{FF2B5EF4-FFF2-40B4-BE49-F238E27FC236}">
              <a16:creationId xmlns:a16="http://schemas.microsoft.com/office/drawing/2014/main" id="{00000000-0008-0000-0200-0000C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2" name="Oval 186">
          <a:extLst>
            <a:ext uri="{FF2B5EF4-FFF2-40B4-BE49-F238E27FC236}">
              <a16:creationId xmlns:a16="http://schemas.microsoft.com/office/drawing/2014/main" id="{00000000-0008-0000-0200-0000C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3" name="Oval 187">
          <a:extLst>
            <a:ext uri="{FF2B5EF4-FFF2-40B4-BE49-F238E27FC236}">
              <a16:creationId xmlns:a16="http://schemas.microsoft.com/office/drawing/2014/main" id="{00000000-0008-0000-0200-0000C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4" name="Oval 188">
          <a:extLst>
            <a:ext uri="{FF2B5EF4-FFF2-40B4-BE49-F238E27FC236}">
              <a16:creationId xmlns:a16="http://schemas.microsoft.com/office/drawing/2014/main" id="{00000000-0008-0000-0200-0000C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5" name="Oval 189">
          <a:extLst>
            <a:ext uri="{FF2B5EF4-FFF2-40B4-BE49-F238E27FC236}">
              <a16:creationId xmlns:a16="http://schemas.microsoft.com/office/drawing/2014/main" id="{00000000-0008-0000-0200-0000C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66" name="AutoShape 190">
          <a:extLst>
            <a:ext uri="{FF2B5EF4-FFF2-40B4-BE49-F238E27FC236}">
              <a16:creationId xmlns:a16="http://schemas.microsoft.com/office/drawing/2014/main" id="{00000000-0008-0000-0200-0000C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67" name="Rectangle 191">
          <a:extLst>
            <a:ext uri="{FF2B5EF4-FFF2-40B4-BE49-F238E27FC236}">
              <a16:creationId xmlns:a16="http://schemas.microsoft.com/office/drawing/2014/main" id="{00000000-0008-0000-0200-0000C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8" name="Oval 192">
          <a:extLst>
            <a:ext uri="{FF2B5EF4-FFF2-40B4-BE49-F238E27FC236}">
              <a16:creationId xmlns:a16="http://schemas.microsoft.com/office/drawing/2014/main" id="{00000000-0008-0000-0200-0000D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69" name="Oval 193">
          <a:extLst>
            <a:ext uri="{FF2B5EF4-FFF2-40B4-BE49-F238E27FC236}">
              <a16:creationId xmlns:a16="http://schemas.microsoft.com/office/drawing/2014/main" id="{00000000-0008-0000-0200-0000D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0" name="Oval 194">
          <a:extLst>
            <a:ext uri="{FF2B5EF4-FFF2-40B4-BE49-F238E27FC236}">
              <a16:creationId xmlns:a16="http://schemas.microsoft.com/office/drawing/2014/main" id="{00000000-0008-0000-0200-0000D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1" name="Oval 195">
          <a:extLst>
            <a:ext uri="{FF2B5EF4-FFF2-40B4-BE49-F238E27FC236}">
              <a16:creationId xmlns:a16="http://schemas.microsoft.com/office/drawing/2014/main" id="{00000000-0008-0000-0200-0000D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72" name="AutoShape 196">
          <a:extLst>
            <a:ext uri="{FF2B5EF4-FFF2-40B4-BE49-F238E27FC236}">
              <a16:creationId xmlns:a16="http://schemas.microsoft.com/office/drawing/2014/main" id="{00000000-0008-0000-0200-0000D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73" name="Rectangle 197">
          <a:extLst>
            <a:ext uri="{FF2B5EF4-FFF2-40B4-BE49-F238E27FC236}">
              <a16:creationId xmlns:a16="http://schemas.microsoft.com/office/drawing/2014/main" id="{00000000-0008-0000-0200-0000D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4" name="Oval 198">
          <a:extLst>
            <a:ext uri="{FF2B5EF4-FFF2-40B4-BE49-F238E27FC236}">
              <a16:creationId xmlns:a16="http://schemas.microsoft.com/office/drawing/2014/main" id="{00000000-0008-0000-0200-0000D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5" name="Oval 199">
          <a:extLst>
            <a:ext uri="{FF2B5EF4-FFF2-40B4-BE49-F238E27FC236}">
              <a16:creationId xmlns:a16="http://schemas.microsoft.com/office/drawing/2014/main" id="{00000000-0008-0000-0200-0000D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6" name="Oval 200">
          <a:extLst>
            <a:ext uri="{FF2B5EF4-FFF2-40B4-BE49-F238E27FC236}">
              <a16:creationId xmlns:a16="http://schemas.microsoft.com/office/drawing/2014/main" id="{00000000-0008-0000-0200-0000D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77" name="Oval 201">
          <a:extLst>
            <a:ext uri="{FF2B5EF4-FFF2-40B4-BE49-F238E27FC236}">
              <a16:creationId xmlns:a16="http://schemas.microsoft.com/office/drawing/2014/main" id="{00000000-0008-0000-0200-0000D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78" name="AutoShape 202">
          <a:extLst>
            <a:ext uri="{FF2B5EF4-FFF2-40B4-BE49-F238E27FC236}">
              <a16:creationId xmlns:a16="http://schemas.microsoft.com/office/drawing/2014/main" id="{00000000-0008-0000-0200-0000D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79" name="Rectangle 203">
          <a:extLst>
            <a:ext uri="{FF2B5EF4-FFF2-40B4-BE49-F238E27FC236}">
              <a16:creationId xmlns:a16="http://schemas.microsoft.com/office/drawing/2014/main" id="{00000000-0008-0000-0200-0000D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0" name="Oval 204">
          <a:extLst>
            <a:ext uri="{FF2B5EF4-FFF2-40B4-BE49-F238E27FC236}">
              <a16:creationId xmlns:a16="http://schemas.microsoft.com/office/drawing/2014/main" id="{00000000-0008-0000-0200-0000D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1" name="Oval 205">
          <a:extLst>
            <a:ext uri="{FF2B5EF4-FFF2-40B4-BE49-F238E27FC236}">
              <a16:creationId xmlns:a16="http://schemas.microsoft.com/office/drawing/2014/main" id="{00000000-0008-0000-0200-0000D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2" name="Oval 206">
          <a:extLst>
            <a:ext uri="{FF2B5EF4-FFF2-40B4-BE49-F238E27FC236}">
              <a16:creationId xmlns:a16="http://schemas.microsoft.com/office/drawing/2014/main" id="{00000000-0008-0000-0200-0000D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3" name="Oval 207">
          <a:extLst>
            <a:ext uri="{FF2B5EF4-FFF2-40B4-BE49-F238E27FC236}">
              <a16:creationId xmlns:a16="http://schemas.microsoft.com/office/drawing/2014/main" id="{00000000-0008-0000-0200-0000D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84" name="AutoShape 208">
          <a:extLst>
            <a:ext uri="{FF2B5EF4-FFF2-40B4-BE49-F238E27FC236}">
              <a16:creationId xmlns:a16="http://schemas.microsoft.com/office/drawing/2014/main" id="{00000000-0008-0000-0200-0000E0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85" name="Rectangle 209">
          <a:extLst>
            <a:ext uri="{FF2B5EF4-FFF2-40B4-BE49-F238E27FC236}">
              <a16:creationId xmlns:a16="http://schemas.microsoft.com/office/drawing/2014/main" id="{00000000-0008-0000-0200-0000E1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6" name="Oval 210">
          <a:extLst>
            <a:ext uri="{FF2B5EF4-FFF2-40B4-BE49-F238E27FC236}">
              <a16:creationId xmlns:a16="http://schemas.microsoft.com/office/drawing/2014/main" id="{00000000-0008-0000-0200-0000E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7" name="Oval 211">
          <a:extLst>
            <a:ext uri="{FF2B5EF4-FFF2-40B4-BE49-F238E27FC236}">
              <a16:creationId xmlns:a16="http://schemas.microsoft.com/office/drawing/2014/main" id="{00000000-0008-0000-0200-0000E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8" name="Oval 212">
          <a:extLst>
            <a:ext uri="{FF2B5EF4-FFF2-40B4-BE49-F238E27FC236}">
              <a16:creationId xmlns:a16="http://schemas.microsoft.com/office/drawing/2014/main" id="{00000000-0008-0000-0200-0000E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89" name="Oval 213">
          <a:extLst>
            <a:ext uri="{FF2B5EF4-FFF2-40B4-BE49-F238E27FC236}">
              <a16:creationId xmlns:a16="http://schemas.microsoft.com/office/drawing/2014/main" id="{00000000-0008-0000-0200-0000E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90" name="AutoShape 214">
          <a:extLst>
            <a:ext uri="{FF2B5EF4-FFF2-40B4-BE49-F238E27FC236}">
              <a16:creationId xmlns:a16="http://schemas.microsoft.com/office/drawing/2014/main" id="{00000000-0008-0000-0200-0000E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91" name="Rectangle 215">
          <a:extLst>
            <a:ext uri="{FF2B5EF4-FFF2-40B4-BE49-F238E27FC236}">
              <a16:creationId xmlns:a16="http://schemas.microsoft.com/office/drawing/2014/main" id="{00000000-0008-0000-0200-0000E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2" name="Oval 216">
          <a:extLst>
            <a:ext uri="{FF2B5EF4-FFF2-40B4-BE49-F238E27FC236}">
              <a16:creationId xmlns:a16="http://schemas.microsoft.com/office/drawing/2014/main" id="{00000000-0008-0000-0200-0000E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3" name="Oval 217">
          <a:extLst>
            <a:ext uri="{FF2B5EF4-FFF2-40B4-BE49-F238E27FC236}">
              <a16:creationId xmlns:a16="http://schemas.microsoft.com/office/drawing/2014/main" id="{00000000-0008-0000-0200-0000E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4" name="Oval 218">
          <a:extLst>
            <a:ext uri="{FF2B5EF4-FFF2-40B4-BE49-F238E27FC236}">
              <a16:creationId xmlns:a16="http://schemas.microsoft.com/office/drawing/2014/main" id="{00000000-0008-0000-0200-0000E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5" name="Oval 219">
          <a:extLst>
            <a:ext uri="{FF2B5EF4-FFF2-40B4-BE49-F238E27FC236}">
              <a16:creationId xmlns:a16="http://schemas.microsoft.com/office/drawing/2014/main" id="{00000000-0008-0000-0200-0000E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1996" name="AutoShape 220">
          <a:extLst>
            <a:ext uri="{FF2B5EF4-FFF2-40B4-BE49-F238E27FC236}">
              <a16:creationId xmlns:a16="http://schemas.microsoft.com/office/drawing/2014/main" id="{00000000-0008-0000-0200-0000E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1997" name="Rectangle 221">
          <a:extLst>
            <a:ext uri="{FF2B5EF4-FFF2-40B4-BE49-F238E27FC236}">
              <a16:creationId xmlns:a16="http://schemas.microsoft.com/office/drawing/2014/main" id="{00000000-0008-0000-0200-0000E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8" name="Oval 222">
          <a:extLst>
            <a:ext uri="{FF2B5EF4-FFF2-40B4-BE49-F238E27FC236}">
              <a16:creationId xmlns:a16="http://schemas.microsoft.com/office/drawing/2014/main" id="{00000000-0008-0000-0200-0000E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1999" name="Oval 223">
          <a:extLst>
            <a:ext uri="{FF2B5EF4-FFF2-40B4-BE49-F238E27FC236}">
              <a16:creationId xmlns:a16="http://schemas.microsoft.com/office/drawing/2014/main" id="{00000000-0008-0000-0200-0000E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0" name="Oval 224">
          <a:extLst>
            <a:ext uri="{FF2B5EF4-FFF2-40B4-BE49-F238E27FC236}">
              <a16:creationId xmlns:a16="http://schemas.microsoft.com/office/drawing/2014/main" id="{00000000-0008-0000-0200-0000F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1" name="Oval 225">
          <a:extLst>
            <a:ext uri="{FF2B5EF4-FFF2-40B4-BE49-F238E27FC236}">
              <a16:creationId xmlns:a16="http://schemas.microsoft.com/office/drawing/2014/main" id="{00000000-0008-0000-0200-0000F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002" name="AutoShape 226">
          <a:extLst>
            <a:ext uri="{FF2B5EF4-FFF2-40B4-BE49-F238E27FC236}">
              <a16:creationId xmlns:a16="http://schemas.microsoft.com/office/drawing/2014/main" id="{00000000-0008-0000-0200-0000F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003" name="Rectangle 227">
          <a:extLst>
            <a:ext uri="{FF2B5EF4-FFF2-40B4-BE49-F238E27FC236}">
              <a16:creationId xmlns:a16="http://schemas.microsoft.com/office/drawing/2014/main" id="{00000000-0008-0000-0200-0000F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4" name="Oval 228">
          <a:extLst>
            <a:ext uri="{FF2B5EF4-FFF2-40B4-BE49-F238E27FC236}">
              <a16:creationId xmlns:a16="http://schemas.microsoft.com/office/drawing/2014/main" id="{00000000-0008-0000-0200-0000F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5" name="Oval 229">
          <a:extLst>
            <a:ext uri="{FF2B5EF4-FFF2-40B4-BE49-F238E27FC236}">
              <a16:creationId xmlns:a16="http://schemas.microsoft.com/office/drawing/2014/main" id="{00000000-0008-0000-0200-0000F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6" name="Oval 230">
          <a:extLst>
            <a:ext uri="{FF2B5EF4-FFF2-40B4-BE49-F238E27FC236}">
              <a16:creationId xmlns:a16="http://schemas.microsoft.com/office/drawing/2014/main" id="{00000000-0008-0000-0200-0000F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07" name="Oval 231">
          <a:extLst>
            <a:ext uri="{FF2B5EF4-FFF2-40B4-BE49-F238E27FC236}">
              <a16:creationId xmlns:a16="http://schemas.microsoft.com/office/drawing/2014/main" id="{00000000-0008-0000-0200-0000F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008" name="AutoShape 232">
          <a:extLst>
            <a:ext uri="{FF2B5EF4-FFF2-40B4-BE49-F238E27FC236}">
              <a16:creationId xmlns:a16="http://schemas.microsoft.com/office/drawing/2014/main" id="{00000000-0008-0000-0200-0000F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009" name="Rectangle 233">
          <a:extLst>
            <a:ext uri="{FF2B5EF4-FFF2-40B4-BE49-F238E27FC236}">
              <a16:creationId xmlns:a16="http://schemas.microsoft.com/office/drawing/2014/main" id="{00000000-0008-0000-0200-0000F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10" name="Oval 234">
          <a:extLst>
            <a:ext uri="{FF2B5EF4-FFF2-40B4-BE49-F238E27FC236}">
              <a16:creationId xmlns:a16="http://schemas.microsoft.com/office/drawing/2014/main" id="{00000000-0008-0000-0200-0000F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11" name="Oval 235">
          <a:extLst>
            <a:ext uri="{FF2B5EF4-FFF2-40B4-BE49-F238E27FC236}">
              <a16:creationId xmlns:a16="http://schemas.microsoft.com/office/drawing/2014/main" id="{00000000-0008-0000-0200-0000F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12" name="Oval 236">
          <a:extLst>
            <a:ext uri="{FF2B5EF4-FFF2-40B4-BE49-F238E27FC236}">
              <a16:creationId xmlns:a16="http://schemas.microsoft.com/office/drawing/2014/main" id="{00000000-0008-0000-0200-0000F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013" name="Oval 237">
          <a:extLst>
            <a:ext uri="{FF2B5EF4-FFF2-40B4-BE49-F238E27FC236}">
              <a16:creationId xmlns:a16="http://schemas.microsoft.com/office/drawing/2014/main" id="{00000000-0008-0000-0200-0000F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014" name="AutoShape 238">
          <a:extLst>
            <a:ext uri="{FF2B5EF4-FFF2-40B4-BE49-F238E27FC236}">
              <a16:creationId xmlns:a16="http://schemas.microsoft.com/office/drawing/2014/main" id="{00000000-0008-0000-0200-0000F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015" name="Rectangle 239">
          <a:extLst>
            <a:ext uri="{FF2B5EF4-FFF2-40B4-BE49-F238E27FC236}">
              <a16:creationId xmlns:a16="http://schemas.microsoft.com/office/drawing/2014/main" id="{00000000-0008-0000-0200-0000F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28" name="Oval 240">
          <a:extLst>
            <a:ext uri="{FF2B5EF4-FFF2-40B4-BE49-F238E27FC236}">
              <a16:creationId xmlns:a16="http://schemas.microsoft.com/office/drawing/2014/main" id="{00000000-0008-0000-0200-000000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29" name="Oval 241">
          <a:extLst>
            <a:ext uri="{FF2B5EF4-FFF2-40B4-BE49-F238E27FC236}">
              <a16:creationId xmlns:a16="http://schemas.microsoft.com/office/drawing/2014/main" id="{00000000-0008-0000-0200-000001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0" name="Oval 242">
          <a:extLst>
            <a:ext uri="{FF2B5EF4-FFF2-40B4-BE49-F238E27FC236}">
              <a16:creationId xmlns:a16="http://schemas.microsoft.com/office/drawing/2014/main" id="{00000000-0008-0000-0200-000002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1" name="Oval 243">
          <a:extLst>
            <a:ext uri="{FF2B5EF4-FFF2-40B4-BE49-F238E27FC236}">
              <a16:creationId xmlns:a16="http://schemas.microsoft.com/office/drawing/2014/main" id="{00000000-0008-0000-0200-00000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5332" name="AutoShape 244">
          <a:extLst>
            <a:ext uri="{FF2B5EF4-FFF2-40B4-BE49-F238E27FC236}">
              <a16:creationId xmlns:a16="http://schemas.microsoft.com/office/drawing/2014/main" id="{00000000-0008-0000-0200-000004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33" name="Rectangle 245">
          <a:extLst>
            <a:ext uri="{FF2B5EF4-FFF2-40B4-BE49-F238E27FC236}">
              <a16:creationId xmlns:a16="http://schemas.microsoft.com/office/drawing/2014/main" id="{00000000-0008-0000-0200-000005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4" name="Oval 246">
          <a:extLst>
            <a:ext uri="{FF2B5EF4-FFF2-40B4-BE49-F238E27FC236}">
              <a16:creationId xmlns:a16="http://schemas.microsoft.com/office/drawing/2014/main" id="{00000000-0008-0000-0200-000006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5" name="Oval 247">
          <a:extLst>
            <a:ext uri="{FF2B5EF4-FFF2-40B4-BE49-F238E27FC236}">
              <a16:creationId xmlns:a16="http://schemas.microsoft.com/office/drawing/2014/main" id="{00000000-0008-0000-0200-000007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6" name="Oval 248">
          <a:extLst>
            <a:ext uri="{FF2B5EF4-FFF2-40B4-BE49-F238E27FC236}">
              <a16:creationId xmlns:a16="http://schemas.microsoft.com/office/drawing/2014/main" id="{00000000-0008-0000-0200-00000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37" name="Oval 249">
          <a:extLst>
            <a:ext uri="{FF2B5EF4-FFF2-40B4-BE49-F238E27FC236}">
              <a16:creationId xmlns:a16="http://schemas.microsoft.com/office/drawing/2014/main" id="{00000000-0008-0000-0200-00000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5338" name="AutoShape 250">
          <a:extLst>
            <a:ext uri="{FF2B5EF4-FFF2-40B4-BE49-F238E27FC236}">
              <a16:creationId xmlns:a16="http://schemas.microsoft.com/office/drawing/2014/main" id="{00000000-0008-0000-0200-00000A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39" name="Rectangle 251">
          <a:extLst>
            <a:ext uri="{FF2B5EF4-FFF2-40B4-BE49-F238E27FC236}">
              <a16:creationId xmlns:a16="http://schemas.microsoft.com/office/drawing/2014/main" id="{00000000-0008-0000-0200-00000B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0" name="Oval 252">
          <a:extLst>
            <a:ext uri="{FF2B5EF4-FFF2-40B4-BE49-F238E27FC236}">
              <a16:creationId xmlns:a16="http://schemas.microsoft.com/office/drawing/2014/main" id="{00000000-0008-0000-0200-00000C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1" name="Oval 253">
          <a:extLst>
            <a:ext uri="{FF2B5EF4-FFF2-40B4-BE49-F238E27FC236}">
              <a16:creationId xmlns:a16="http://schemas.microsoft.com/office/drawing/2014/main" id="{00000000-0008-0000-0200-00000D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2" name="Oval 254">
          <a:extLst>
            <a:ext uri="{FF2B5EF4-FFF2-40B4-BE49-F238E27FC236}">
              <a16:creationId xmlns:a16="http://schemas.microsoft.com/office/drawing/2014/main" id="{00000000-0008-0000-0200-00000E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3" name="Oval 255">
          <a:extLst>
            <a:ext uri="{FF2B5EF4-FFF2-40B4-BE49-F238E27FC236}">
              <a16:creationId xmlns:a16="http://schemas.microsoft.com/office/drawing/2014/main" id="{00000000-0008-0000-0200-00000F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5344" name="AutoShape 256">
          <a:extLst>
            <a:ext uri="{FF2B5EF4-FFF2-40B4-BE49-F238E27FC236}">
              <a16:creationId xmlns:a16="http://schemas.microsoft.com/office/drawing/2014/main" id="{00000000-0008-0000-0200-000010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45" name="Rectangle 257">
          <a:extLst>
            <a:ext uri="{FF2B5EF4-FFF2-40B4-BE49-F238E27FC236}">
              <a16:creationId xmlns:a16="http://schemas.microsoft.com/office/drawing/2014/main" id="{00000000-0008-0000-0200-000011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6" name="Oval 258">
          <a:extLst>
            <a:ext uri="{FF2B5EF4-FFF2-40B4-BE49-F238E27FC236}">
              <a16:creationId xmlns:a16="http://schemas.microsoft.com/office/drawing/2014/main" id="{00000000-0008-0000-0200-000012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7" name="Oval 259">
          <a:extLst>
            <a:ext uri="{FF2B5EF4-FFF2-40B4-BE49-F238E27FC236}">
              <a16:creationId xmlns:a16="http://schemas.microsoft.com/office/drawing/2014/main" id="{00000000-0008-0000-0200-00001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8" name="Oval 260">
          <a:extLst>
            <a:ext uri="{FF2B5EF4-FFF2-40B4-BE49-F238E27FC236}">
              <a16:creationId xmlns:a16="http://schemas.microsoft.com/office/drawing/2014/main" id="{00000000-0008-0000-0200-000014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49" name="Oval 261">
          <a:extLst>
            <a:ext uri="{FF2B5EF4-FFF2-40B4-BE49-F238E27FC236}">
              <a16:creationId xmlns:a16="http://schemas.microsoft.com/office/drawing/2014/main" id="{00000000-0008-0000-0200-000015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5350" name="AutoShape 262">
          <a:extLst>
            <a:ext uri="{FF2B5EF4-FFF2-40B4-BE49-F238E27FC236}">
              <a16:creationId xmlns:a16="http://schemas.microsoft.com/office/drawing/2014/main" id="{00000000-0008-0000-0200-000016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51" name="Rectangle 263">
          <a:extLst>
            <a:ext uri="{FF2B5EF4-FFF2-40B4-BE49-F238E27FC236}">
              <a16:creationId xmlns:a16="http://schemas.microsoft.com/office/drawing/2014/main" id="{00000000-0008-0000-0200-000017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2" name="Oval 264">
          <a:extLst>
            <a:ext uri="{FF2B5EF4-FFF2-40B4-BE49-F238E27FC236}">
              <a16:creationId xmlns:a16="http://schemas.microsoft.com/office/drawing/2014/main" id="{00000000-0008-0000-0200-00001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3" name="Oval 265">
          <a:extLst>
            <a:ext uri="{FF2B5EF4-FFF2-40B4-BE49-F238E27FC236}">
              <a16:creationId xmlns:a16="http://schemas.microsoft.com/office/drawing/2014/main" id="{00000000-0008-0000-0200-00001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4" name="Oval 266">
          <a:extLst>
            <a:ext uri="{FF2B5EF4-FFF2-40B4-BE49-F238E27FC236}">
              <a16:creationId xmlns:a16="http://schemas.microsoft.com/office/drawing/2014/main" id="{00000000-0008-0000-0200-00001A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5" name="Oval 267">
          <a:extLst>
            <a:ext uri="{FF2B5EF4-FFF2-40B4-BE49-F238E27FC236}">
              <a16:creationId xmlns:a16="http://schemas.microsoft.com/office/drawing/2014/main" id="{00000000-0008-0000-0200-00001B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5356" name="AutoShape 268">
          <a:extLst>
            <a:ext uri="{FF2B5EF4-FFF2-40B4-BE49-F238E27FC236}">
              <a16:creationId xmlns:a16="http://schemas.microsoft.com/office/drawing/2014/main" id="{00000000-0008-0000-0200-00001C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57" name="Rectangle 269">
          <a:extLst>
            <a:ext uri="{FF2B5EF4-FFF2-40B4-BE49-F238E27FC236}">
              <a16:creationId xmlns:a16="http://schemas.microsoft.com/office/drawing/2014/main" id="{00000000-0008-0000-0200-00001D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8" name="Oval 270">
          <a:extLst>
            <a:ext uri="{FF2B5EF4-FFF2-40B4-BE49-F238E27FC236}">
              <a16:creationId xmlns:a16="http://schemas.microsoft.com/office/drawing/2014/main" id="{00000000-0008-0000-0200-00001E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59" name="Oval 271">
          <a:extLst>
            <a:ext uri="{FF2B5EF4-FFF2-40B4-BE49-F238E27FC236}">
              <a16:creationId xmlns:a16="http://schemas.microsoft.com/office/drawing/2014/main" id="{00000000-0008-0000-0200-00001F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0" name="Oval 272">
          <a:extLst>
            <a:ext uri="{FF2B5EF4-FFF2-40B4-BE49-F238E27FC236}">
              <a16:creationId xmlns:a16="http://schemas.microsoft.com/office/drawing/2014/main" id="{00000000-0008-0000-0200-000020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1" name="Oval 273">
          <a:extLst>
            <a:ext uri="{FF2B5EF4-FFF2-40B4-BE49-F238E27FC236}">
              <a16:creationId xmlns:a16="http://schemas.microsoft.com/office/drawing/2014/main" id="{00000000-0008-0000-0200-000021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62" name="Rectangle 274">
          <a:extLst>
            <a:ext uri="{FF2B5EF4-FFF2-40B4-BE49-F238E27FC236}">
              <a16:creationId xmlns:a16="http://schemas.microsoft.com/office/drawing/2014/main" id="{00000000-0008-0000-0200-000022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3" name="Oval 275">
          <a:extLst>
            <a:ext uri="{FF2B5EF4-FFF2-40B4-BE49-F238E27FC236}">
              <a16:creationId xmlns:a16="http://schemas.microsoft.com/office/drawing/2014/main" id="{00000000-0008-0000-0200-00002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4" name="Oval 276">
          <a:extLst>
            <a:ext uri="{FF2B5EF4-FFF2-40B4-BE49-F238E27FC236}">
              <a16:creationId xmlns:a16="http://schemas.microsoft.com/office/drawing/2014/main" id="{00000000-0008-0000-0200-000024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5" name="Oval 277">
          <a:extLst>
            <a:ext uri="{FF2B5EF4-FFF2-40B4-BE49-F238E27FC236}">
              <a16:creationId xmlns:a16="http://schemas.microsoft.com/office/drawing/2014/main" id="{00000000-0008-0000-0200-000025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6" name="Oval 278">
          <a:extLst>
            <a:ext uri="{FF2B5EF4-FFF2-40B4-BE49-F238E27FC236}">
              <a16:creationId xmlns:a16="http://schemas.microsoft.com/office/drawing/2014/main" id="{00000000-0008-0000-0200-000026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55367" name="Rectangle 279">
          <a:extLst>
            <a:ext uri="{FF2B5EF4-FFF2-40B4-BE49-F238E27FC236}">
              <a16:creationId xmlns:a16="http://schemas.microsoft.com/office/drawing/2014/main" id="{00000000-0008-0000-0200-000027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8" name="Oval 280">
          <a:extLst>
            <a:ext uri="{FF2B5EF4-FFF2-40B4-BE49-F238E27FC236}">
              <a16:creationId xmlns:a16="http://schemas.microsoft.com/office/drawing/2014/main" id="{00000000-0008-0000-0200-00002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69" name="Oval 281">
          <a:extLst>
            <a:ext uri="{FF2B5EF4-FFF2-40B4-BE49-F238E27FC236}">
              <a16:creationId xmlns:a16="http://schemas.microsoft.com/office/drawing/2014/main" id="{00000000-0008-0000-0200-00002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70" name="Oval 282">
          <a:extLst>
            <a:ext uri="{FF2B5EF4-FFF2-40B4-BE49-F238E27FC236}">
              <a16:creationId xmlns:a16="http://schemas.microsoft.com/office/drawing/2014/main" id="{00000000-0008-0000-0200-00002A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5371" name="Oval 283">
          <a:extLst>
            <a:ext uri="{FF2B5EF4-FFF2-40B4-BE49-F238E27FC236}">
              <a16:creationId xmlns:a16="http://schemas.microsoft.com/office/drawing/2014/main" id="{00000000-0008-0000-0200-00002B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5372" name="Rectangle 285">
          <a:extLst>
            <a:ext uri="{FF2B5EF4-FFF2-40B4-BE49-F238E27FC236}">
              <a16:creationId xmlns:a16="http://schemas.microsoft.com/office/drawing/2014/main" id="{00000000-0008-0000-0200-00002C6C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5373" name="Rectangle 287">
          <a:extLst>
            <a:ext uri="{FF2B5EF4-FFF2-40B4-BE49-F238E27FC236}">
              <a16:creationId xmlns:a16="http://schemas.microsoft.com/office/drawing/2014/main" id="{00000000-0008-0000-0200-00002D6C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5374" name="Rectangle 289">
          <a:extLst>
            <a:ext uri="{FF2B5EF4-FFF2-40B4-BE49-F238E27FC236}">
              <a16:creationId xmlns:a16="http://schemas.microsoft.com/office/drawing/2014/main" id="{00000000-0008-0000-0200-00002E6C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5375" name="Rectangle 291">
          <a:extLst>
            <a:ext uri="{FF2B5EF4-FFF2-40B4-BE49-F238E27FC236}">
              <a16:creationId xmlns:a16="http://schemas.microsoft.com/office/drawing/2014/main" id="{00000000-0008-0000-0200-00002F6C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5376" name="Rectangle 293">
          <a:extLst>
            <a:ext uri="{FF2B5EF4-FFF2-40B4-BE49-F238E27FC236}">
              <a16:creationId xmlns:a16="http://schemas.microsoft.com/office/drawing/2014/main" id="{00000000-0008-0000-0200-0000306C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5377" name="Rectangle 295">
          <a:extLst>
            <a:ext uri="{FF2B5EF4-FFF2-40B4-BE49-F238E27FC236}">
              <a16:creationId xmlns:a16="http://schemas.microsoft.com/office/drawing/2014/main" id="{00000000-0008-0000-0200-000031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5378" name="Rectangle 297">
          <a:extLst>
            <a:ext uri="{FF2B5EF4-FFF2-40B4-BE49-F238E27FC236}">
              <a16:creationId xmlns:a16="http://schemas.microsoft.com/office/drawing/2014/main" id="{00000000-0008-0000-0200-000032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5379" name="Rectangle 299">
          <a:extLst>
            <a:ext uri="{FF2B5EF4-FFF2-40B4-BE49-F238E27FC236}">
              <a16:creationId xmlns:a16="http://schemas.microsoft.com/office/drawing/2014/main" id="{00000000-0008-0000-0200-000033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5380" name="Rectangle 301">
          <a:extLst>
            <a:ext uri="{FF2B5EF4-FFF2-40B4-BE49-F238E27FC236}">
              <a16:creationId xmlns:a16="http://schemas.microsoft.com/office/drawing/2014/main" id="{00000000-0008-0000-0200-000034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5381" name="Rectangle 303">
          <a:extLst>
            <a:ext uri="{FF2B5EF4-FFF2-40B4-BE49-F238E27FC236}">
              <a16:creationId xmlns:a16="http://schemas.microsoft.com/office/drawing/2014/main" id="{00000000-0008-0000-0200-000035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5382" name="Rectangle 305">
          <a:extLst>
            <a:ext uri="{FF2B5EF4-FFF2-40B4-BE49-F238E27FC236}">
              <a16:creationId xmlns:a16="http://schemas.microsoft.com/office/drawing/2014/main" id="{00000000-0008-0000-0200-000036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5383" name="Rectangle 307">
          <a:extLst>
            <a:ext uri="{FF2B5EF4-FFF2-40B4-BE49-F238E27FC236}">
              <a16:creationId xmlns:a16="http://schemas.microsoft.com/office/drawing/2014/main" id="{00000000-0008-0000-0200-000037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55384" name="フリーフォーム 311">
          <a:extLst>
            <a:ext uri="{FF2B5EF4-FFF2-40B4-BE49-F238E27FC236}">
              <a16:creationId xmlns:a16="http://schemas.microsoft.com/office/drawing/2014/main" id="{00000000-0008-0000-0200-0000386C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55385" name="フリーフォーム 312">
          <a:extLst>
            <a:ext uri="{FF2B5EF4-FFF2-40B4-BE49-F238E27FC236}">
              <a16:creationId xmlns:a16="http://schemas.microsoft.com/office/drawing/2014/main" id="{00000000-0008-0000-0200-0000396C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55386" name="フリーフォーム 313">
          <a:extLst>
            <a:ext uri="{FF2B5EF4-FFF2-40B4-BE49-F238E27FC236}">
              <a16:creationId xmlns:a16="http://schemas.microsoft.com/office/drawing/2014/main" id="{00000000-0008-0000-0200-00003A6C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55387" name="フリーフォーム 314">
          <a:extLst>
            <a:ext uri="{FF2B5EF4-FFF2-40B4-BE49-F238E27FC236}">
              <a16:creationId xmlns:a16="http://schemas.microsoft.com/office/drawing/2014/main" id="{00000000-0008-0000-0200-00003B6C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55388" name="フリーフォーム 315">
          <a:extLst>
            <a:ext uri="{FF2B5EF4-FFF2-40B4-BE49-F238E27FC236}">
              <a16:creationId xmlns:a16="http://schemas.microsoft.com/office/drawing/2014/main" id="{00000000-0008-0000-0200-00003C6C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55389" name="フリーフォーム 316">
          <a:extLst>
            <a:ext uri="{FF2B5EF4-FFF2-40B4-BE49-F238E27FC236}">
              <a16:creationId xmlns:a16="http://schemas.microsoft.com/office/drawing/2014/main" id="{00000000-0008-0000-0200-00003D6C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55390" name="フリーフォーム 317">
          <a:extLst>
            <a:ext uri="{FF2B5EF4-FFF2-40B4-BE49-F238E27FC236}">
              <a16:creationId xmlns:a16="http://schemas.microsoft.com/office/drawing/2014/main" id="{00000000-0008-0000-0200-00003E6C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55391" name="フリーフォーム 319">
          <a:extLst>
            <a:ext uri="{FF2B5EF4-FFF2-40B4-BE49-F238E27FC236}">
              <a16:creationId xmlns:a16="http://schemas.microsoft.com/office/drawing/2014/main" id="{00000000-0008-0000-0200-00003F6C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55392" name="フリーフォーム 320">
          <a:extLst>
            <a:ext uri="{FF2B5EF4-FFF2-40B4-BE49-F238E27FC236}">
              <a16:creationId xmlns:a16="http://schemas.microsoft.com/office/drawing/2014/main" id="{00000000-0008-0000-0200-0000406C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5393" name="フリーフォーム 321">
          <a:extLst>
            <a:ext uri="{FF2B5EF4-FFF2-40B4-BE49-F238E27FC236}">
              <a16:creationId xmlns:a16="http://schemas.microsoft.com/office/drawing/2014/main" id="{00000000-0008-0000-0200-0000416C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55394" name="フリーフォーム 322">
          <a:extLst>
            <a:ext uri="{FF2B5EF4-FFF2-40B4-BE49-F238E27FC236}">
              <a16:creationId xmlns:a16="http://schemas.microsoft.com/office/drawing/2014/main" id="{00000000-0008-0000-0200-0000426C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55395" name="Rectangle 2">
          <a:extLst>
            <a:ext uri="{FF2B5EF4-FFF2-40B4-BE49-F238E27FC236}">
              <a16:creationId xmlns:a16="http://schemas.microsoft.com/office/drawing/2014/main" id="{00000000-0008-0000-0200-0000436C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55396" name="Rectangle 2">
          <a:extLst>
            <a:ext uri="{FF2B5EF4-FFF2-40B4-BE49-F238E27FC236}">
              <a16:creationId xmlns:a16="http://schemas.microsoft.com/office/drawing/2014/main" id="{00000000-0008-0000-0200-0000446C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5397" name="Rectangle 2">
          <a:extLst>
            <a:ext uri="{FF2B5EF4-FFF2-40B4-BE49-F238E27FC236}">
              <a16:creationId xmlns:a16="http://schemas.microsoft.com/office/drawing/2014/main" id="{00000000-0008-0000-0200-0000456C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5398" name="Rectangle 2">
          <a:extLst>
            <a:ext uri="{FF2B5EF4-FFF2-40B4-BE49-F238E27FC236}">
              <a16:creationId xmlns:a16="http://schemas.microsoft.com/office/drawing/2014/main" id="{00000000-0008-0000-0200-0000466C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5399" name="Rectangle 2">
          <a:extLst>
            <a:ext uri="{FF2B5EF4-FFF2-40B4-BE49-F238E27FC236}">
              <a16:creationId xmlns:a16="http://schemas.microsoft.com/office/drawing/2014/main" id="{00000000-0008-0000-0200-0000476C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5400" name="Rectangle 293">
          <a:extLst>
            <a:ext uri="{FF2B5EF4-FFF2-40B4-BE49-F238E27FC236}">
              <a16:creationId xmlns:a16="http://schemas.microsoft.com/office/drawing/2014/main" id="{00000000-0008-0000-0200-000048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5401" name="Rectangle 2">
          <a:extLst>
            <a:ext uri="{FF2B5EF4-FFF2-40B4-BE49-F238E27FC236}">
              <a16:creationId xmlns:a16="http://schemas.microsoft.com/office/drawing/2014/main" id="{00000000-0008-0000-0200-000049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5402" name="Rectangle 293">
          <a:extLst>
            <a:ext uri="{FF2B5EF4-FFF2-40B4-BE49-F238E27FC236}">
              <a16:creationId xmlns:a16="http://schemas.microsoft.com/office/drawing/2014/main" id="{00000000-0008-0000-0200-00004A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5403" name="Rectangle 2">
          <a:extLst>
            <a:ext uri="{FF2B5EF4-FFF2-40B4-BE49-F238E27FC236}">
              <a16:creationId xmlns:a16="http://schemas.microsoft.com/office/drawing/2014/main" id="{00000000-0008-0000-0200-00004B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5404" name="Rectangle 293">
          <a:extLst>
            <a:ext uri="{FF2B5EF4-FFF2-40B4-BE49-F238E27FC236}">
              <a16:creationId xmlns:a16="http://schemas.microsoft.com/office/drawing/2014/main" id="{00000000-0008-0000-0200-00004C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355405" name="フリーフォーム 342">
          <a:extLst>
            <a:ext uri="{FF2B5EF4-FFF2-40B4-BE49-F238E27FC236}">
              <a16:creationId xmlns:a16="http://schemas.microsoft.com/office/drawing/2014/main" id="{00000000-0008-0000-0200-00004D6C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5406" name="Rectangle 2">
          <a:extLst>
            <a:ext uri="{FF2B5EF4-FFF2-40B4-BE49-F238E27FC236}">
              <a16:creationId xmlns:a16="http://schemas.microsoft.com/office/drawing/2014/main" id="{00000000-0008-0000-0200-00004E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5407" name="Rectangle 293">
          <a:extLst>
            <a:ext uri="{FF2B5EF4-FFF2-40B4-BE49-F238E27FC236}">
              <a16:creationId xmlns:a16="http://schemas.microsoft.com/office/drawing/2014/main" id="{00000000-0008-0000-0200-00004F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5408" name="Rectangle 2">
          <a:extLst>
            <a:ext uri="{FF2B5EF4-FFF2-40B4-BE49-F238E27FC236}">
              <a16:creationId xmlns:a16="http://schemas.microsoft.com/office/drawing/2014/main" id="{00000000-0008-0000-0200-000050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5409" name="Rectangle 293">
          <a:extLst>
            <a:ext uri="{FF2B5EF4-FFF2-40B4-BE49-F238E27FC236}">
              <a16:creationId xmlns:a16="http://schemas.microsoft.com/office/drawing/2014/main" id="{00000000-0008-0000-0200-000051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55410" name="フリーフォーム 350">
          <a:extLst>
            <a:ext uri="{FF2B5EF4-FFF2-40B4-BE49-F238E27FC236}">
              <a16:creationId xmlns:a16="http://schemas.microsoft.com/office/drawing/2014/main" id="{00000000-0008-0000-0200-0000526C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5411" name="Rectangle 2">
          <a:extLst>
            <a:ext uri="{FF2B5EF4-FFF2-40B4-BE49-F238E27FC236}">
              <a16:creationId xmlns:a16="http://schemas.microsoft.com/office/drawing/2014/main" id="{00000000-0008-0000-0200-000053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5412" name="Rectangle 293">
          <a:extLst>
            <a:ext uri="{FF2B5EF4-FFF2-40B4-BE49-F238E27FC236}">
              <a16:creationId xmlns:a16="http://schemas.microsoft.com/office/drawing/2014/main" id="{00000000-0008-0000-0200-000054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5413" name="フリーフォーム 354">
          <a:extLst>
            <a:ext uri="{FF2B5EF4-FFF2-40B4-BE49-F238E27FC236}">
              <a16:creationId xmlns:a16="http://schemas.microsoft.com/office/drawing/2014/main" id="{00000000-0008-0000-0200-0000556C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5414" name="Rectangle 2">
          <a:extLst>
            <a:ext uri="{FF2B5EF4-FFF2-40B4-BE49-F238E27FC236}">
              <a16:creationId xmlns:a16="http://schemas.microsoft.com/office/drawing/2014/main" id="{00000000-0008-0000-0200-000056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5415" name="Rectangle 293">
          <a:extLst>
            <a:ext uri="{FF2B5EF4-FFF2-40B4-BE49-F238E27FC236}">
              <a16:creationId xmlns:a16="http://schemas.microsoft.com/office/drawing/2014/main" id="{00000000-0008-0000-0200-000057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5416" name="Rectangle 2">
          <a:extLst>
            <a:ext uri="{FF2B5EF4-FFF2-40B4-BE49-F238E27FC236}">
              <a16:creationId xmlns:a16="http://schemas.microsoft.com/office/drawing/2014/main" id="{00000000-0008-0000-0200-000058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5417" name="Rectangle 285">
          <a:extLst>
            <a:ext uri="{FF2B5EF4-FFF2-40B4-BE49-F238E27FC236}">
              <a16:creationId xmlns:a16="http://schemas.microsoft.com/office/drawing/2014/main" id="{00000000-0008-0000-0200-0000596C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55418" name="フリーフォーム 362">
          <a:extLst>
            <a:ext uri="{FF2B5EF4-FFF2-40B4-BE49-F238E27FC236}">
              <a16:creationId xmlns:a16="http://schemas.microsoft.com/office/drawing/2014/main" id="{00000000-0008-0000-0200-00005A6C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5419" name="Rectangle 2">
          <a:extLst>
            <a:ext uri="{FF2B5EF4-FFF2-40B4-BE49-F238E27FC236}">
              <a16:creationId xmlns:a16="http://schemas.microsoft.com/office/drawing/2014/main" id="{00000000-0008-0000-0200-00005B6C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355420" name="Oval 18">
          <a:extLst>
            <a:ext uri="{FF2B5EF4-FFF2-40B4-BE49-F238E27FC236}">
              <a16:creationId xmlns:a16="http://schemas.microsoft.com/office/drawing/2014/main" id="{00000000-0008-0000-0200-00005C6C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55421" name="Oval 51">
          <a:extLst>
            <a:ext uri="{FF2B5EF4-FFF2-40B4-BE49-F238E27FC236}">
              <a16:creationId xmlns:a16="http://schemas.microsoft.com/office/drawing/2014/main" id="{00000000-0008-0000-0200-00005D6C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355422" name="Oval 18">
          <a:extLst>
            <a:ext uri="{FF2B5EF4-FFF2-40B4-BE49-F238E27FC236}">
              <a16:creationId xmlns:a16="http://schemas.microsoft.com/office/drawing/2014/main" id="{00000000-0008-0000-0200-00005E6C05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173850</xdr:colOff>
      <xdr:row>12</xdr:row>
      <xdr:rowOff>1116</xdr:rowOff>
    </xdr:from>
    <xdr:to>
      <xdr:col>6</xdr:col>
      <xdr:colOff>3229</xdr:colOff>
      <xdr:row>12</xdr:row>
      <xdr:rowOff>3228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CxnSpPr/>
      </xdr:nvCxnSpPr>
      <xdr:spPr bwMode="auto">
        <a:xfrm>
          <a:off x="1003655" y="1567091"/>
          <a:ext cx="371820" cy="21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4</xdr:col>
      <xdr:colOff>150881</xdr:colOff>
      <xdr:row>11</xdr:row>
      <xdr:rowOff>17859</xdr:rowOff>
    </xdr:from>
    <xdr:ext cx="315516" cy="196849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1169071" y="1541859"/>
          <a:ext cx="315516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83656 w 272143"/>
            <a:gd name="T3" fmla="*/ 0 h 185057"/>
            <a:gd name="T4" fmla="*/ 541634 w 272143"/>
            <a:gd name="T5" fmla="*/ 297802 h 185057"/>
            <a:gd name="T6" fmla="*/ 564201 w 272143"/>
            <a:gd name="T7" fmla="*/ 340334 h 185057"/>
            <a:gd name="T8" fmla="*/ 383656 w 272143"/>
            <a:gd name="T9" fmla="*/ 723228 h 185057"/>
            <a:gd name="T10" fmla="*/ 11283 w 272143"/>
            <a:gd name="T11" fmla="*/ 72322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165653</xdr:colOff>
      <xdr:row>12</xdr:row>
      <xdr:rowOff>19879</xdr:rowOff>
    </xdr:from>
    <xdr:to>
      <xdr:col>8</xdr:col>
      <xdr:colOff>165653</xdr:colOff>
      <xdr:row>12</xdr:row>
      <xdr:rowOff>19879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1020418" y="1577009"/>
          <a:ext cx="927652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59635</xdr:colOff>
      <xdr:row>20</xdr:row>
      <xdr:rowOff>1</xdr:rowOff>
    </xdr:from>
    <xdr:to>
      <xdr:col>14</xdr:col>
      <xdr:colOff>6627</xdr:colOff>
      <xdr:row>20</xdr:row>
      <xdr:rowOff>6626</xdr:rowOff>
    </xdr:to>
    <xdr:cxnSp macro="">
      <xdr:nvCxnSpPr>
        <xdr:cNvPr id="250" name="直線コネクタ 249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2398644" y="2259497"/>
          <a:ext cx="503583" cy="662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39757</xdr:colOff>
      <xdr:row>12</xdr:row>
      <xdr:rowOff>26505</xdr:rowOff>
    </xdr:from>
    <xdr:to>
      <xdr:col>13</xdr:col>
      <xdr:colOff>172278</xdr:colOff>
      <xdr:row>12</xdr:row>
      <xdr:rowOff>26505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2564296" y="1583635"/>
          <a:ext cx="318052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159027</xdr:colOff>
      <xdr:row>20</xdr:row>
      <xdr:rowOff>0</xdr:rowOff>
    </xdr:from>
    <xdr:to>
      <xdr:col>9</xdr:col>
      <xdr:colOff>66261</xdr:colOff>
      <xdr:row>20</xdr:row>
      <xdr:rowOff>0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1013792" y="2259496"/>
          <a:ext cx="1020417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172279</xdr:colOff>
      <xdr:row>36</xdr:row>
      <xdr:rowOff>6626</xdr:rowOff>
    </xdr:from>
    <xdr:to>
      <xdr:col>6</xdr:col>
      <xdr:colOff>19877</xdr:colOff>
      <xdr:row>36</xdr:row>
      <xdr:rowOff>13252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1027044" y="3670852"/>
          <a:ext cx="404190" cy="662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152401</xdr:colOff>
      <xdr:row>28</xdr:row>
      <xdr:rowOff>6626</xdr:rowOff>
    </xdr:from>
    <xdr:to>
      <xdr:col>10</xdr:col>
      <xdr:colOff>125896</xdr:colOff>
      <xdr:row>28</xdr:row>
      <xdr:rowOff>13252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 flipV="1">
          <a:off x="1007166" y="2968487"/>
          <a:ext cx="1272208" cy="662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159026</xdr:colOff>
      <xdr:row>36</xdr:row>
      <xdr:rowOff>6626</xdr:rowOff>
    </xdr:from>
    <xdr:to>
      <xdr:col>14</xdr:col>
      <xdr:colOff>6626</xdr:colOff>
      <xdr:row>36</xdr:row>
      <xdr:rowOff>6626</xdr:rowOff>
    </xdr:to>
    <xdr:cxnSp macro="">
      <xdr:nvCxnSpPr>
        <xdr:cNvPr id="277" name="直線コネクタ 276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2312504" y="3670852"/>
          <a:ext cx="589722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ECD37C39-F19F-46AC-9AA7-632D4045A57F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4B326FDC-730F-4884-A619-95A825969119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688610E8-4EBC-4BE4-A7A8-AB7CD653B4EE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333DD852-C207-48AC-9EDC-8466E1513F14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8DCE1398-8581-45F6-B733-EFEC89EA0F5B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DED28A5F-420F-425F-B943-6E4C2225C790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D4F9FC90-5D87-42FA-94A4-EC960FC7CF05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5385DABD-E453-4C84-8055-761342E72CE6}"/>
            </a:ext>
          </a:extLst>
        </xdr:cNvPr>
        <xdr:cNvSpPr>
          <a:spLocks noChangeArrowheads="1"/>
        </xdr:cNvSpPr>
      </xdr:nvSpPr>
      <xdr:spPr bwMode="auto">
        <a:xfrm>
          <a:off x="681990" y="97059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0" name="Oval 30">
          <a:extLst>
            <a:ext uri="{FF2B5EF4-FFF2-40B4-BE49-F238E27FC236}">
              <a16:creationId xmlns:a16="http://schemas.microsoft.com/office/drawing/2014/main" id="{96C6887A-DD61-45E6-96B7-90D3D41A7A69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1" name="Oval 34">
          <a:extLst>
            <a:ext uri="{FF2B5EF4-FFF2-40B4-BE49-F238E27FC236}">
              <a16:creationId xmlns:a16="http://schemas.microsoft.com/office/drawing/2014/main" id="{1C1768ED-A723-4889-A2C0-2D3A2A53E5EA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2" name="Oval 51">
          <a:extLst>
            <a:ext uri="{FF2B5EF4-FFF2-40B4-BE49-F238E27FC236}">
              <a16:creationId xmlns:a16="http://schemas.microsoft.com/office/drawing/2014/main" id="{D993537D-08FB-4BC4-80DA-1BC6CAE568E8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FF4762BC-E469-4F1C-9288-FA271547B78E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" name="AutoShape 102">
          <a:extLst>
            <a:ext uri="{FF2B5EF4-FFF2-40B4-BE49-F238E27FC236}">
              <a16:creationId xmlns:a16="http://schemas.microsoft.com/office/drawing/2014/main" id="{73EBEC9E-3550-41FC-8649-2909BDBDAC47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1CE5DD4F-120A-4912-857A-1E9F7C8D839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" name="Oval 104">
          <a:extLst>
            <a:ext uri="{FF2B5EF4-FFF2-40B4-BE49-F238E27FC236}">
              <a16:creationId xmlns:a16="http://schemas.microsoft.com/office/drawing/2014/main" id="{0CC3B1DE-FCFD-4227-B773-129B80C3164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" name="AutoShape 105">
          <a:extLst>
            <a:ext uri="{FF2B5EF4-FFF2-40B4-BE49-F238E27FC236}">
              <a16:creationId xmlns:a16="http://schemas.microsoft.com/office/drawing/2014/main" id="{21F98319-9E29-4EA0-974B-3C9BAAE381A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D9EADA51-EA0C-48F9-AF1E-3E8B7D8EDE0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" name="Oval 107">
          <a:extLst>
            <a:ext uri="{FF2B5EF4-FFF2-40B4-BE49-F238E27FC236}">
              <a16:creationId xmlns:a16="http://schemas.microsoft.com/office/drawing/2014/main" id="{4D4791BF-4CDB-4C7E-A94A-A2060343196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9EDCFBD0-DA15-4079-B6CB-35EC55E1BD4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1" name="Rectangle 109">
          <a:extLst>
            <a:ext uri="{FF2B5EF4-FFF2-40B4-BE49-F238E27FC236}">
              <a16:creationId xmlns:a16="http://schemas.microsoft.com/office/drawing/2014/main" id="{BDD77E6A-3550-4DE6-B3AC-28491B67492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2" name="Oval 110">
          <a:extLst>
            <a:ext uri="{FF2B5EF4-FFF2-40B4-BE49-F238E27FC236}">
              <a16:creationId xmlns:a16="http://schemas.microsoft.com/office/drawing/2014/main" id="{C1C1452F-AB1C-45C5-8BEB-8D30829898D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3" name="AutoShape 111">
          <a:extLst>
            <a:ext uri="{FF2B5EF4-FFF2-40B4-BE49-F238E27FC236}">
              <a16:creationId xmlns:a16="http://schemas.microsoft.com/office/drawing/2014/main" id="{A0C2326C-B2EF-4BAE-97AC-766021AFF95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4" name="Rectangle 112">
          <a:extLst>
            <a:ext uri="{FF2B5EF4-FFF2-40B4-BE49-F238E27FC236}">
              <a16:creationId xmlns:a16="http://schemas.microsoft.com/office/drawing/2014/main" id="{F359D6B8-A5B2-4E9C-8101-4D44F3F8947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0AC57A2D-1A04-4EE5-A391-31803B0ABD8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6" name="AutoShape 114">
          <a:extLst>
            <a:ext uri="{FF2B5EF4-FFF2-40B4-BE49-F238E27FC236}">
              <a16:creationId xmlns:a16="http://schemas.microsoft.com/office/drawing/2014/main" id="{0AA4C69F-6871-4F8E-A82F-2CAA40E4F99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7" name="Rectangle 115">
          <a:extLst>
            <a:ext uri="{FF2B5EF4-FFF2-40B4-BE49-F238E27FC236}">
              <a16:creationId xmlns:a16="http://schemas.microsoft.com/office/drawing/2014/main" id="{03AAF38F-44E6-441C-81F5-C784CC89132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8" name="Oval 116">
          <a:extLst>
            <a:ext uri="{FF2B5EF4-FFF2-40B4-BE49-F238E27FC236}">
              <a16:creationId xmlns:a16="http://schemas.microsoft.com/office/drawing/2014/main" id="{85C03D94-5C01-40FD-A420-A3CE0B0CD47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9" name="AutoShape 117">
          <a:extLst>
            <a:ext uri="{FF2B5EF4-FFF2-40B4-BE49-F238E27FC236}">
              <a16:creationId xmlns:a16="http://schemas.microsoft.com/office/drawing/2014/main" id="{5407F01C-A0E9-4CE0-B1EB-CD21CEFBAD2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0" name="Rectangle 118">
          <a:extLst>
            <a:ext uri="{FF2B5EF4-FFF2-40B4-BE49-F238E27FC236}">
              <a16:creationId xmlns:a16="http://schemas.microsoft.com/office/drawing/2014/main" id="{9F8F065A-C3CF-49AF-905A-068903E5453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1" name="Oval 119">
          <a:extLst>
            <a:ext uri="{FF2B5EF4-FFF2-40B4-BE49-F238E27FC236}">
              <a16:creationId xmlns:a16="http://schemas.microsoft.com/office/drawing/2014/main" id="{A1A4DD5D-04B5-441C-A924-06A11428445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2" name="AutoShape 120">
          <a:extLst>
            <a:ext uri="{FF2B5EF4-FFF2-40B4-BE49-F238E27FC236}">
              <a16:creationId xmlns:a16="http://schemas.microsoft.com/office/drawing/2014/main" id="{712FB6CB-307C-486D-A8C1-71044B06173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" name="Rectangle 121">
          <a:extLst>
            <a:ext uri="{FF2B5EF4-FFF2-40B4-BE49-F238E27FC236}">
              <a16:creationId xmlns:a16="http://schemas.microsoft.com/office/drawing/2014/main" id="{6869C3D6-8C0E-46D0-A1E1-FF1E7A9B0E5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" name="Oval 122">
          <a:extLst>
            <a:ext uri="{FF2B5EF4-FFF2-40B4-BE49-F238E27FC236}">
              <a16:creationId xmlns:a16="http://schemas.microsoft.com/office/drawing/2014/main" id="{62EDFA78-7B6F-485A-853B-B3824D2C1A4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" name="AutoShape 123">
          <a:extLst>
            <a:ext uri="{FF2B5EF4-FFF2-40B4-BE49-F238E27FC236}">
              <a16:creationId xmlns:a16="http://schemas.microsoft.com/office/drawing/2014/main" id="{5A98CBAA-E895-4A7A-9167-A5428D37641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6" name="Rectangle 124">
          <a:extLst>
            <a:ext uri="{FF2B5EF4-FFF2-40B4-BE49-F238E27FC236}">
              <a16:creationId xmlns:a16="http://schemas.microsoft.com/office/drawing/2014/main" id="{AE7A559A-F01B-44F2-B57D-09ACC8100AF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7" name="Oval 125">
          <a:extLst>
            <a:ext uri="{FF2B5EF4-FFF2-40B4-BE49-F238E27FC236}">
              <a16:creationId xmlns:a16="http://schemas.microsoft.com/office/drawing/2014/main" id="{5D51E3F1-17FE-4908-BBDD-AA6FB7DFA56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8" name="AutoShape 126">
          <a:extLst>
            <a:ext uri="{FF2B5EF4-FFF2-40B4-BE49-F238E27FC236}">
              <a16:creationId xmlns:a16="http://schemas.microsoft.com/office/drawing/2014/main" id="{7887A0FF-5A63-442A-8F9D-67A085BA0B8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9" name="Rectangle 127">
          <a:extLst>
            <a:ext uri="{FF2B5EF4-FFF2-40B4-BE49-F238E27FC236}">
              <a16:creationId xmlns:a16="http://schemas.microsoft.com/office/drawing/2014/main" id="{B0485C78-FCA7-4178-9CE6-DA9F2A36878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0" name="Oval 128">
          <a:extLst>
            <a:ext uri="{FF2B5EF4-FFF2-40B4-BE49-F238E27FC236}">
              <a16:creationId xmlns:a16="http://schemas.microsoft.com/office/drawing/2014/main" id="{D649BF14-71CF-4076-8416-3DC5ED0960F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1" name="AutoShape 129">
          <a:extLst>
            <a:ext uri="{FF2B5EF4-FFF2-40B4-BE49-F238E27FC236}">
              <a16:creationId xmlns:a16="http://schemas.microsoft.com/office/drawing/2014/main" id="{D3548437-F327-444D-980E-D379634AEC2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2" name="Rectangle 130">
          <a:extLst>
            <a:ext uri="{FF2B5EF4-FFF2-40B4-BE49-F238E27FC236}">
              <a16:creationId xmlns:a16="http://schemas.microsoft.com/office/drawing/2014/main" id="{EC47EE23-2643-468E-B476-6EB62022ED3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3" name="Oval 131">
          <a:extLst>
            <a:ext uri="{FF2B5EF4-FFF2-40B4-BE49-F238E27FC236}">
              <a16:creationId xmlns:a16="http://schemas.microsoft.com/office/drawing/2014/main" id="{DEC3BAB4-541F-42D1-8973-C0628F73E1B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4" name="AutoShape 132">
          <a:extLst>
            <a:ext uri="{FF2B5EF4-FFF2-40B4-BE49-F238E27FC236}">
              <a16:creationId xmlns:a16="http://schemas.microsoft.com/office/drawing/2014/main" id="{AD8A3435-C50F-4E78-A2E8-2E58831FCE4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5" name="Rectangle 133">
          <a:extLst>
            <a:ext uri="{FF2B5EF4-FFF2-40B4-BE49-F238E27FC236}">
              <a16:creationId xmlns:a16="http://schemas.microsoft.com/office/drawing/2014/main" id="{AE42A28A-1078-43AB-ACB0-784A7B825CE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6" name="Oval 134">
          <a:extLst>
            <a:ext uri="{FF2B5EF4-FFF2-40B4-BE49-F238E27FC236}">
              <a16:creationId xmlns:a16="http://schemas.microsoft.com/office/drawing/2014/main" id="{AFCBCDB2-8219-4285-BB4E-592ADA77D7E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7" name="AutoShape 135">
          <a:extLst>
            <a:ext uri="{FF2B5EF4-FFF2-40B4-BE49-F238E27FC236}">
              <a16:creationId xmlns:a16="http://schemas.microsoft.com/office/drawing/2014/main" id="{538B9212-19C0-455F-8401-02B72EFA150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8" name="Rectangle 136">
          <a:extLst>
            <a:ext uri="{FF2B5EF4-FFF2-40B4-BE49-F238E27FC236}">
              <a16:creationId xmlns:a16="http://schemas.microsoft.com/office/drawing/2014/main" id="{120BDD7C-E635-429E-9FE0-7907F1FF006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9" name="Oval 137">
          <a:extLst>
            <a:ext uri="{FF2B5EF4-FFF2-40B4-BE49-F238E27FC236}">
              <a16:creationId xmlns:a16="http://schemas.microsoft.com/office/drawing/2014/main" id="{46EDD9D0-B945-4D67-925A-AD06063E02D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0" name="AutoShape 138">
          <a:extLst>
            <a:ext uri="{FF2B5EF4-FFF2-40B4-BE49-F238E27FC236}">
              <a16:creationId xmlns:a16="http://schemas.microsoft.com/office/drawing/2014/main" id="{43D0B0CF-168E-4455-B808-72FFD415EBD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1" name="Rectangle 139">
          <a:extLst>
            <a:ext uri="{FF2B5EF4-FFF2-40B4-BE49-F238E27FC236}">
              <a16:creationId xmlns:a16="http://schemas.microsoft.com/office/drawing/2014/main" id="{8C737959-82B7-463F-93A8-A181B0A00B4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2" name="Oval 140">
          <a:extLst>
            <a:ext uri="{FF2B5EF4-FFF2-40B4-BE49-F238E27FC236}">
              <a16:creationId xmlns:a16="http://schemas.microsoft.com/office/drawing/2014/main" id="{84EC748E-AC3C-4CFD-A159-8773C29392B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3" name="Rectangle 141">
          <a:extLst>
            <a:ext uri="{FF2B5EF4-FFF2-40B4-BE49-F238E27FC236}">
              <a16:creationId xmlns:a16="http://schemas.microsoft.com/office/drawing/2014/main" id="{8C95A965-189A-4D75-9B24-7F0FFD1B74C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4" name="AutoShape 142">
          <a:extLst>
            <a:ext uri="{FF2B5EF4-FFF2-40B4-BE49-F238E27FC236}">
              <a16:creationId xmlns:a16="http://schemas.microsoft.com/office/drawing/2014/main" id="{C95564F2-663C-444F-84C7-1B9F57954E9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52568951-B4CB-4592-87AE-9B3EB0E5668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6" name="Oval 144">
          <a:extLst>
            <a:ext uri="{FF2B5EF4-FFF2-40B4-BE49-F238E27FC236}">
              <a16:creationId xmlns:a16="http://schemas.microsoft.com/office/drawing/2014/main" id="{0CC23401-2716-4281-AE58-EB346C79B7D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7" name="AutoShape 145">
          <a:extLst>
            <a:ext uri="{FF2B5EF4-FFF2-40B4-BE49-F238E27FC236}">
              <a16:creationId xmlns:a16="http://schemas.microsoft.com/office/drawing/2014/main" id="{0D22F861-8751-41A5-9424-981A1DD42A4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8" name="Rectangle 146">
          <a:extLst>
            <a:ext uri="{FF2B5EF4-FFF2-40B4-BE49-F238E27FC236}">
              <a16:creationId xmlns:a16="http://schemas.microsoft.com/office/drawing/2014/main" id="{AC05D645-FB2B-4AA0-A12C-5A3B5D9D5AB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9" name="Oval 147">
          <a:extLst>
            <a:ext uri="{FF2B5EF4-FFF2-40B4-BE49-F238E27FC236}">
              <a16:creationId xmlns:a16="http://schemas.microsoft.com/office/drawing/2014/main" id="{C3732B9B-9BE4-499C-AE5E-2B07CB6BEE0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0" name="AutoShape 148">
          <a:extLst>
            <a:ext uri="{FF2B5EF4-FFF2-40B4-BE49-F238E27FC236}">
              <a16:creationId xmlns:a16="http://schemas.microsoft.com/office/drawing/2014/main" id="{00B24AB7-FCA3-4879-8418-B9D8214BAD5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1" name="Rectangle 149">
          <a:extLst>
            <a:ext uri="{FF2B5EF4-FFF2-40B4-BE49-F238E27FC236}">
              <a16:creationId xmlns:a16="http://schemas.microsoft.com/office/drawing/2014/main" id="{BD06EDDF-37DA-4222-B4B5-BDAAAA66E26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2" name="Oval 150">
          <a:extLst>
            <a:ext uri="{FF2B5EF4-FFF2-40B4-BE49-F238E27FC236}">
              <a16:creationId xmlns:a16="http://schemas.microsoft.com/office/drawing/2014/main" id="{4FC1077D-14E2-4E51-AE9F-7F131D676D3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1">
          <a:extLst>
            <a:ext uri="{FF2B5EF4-FFF2-40B4-BE49-F238E27FC236}">
              <a16:creationId xmlns:a16="http://schemas.microsoft.com/office/drawing/2014/main" id="{F5E58DFD-2DB2-4C02-93CA-DE671008087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2">
          <a:extLst>
            <a:ext uri="{FF2B5EF4-FFF2-40B4-BE49-F238E27FC236}">
              <a16:creationId xmlns:a16="http://schemas.microsoft.com/office/drawing/2014/main" id="{446B6CFA-2904-416D-9A44-7471B7C528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3">
          <a:extLst>
            <a:ext uri="{FF2B5EF4-FFF2-40B4-BE49-F238E27FC236}">
              <a16:creationId xmlns:a16="http://schemas.microsoft.com/office/drawing/2014/main" id="{B98C5364-3B13-4993-9AB4-E853999B211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6" name="AutoShape 154">
          <a:extLst>
            <a:ext uri="{FF2B5EF4-FFF2-40B4-BE49-F238E27FC236}">
              <a16:creationId xmlns:a16="http://schemas.microsoft.com/office/drawing/2014/main" id="{329FE910-D27C-453B-848A-C72DD72D986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7" name="Rectangle 155">
          <a:extLst>
            <a:ext uri="{FF2B5EF4-FFF2-40B4-BE49-F238E27FC236}">
              <a16:creationId xmlns:a16="http://schemas.microsoft.com/office/drawing/2014/main" id="{437D693A-99E3-4E3E-857A-6477DCC6767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8" name="Oval 156">
          <a:extLst>
            <a:ext uri="{FF2B5EF4-FFF2-40B4-BE49-F238E27FC236}">
              <a16:creationId xmlns:a16="http://schemas.microsoft.com/office/drawing/2014/main" id="{91560677-AEF1-45B8-9B9E-52778CA9482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7">
          <a:extLst>
            <a:ext uri="{FF2B5EF4-FFF2-40B4-BE49-F238E27FC236}">
              <a16:creationId xmlns:a16="http://schemas.microsoft.com/office/drawing/2014/main" id="{2D2F32F5-2435-404E-AF25-57CA6E7A5CE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8">
          <a:extLst>
            <a:ext uri="{FF2B5EF4-FFF2-40B4-BE49-F238E27FC236}">
              <a16:creationId xmlns:a16="http://schemas.microsoft.com/office/drawing/2014/main" id="{FD5A3E7D-963F-41B4-8CA2-B490B6CD973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9">
          <a:extLst>
            <a:ext uri="{FF2B5EF4-FFF2-40B4-BE49-F238E27FC236}">
              <a16:creationId xmlns:a16="http://schemas.microsoft.com/office/drawing/2014/main" id="{995CA74F-BA43-4175-9B54-11DC91D2565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2" name="AutoShape 160">
          <a:extLst>
            <a:ext uri="{FF2B5EF4-FFF2-40B4-BE49-F238E27FC236}">
              <a16:creationId xmlns:a16="http://schemas.microsoft.com/office/drawing/2014/main" id="{980089B0-B519-48CE-9076-7078247E172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3" name="Rectangle 161">
          <a:extLst>
            <a:ext uri="{FF2B5EF4-FFF2-40B4-BE49-F238E27FC236}">
              <a16:creationId xmlns:a16="http://schemas.microsoft.com/office/drawing/2014/main" id="{4C4A6CF3-5C31-4FDF-8702-E3F570B5ECA8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4" name="Oval 162">
          <a:extLst>
            <a:ext uri="{FF2B5EF4-FFF2-40B4-BE49-F238E27FC236}">
              <a16:creationId xmlns:a16="http://schemas.microsoft.com/office/drawing/2014/main" id="{05F01546-164D-4BC6-84C3-8CCD5080DBF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3">
          <a:extLst>
            <a:ext uri="{FF2B5EF4-FFF2-40B4-BE49-F238E27FC236}">
              <a16:creationId xmlns:a16="http://schemas.microsoft.com/office/drawing/2014/main" id="{E47C34F1-6119-410B-8369-E91E82E7D59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4">
          <a:extLst>
            <a:ext uri="{FF2B5EF4-FFF2-40B4-BE49-F238E27FC236}">
              <a16:creationId xmlns:a16="http://schemas.microsoft.com/office/drawing/2014/main" id="{8A96BF27-35F7-45C1-8885-AED9F3BD232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5">
          <a:extLst>
            <a:ext uri="{FF2B5EF4-FFF2-40B4-BE49-F238E27FC236}">
              <a16:creationId xmlns:a16="http://schemas.microsoft.com/office/drawing/2014/main" id="{6CD4432B-9AB2-49DD-A35E-5663E922F54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8" name="AutoShape 166">
          <a:extLst>
            <a:ext uri="{FF2B5EF4-FFF2-40B4-BE49-F238E27FC236}">
              <a16:creationId xmlns:a16="http://schemas.microsoft.com/office/drawing/2014/main" id="{D6F95E16-C5D4-49B8-9CBA-FA9EA4457C3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F563EAE7-8614-4428-A342-AEA854EAFAD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0" name="Oval 168">
          <a:extLst>
            <a:ext uri="{FF2B5EF4-FFF2-40B4-BE49-F238E27FC236}">
              <a16:creationId xmlns:a16="http://schemas.microsoft.com/office/drawing/2014/main" id="{DC0EC140-F54E-43E8-B29A-A2271CAD233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9">
          <a:extLst>
            <a:ext uri="{FF2B5EF4-FFF2-40B4-BE49-F238E27FC236}">
              <a16:creationId xmlns:a16="http://schemas.microsoft.com/office/drawing/2014/main" id="{D881FF0B-47F4-4EDF-A4A9-6034CC64B44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70">
          <a:extLst>
            <a:ext uri="{FF2B5EF4-FFF2-40B4-BE49-F238E27FC236}">
              <a16:creationId xmlns:a16="http://schemas.microsoft.com/office/drawing/2014/main" id="{4EDC9A9D-266A-4794-9CB6-184F9D18BFF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1">
          <a:extLst>
            <a:ext uri="{FF2B5EF4-FFF2-40B4-BE49-F238E27FC236}">
              <a16:creationId xmlns:a16="http://schemas.microsoft.com/office/drawing/2014/main" id="{FF17BD20-7B27-4ABD-A496-28ABC3822E4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4" name="AutoShape 172">
          <a:extLst>
            <a:ext uri="{FF2B5EF4-FFF2-40B4-BE49-F238E27FC236}">
              <a16:creationId xmlns:a16="http://schemas.microsoft.com/office/drawing/2014/main" id="{8EA56270-1E72-4E9D-9449-AF8555ED696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5" name="Rectangle 173">
          <a:extLst>
            <a:ext uri="{FF2B5EF4-FFF2-40B4-BE49-F238E27FC236}">
              <a16:creationId xmlns:a16="http://schemas.microsoft.com/office/drawing/2014/main" id="{907AEDF6-FBBB-4A89-8E72-1473D9E2D0A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6" name="Oval 174">
          <a:extLst>
            <a:ext uri="{FF2B5EF4-FFF2-40B4-BE49-F238E27FC236}">
              <a16:creationId xmlns:a16="http://schemas.microsoft.com/office/drawing/2014/main" id="{708BA520-2686-4659-88B6-AF404C9BD17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5">
          <a:extLst>
            <a:ext uri="{FF2B5EF4-FFF2-40B4-BE49-F238E27FC236}">
              <a16:creationId xmlns:a16="http://schemas.microsoft.com/office/drawing/2014/main" id="{9690E01A-FD6F-4595-B7CD-E407EA2CDA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6">
          <a:extLst>
            <a:ext uri="{FF2B5EF4-FFF2-40B4-BE49-F238E27FC236}">
              <a16:creationId xmlns:a16="http://schemas.microsoft.com/office/drawing/2014/main" id="{66A49DFD-B081-439A-8713-E4BC4B7D11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7">
          <a:extLst>
            <a:ext uri="{FF2B5EF4-FFF2-40B4-BE49-F238E27FC236}">
              <a16:creationId xmlns:a16="http://schemas.microsoft.com/office/drawing/2014/main" id="{CC9CE359-81C4-403C-8D05-BB00D29985C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0" name="AutoShape 178">
          <a:extLst>
            <a:ext uri="{FF2B5EF4-FFF2-40B4-BE49-F238E27FC236}">
              <a16:creationId xmlns:a16="http://schemas.microsoft.com/office/drawing/2014/main" id="{5819E27D-B4F2-4639-8ED2-64DBEF6F8FC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1" name="Rectangle 179">
          <a:extLst>
            <a:ext uri="{FF2B5EF4-FFF2-40B4-BE49-F238E27FC236}">
              <a16:creationId xmlns:a16="http://schemas.microsoft.com/office/drawing/2014/main" id="{D14D193B-2606-4D24-A266-E60D738C8928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2" name="Oval 180">
          <a:extLst>
            <a:ext uri="{FF2B5EF4-FFF2-40B4-BE49-F238E27FC236}">
              <a16:creationId xmlns:a16="http://schemas.microsoft.com/office/drawing/2014/main" id="{7EDE2672-EAFA-48DB-BD18-DD32C4F94EA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1">
          <a:extLst>
            <a:ext uri="{FF2B5EF4-FFF2-40B4-BE49-F238E27FC236}">
              <a16:creationId xmlns:a16="http://schemas.microsoft.com/office/drawing/2014/main" id="{FD1EADA2-1620-4316-9861-4D7D3F20F44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2">
          <a:extLst>
            <a:ext uri="{FF2B5EF4-FFF2-40B4-BE49-F238E27FC236}">
              <a16:creationId xmlns:a16="http://schemas.microsoft.com/office/drawing/2014/main" id="{D2F41F55-D54B-4849-8418-52171B7F91A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3">
          <a:extLst>
            <a:ext uri="{FF2B5EF4-FFF2-40B4-BE49-F238E27FC236}">
              <a16:creationId xmlns:a16="http://schemas.microsoft.com/office/drawing/2014/main" id="{11773693-BB12-4DC0-8E41-C373A77BAE7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6" name="AutoShape 184">
          <a:extLst>
            <a:ext uri="{FF2B5EF4-FFF2-40B4-BE49-F238E27FC236}">
              <a16:creationId xmlns:a16="http://schemas.microsoft.com/office/drawing/2014/main" id="{B9412C69-26DF-4483-9C3D-AB615EDBC62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7" name="Rectangle 185">
          <a:extLst>
            <a:ext uri="{FF2B5EF4-FFF2-40B4-BE49-F238E27FC236}">
              <a16:creationId xmlns:a16="http://schemas.microsoft.com/office/drawing/2014/main" id="{0463E4BA-D1B9-4D20-BF7D-E7891477E2D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8" name="Oval 186">
          <a:extLst>
            <a:ext uri="{FF2B5EF4-FFF2-40B4-BE49-F238E27FC236}">
              <a16:creationId xmlns:a16="http://schemas.microsoft.com/office/drawing/2014/main" id="{BE5DB256-C7D4-4B64-AB03-8FE2CF6D04C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7">
          <a:extLst>
            <a:ext uri="{FF2B5EF4-FFF2-40B4-BE49-F238E27FC236}">
              <a16:creationId xmlns:a16="http://schemas.microsoft.com/office/drawing/2014/main" id="{2AA58133-128E-47EF-B23D-4C597806DBF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8">
          <a:extLst>
            <a:ext uri="{FF2B5EF4-FFF2-40B4-BE49-F238E27FC236}">
              <a16:creationId xmlns:a16="http://schemas.microsoft.com/office/drawing/2014/main" id="{9DA46D34-7947-49DF-A579-CB1AA97B144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9">
          <a:extLst>
            <a:ext uri="{FF2B5EF4-FFF2-40B4-BE49-F238E27FC236}">
              <a16:creationId xmlns:a16="http://schemas.microsoft.com/office/drawing/2014/main" id="{4663035D-1F06-4B24-9DEC-BE9E1E59242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2" name="AutoShape 190">
          <a:extLst>
            <a:ext uri="{FF2B5EF4-FFF2-40B4-BE49-F238E27FC236}">
              <a16:creationId xmlns:a16="http://schemas.microsoft.com/office/drawing/2014/main" id="{927A7AAA-5ADC-4C53-9E0C-779E5F8C053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3" name="Rectangle 191">
          <a:extLst>
            <a:ext uri="{FF2B5EF4-FFF2-40B4-BE49-F238E27FC236}">
              <a16:creationId xmlns:a16="http://schemas.microsoft.com/office/drawing/2014/main" id="{F1559062-6088-4660-83A7-2DE426DE99A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4" name="Oval 192">
          <a:extLst>
            <a:ext uri="{FF2B5EF4-FFF2-40B4-BE49-F238E27FC236}">
              <a16:creationId xmlns:a16="http://schemas.microsoft.com/office/drawing/2014/main" id="{23079B67-3211-43E5-BCCC-2ED582CDD22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3">
          <a:extLst>
            <a:ext uri="{FF2B5EF4-FFF2-40B4-BE49-F238E27FC236}">
              <a16:creationId xmlns:a16="http://schemas.microsoft.com/office/drawing/2014/main" id="{F6CD3021-EECE-4A07-9EDA-9B738E73DA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4">
          <a:extLst>
            <a:ext uri="{FF2B5EF4-FFF2-40B4-BE49-F238E27FC236}">
              <a16:creationId xmlns:a16="http://schemas.microsoft.com/office/drawing/2014/main" id="{5EF4D49B-E99E-48B5-B74E-035D327E097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5">
          <a:extLst>
            <a:ext uri="{FF2B5EF4-FFF2-40B4-BE49-F238E27FC236}">
              <a16:creationId xmlns:a16="http://schemas.microsoft.com/office/drawing/2014/main" id="{89C456EA-5B38-4EE8-93CE-4F351AFC5DF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8" name="AutoShape 196">
          <a:extLst>
            <a:ext uri="{FF2B5EF4-FFF2-40B4-BE49-F238E27FC236}">
              <a16:creationId xmlns:a16="http://schemas.microsoft.com/office/drawing/2014/main" id="{3147AB09-2F6F-4F30-9E0D-66FB5E277BE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9" name="Rectangle 197">
          <a:extLst>
            <a:ext uri="{FF2B5EF4-FFF2-40B4-BE49-F238E27FC236}">
              <a16:creationId xmlns:a16="http://schemas.microsoft.com/office/drawing/2014/main" id="{94DB82BE-CA22-4FA4-AC19-102E4F20911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0" name="Oval 198">
          <a:extLst>
            <a:ext uri="{FF2B5EF4-FFF2-40B4-BE49-F238E27FC236}">
              <a16:creationId xmlns:a16="http://schemas.microsoft.com/office/drawing/2014/main" id="{9D1C09F6-E830-4139-A60D-0EC8B38F871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9">
          <a:extLst>
            <a:ext uri="{FF2B5EF4-FFF2-40B4-BE49-F238E27FC236}">
              <a16:creationId xmlns:a16="http://schemas.microsoft.com/office/drawing/2014/main" id="{053615A6-082F-4492-AA6E-1AB42242591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200">
          <a:extLst>
            <a:ext uri="{FF2B5EF4-FFF2-40B4-BE49-F238E27FC236}">
              <a16:creationId xmlns:a16="http://schemas.microsoft.com/office/drawing/2014/main" id="{DB1AFC01-85B0-4214-8DC8-AD95812914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1">
          <a:extLst>
            <a:ext uri="{FF2B5EF4-FFF2-40B4-BE49-F238E27FC236}">
              <a16:creationId xmlns:a16="http://schemas.microsoft.com/office/drawing/2014/main" id="{0218B083-E466-4255-858A-147B321EBDC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4" name="AutoShape 202">
          <a:extLst>
            <a:ext uri="{FF2B5EF4-FFF2-40B4-BE49-F238E27FC236}">
              <a16:creationId xmlns:a16="http://schemas.microsoft.com/office/drawing/2014/main" id="{51A75163-5C58-4008-8A23-E9DF1694170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5" name="Rectangle 203">
          <a:extLst>
            <a:ext uri="{FF2B5EF4-FFF2-40B4-BE49-F238E27FC236}">
              <a16:creationId xmlns:a16="http://schemas.microsoft.com/office/drawing/2014/main" id="{5B0D946D-F333-4B3A-8AE6-0DFD66AD04B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6" name="Oval 204">
          <a:extLst>
            <a:ext uri="{FF2B5EF4-FFF2-40B4-BE49-F238E27FC236}">
              <a16:creationId xmlns:a16="http://schemas.microsoft.com/office/drawing/2014/main" id="{253CFA29-960C-4E15-89DA-027BE2DF554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5">
          <a:extLst>
            <a:ext uri="{FF2B5EF4-FFF2-40B4-BE49-F238E27FC236}">
              <a16:creationId xmlns:a16="http://schemas.microsoft.com/office/drawing/2014/main" id="{2FE60478-0EB7-4AB3-B927-9AEE30ABD15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6">
          <a:extLst>
            <a:ext uri="{FF2B5EF4-FFF2-40B4-BE49-F238E27FC236}">
              <a16:creationId xmlns:a16="http://schemas.microsoft.com/office/drawing/2014/main" id="{2A8A84FB-9796-4AAC-8A86-CAD54A85E47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7">
          <a:extLst>
            <a:ext uri="{FF2B5EF4-FFF2-40B4-BE49-F238E27FC236}">
              <a16:creationId xmlns:a16="http://schemas.microsoft.com/office/drawing/2014/main" id="{F5E4C2F2-5964-4721-A3A9-1CFFE7B7E16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0" name="AutoShape 208">
          <a:extLst>
            <a:ext uri="{FF2B5EF4-FFF2-40B4-BE49-F238E27FC236}">
              <a16:creationId xmlns:a16="http://schemas.microsoft.com/office/drawing/2014/main" id="{D27AC7E3-C263-496A-8900-60E5886F701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1" name="Rectangle 209">
          <a:extLst>
            <a:ext uri="{FF2B5EF4-FFF2-40B4-BE49-F238E27FC236}">
              <a16:creationId xmlns:a16="http://schemas.microsoft.com/office/drawing/2014/main" id="{776B9D60-45F3-46FF-BA81-D6B696DBA3C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2" name="Oval 210">
          <a:extLst>
            <a:ext uri="{FF2B5EF4-FFF2-40B4-BE49-F238E27FC236}">
              <a16:creationId xmlns:a16="http://schemas.microsoft.com/office/drawing/2014/main" id="{506D223A-14D4-4E25-9929-0A5ADE9113F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1">
          <a:extLst>
            <a:ext uri="{FF2B5EF4-FFF2-40B4-BE49-F238E27FC236}">
              <a16:creationId xmlns:a16="http://schemas.microsoft.com/office/drawing/2014/main" id="{C4EABE81-2906-49F4-A18C-76BD4F3EB6A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2">
          <a:extLst>
            <a:ext uri="{FF2B5EF4-FFF2-40B4-BE49-F238E27FC236}">
              <a16:creationId xmlns:a16="http://schemas.microsoft.com/office/drawing/2014/main" id="{245444F0-E235-4B5D-B45C-D3BF3E35DFE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3">
          <a:extLst>
            <a:ext uri="{FF2B5EF4-FFF2-40B4-BE49-F238E27FC236}">
              <a16:creationId xmlns:a16="http://schemas.microsoft.com/office/drawing/2014/main" id="{CD0C2441-7599-4BAA-9020-90BAE4DF8AB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6" name="AutoShape 214">
          <a:extLst>
            <a:ext uri="{FF2B5EF4-FFF2-40B4-BE49-F238E27FC236}">
              <a16:creationId xmlns:a16="http://schemas.microsoft.com/office/drawing/2014/main" id="{93230D00-D4DC-426C-BD95-3C848C44B41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7" name="Rectangle 215">
          <a:extLst>
            <a:ext uri="{FF2B5EF4-FFF2-40B4-BE49-F238E27FC236}">
              <a16:creationId xmlns:a16="http://schemas.microsoft.com/office/drawing/2014/main" id="{DE24F668-26D1-488A-92D8-C2D3010CBC9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8" name="Oval 216">
          <a:extLst>
            <a:ext uri="{FF2B5EF4-FFF2-40B4-BE49-F238E27FC236}">
              <a16:creationId xmlns:a16="http://schemas.microsoft.com/office/drawing/2014/main" id="{213B6BBA-EBD8-428F-BFCB-1AE56E106CA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7">
          <a:extLst>
            <a:ext uri="{FF2B5EF4-FFF2-40B4-BE49-F238E27FC236}">
              <a16:creationId xmlns:a16="http://schemas.microsoft.com/office/drawing/2014/main" id="{0B41DB82-2C18-4CE5-B927-1734D0F7DD2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8">
          <a:extLst>
            <a:ext uri="{FF2B5EF4-FFF2-40B4-BE49-F238E27FC236}">
              <a16:creationId xmlns:a16="http://schemas.microsoft.com/office/drawing/2014/main" id="{DC04972C-FDDA-4B41-A212-BB1524D821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9">
          <a:extLst>
            <a:ext uri="{FF2B5EF4-FFF2-40B4-BE49-F238E27FC236}">
              <a16:creationId xmlns:a16="http://schemas.microsoft.com/office/drawing/2014/main" id="{2D3F70A5-BB6A-4D82-B422-E89A76E812E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2" name="AutoShape 220">
          <a:extLst>
            <a:ext uri="{FF2B5EF4-FFF2-40B4-BE49-F238E27FC236}">
              <a16:creationId xmlns:a16="http://schemas.microsoft.com/office/drawing/2014/main" id="{88A48E72-1378-418C-8CAF-5DC11711D39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3" name="Rectangle 221">
          <a:extLst>
            <a:ext uri="{FF2B5EF4-FFF2-40B4-BE49-F238E27FC236}">
              <a16:creationId xmlns:a16="http://schemas.microsoft.com/office/drawing/2014/main" id="{7FD0F7FC-102C-40D1-A263-E3615DE00C1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4" name="Oval 222">
          <a:extLst>
            <a:ext uri="{FF2B5EF4-FFF2-40B4-BE49-F238E27FC236}">
              <a16:creationId xmlns:a16="http://schemas.microsoft.com/office/drawing/2014/main" id="{650723EE-B2CB-4969-961C-26F777CC1B5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3">
          <a:extLst>
            <a:ext uri="{FF2B5EF4-FFF2-40B4-BE49-F238E27FC236}">
              <a16:creationId xmlns:a16="http://schemas.microsoft.com/office/drawing/2014/main" id="{C58DA975-5C37-4F49-9236-2758534C775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4">
          <a:extLst>
            <a:ext uri="{FF2B5EF4-FFF2-40B4-BE49-F238E27FC236}">
              <a16:creationId xmlns:a16="http://schemas.microsoft.com/office/drawing/2014/main" id="{76B07255-74B2-4A13-BA4C-DF1A6D89DEA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5">
          <a:extLst>
            <a:ext uri="{FF2B5EF4-FFF2-40B4-BE49-F238E27FC236}">
              <a16:creationId xmlns:a16="http://schemas.microsoft.com/office/drawing/2014/main" id="{D00F215B-4046-4547-BB05-2FE970853F0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8" name="AutoShape 226">
          <a:extLst>
            <a:ext uri="{FF2B5EF4-FFF2-40B4-BE49-F238E27FC236}">
              <a16:creationId xmlns:a16="http://schemas.microsoft.com/office/drawing/2014/main" id="{1CD489B4-5F4E-4B24-BD0B-02E0B2BC322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9" name="Rectangle 227">
          <a:extLst>
            <a:ext uri="{FF2B5EF4-FFF2-40B4-BE49-F238E27FC236}">
              <a16:creationId xmlns:a16="http://schemas.microsoft.com/office/drawing/2014/main" id="{4E1C6842-7524-4F9C-BD31-DD5B88CB42C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0" name="Oval 228">
          <a:extLst>
            <a:ext uri="{FF2B5EF4-FFF2-40B4-BE49-F238E27FC236}">
              <a16:creationId xmlns:a16="http://schemas.microsoft.com/office/drawing/2014/main" id="{7A8FF248-279C-41F5-BB03-1797EEFF298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9">
          <a:extLst>
            <a:ext uri="{FF2B5EF4-FFF2-40B4-BE49-F238E27FC236}">
              <a16:creationId xmlns:a16="http://schemas.microsoft.com/office/drawing/2014/main" id="{F1E5AACA-AFD9-48C6-BB46-ADAA3EBB17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30">
          <a:extLst>
            <a:ext uri="{FF2B5EF4-FFF2-40B4-BE49-F238E27FC236}">
              <a16:creationId xmlns:a16="http://schemas.microsoft.com/office/drawing/2014/main" id="{5E583BE8-41D5-4E47-A42D-A6EF8F9B4C6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1">
          <a:extLst>
            <a:ext uri="{FF2B5EF4-FFF2-40B4-BE49-F238E27FC236}">
              <a16:creationId xmlns:a16="http://schemas.microsoft.com/office/drawing/2014/main" id="{5668120E-EE1B-4DBB-9885-F678E3CC5F9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4" name="AutoShape 232">
          <a:extLst>
            <a:ext uri="{FF2B5EF4-FFF2-40B4-BE49-F238E27FC236}">
              <a16:creationId xmlns:a16="http://schemas.microsoft.com/office/drawing/2014/main" id="{0421F32C-1A7B-4B9E-942E-715168F8ABA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5" name="Rectangle 233">
          <a:extLst>
            <a:ext uri="{FF2B5EF4-FFF2-40B4-BE49-F238E27FC236}">
              <a16:creationId xmlns:a16="http://schemas.microsoft.com/office/drawing/2014/main" id="{5BA73E24-31C9-4DDF-8CBD-E279D0F136C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6" name="Oval 234">
          <a:extLst>
            <a:ext uri="{FF2B5EF4-FFF2-40B4-BE49-F238E27FC236}">
              <a16:creationId xmlns:a16="http://schemas.microsoft.com/office/drawing/2014/main" id="{BDE06F3B-6E36-49B4-8490-5459D1ED563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5">
          <a:extLst>
            <a:ext uri="{FF2B5EF4-FFF2-40B4-BE49-F238E27FC236}">
              <a16:creationId xmlns:a16="http://schemas.microsoft.com/office/drawing/2014/main" id="{90440D6D-82F7-4450-AE9C-0E00AB0703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6">
          <a:extLst>
            <a:ext uri="{FF2B5EF4-FFF2-40B4-BE49-F238E27FC236}">
              <a16:creationId xmlns:a16="http://schemas.microsoft.com/office/drawing/2014/main" id="{7A251BF5-0AA0-46C2-9EAA-A32A1C59E02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7">
          <a:extLst>
            <a:ext uri="{FF2B5EF4-FFF2-40B4-BE49-F238E27FC236}">
              <a16:creationId xmlns:a16="http://schemas.microsoft.com/office/drawing/2014/main" id="{9FC8BEB7-E01F-4577-8B42-7EE75D28280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0" name="AutoShape 238">
          <a:extLst>
            <a:ext uri="{FF2B5EF4-FFF2-40B4-BE49-F238E27FC236}">
              <a16:creationId xmlns:a16="http://schemas.microsoft.com/office/drawing/2014/main" id="{50841B55-B86A-4A4B-8D26-089A42D1589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1" name="Rectangle 239">
          <a:extLst>
            <a:ext uri="{FF2B5EF4-FFF2-40B4-BE49-F238E27FC236}">
              <a16:creationId xmlns:a16="http://schemas.microsoft.com/office/drawing/2014/main" id="{77ED3E6C-381F-4352-A01D-87E926839B8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2" name="Oval 240">
          <a:extLst>
            <a:ext uri="{FF2B5EF4-FFF2-40B4-BE49-F238E27FC236}">
              <a16:creationId xmlns:a16="http://schemas.microsoft.com/office/drawing/2014/main" id="{52F70B5A-FD13-4146-9081-2EB42D98506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1">
          <a:extLst>
            <a:ext uri="{FF2B5EF4-FFF2-40B4-BE49-F238E27FC236}">
              <a16:creationId xmlns:a16="http://schemas.microsoft.com/office/drawing/2014/main" id="{BCDFFA2C-9347-4207-A48C-8851064221E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2">
          <a:extLst>
            <a:ext uri="{FF2B5EF4-FFF2-40B4-BE49-F238E27FC236}">
              <a16:creationId xmlns:a16="http://schemas.microsoft.com/office/drawing/2014/main" id="{A7C0311D-C39F-44DA-AA6F-A633F135E96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3">
          <a:extLst>
            <a:ext uri="{FF2B5EF4-FFF2-40B4-BE49-F238E27FC236}">
              <a16:creationId xmlns:a16="http://schemas.microsoft.com/office/drawing/2014/main" id="{A15227FE-AF8A-45A2-A2C0-BE833ED5AFC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6" name="AutoShape 244">
          <a:extLst>
            <a:ext uri="{FF2B5EF4-FFF2-40B4-BE49-F238E27FC236}">
              <a16:creationId xmlns:a16="http://schemas.microsoft.com/office/drawing/2014/main" id="{688362B8-63FA-4CD7-932D-5091D0CF45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7" name="Rectangle 245">
          <a:extLst>
            <a:ext uri="{FF2B5EF4-FFF2-40B4-BE49-F238E27FC236}">
              <a16:creationId xmlns:a16="http://schemas.microsoft.com/office/drawing/2014/main" id="{0A7AF8C4-AF1A-4D0F-85CF-0DC7A4948EC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8" name="Oval 246">
          <a:extLst>
            <a:ext uri="{FF2B5EF4-FFF2-40B4-BE49-F238E27FC236}">
              <a16:creationId xmlns:a16="http://schemas.microsoft.com/office/drawing/2014/main" id="{65D856E9-5BA8-413A-AF47-E4B0D5D573E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7">
          <a:extLst>
            <a:ext uri="{FF2B5EF4-FFF2-40B4-BE49-F238E27FC236}">
              <a16:creationId xmlns:a16="http://schemas.microsoft.com/office/drawing/2014/main" id="{BDB794F4-12AC-4208-ACE9-0458C1FA4E9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8">
          <a:extLst>
            <a:ext uri="{FF2B5EF4-FFF2-40B4-BE49-F238E27FC236}">
              <a16:creationId xmlns:a16="http://schemas.microsoft.com/office/drawing/2014/main" id="{1D00A98B-9DB3-4D55-A477-DC4D1F01201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9">
          <a:extLst>
            <a:ext uri="{FF2B5EF4-FFF2-40B4-BE49-F238E27FC236}">
              <a16:creationId xmlns:a16="http://schemas.microsoft.com/office/drawing/2014/main" id="{C995A6CB-B274-4006-98B0-FC74224FCE9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2" name="AutoShape 250">
          <a:extLst>
            <a:ext uri="{FF2B5EF4-FFF2-40B4-BE49-F238E27FC236}">
              <a16:creationId xmlns:a16="http://schemas.microsoft.com/office/drawing/2014/main" id="{DCA4BE50-86AA-4A0D-8E6F-A8307AA5C7C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3" name="Rectangle 251">
          <a:extLst>
            <a:ext uri="{FF2B5EF4-FFF2-40B4-BE49-F238E27FC236}">
              <a16:creationId xmlns:a16="http://schemas.microsoft.com/office/drawing/2014/main" id="{6CF2680A-3060-41C1-BD3E-8AE28ADDFFC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4" name="Oval 252">
          <a:extLst>
            <a:ext uri="{FF2B5EF4-FFF2-40B4-BE49-F238E27FC236}">
              <a16:creationId xmlns:a16="http://schemas.microsoft.com/office/drawing/2014/main" id="{F20D79F2-F60E-4B56-B4A9-8E39DAEDBC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3">
          <a:extLst>
            <a:ext uri="{FF2B5EF4-FFF2-40B4-BE49-F238E27FC236}">
              <a16:creationId xmlns:a16="http://schemas.microsoft.com/office/drawing/2014/main" id="{AA75809D-4BB1-4CBB-B5E8-941AA3BC48C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4">
          <a:extLst>
            <a:ext uri="{FF2B5EF4-FFF2-40B4-BE49-F238E27FC236}">
              <a16:creationId xmlns:a16="http://schemas.microsoft.com/office/drawing/2014/main" id="{D61A5D3D-3677-4D5B-8173-300762D8A35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5">
          <a:extLst>
            <a:ext uri="{FF2B5EF4-FFF2-40B4-BE49-F238E27FC236}">
              <a16:creationId xmlns:a16="http://schemas.microsoft.com/office/drawing/2014/main" id="{5D091342-DA70-4D98-B00B-0BE700D52F5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8" name="AutoShape 256">
          <a:extLst>
            <a:ext uri="{FF2B5EF4-FFF2-40B4-BE49-F238E27FC236}">
              <a16:creationId xmlns:a16="http://schemas.microsoft.com/office/drawing/2014/main" id="{39B33FE0-09A4-4F37-BCB8-D026CE63D00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D1978442-BEA5-4EB1-9743-542E2CA8361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0" name="Oval 258">
          <a:extLst>
            <a:ext uri="{FF2B5EF4-FFF2-40B4-BE49-F238E27FC236}">
              <a16:creationId xmlns:a16="http://schemas.microsoft.com/office/drawing/2014/main" id="{4E6D3597-66A4-45B8-B3DE-FE3AAA68D2A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9">
          <a:extLst>
            <a:ext uri="{FF2B5EF4-FFF2-40B4-BE49-F238E27FC236}">
              <a16:creationId xmlns:a16="http://schemas.microsoft.com/office/drawing/2014/main" id="{BCDC8B4D-6A42-4D20-B0DA-952E7765499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60">
          <a:extLst>
            <a:ext uri="{FF2B5EF4-FFF2-40B4-BE49-F238E27FC236}">
              <a16:creationId xmlns:a16="http://schemas.microsoft.com/office/drawing/2014/main" id="{26720C16-B157-4B00-A603-E7E791A50A2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1">
          <a:extLst>
            <a:ext uri="{FF2B5EF4-FFF2-40B4-BE49-F238E27FC236}">
              <a16:creationId xmlns:a16="http://schemas.microsoft.com/office/drawing/2014/main" id="{6DDF252B-9AF7-403A-8BA4-571FA4B71E1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4" name="AutoShape 262">
          <a:extLst>
            <a:ext uri="{FF2B5EF4-FFF2-40B4-BE49-F238E27FC236}">
              <a16:creationId xmlns:a16="http://schemas.microsoft.com/office/drawing/2014/main" id="{525F7309-DAED-41E6-8393-9D3B2E0132E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5" name="Rectangle 263">
          <a:extLst>
            <a:ext uri="{FF2B5EF4-FFF2-40B4-BE49-F238E27FC236}">
              <a16:creationId xmlns:a16="http://schemas.microsoft.com/office/drawing/2014/main" id="{F1161CB1-3537-4DDA-BEC0-FD0B1CFFDE4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6" name="Oval 264">
          <a:extLst>
            <a:ext uri="{FF2B5EF4-FFF2-40B4-BE49-F238E27FC236}">
              <a16:creationId xmlns:a16="http://schemas.microsoft.com/office/drawing/2014/main" id="{B818D1A6-1F56-4373-8D6B-1E98C58840B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5">
          <a:extLst>
            <a:ext uri="{FF2B5EF4-FFF2-40B4-BE49-F238E27FC236}">
              <a16:creationId xmlns:a16="http://schemas.microsoft.com/office/drawing/2014/main" id="{990633EA-3B63-46B5-A984-C29B9BD3E7D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6">
          <a:extLst>
            <a:ext uri="{FF2B5EF4-FFF2-40B4-BE49-F238E27FC236}">
              <a16:creationId xmlns:a16="http://schemas.microsoft.com/office/drawing/2014/main" id="{54C32A2B-6D36-4B72-AE03-3376B30E468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7">
          <a:extLst>
            <a:ext uri="{FF2B5EF4-FFF2-40B4-BE49-F238E27FC236}">
              <a16:creationId xmlns:a16="http://schemas.microsoft.com/office/drawing/2014/main" id="{A682894E-DD7D-421A-824C-ED048EBA740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0" name="AutoShape 268">
          <a:extLst>
            <a:ext uri="{FF2B5EF4-FFF2-40B4-BE49-F238E27FC236}">
              <a16:creationId xmlns:a16="http://schemas.microsoft.com/office/drawing/2014/main" id="{2AD11151-9FF5-4F81-B272-458914ED512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1" name="Rectangle 269">
          <a:extLst>
            <a:ext uri="{FF2B5EF4-FFF2-40B4-BE49-F238E27FC236}">
              <a16:creationId xmlns:a16="http://schemas.microsoft.com/office/drawing/2014/main" id="{30BD1CA3-9DF8-45DC-8B04-5EB5F757184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2" name="Oval 270">
          <a:extLst>
            <a:ext uri="{FF2B5EF4-FFF2-40B4-BE49-F238E27FC236}">
              <a16:creationId xmlns:a16="http://schemas.microsoft.com/office/drawing/2014/main" id="{FE521324-C932-46C4-A2B8-F4CA10AD718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1">
          <a:extLst>
            <a:ext uri="{FF2B5EF4-FFF2-40B4-BE49-F238E27FC236}">
              <a16:creationId xmlns:a16="http://schemas.microsoft.com/office/drawing/2014/main" id="{D77577BB-C4DF-4227-9A3F-204965B9836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2">
          <a:extLst>
            <a:ext uri="{FF2B5EF4-FFF2-40B4-BE49-F238E27FC236}">
              <a16:creationId xmlns:a16="http://schemas.microsoft.com/office/drawing/2014/main" id="{3DBEDD8A-0682-48B7-81F2-EE24A643AE9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3">
          <a:extLst>
            <a:ext uri="{FF2B5EF4-FFF2-40B4-BE49-F238E27FC236}">
              <a16:creationId xmlns:a16="http://schemas.microsoft.com/office/drawing/2014/main" id="{11F9D4E8-D43D-434F-9CC0-5F86F0CDFEE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6" name="Rectangle 274">
          <a:extLst>
            <a:ext uri="{FF2B5EF4-FFF2-40B4-BE49-F238E27FC236}">
              <a16:creationId xmlns:a16="http://schemas.microsoft.com/office/drawing/2014/main" id="{300B1F2F-95CD-46C8-8C2D-2895EAB7349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7" name="Oval 275">
          <a:extLst>
            <a:ext uri="{FF2B5EF4-FFF2-40B4-BE49-F238E27FC236}">
              <a16:creationId xmlns:a16="http://schemas.microsoft.com/office/drawing/2014/main" id="{8777C6FF-DB1D-444C-A0E8-04038F399EF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6">
          <a:extLst>
            <a:ext uri="{FF2B5EF4-FFF2-40B4-BE49-F238E27FC236}">
              <a16:creationId xmlns:a16="http://schemas.microsoft.com/office/drawing/2014/main" id="{5CFA87F7-B1FE-48EB-AE32-9AED666DDE5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7">
          <a:extLst>
            <a:ext uri="{FF2B5EF4-FFF2-40B4-BE49-F238E27FC236}">
              <a16:creationId xmlns:a16="http://schemas.microsoft.com/office/drawing/2014/main" id="{BEC87C9A-9A1C-48B1-8FED-931FB395D2F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8">
          <a:extLst>
            <a:ext uri="{FF2B5EF4-FFF2-40B4-BE49-F238E27FC236}">
              <a16:creationId xmlns:a16="http://schemas.microsoft.com/office/drawing/2014/main" id="{515F819E-A1C4-42C7-95F8-A2854371A07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1" name="Rectangle 279">
          <a:extLst>
            <a:ext uri="{FF2B5EF4-FFF2-40B4-BE49-F238E27FC236}">
              <a16:creationId xmlns:a16="http://schemas.microsoft.com/office/drawing/2014/main" id="{6A97287B-82D2-4E3B-89F0-79311A01497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2" name="Oval 280">
          <a:extLst>
            <a:ext uri="{FF2B5EF4-FFF2-40B4-BE49-F238E27FC236}">
              <a16:creationId xmlns:a16="http://schemas.microsoft.com/office/drawing/2014/main" id="{96746834-E3C5-47A4-B1E8-57BFEF25A59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1">
          <a:extLst>
            <a:ext uri="{FF2B5EF4-FFF2-40B4-BE49-F238E27FC236}">
              <a16:creationId xmlns:a16="http://schemas.microsoft.com/office/drawing/2014/main" id="{4BF6EEA2-42AA-4432-97A5-CFC3F3745A9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2">
          <a:extLst>
            <a:ext uri="{FF2B5EF4-FFF2-40B4-BE49-F238E27FC236}">
              <a16:creationId xmlns:a16="http://schemas.microsoft.com/office/drawing/2014/main" id="{EA068EEE-A4C4-4FD6-8563-80BDCE2DF9F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3">
          <a:extLst>
            <a:ext uri="{FF2B5EF4-FFF2-40B4-BE49-F238E27FC236}">
              <a16:creationId xmlns:a16="http://schemas.microsoft.com/office/drawing/2014/main" id="{43A709A8-EEF6-41A5-B8C9-DE7EEF786B4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6" name="Rectangle 285">
          <a:extLst>
            <a:ext uri="{FF2B5EF4-FFF2-40B4-BE49-F238E27FC236}">
              <a16:creationId xmlns:a16="http://schemas.microsoft.com/office/drawing/2014/main" id="{4328D783-4ADB-4ACF-873F-FC305E09F405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7" name="Rectangle 287">
          <a:extLst>
            <a:ext uri="{FF2B5EF4-FFF2-40B4-BE49-F238E27FC236}">
              <a16:creationId xmlns:a16="http://schemas.microsoft.com/office/drawing/2014/main" id="{7E0D986F-6C30-44BE-B3A3-D3E3BF0008FB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8" name="Rectangle 289">
          <a:extLst>
            <a:ext uri="{FF2B5EF4-FFF2-40B4-BE49-F238E27FC236}">
              <a16:creationId xmlns:a16="http://schemas.microsoft.com/office/drawing/2014/main" id="{16319B26-109B-4E67-A79D-E253BC4B9764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199" name="Rectangle 291">
          <a:extLst>
            <a:ext uri="{FF2B5EF4-FFF2-40B4-BE49-F238E27FC236}">
              <a16:creationId xmlns:a16="http://schemas.microsoft.com/office/drawing/2014/main" id="{D36A29A0-7D90-4F92-8911-016BBA271BDC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0" name="Rectangle 293">
          <a:extLst>
            <a:ext uri="{FF2B5EF4-FFF2-40B4-BE49-F238E27FC236}">
              <a16:creationId xmlns:a16="http://schemas.microsoft.com/office/drawing/2014/main" id="{02ABB453-D1D0-4AE3-9D2B-B83B535AA74F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1" name="Rectangle 295">
          <a:extLst>
            <a:ext uri="{FF2B5EF4-FFF2-40B4-BE49-F238E27FC236}">
              <a16:creationId xmlns:a16="http://schemas.microsoft.com/office/drawing/2014/main" id="{C2FBADEC-535A-451A-B557-222B95C1F758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2" name="Rectangle 297">
          <a:extLst>
            <a:ext uri="{FF2B5EF4-FFF2-40B4-BE49-F238E27FC236}">
              <a16:creationId xmlns:a16="http://schemas.microsoft.com/office/drawing/2014/main" id="{5BE4939B-7250-46D2-9C57-BE63F2699CA6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3" name="Rectangle 299">
          <a:extLst>
            <a:ext uri="{FF2B5EF4-FFF2-40B4-BE49-F238E27FC236}">
              <a16:creationId xmlns:a16="http://schemas.microsoft.com/office/drawing/2014/main" id="{09DFBADA-40BF-41CC-A5AC-7DDC557FEDDD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4" name="Rectangle 301">
          <a:extLst>
            <a:ext uri="{FF2B5EF4-FFF2-40B4-BE49-F238E27FC236}">
              <a16:creationId xmlns:a16="http://schemas.microsoft.com/office/drawing/2014/main" id="{2DA4B3BB-AC4C-416C-BBEF-87D3A7C7F0EC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5" name="Rectangle 303">
          <a:extLst>
            <a:ext uri="{FF2B5EF4-FFF2-40B4-BE49-F238E27FC236}">
              <a16:creationId xmlns:a16="http://schemas.microsoft.com/office/drawing/2014/main" id="{AE9884BE-DF4C-4F65-8894-2BE2EF342EFC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6" name="Rectangle 305">
          <a:extLst>
            <a:ext uri="{FF2B5EF4-FFF2-40B4-BE49-F238E27FC236}">
              <a16:creationId xmlns:a16="http://schemas.microsoft.com/office/drawing/2014/main" id="{4E8D4E16-EBF0-4CF3-97C2-E4973B9E7FF2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7" name="Rectangle 307">
          <a:extLst>
            <a:ext uri="{FF2B5EF4-FFF2-40B4-BE49-F238E27FC236}">
              <a16:creationId xmlns:a16="http://schemas.microsoft.com/office/drawing/2014/main" id="{42257A23-5E5C-4100-8D37-82DFDAFEEB39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A9DB56B0-BD24-4632-9814-5A488351A655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1B9E3C78-8FBE-4971-BF4E-80DAB1686BE5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0D685621-82D1-494D-8D3F-AEC229F3B2CD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77A860D4-189E-44A8-ACE2-7BA893351356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0C642B82-78BA-4029-B782-0707C364550D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C759AB3A-13C0-402B-889A-8F95747CDF71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164A305D-476B-4555-A117-E5B37326542F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A692E28D-1547-43E7-BE64-09220D5628A1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61745571-BCBC-4DA7-A168-DE6E3E1785D4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76535DAE-FC65-4234-967A-7AE17511380C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8" name="フリーフォーム 322">
          <a:extLst>
            <a:ext uri="{FF2B5EF4-FFF2-40B4-BE49-F238E27FC236}">
              <a16:creationId xmlns:a16="http://schemas.microsoft.com/office/drawing/2014/main" id="{EE17A0C0-690E-4BC1-B393-D050C48DC910}"/>
            </a:ext>
          </a:extLst>
        </xdr:cNvPr>
        <xdr:cNvSpPr>
          <a:spLocks noChangeArrowheads="1"/>
        </xdr:cNvSpPr>
      </xdr:nvSpPr>
      <xdr:spPr bwMode="auto">
        <a:xfrm>
          <a:off x="754380" y="9683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19" name="Rectangle 2">
          <a:extLst>
            <a:ext uri="{FF2B5EF4-FFF2-40B4-BE49-F238E27FC236}">
              <a16:creationId xmlns:a16="http://schemas.microsoft.com/office/drawing/2014/main" id="{C8167070-4C15-4349-8152-6CF23638DE3D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7EC71FEC-E6AB-4254-8FFC-1BA36DF675A3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CF8A8542-B9FC-4D64-BD06-CB021EB5D384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A19A546D-0D91-469F-999D-55D4A2AE740D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CB0865FD-6492-4743-B5EF-3192C3947B2B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4" name="Rectangle 293">
          <a:extLst>
            <a:ext uri="{FF2B5EF4-FFF2-40B4-BE49-F238E27FC236}">
              <a16:creationId xmlns:a16="http://schemas.microsoft.com/office/drawing/2014/main" id="{83B282F3-44ED-4C9C-943A-78CA13E23A1D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D021F601-5868-49DE-B93C-F29279016B65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6" name="Rectangle 293">
          <a:extLst>
            <a:ext uri="{FF2B5EF4-FFF2-40B4-BE49-F238E27FC236}">
              <a16:creationId xmlns:a16="http://schemas.microsoft.com/office/drawing/2014/main" id="{1A1BFF75-3BE5-417B-9362-E461D1D84AB1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">
          <a:extLst>
            <a:ext uri="{FF2B5EF4-FFF2-40B4-BE49-F238E27FC236}">
              <a16:creationId xmlns:a16="http://schemas.microsoft.com/office/drawing/2014/main" id="{26407C8B-465B-4644-BEFB-4DB387352908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8" name="Rectangle 293">
          <a:extLst>
            <a:ext uri="{FF2B5EF4-FFF2-40B4-BE49-F238E27FC236}">
              <a16:creationId xmlns:a16="http://schemas.microsoft.com/office/drawing/2014/main" id="{00912BE6-0617-47E1-A19F-11364C3CBB3E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84BD13BE-F32D-437C-BAAC-25B1FC254498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6A2D876F-E1B1-463A-B448-A78BED93949B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F10FFB8B-5091-4089-8710-80EE89B5B9D1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">
          <a:extLst>
            <a:ext uri="{FF2B5EF4-FFF2-40B4-BE49-F238E27FC236}">
              <a16:creationId xmlns:a16="http://schemas.microsoft.com/office/drawing/2014/main" id="{C8DEC911-4E95-4BD2-A7EB-4B1D5A51F9F2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3" name="Rectangle 293">
          <a:extLst>
            <a:ext uri="{FF2B5EF4-FFF2-40B4-BE49-F238E27FC236}">
              <a16:creationId xmlns:a16="http://schemas.microsoft.com/office/drawing/2014/main" id="{3ADF4C99-3738-47B9-8B67-30EF38F65004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BE6E7C32-4E43-4CFA-9984-E8E20E551076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A9613030-F4F2-445C-A7C3-F2EF2E8270BE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464C567A-841A-42D5-BF23-A1A0076876C2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EC970278-C28D-4362-B157-CD028C4EBF12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C5823FA4-4418-436D-BDEF-7C8634B18DD4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39" name="Rectangle 293">
          <a:extLst>
            <a:ext uri="{FF2B5EF4-FFF2-40B4-BE49-F238E27FC236}">
              <a16:creationId xmlns:a16="http://schemas.microsoft.com/office/drawing/2014/main" id="{A28003CF-61DD-47FF-A304-4E883275489E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">
          <a:extLst>
            <a:ext uri="{FF2B5EF4-FFF2-40B4-BE49-F238E27FC236}">
              <a16:creationId xmlns:a16="http://schemas.microsoft.com/office/drawing/2014/main" id="{2C2935C0-ECD4-4B33-87DA-6ECA1EEF7783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1" name="Rectangle 285">
          <a:extLst>
            <a:ext uri="{FF2B5EF4-FFF2-40B4-BE49-F238E27FC236}">
              <a16:creationId xmlns:a16="http://schemas.microsoft.com/office/drawing/2014/main" id="{2A8A399D-3001-4C9D-BC3D-93D666574CD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E200685B-9C2A-45FB-95EA-BA1F84D42D29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D265EA9A-E4DD-46A4-9D12-4963EEBF9ABE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4" name="Oval 18">
          <a:extLst>
            <a:ext uri="{FF2B5EF4-FFF2-40B4-BE49-F238E27FC236}">
              <a16:creationId xmlns:a16="http://schemas.microsoft.com/office/drawing/2014/main" id="{DD5118EB-2D73-4CB0-8557-383C1E1E928B}"/>
            </a:ext>
          </a:extLst>
        </xdr:cNvPr>
        <xdr:cNvSpPr>
          <a:spLocks noChangeArrowheads="1"/>
        </xdr:cNvSpPr>
      </xdr:nvSpPr>
      <xdr:spPr bwMode="auto">
        <a:xfrm>
          <a:off x="160020" y="89325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5" name="Oval 51">
          <a:extLst>
            <a:ext uri="{FF2B5EF4-FFF2-40B4-BE49-F238E27FC236}">
              <a16:creationId xmlns:a16="http://schemas.microsoft.com/office/drawing/2014/main" id="{CE7831EB-A38D-485D-A620-7B3AE0C2C9BB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246" name="Oval 18">
          <a:extLst>
            <a:ext uri="{FF2B5EF4-FFF2-40B4-BE49-F238E27FC236}">
              <a16:creationId xmlns:a16="http://schemas.microsoft.com/office/drawing/2014/main" id="{08892DF4-BC1A-4588-871D-9F50B20961EB}"/>
            </a:ext>
          </a:extLst>
        </xdr:cNvPr>
        <xdr:cNvSpPr>
          <a:spLocks noChangeArrowheads="1"/>
        </xdr:cNvSpPr>
      </xdr:nvSpPr>
      <xdr:spPr bwMode="auto">
        <a:xfrm>
          <a:off x="160020" y="96183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162325</xdr:colOff>
      <xdr:row>12</xdr:row>
      <xdr:rowOff>3182</xdr:rowOff>
    </xdr:from>
    <xdr:to>
      <xdr:col>9</xdr:col>
      <xdr:colOff>5013</xdr:colOff>
      <xdr:row>12</xdr:row>
      <xdr:rowOff>10026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89FC05DB-1FDF-F8CE-D765-3964FFB0FFED}"/>
            </a:ext>
          </a:extLst>
        </xdr:cNvPr>
        <xdr:cNvCxnSpPr/>
      </xdr:nvCxnSpPr>
      <xdr:spPr bwMode="auto">
        <a:xfrm>
          <a:off x="1009549" y="1552248"/>
          <a:ext cx="925530" cy="684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15039</xdr:colOff>
      <xdr:row>12</xdr:row>
      <xdr:rowOff>5013</xdr:rowOff>
    </xdr:from>
    <xdr:to>
      <xdr:col>15</xdr:col>
      <xdr:colOff>175047</xdr:colOff>
      <xdr:row>12</xdr:row>
      <xdr:rowOff>7332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A6571AFB-8DF0-4D43-A471-8067F274BB23}"/>
            </a:ext>
          </a:extLst>
        </xdr:cNvPr>
        <xdr:cNvCxnSpPr/>
      </xdr:nvCxnSpPr>
      <xdr:spPr bwMode="auto">
        <a:xfrm>
          <a:off x="2667000" y="1554079"/>
          <a:ext cx="520955" cy="231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154781</xdr:colOff>
      <xdr:row>20</xdr:row>
      <xdr:rowOff>2142</xdr:rowOff>
    </xdr:from>
    <xdr:to>
      <xdr:col>15</xdr:col>
      <xdr:colOff>23812</xdr:colOff>
      <xdr:row>20</xdr:row>
      <xdr:rowOff>9525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196C3C9A-C3C9-4F58-8FD7-5EBBF12A5475}"/>
            </a:ext>
          </a:extLst>
        </xdr:cNvPr>
        <xdr:cNvCxnSpPr/>
      </xdr:nvCxnSpPr>
      <xdr:spPr bwMode="auto">
        <a:xfrm>
          <a:off x="1007269" y="2240517"/>
          <a:ext cx="2040731" cy="738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9762</xdr:colOff>
      <xdr:row>28</xdr:row>
      <xdr:rowOff>9525</xdr:rowOff>
    </xdr:from>
    <xdr:to>
      <xdr:col>15</xdr:col>
      <xdr:colOff>9525</xdr:colOff>
      <xdr:row>28</xdr:row>
      <xdr:rowOff>9763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95671AFB-CBEE-4DC5-A4B6-A373D042691B}"/>
            </a:ext>
          </a:extLst>
        </xdr:cNvPr>
        <xdr:cNvCxnSpPr/>
      </xdr:nvCxnSpPr>
      <xdr:spPr bwMode="auto">
        <a:xfrm flipV="1">
          <a:off x="1043225" y="2933700"/>
          <a:ext cx="1990488" cy="23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155408</xdr:colOff>
      <xdr:row>37</xdr:row>
      <xdr:rowOff>20053</xdr:rowOff>
    </xdr:from>
    <xdr:to>
      <xdr:col>16</xdr:col>
      <xdr:colOff>16995</xdr:colOff>
      <xdr:row>37</xdr:row>
      <xdr:rowOff>20967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B74AD494-4F18-40A9-9CA7-5C404D01B5C9}"/>
            </a:ext>
          </a:extLst>
        </xdr:cNvPr>
        <xdr:cNvCxnSpPr/>
      </xdr:nvCxnSpPr>
      <xdr:spPr bwMode="auto">
        <a:xfrm>
          <a:off x="2626895" y="3684671"/>
          <a:ext cx="583482" cy="91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</xdr:colOff>
      <xdr:row>36</xdr:row>
      <xdr:rowOff>10728</xdr:rowOff>
    </xdr:from>
    <xdr:to>
      <xdr:col>7</xdr:col>
      <xdr:colOff>130343</xdr:colOff>
      <xdr:row>36</xdr:row>
      <xdr:rowOff>15040</xdr:rowOff>
    </xdr:to>
    <xdr:cxnSp macro="">
      <xdr:nvCxnSpPr>
        <xdr:cNvPr id="260" name="直線コネクタ 259">
          <a:extLst>
            <a:ext uri="{FF2B5EF4-FFF2-40B4-BE49-F238E27FC236}">
              <a16:creationId xmlns:a16="http://schemas.microsoft.com/office/drawing/2014/main" id="{C5DD0DD4-61D2-49EF-A457-F4EF5625CAF1}"/>
            </a:ext>
          </a:extLst>
        </xdr:cNvPr>
        <xdr:cNvCxnSpPr/>
      </xdr:nvCxnSpPr>
      <xdr:spPr bwMode="auto">
        <a:xfrm>
          <a:off x="1027698" y="3635241"/>
          <a:ext cx="671763" cy="43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175460</xdr:colOff>
      <xdr:row>44</xdr:row>
      <xdr:rowOff>0</xdr:rowOff>
    </xdr:from>
    <xdr:to>
      <xdr:col>11</xdr:col>
      <xdr:colOff>14287</xdr:colOff>
      <xdr:row>44</xdr:row>
      <xdr:rowOff>5013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0388FBCF-2F57-4B8B-BE32-17F8BAC6470A}"/>
            </a:ext>
          </a:extLst>
        </xdr:cNvPr>
        <xdr:cNvCxnSpPr/>
      </xdr:nvCxnSpPr>
      <xdr:spPr bwMode="auto">
        <a:xfrm flipV="1">
          <a:off x="1027948" y="4295775"/>
          <a:ext cx="1286627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171450</xdr:colOff>
      <xdr:row>44</xdr:row>
      <xdr:rowOff>1617</xdr:rowOff>
    </xdr:from>
    <xdr:to>
      <xdr:col>16</xdr:col>
      <xdr:colOff>8171</xdr:colOff>
      <xdr:row>44</xdr:row>
      <xdr:rowOff>4763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1D8E3904-AFB8-443C-82CD-B58365A31181}"/>
            </a:ext>
          </a:extLst>
        </xdr:cNvPr>
        <xdr:cNvCxnSpPr/>
      </xdr:nvCxnSpPr>
      <xdr:spPr bwMode="auto">
        <a:xfrm flipV="1">
          <a:off x="2652713" y="4297392"/>
          <a:ext cx="560621" cy="314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51</xdr:row>
      <xdr:rowOff>40105</xdr:rowOff>
    </xdr:from>
    <xdr:to>
      <xdr:col>9</xdr:col>
      <xdr:colOff>100263</xdr:colOff>
      <xdr:row>52</xdr:row>
      <xdr:rowOff>0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A919D1B2-8041-4AF4-A2FB-9E976CD64E1D}"/>
            </a:ext>
          </a:extLst>
        </xdr:cNvPr>
        <xdr:cNvCxnSpPr/>
      </xdr:nvCxnSpPr>
      <xdr:spPr bwMode="auto">
        <a:xfrm>
          <a:off x="1020779" y="5008144"/>
          <a:ext cx="1009550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135355</xdr:colOff>
      <xdr:row>53</xdr:row>
      <xdr:rowOff>15039</xdr:rowOff>
    </xdr:from>
    <xdr:to>
      <xdr:col>16</xdr:col>
      <xdr:colOff>13185</xdr:colOff>
      <xdr:row>53</xdr:row>
      <xdr:rowOff>20467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1E0A8B52-2B55-45AF-8862-3AEF1677D936}"/>
            </a:ext>
          </a:extLst>
        </xdr:cNvPr>
        <xdr:cNvCxnSpPr/>
      </xdr:nvCxnSpPr>
      <xdr:spPr bwMode="auto">
        <a:xfrm>
          <a:off x="2787316" y="5063289"/>
          <a:ext cx="419251" cy="542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170447</xdr:colOff>
      <xdr:row>59</xdr:row>
      <xdr:rowOff>35092</xdr:rowOff>
    </xdr:from>
    <xdr:to>
      <xdr:col>11</xdr:col>
      <xdr:colOff>82116</xdr:colOff>
      <xdr:row>60</xdr:row>
      <xdr:rowOff>0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D4127F91-AB3E-48DB-B473-35B51D017F27}"/>
            </a:ext>
          </a:extLst>
        </xdr:cNvPr>
        <xdr:cNvCxnSpPr/>
      </xdr:nvCxnSpPr>
      <xdr:spPr bwMode="auto">
        <a:xfrm flipV="1">
          <a:off x="1017671" y="5694947"/>
          <a:ext cx="1355458" cy="501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120315</xdr:colOff>
      <xdr:row>61</xdr:row>
      <xdr:rowOff>20053</xdr:rowOff>
    </xdr:from>
    <xdr:to>
      <xdr:col>16</xdr:col>
      <xdr:colOff>16293</xdr:colOff>
      <xdr:row>61</xdr:row>
      <xdr:rowOff>21670</xdr:rowOff>
    </xdr:to>
    <xdr:cxnSp macro="">
      <xdr:nvCxnSpPr>
        <xdr:cNvPr id="271" name="直線コネクタ 270">
          <a:extLst>
            <a:ext uri="{FF2B5EF4-FFF2-40B4-BE49-F238E27FC236}">
              <a16:creationId xmlns:a16="http://schemas.microsoft.com/office/drawing/2014/main" id="{29D835A2-E94B-4706-9144-F9CE1D19E8BB}"/>
            </a:ext>
          </a:extLst>
        </xdr:cNvPr>
        <xdr:cNvCxnSpPr/>
      </xdr:nvCxnSpPr>
      <xdr:spPr bwMode="auto">
        <a:xfrm>
          <a:off x="2772276" y="5760119"/>
          <a:ext cx="437399" cy="161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155407</xdr:colOff>
      <xdr:row>67</xdr:row>
      <xdr:rowOff>35092</xdr:rowOff>
    </xdr:from>
    <xdr:to>
      <xdr:col>8</xdr:col>
      <xdr:colOff>85224</xdr:colOff>
      <xdr:row>67</xdr:row>
      <xdr:rowOff>40105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AFF5D72B-7501-49F1-9DD0-6FFFEBB6AD00}"/>
            </a:ext>
          </a:extLst>
        </xdr:cNvPr>
        <xdr:cNvCxnSpPr/>
      </xdr:nvCxnSpPr>
      <xdr:spPr bwMode="auto">
        <a:xfrm>
          <a:off x="1002631" y="6386763"/>
          <a:ext cx="832185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105276</xdr:colOff>
      <xdr:row>68</xdr:row>
      <xdr:rowOff>10441</xdr:rowOff>
    </xdr:from>
    <xdr:to>
      <xdr:col>16</xdr:col>
      <xdr:colOff>16995</xdr:colOff>
      <xdr:row>68</xdr:row>
      <xdr:rowOff>15040</xdr:rowOff>
    </xdr:to>
    <xdr:cxnSp macro="">
      <xdr:nvCxnSpPr>
        <xdr:cNvPr id="274" name="直線コネクタ 273">
          <a:extLst>
            <a:ext uri="{FF2B5EF4-FFF2-40B4-BE49-F238E27FC236}">
              <a16:creationId xmlns:a16="http://schemas.microsoft.com/office/drawing/2014/main" id="{0BF5F475-DA8F-4232-82F2-5AE6F3B49732}"/>
            </a:ext>
          </a:extLst>
        </xdr:cNvPr>
        <xdr:cNvCxnSpPr/>
      </xdr:nvCxnSpPr>
      <xdr:spPr bwMode="auto">
        <a:xfrm flipV="1">
          <a:off x="2757237" y="6402217"/>
          <a:ext cx="453140" cy="459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167840</xdr:colOff>
      <xdr:row>76</xdr:row>
      <xdr:rowOff>0</xdr:rowOff>
    </xdr:from>
    <xdr:to>
      <xdr:col>11</xdr:col>
      <xdr:colOff>130342</xdr:colOff>
      <xdr:row>76</xdr:row>
      <xdr:rowOff>0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1EC4199E-A727-4003-A7A9-45254637C9F6}"/>
            </a:ext>
          </a:extLst>
        </xdr:cNvPr>
        <xdr:cNvCxnSpPr/>
      </xdr:nvCxnSpPr>
      <xdr:spPr bwMode="auto">
        <a:xfrm>
          <a:off x="1015064" y="7083592"/>
          <a:ext cx="1406291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120315</xdr:colOff>
      <xdr:row>77</xdr:row>
      <xdr:rowOff>18850</xdr:rowOff>
    </xdr:from>
    <xdr:to>
      <xdr:col>16</xdr:col>
      <xdr:colOff>11982</xdr:colOff>
      <xdr:row>77</xdr:row>
      <xdr:rowOff>20053</xdr:rowOff>
    </xdr:to>
    <xdr:cxnSp macro="">
      <xdr:nvCxnSpPr>
        <xdr:cNvPr id="278" name="直線コネクタ 277">
          <a:extLst>
            <a:ext uri="{FF2B5EF4-FFF2-40B4-BE49-F238E27FC236}">
              <a16:creationId xmlns:a16="http://schemas.microsoft.com/office/drawing/2014/main" id="{8A4E07CB-12ED-4E1F-B1AC-01B2E8AF5394}"/>
            </a:ext>
          </a:extLst>
        </xdr:cNvPr>
        <xdr:cNvCxnSpPr/>
      </xdr:nvCxnSpPr>
      <xdr:spPr bwMode="auto">
        <a:xfrm flipV="1">
          <a:off x="2772276" y="7142547"/>
          <a:ext cx="433088" cy="120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8824</xdr:colOff>
      <xdr:row>83</xdr:row>
      <xdr:rowOff>35092</xdr:rowOff>
    </xdr:from>
    <xdr:to>
      <xdr:col>8</xdr:col>
      <xdr:colOff>135355</xdr:colOff>
      <xdr:row>84</xdr:row>
      <xdr:rowOff>5013</xdr:rowOff>
    </xdr:to>
    <xdr:cxnSp macro="">
      <xdr:nvCxnSpPr>
        <xdr:cNvPr id="280" name="直線コネクタ 279">
          <a:extLst>
            <a:ext uri="{FF2B5EF4-FFF2-40B4-BE49-F238E27FC236}">
              <a16:creationId xmlns:a16="http://schemas.microsoft.com/office/drawing/2014/main" id="{2B3061A7-FADD-420B-8829-DB1A21ECA3E0}"/>
            </a:ext>
          </a:extLst>
        </xdr:cNvPr>
        <xdr:cNvCxnSpPr/>
      </xdr:nvCxnSpPr>
      <xdr:spPr bwMode="auto">
        <a:xfrm>
          <a:off x="1036521" y="7770395"/>
          <a:ext cx="848426" cy="1002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167840</xdr:colOff>
      <xdr:row>92</xdr:row>
      <xdr:rowOff>8823</xdr:rowOff>
    </xdr:from>
    <xdr:to>
      <xdr:col>10</xdr:col>
      <xdr:colOff>120316</xdr:colOff>
      <xdr:row>92</xdr:row>
      <xdr:rowOff>15039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1055B38E-BC1C-468C-A1E7-6092D12D840E}"/>
            </a:ext>
          </a:extLst>
        </xdr:cNvPr>
        <xdr:cNvCxnSpPr/>
      </xdr:nvCxnSpPr>
      <xdr:spPr bwMode="auto">
        <a:xfrm>
          <a:off x="1015064" y="8476047"/>
          <a:ext cx="1215791" cy="621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169744</xdr:colOff>
      <xdr:row>100</xdr:row>
      <xdr:rowOff>10728</xdr:rowOff>
    </xdr:from>
    <xdr:to>
      <xdr:col>12</xdr:col>
      <xdr:colOff>0</xdr:colOff>
      <xdr:row>100</xdr:row>
      <xdr:rowOff>15040</xdr:rowOff>
    </xdr:to>
    <xdr:cxnSp macro="">
      <xdr:nvCxnSpPr>
        <xdr:cNvPr id="286" name="直線コネクタ 285">
          <a:extLst>
            <a:ext uri="{FF2B5EF4-FFF2-40B4-BE49-F238E27FC236}">
              <a16:creationId xmlns:a16="http://schemas.microsoft.com/office/drawing/2014/main" id="{2FE0C0F3-744D-4AA5-ABDB-56629D64D1FE}"/>
            </a:ext>
          </a:extLst>
        </xdr:cNvPr>
        <xdr:cNvCxnSpPr/>
      </xdr:nvCxnSpPr>
      <xdr:spPr bwMode="auto">
        <a:xfrm>
          <a:off x="1016968" y="9169767"/>
          <a:ext cx="1454519" cy="43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168542</xdr:colOff>
      <xdr:row>107</xdr:row>
      <xdr:rowOff>35092</xdr:rowOff>
    </xdr:from>
    <xdr:to>
      <xdr:col>11</xdr:col>
      <xdr:colOff>60158</xdr:colOff>
      <xdr:row>108</xdr:row>
      <xdr:rowOff>0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099BDC7E-893A-4D01-BF4A-013F41DBD0E7}"/>
            </a:ext>
          </a:extLst>
        </xdr:cNvPr>
        <xdr:cNvCxnSpPr/>
      </xdr:nvCxnSpPr>
      <xdr:spPr bwMode="auto">
        <a:xfrm>
          <a:off x="1015766" y="9845842"/>
          <a:ext cx="1335405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86937C47-F0D5-4B8B-989B-9D4C1546732E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DC63D809-DD09-4FF8-A66F-4F7868E88DC9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9726EBE8-FBE5-4C96-91B1-8751E2269128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4D26BEF4-8EFC-4147-B3D7-2920D03D0742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8FF2444E-9412-4F09-96EB-BE53271BB350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CDCB303E-5129-40F1-B501-9308752B931B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8F378DF-533F-405E-9BB4-ACB82135B99B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1C63990A-65B3-47E9-8284-BC43B9410EEF}"/>
            </a:ext>
          </a:extLst>
        </xdr:cNvPr>
        <xdr:cNvSpPr>
          <a:spLocks noChangeArrowheads="1"/>
        </xdr:cNvSpPr>
      </xdr:nvSpPr>
      <xdr:spPr bwMode="auto">
        <a:xfrm>
          <a:off x="681990" y="97059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0" name="Oval 30">
          <a:extLst>
            <a:ext uri="{FF2B5EF4-FFF2-40B4-BE49-F238E27FC236}">
              <a16:creationId xmlns:a16="http://schemas.microsoft.com/office/drawing/2014/main" id="{26207380-EC78-4023-9CA3-D3E88CE1CB22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1" name="Oval 34">
          <a:extLst>
            <a:ext uri="{FF2B5EF4-FFF2-40B4-BE49-F238E27FC236}">
              <a16:creationId xmlns:a16="http://schemas.microsoft.com/office/drawing/2014/main" id="{88A9A2D3-36BA-44F6-BD6A-796ACBBF8ED9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2" name="Oval 51">
          <a:extLst>
            <a:ext uri="{FF2B5EF4-FFF2-40B4-BE49-F238E27FC236}">
              <a16:creationId xmlns:a16="http://schemas.microsoft.com/office/drawing/2014/main" id="{1AF76FF1-6925-48B1-8597-77BD19EE9A4A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5BDF5DFD-E638-4679-8C87-DAF6E80386A7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" name="AutoShape 102">
          <a:extLst>
            <a:ext uri="{FF2B5EF4-FFF2-40B4-BE49-F238E27FC236}">
              <a16:creationId xmlns:a16="http://schemas.microsoft.com/office/drawing/2014/main" id="{55BD4640-675E-460C-B6BB-EEBCD6BFFF0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2E8A09F4-4457-4C75-A0AF-87D479A5A50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" name="Oval 104">
          <a:extLst>
            <a:ext uri="{FF2B5EF4-FFF2-40B4-BE49-F238E27FC236}">
              <a16:creationId xmlns:a16="http://schemas.microsoft.com/office/drawing/2014/main" id="{9AA56B78-0659-49DA-8B65-0D00B3BE7B7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" name="AutoShape 105">
          <a:extLst>
            <a:ext uri="{FF2B5EF4-FFF2-40B4-BE49-F238E27FC236}">
              <a16:creationId xmlns:a16="http://schemas.microsoft.com/office/drawing/2014/main" id="{D7CB449F-D3CA-47C0-83FE-1B294DCC0DA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20947370-3EE4-4E47-9B75-0825CB847F5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" name="Oval 107">
          <a:extLst>
            <a:ext uri="{FF2B5EF4-FFF2-40B4-BE49-F238E27FC236}">
              <a16:creationId xmlns:a16="http://schemas.microsoft.com/office/drawing/2014/main" id="{5047DC77-20D9-4AE5-8904-539F9D78859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00A72885-98AF-48C1-B1E9-C481224A117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1" name="Rectangle 109">
          <a:extLst>
            <a:ext uri="{FF2B5EF4-FFF2-40B4-BE49-F238E27FC236}">
              <a16:creationId xmlns:a16="http://schemas.microsoft.com/office/drawing/2014/main" id="{18CDF53A-C153-4DB5-889E-4DDA737D4E8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2" name="Oval 110">
          <a:extLst>
            <a:ext uri="{FF2B5EF4-FFF2-40B4-BE49-F238E27FC236}">
              <a16:creationId xmlns:a16="http://schemas.microsoft.com/office/drawing/2014/main" id="{8DE7E0FA-D8C6-4665-A79D-06A463740C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3" name="AutoShape 111">
          <a:extLst>
            <a:ext uri="{FF2B5EF4-FFF2-40B4-BE49-F238E27FC236}">
              <a16:creationId xmlns:a16="http://schemas.microsoft.com/office/drawing/2014/main" id="{8BC45877-5E85-4BF7-8D25-E4C4BE8BE1E7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4" name="Rectangle 112">
          <a:extLst>
            <a:ext uri="{FF2B5EF4-FFF2-40B4-BE49-F238E27FC236}">
              <a16:creationId xmlns:a16="http://schemas.microsoft.com/office/drawing/2014/main" id="{F721AF40-8C4B-4BB7-BE1E-602D9F8B50C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2644F0F9-1D0B-42EC-A9D5-16B78C5E2BF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6" name="AutoShape 114">
          <a:extLst>
            <a:ext uri="{FF2B5EF4-FFF2-40B4-BE49-F238E27FC236}">
              <a16:creationId xmlns:a16="http://schemas.microsoft.com/office/drawing/2014/main" id="{7558CAF0-02CA-4B40-9CC1-6D431FBD2A8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7" name="Rectangle 115">
          <a:extLst>
            <a:ext uri="{FF2B5EF4-FFF2-40B4-BE49-F238E27FC236}">
              <a16:creationId xmlns:a16="http://schemas.microsoft.com/office/drawing/2014/main" id="{9C50BBA0-EEA2-4E6D-8F32-4E7BB65ECF1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8" name="Oval 116">
          <a:extLst>
            <a:ext uri="{FF2B5EF4-FFF2-40B4-BE49-F238E27FC236}">
              <a16:creationId xmlns:a16="http://schemas.microsoft.com/office/drawing/2014/main" id="{08DF6EB2-92C4-43FB-A1BE-A2DE21553BC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9" name="AutoShape 117">
          <a:extLst>
            <a:ext uri="{FF2B5EF4-FFF2-40B4-BE49-F238E27FC236}">
              <a16:creationId xmlns:a16="http://schemas.microsoft.com/office/drawing/2014/main" id="{9AE4FBBD-BA81-43D9-A585-17C34516C1D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0" name="Rectangle 118">
          <a:extLst>
            <a:ext uri="{FF2B5EF4-FFF2-40B4-BE49-F238E27FC236}">
              <a16:creationId xmlns:a16="http://schemas.microsoft.com/office/drawing/2014/main" id="{FA85B57D-959F-4123-A5B6-5F8DA7F1BA68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1" name="Oval 119">
          <a:extLst>
            <a:ext uri="{FF2B5EF4-FFF2-40B4-BE49-F238E27FC236}">
              <a16:creationId xmlns:a16="http://schemas.microsoft.com/office/drawing/2014/main" id="{E9C11762-4C48-443C-81E6-0E4E830094C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2" name="AutoShape 120">
          <a:extLst>
            <a:ext uri="{FF2B5EF4-FFF2-40B4-BE49-F238E27FC236}">
              <a16:creationId xmlns:a16="http://schemas.microsoft.com/office/drawing/2014/main" id="{44649B2A-83A8-49CF-A08C-2223E3BC258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" name="Rectangle 121">
          <a:extLst>
            <a:ext uri="{FF2B5EF4-FFF2-40B4-BE49-F238E27FC236}">
              <a16:creationId xmlns:a16="http://schemas.microsoft.com/office/drawing/2014/main" id="{799ED95F-C360-4A86-B436-8A415A63C1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" name="Oval 122">
          <a:extLst>
            <a:ext uri="{FF2B5EF4-FFF2-40B4-BE49-F238E27FC236}">
              <a16:creationId xmlns:a16="http://schemas.microsoft.com/office/drawing/2014/main" id="{2595F165-F919-479D-8418-DB16CFF242C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" name="AutoShape 123">
          <a:extLst>
            <a:ext uri="{FF2B5EF4-FFF2-40B4-BE49-F238E27FC236}">
              <a16:creationId xmlns:a16="http://schemas.microsoft.com/office/drawing/2014/main" id="{B3B4B87E-DA5B-4DD2-A151-76FB4760172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6" name="Rectangle 124">
          <a:extLst>
            <a:ext uri="{FF2B5EF4-FFF2-40B4-BE49-F238E27FC236}">
              <a16:creationId xmlns:a16="http://schemas.microsoft.com/office/drawing/2014/main" id="{75840661-2A2D-4629-8200-D579470F614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7" name="Oval 125">
          <a:extLst>
            <a:ext uri="{FF2B5EF4-FFF2-40B4-BE49-F238E27FC236}">
              <a16:creationId xmlns:a16="http://schemas.microsoft.com/office/drawing/2014/main" id="{FE2184A2-1268-4B1B-AF1D-262FAC5B398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8" name="AutoShape 126">
          <a:extLst>
            <a:ext uri="{FF2B5EF4-FFF2-40B4-BE49-F238E27FC236}">
              <a16:creationId xmlns:a16="http://schemas.microsoft.com/office/drawing/2014/main" id="{89425895-CCEC-46BF-8D13-4894EE227E8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9" name="Rectangle 127">
          <a:extLst>
            <a:ext uri="{FF2B5EF4-FFF2-40B4-BE49-F238E27FC236}">
              <a16:creationId xmlns:a16="http://schemas.microsoft.com/office/drawing/2014/main" id="{0CEB3B60-CA71-4892-AFBD-0C8367E49A3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0" name="Oval 128">
          <a:extLst>
            <a:ext uri="{FF2B5EF4-FFF2-40B4-BE49-F238E27FC236}">
              <a16:creationId xmlns:a16="http://schemas.microsoft.com/office/drawing/2014/main" id="{071D8D3E-5388-45A3-9CFE-5151B7C96B0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1" name="AutoShape 129">
          <a:extLst>
            <a:ext uri="{FF2B5EF4-FFF2-40B4-BE49-F238E27FC236}">
              <a16:creationId xmlns:a16="http://schemas.microsoft.com/office/drawing/2014/main" id="{F3B2EBCF-6615-4693-B842-821EEB13FD8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2" name="Rectangle 130">
          <a:extLst>
            <a:ext uri="{FF2B5EF4-FFF2-40B4-BE49-F238E27FC236}">
              <a16:creationId xmlns:a16="http://schemas.microsoft.com/office/drawing/2014/main" id="{68FA22C4-57F2-4406-9A6C-A41BF39A772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3" name="Oval 131">
          <a:extLst>
            <a:ext uri="{FF2B5EF4-FFF2-40B4-BE49-F238E27FC236}">
              <a16:creationId xmlns:a16="http://schemas.microsoft.com/office/drawing/2014/main" id="{F95064F1-0480-42A1-B888-61F8B9C60F5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4" name="AutoShape 132">
          <a:extLst>
            <a:ext uri="{FF2B5EF4-FFF2-40B4-BE49-F238E27FC236}">
              <a16:creationId xmlns:a16="http://schemas.microsoft.com/office/drawing/2014/main" id="{D4815D70-4AF3-4204-99C2-8B32FBB60BD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5" name="Rectangle 133">
          <a:extLst>
            <a:ext uri="{FF2B5EF4-FFF2-40B4-BE49-F238E27FC236}">
              <a16:creationId xmlns:a16="http://schemas.microsoft.com/office/drawing/2014/main" id="{48CC909D-A7B8-4FC7-AD55-2DFAC479EFA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6" name="Oval 134">
          <a:extLst>
            <a:ext uri="{FF2B5EF4-FFF2-40B4-BE49-F238E27FC236}">
              <a16:creationId xmlns:a16="http://schemas.microsoft.com/office/drawing/2014/main" id="{2C6361C3-E6E6-4A5F-9F54-94248A21C3F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7" name="AutoShape 135">
          <a:extLst>
            <a:ext uri="{FF2B5EF4-FFF2-40B4-BE49-F238E27FC236}">
              <a16:creationId xmlns:a16="http://schemas.microsoft.com/office/drawing/2014/main" id="{AD188538-955E-4C8A-8787-6BD34741F45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8" name="Rectangle 136">
          <a:extLst>
            <a:ext uri="{FF2B5EF4-FFF2-40B4-BE49-F238E27FC236}">
              <a16:creationId xmlns:a16="http://schemas.microsoft.com/office/drawing/2014/main" id="{282D2F03-5BD2-48CA-8C63-009C905BB56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9" name="Oval 137">
          <a:extLst>
            <a:ext uri="{FF2B5EF4-FFF2-40B4-BE49-F238E27FC236}">
              <a16:creationId xmlns:a16="http://schemas.microsoft.com/office/drawing/2014/main" id="{B89B3DD2-A991-4889-AA7B-33EDCEC0D4F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0" name="AutoShape 138">
          <a:extLst>
            <a:ext uri="{FF2B5EF4-FFF2-40B4-BE49-F238E27FC236}">
              <a16:creationId xmlns:a16="http://schemas.microsoft.com/office/drawing/2014/main" id="{1B716BFA-C511-48C3-9F6E-51667FAA7FB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1" name="Rectangle 139">
          <a:extLst>
            <a:ext uri="{FF2B5EF4-FFF2-40B4-BE49-F238E27FC236}">
              <a16:creationId xmlns:a16="http://schemas.microsoft.com/office/drawing/2014/main" id="{2A6C227F-2120-47D6-85E2-AB7C2D95888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2" name="Oval 140">
          <a:extLst>
            <a:ext uri="{FF2B5EF4-FFF2-40B4-BE49-F238E27FC236}">
              <a16:creationId xmlns:a16="http://schemas.microsoft.com/office/drawing/2014/main" id="{9CC29A9D-287C-43A3-83BB-0500A293E23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3" name="Rectangle 141">
          <a:extLst>
            <a:ext uri="{FF2B5EF4-FFF2-40B4-BE49-F238E27FC236}">
              <a16:creationId xmlns:a16="http://schemas.microsoft.com/office/drawing/2014/main" id="{A7C1387B-693C-44FD-9FE1-A1C427889C2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4" name="AutoShape 142">
          <a:extLst>
            <a:ext uri="{FF2B5EF4-FFF2-40B4-BE49-F238E27FC236}">
              <a16:creationId xmlns:a16="http://schemas.microsoft.com/office/drawing/2014/main" id="{CC272A3F-7221-40BB-904A-4033184C058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B774EA42-349C-405D-85AC-4569F0730BD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6" name="Oval 144">
          <a:extLst>
            <a:ext uri="{FF2B5EF4-FFF2-40B4-BE49-F238E27FC236}">
              <a16:creationId xmlns:a16="http://schemas.microsoft.com/office/drawing/2014/main" id="{D92A07DB-E5F0-4532-85FB-6AD06934AE9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7" name="AutoShape 145">
          <a:extLst>
            <a:ext uri="{FF2B5EF4-FFF2-40B4-BE49-F238E27FC236}">
              <a16:creationId xmlns:a16="http://schemas.microsoft.com/office/drawing/2014/main" id="{5FAB7649-ADB8-4A39-AE8E-54208AD6157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8" name="Rectangle 146">
          <a:extLst>
            <a:ext uri="{FF2B5EF4-FFF2-40B4-BE49-F238E27FC236}">
              <a16:creationId xmlns:a16="http://schemas.microsoft.com/office/drawing/2014/main" id="{6DC94C2E-E4A5-404D-94D0-12875BC23E68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9" name="Oval 147">
          <a:extLst>
            <a:ext uri="{FF2B5EF4-FFF2-40B4-BE49-F238E27FC236}">
              <a16:creationId xmlns:a16="http://schemas.microsoft.com/office/drawing/2014/main" id="{2BD3C960-7C9A-4296-9C48-C5BA4903443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0" name="AutoShape 148">
          <a:extLst>
            <a:ext uri="{FF2B5EF4-FFF2-40B4-BE49-F238E27FC236}">
              <a16:creationId xmlns:a16="http://schemas.microsoft.com/office/drawing/2014/main" id="{DE2CA7E1-AF49-4DEB-8E27-771EE83C7B9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1" name="Rectangle 149">
          <a:extLst>
            <a:ext uri="{FF2B5EF4-FFF2-40B4-BE49-F238E27FC236}">
              <a16:creationId xmlns:a16="http://schemas.microsoft.com/office/drawing/2014/main" id="{90D362AE-0FE8-444E-B70A-8E6ECF3EDD8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2" name="Oval 150">
          <a:extLst>
            <a:ext uri="{FF2B5EF4-FFF2-40B4-BE49-F238E27FC236}">
              <a16:creationId xmlns:a16="http://schemas.microsoft.com/office/drawing/2014/main" id="{31945868-A190-4832-B4CA-25F0B729259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1">
          <a:extLst>
            <a:ext uri="{FF2B5EF4-FFF2-40B4-BE49-F238E27FC236}">
              <a16:creationId xmlns:a16="http://schemas.microsoft.com/office/drawing/2014/main" id="{BC27035F-3AC8-4C2F-ABD8-8FC33E6ADAF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2">
          <a:extLst>
            <a:ext uri="{FF2B5EF4-FFF2-40B4-BE49-F238E27FC236}">
              <a16:creationId xmlns:a16="http://schemas.microsoft.com/office/drawing/2014/main" id="{5B1F2798-9A84-452D-85B4-2C385679834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3">
          <a:extLst>
            <a:ext uri="{FF2B5EF4-FFF2-40B4-BE49-F238E27FC236}">
              <a16:creationId xmlns:a16="http://schemas.microsoft.com/office/drawing/2014/main" id="{161D83D2-6BE5-4D75-A94E-D6FE6D109FB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6" name="AutoShape 154">
          <a:extLst>
            <a:ext uri="{FF2B5EF4-FFF2-40B4-BE49-F238E27FC236}">
              <a16:creationId xmlns:a16="http://schemas.microsoft.com/office/drawing/2014/main" id="{8AF52C9D-9B33-4C94-A9A9-3D55C7974EC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7" name="Rectangle 155">
          <a:extLst>
            <a:ext uri="{FF2B5EF4-FFF2-40B4-BE49-F238E27FC236}">
              <a16:creationId xmlns:a16="http://schemas.microsoft.com/office/drawing/2014/main" id="{E53714C1-5C47-4EA2-A1F3-E43C8CA8213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8" name="Oval 156">
          <a:extLst>
            <a:ext uri="{FF2B5EF4-FFF2-40B4-BE49-F238E27FC236}">
              <a16:creationId xmlns:a16="http://schemas.microsoft.com/office/drawing/2014/main" id="{AD55C7CD-62F9-4632-AA2E-A15A00706EB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7">
          <a:extLst>
            <a:ext uri="{FF2B5EF4-FFF2-40B4-BE49-F238E27FC236}">
              <a16:creationId xmlns:a16="http://schemas.microsoft.com/office/drawing/2014/main" id="{0E42DD23-973E-47FD-85F1-95A883D6138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8">
          <a:extLst>
            <a:ext uri="{FF2B5EF4-FFF2-40B4-BE49-F238E27FC236}">
              <a16:creationId xmlns:a16="http://schemas.microsoft.com/office/drawing/2014/main" id="{981BAD65-9897-49FD-894B-6302166595F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9">
          <a:extLst>
            <a:ext uri="{FF2B5EF4-FFF2-40B4-BE49-F238E27FC236}">
              <a16:creationId xmlns:a16="http://schemas.microsoft.com/office/drawing/2014/main" id="{57C8B8E7-50DB-4CAE-B921-5C93F010205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2" name="AutoShape 160">
          <a:extLst>
            <a:ext uri="{FF2B5EF4-FFF2-40B4-BE49-F238E27FC236}">
              <a16:creationId xmlns:a16="http://schemas.microsoft.com/office/drawing/2014/main" id="{ECCCF1E0-F445-47C3-BF97-9BC7441E799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3" name="Rectangle 161">
          <a:extLst>
            <a:ext uri="{FF2B5EF4-FFF2-40B4-BE49-F238E27FC236}">
              <a16:creationId xmlns:a16="http://schemas.microsoft.com/office/drawing/2014/main" id="{9C0E234D-2072-4687-87A4-9AEB92DEFE2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4" name="Oval 162">
          <a:extLst>
            <a:ext uri="{FF2B5EF4-FFF2-40B4-BE49-F238E27FC236}">
              <a16:creationId xmlns:a16="http://schemas.microsoft.com/office/drawing/2014/main" id="{F6550E8A-DF6D-4EE6-8998-3AB8D2353E3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3">
          <a:extLst>
            <a:ext uri="{FF2B5EF4-FFF2-40B4-BE49-F238E27FC236}">
              <a16:creationId xmlns:a16="http://schemas.microsoft.com/office/drawing/2014/main" id="{2B2CEB40-FC77-49F3-8C88-AD6D319FF24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4">
          <a:extLst>
            <a:ext uri="{FF2B5EF4-FFF2-40B4-BE49-F238E27FC236}">
              <a16:creationId xmlns:a16="http://schemas.microsoft.com/office/drawing/2014/main" id="{4A9F85E4-51BC-4586-8E6C-CA0477B1E72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5">
          <a:extLst>
            <a:ext uri="{FF2B5EF4-FFF2-40B4-BE49-F238E27FC236}">
              <a16:creationId xmlns:a16="http://schemas.microsoft.com/office/drawing/2014/main" id="{CA1025D6-222E-430F-89D6-7D5E5B1A986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8" name="AutoShape 166">
          <a:extLst>
            <a:ext uri="{FF2B5EF4-FFF2-40B4-BE49-F238E27FC236}">
              <a16:creationId xmlns:a16="http://schemas.microsoft.com/office/drawing/2014/main" id="{6AF742DB-F20E-4600-B786-E37E06470FE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214E6982-002D-46E0-856D-F9C4AF12988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0" name="Oval 168">
          <a:extLst>
            <a:ext uri="{FF2B5EF4-FFF2-40B4-BE49-F238E27FC236}">
              <a16:creationId xmlns:a16="http://schemas.microsoft.com/office/drawing/2014/main" id="{71024833-2213-455C-B249-0850A6AEDB4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9">
          <a:extLst>
            <a:ext uri="{FF2B5EF4-FFF2-40B4-BE49-F238E27FC236}">
              <a16:creationId xmlns:a16="http://schemas.microsoft.com/office/drawing/2014/main" id="{CED15229-034B-498A-9828-7AA640AC3EE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70">
          <a:extLst>
            <a:ext uri="{FF2B5EF4-FFF2-40B4-BE49-F238E27FC236}">
              <a16:creationId xmlns:a16="http://schemas.microsoft.com/office/drawing/2014/main" id="{E6077F66-7B5B-4C01-ADF7-43A79F01790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1">
          <a:extLst>
            <a:ext uri="{FF2B5EF4-FFF2-40B4-BE49-F238E27FC236}">
              <a16:creationId xmlns:a16="http://schemas.microsoft.com/office/drawing/2014/main" id="{E07E8848-9852-4895-9745-C134E1CE174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4" name="AutoShape 172">
          <a:extLst>
            <a:ext uri="{FF2B5EF4-FFF2-40B4-BE49-F238E27FC236}">
              <a16:creationId xmlns:a16="http://schemas.microsoft.com/office/drawing/2014/main" id="{B2373D4F-B540-4862-9289-8D85C88C5D9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5" name="Rectangle 173">
          <a:extLst>
            <a:ext uri="{FF2B5EF4-FFF2-40B4-BE49-F238E27FC236}">
              <a16:creationId xmlns:a16="http://schemas.microsoft.com/office/drawing/2014/main" id="{C59692E0-B513-49EE-9706-0B587D56832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6" name="Oval 174">
          <a:extLst>
            <a:ext uri="{FF2B5EF4-FFF2-40B4-BE49-F238E27FC236}">
              <a16:creationId xmlns:a16="http://schemas.microsoft.com/office/drawing/2014/main" id="{054AFB94-8271-4EF4-B7BD-FDB910C8367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5">
          <a:extLst>
            <a:ext uri="{FF2B5EF4-FFF2-40B4-BE49-F238E27FC236}">
              <a16:creationId xmlns:a16="http://schemas.microsoft.com/office/drawing/2014/main" id="{DBE162C1-0E73-4EB7-ADC1-2A16B2F5D5F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6">
          <a:extLst>
            <a:ext uri="{FF2B5EF4-FFF2-40B4-BE49-F238E27FC236}">
              <a16:creationId xmlns:a16="http://schemas.microsoft.com/office/drawing/2014/main" id="{3306F9FD-5354-4526-91A5-2E285598C5A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7">
          <a:extLst>
            <a:ext uri="{FF2B5EF4-FFF2-40B4-BE49-F238E27FC236}">
              <a16:creationId xmlns:a16="http://schemas.microsoft.com/office/drawing/2014/main" id="{7A0DF744-DAD5-4D55-913E-7C9DFEE664D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0" name="AutoShape 178">
          <a:extLst>
            <a:ext uri="{FF2B5EF4-FFF2-40B4-BE49-F238E27FC236}">
              <a16:creationId xmlns:a16="http://schemas.microsoft.com/office/drawing/2014/main" id="{ECAAA758-0809-46DA-ABF2-4299D6C8C267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1" name="Rectangle 179">
          <a:extLst>
            <a:ext uri="{FF2B5EF4-FFF2-40B4-BE49-F238E27FC236}">
              <a16:creationId xmlns:a16="http://schemas.microsoft.com/office/drawing/2014/main" id="{0B1BFE4C-15F3-4233-B6EC-CFDC86EFDC6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2" name="Oval 180">
          <a:extLst>
            <a:ext uri="{FF2B5EF4-FFF2-40B4-BE49-F238E27FC236}">
              <a16:creationId xmlns:a16="http://schemas.microsoft.com/office/drawing/2014/main" id="{357B93C8-6451-4C4E-9527-33891A52134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1">
          <a:extLst>
            <a:ext uri="{FF2B5EF4-FFF2-40B4-BE49-F238E27FC236}">
              <a16:creationId xmlns:a16="http://schemas.microsoft.com/office/drawing/2014/main" id="{D0F87344-48BE-43A8-871F-0F398A2157D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2">
          <a:extLst>
            <a:ext uri="{FF2B5EF4-FFF2-40B4-BE49-F238E27FC236}">
              <a16:creationId xmlns:a16="http://schemas.microsoft.com/office/drawing/2014/main" id="{6D493F7C-0A96-4C23-8BCE-D834682ADAE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3">
          <a:extLst>
            <a:ext uri="{FF2B5EF4-FFF2-40B4-BE49-F238E27FC236}">
              <a16:creationId xmlns:a16="http://schemas.microsoft.com/office/drawing/2014/main" id="{47EC32E7-2813-48A4-AAE1-E6467904504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6" name="AutoShape 184">
          <a:extLst>
            <a:ext uri="{FF2B5EF4-FFF2-40B4-BE49-F238E27FC236}">
              <a16:creationId xmlns:a16="http://schemas.microsoft.com/office/drawing/2014/main" id="{107A5882-4A91-4023-A446-DEF5071696C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7" name="Rectangle 185">
          <a:extLst>
            <a:ext uri="{FF2B5EF4-FFF2-40B4-BE49-F238E27FC236}">
              <a16:creationId xmlns:a16="http://schemas.microsoft.com/office/drawing/2014/main" id="{ADDF8648-F02F-4FF4-BF50-EACDBC8C68E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8" name="Oval 186">
          <a:extLst>
            <a:ext uri="{FF2B5EF4-FFF2-40B4-BE49-F238E27FC236}">
              <a16:creationId xmlns:a16="http://schemas.microsoft.com/office/drawing/2014/main" id="{A7CD048A-1291-4EEC-B887-37791616B3E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7">
          <a:extLst>
            <a:ext uri="{FF2B5EF4-FFF2-40B4-BE49-F238E27FC236}">
              <a16:creationId xmlns:a16="http://schemas.microsoft.com/office/drawing/2014/main" id="{EAD77C19-DFAC-4786-8C6F-787FAC0DA93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8">
          <a:extLst>
            <a:ext uri="{FF2B5EF4-FFF2-40B4-BE49-F238E27FC236}">
              <a16:creationId xmlns:a16="http://schemas.microsoft.com/office/drawing/2014/main" id="{C7A87928-E1A9-499F-9333-A650B6CEE45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9">
          <a:extLst>
            <a:ext uri="{FF2B5EF4-FFF2-40B4-BE49-F238E27FC236}">
              <a16:creationId xmlns:a16="http://schemas.microsoft.com/office/drawing/2014/main" id="{6A030181-0C68-4F18-AE9E-937F7147FB8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2" name="AutoShape 190">
          <a:extLst>
            <a:ext uri="{FF2B5EF4-FFF2-40B4-BE49-F238E27FC236}">
              <a16:creationId xmlns:a16="http://schemas.microsoft.com/office/drawing/2014/main" id="{AC0BA085-12C4-4ABE-BC91-D24D2CF024F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3" name="Rectangle 191">
          <a:extLst>
            <a:ext uri="{FF2B5EF4-FFF2-40B4-BE49-F238E27FC236}">
              <a16:creationId xmlns:a16="http://schemas.microsoft.com/office/drawing/2014/main" id="{0EA783A7-BE88-4D63-ADF3-CB606637335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4" name="Oval 192">
          <a:extLst>
            <a:ext uri="{FF2B5EF4-FFF2-40B4-BE49-F238E27FC236}">
              <a16:creationId xmlns:a16="http://schemas.microsoft.com/office/drawing/2014/main" id="{A3162D74-C9F2-4784-8207-694216637B0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3">
          <a:extLst>
            <a:ext uri="{FF2B5EF4-FFF2-40B4-BE49-F238E27FC236}">
              <a16:creationId xmlns:a16="http://schemas.microsoft.com/office/drawing/2014/main" id="{819A4644-E7DF-4036-87B5-0F665DFAC61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4">
          <a:extLst>
            <a:ext uri="{FF2B5EF4-FFF2-40B4-BE49-F238E27FC236}">
              <a16:creationId xmlns:a16="http://schemas.microsoft.com/office/drawing/2014/main" id="{D6F6DA77-EF51-4B5A-8FF5-03E796A827E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5">
          <a:extLst>
            <a:ext uri="{FF2B5EF4-FFF2-40B4-BE49-F238E27FC236}">
              <a16:creationId xmlns:a16="http://schemas.microsoft.com/office/drawing/2014/main" id="{1DE5AE87-A6FB-487E-B5B6-DE1AEBE45C8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8" name="AutoShape 196">
          <a:extLst>
            <a:ext uri="{FF2B5EF4-FFF2-40B4-BE49-F238E27FC236}">
              <a16:creationId xmlns:a16="http://schemas.microsoft.com/office/drawing/2014/main" id="{654D4CC6-CAEC-41F3-88BD-CFE29272B81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9" name="Rectangle 197">
          <a:extLst>
            <a:ext uri="{FF2B5EF4-FFF2-40B4-BE49-F238E27FC236}">
              <a16:creationId xmlns:a16="http://schemas.microsoft.com/office/drawing/2014/main" id="{AF45D634-C70C-48FA-8F5F-3E0B2BD30B1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0" name="Oval 198">
          <a:extLst>
            <a:ext uri="{FF2B5EF4-FFF2-40B4-BE49-F238E27FC236}">
              <a16:creationId xmlns:a16="http://schemas.microsoft.com/office/drawing/2014/main" id="{4DBCB83D-025B-4703-8702-E908C0CEB98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9">
          <a:extLst>
            <a:ext uri="{FF2B5EF4-FFF2-40B4-BE49-F238E27FC236}">
              <a16:creationId xmlns:a16="http://schemas.microsoft.com/office/drawing/2014/main" id="{23415F39-F4B1-4886-A348-7BCB347CA47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200">
          <a:extLst>
            <a:ext uri="{FF2B5EF4-FFF2-40B4-BE49-F238E27FC236}">
              <a16:creationId xmlns:a16="http://schemas.microsoft.com/office/drawing/2014/main" id="{F8587497-4F0C-43B5-BE1C-D55CFDB5082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1">
          <a:extLst>
            <a:ext uri="{FF2B5EF4-FFF2-40B4-BE49-F238E27FC236}">
              <a16:creationId xmlns:a16="http://schemas.microsoft.com/office/drawing/2014/main" id="{0B54039F-98A9-4946-8E6D-F685A41D13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4" name="AutoShape 202">
          <a:extLst>
            <a:ext uri="{FF2B5EF4-FFF2-40B4-BE49-F238E27FC236}">
              <a16:creationId xmlns:a16="http://schemas.microsoft.com/office/drawing/2014/main" id="{D4520C3D-2DDA-4AA7-985F-860DA1368D8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5" name="Rectangle 203">
          <a:extLst>
            <a:ext uri="{FF2B5EF4-FFF2-40B4-BE49-F238E27FC236}">
              <a16:creationId xmlns:a16="http://schemas.microsoft.com/office/drawing/2014/main" id="{E06FF5D7-7B88-4DEB-BC55-10CECF2FB4B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6" name="Oval 204">
          <a:extLst>
            <a:ext uri="{FF2B5EF4-FFF2-40B4-BE49-F238E27FC236}">
              <a16:creationId xmlns:a16="http://schemas.microsoft.com/office/drawing/2014/main" id="{1D4592C0-0149-4687-949C-75868C20587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5">
          <a:extLst>
            <a:ext uri="{FF2B5EF4-FFF2-40B4-BE49-F238E27FC236}">
              <a16:creationId xmlns:a16="http://schemas.microsoft.com/office/drawing/2014/main" id="{89A86F8B-8E97-45CB-BBCF-CF0FC0A7FCB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6">
          <a:extLst>
            <a:ext uri="{FF2B5EF4-FFF2-40B4-BE49-F238E27FC236}">
              <a16:creationId xmlns:a16="http://schemas.microsoft.com/office/drawing/2014/main" id="{69A74479-F4A6-4BD6-A153-8F28F60967F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7">
          <a:extLst>
            <a:ext uri="{FF2B5EF4-FFF2-40B4-BE49-F238E27FC236}">
              <a16:creationId xmlns:a16="http://schemas.microsoft.com/office/drawing/2014/main" id="{5AB1A8ED-701E-45A5-88A5-7E4BAEBF965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0" name="AutoShape 208">
          <a:extLst>
            <a:ext uri="{FF2B5EF4-FFF2-40B4-BE49-F238E27FC236}">
              <a16:creationId xmlns:a16="http://schemas.microsoft.com/office/drawing/2014/main" id="{5E98FBAD-2B50-455A-961D-BD916C41CF5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1" name="Rectangle 209">
          <a:extLst>
            <a:ext uri="{FF2B5EF4-FFF2-40B4-BE49-F238E27FC236}">
              <a16:creationId xmlns:a16="http://schemas.microsoft.com/office/drawing/2014/main" id="{D267575E-C9F4-44E2-894A-EAFC4AE87A9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2" name="Oval 210">
          <a:extLst>
            <a:ext uri="{FF2B5EF4-FFF2-40B4-BE49-F238E27FC236}">
              <a16:creationId xmlns:a16="http://schemas.microsoft.com/office/drawing/2014/main" id="{2D1F9C76-F250-4129-87F9-C32377246EE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1">
          <a:extLst>
            <a:ext uri="{FF2B5EF4-FFF2-40B4-BE49-F238E27FC236}">
              <a16:creationId xmlns:a16="http://schemas.microsoft.com/office/drawing/2014/main" id="{B7054BD3-315E-4333-B304-33B04930C04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2">
          <a:extLst>
            <a:ext uri="{FF2B5EF4-FFF2-40B4-BE49-F238E27FC236}">
              <a16:creationId xmlns:a16="http://schemas.microsoft.com/office/drawing/2014/main" id="{9EE7CFF6-298C-48CB-A85E-A5B07BE7B4C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3">
          <a:extLst>
            <a:ext uri="{FF2B5EF4-FFF2-40B4-BE49-F238E27FC236}">
              <a16:creationId xmlns:a16="http://schemas.microsoft.com/office/drawing/2014/main" id="{23EC7C5C-5E8E-472C-AC23-B5C6246DBFD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6" name="AutoShape 214">
          <a:extLst>
            <a:ext uri="{FF2B5EF4-FFF2-40B4-BE49-F238E27FC236}">
              <a16:creationId xmlns:a16="http://schemas.microsoft.com/office/drawing/2014/main" id="{7C8FAD5E-2561-4D1A-808E-2B70F0DB606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7" name="Rectangle 215">
          <a:extLst>
            <a:ext uri="{FF2B5EF4-FFF2-40B4-BE49-F238E27FC236}">
              <a16:creationId xmlns:a16="http://schemas.microsoft.com/office/drawing/2014/main" id="{87F5A856-812E-4D8D-8A6D-262B1AC99EC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8" name="Oval 216">
          <a:extLst>
            <a:ext uri="{FF2B5EF4-FFF2-40B4-BE49-F238E27FC236}">
              <a16:creationId xmlns:a16="http://schemas.microsoft.com/office/drawing/2014/main" id="{3AB966AA-CB33-4515-A530-18406BF70E7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7">
          <a:extLst>
            <a:ext uri="{FF2B5EF4-FFF2-40B4-BE49-F238E27FC236}">
              <a16:creationId xmlns:a16="http://schemas.microsoft.com/office/drawing/2014/main" id="{1164AB14-DE17-48C7-8BA7-E718E8DC53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8">
          <a:extLst>
            <a:ext uri="{FF2B5EF4-FFF2-40B4-BE49-F238E27FC236}">
              <a16:creationId xmlns:a16="http://schemas.microsoft.com/office/drawing/2014/main" id="{C2AA6C8B-B93D-4307-8E5C-762D3C2CFE3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9">
          <a:extLst>
            <a:ext uri="{FF2B5EF4-FFF2-40B4-BE49-F238E27FC236}">
              <a16:creationId xmlns:a16="http://schemas.microsoft.com/office/drawing/2014/main" id="{E6A349B2-D289-4DA8-8C35-9982D195446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2" name="AutoShape 220">
          <a:extLst>
            <a:ext uri="{FF2B5EF4-FFF2-40B4-BE49-F238E27FC236}">
              <a16:creationId xmlns:a16="http://schemas.microsoft.com/office/drawing/2014/main" id="{998CE18E-8937-4D2E-80B0-61DEAE5CA65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3" name="Rectangle 221">
          <a:extLst>
            <a:ext uri="{FF2B5EF4-FFF2-40B4-BE49-F238E27FC236}">
              <a16:creationId xmlns:a16="http://schemas.microsoft.com/office/drawing/2014/main" id="{FEE9B5A4-5560-466E-A66A-A475ABF4345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4" name="Oval 222">
          <a:extLst>
            <a:ext uri="{FF2B5EF4-FFF2-40B4-BE49-F238E27FC236}">
              <a16:creationId xmlns:a16="http://schemas.microsoft.com/office/drawing/2014/main" id="{850CDECA-D404-45CB-B833-99C3DE10A49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3">
          <a:extLst>
            <a:ext uri="{FF2B5EF4-FFF2-40B4-BE49-F238E27FC236}">
              <a16:creationId xmlns:a16="http://schemas.microsoft.com/office/drawing/2014/main" id="{4A2E0A8F-63C4-442A-B8F1-574A05BE4C7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4">
          <a:extLst>
            <a:ext uri="{FF2B5EF4-FFF2-40B4-BE49-F238E27FC236}">
              <a16:creationId xmlns:a16="http://schemas.microsoft.com/office/drawing/2014/main" id="{8F8895A2-F30F-47E3-8900-ED047BDB860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5">
          <a:extLst>
            <a:ext uri="{FF2B5EF4-FFF2-40B4-BE49-F238E27FC236}">
              <a16:creationId xmlns:a16="http://schemas.microsoft.com/office/drawing/2014/main" id="{708A8357-D69B-40DD-964A-BE584B10144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8" name="AutoShape 226">
          <a:extLst>
            <a:ext uri="{FF2B5EF4-FFF2-40B4-BE49-F238E27FC236}">
              <a16:creationId xmlns:a16="http://schemas.microsoft.com/office/drawing/2014/main" id="{443C32F5-F601-4915-986A-017F753A69F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9" name="Rectangle 227">
          <a:extLst>
            <a:ext uri="{FF2B5EF4-FFF2-40B4-BE49-F238E27FC236}">
              <a16:creationId xmlns:a16="http://schemas.microsoft.com/office/drawing/2014/main" id="{46FD6DA3-1ABD-4731-B704-140989B4C27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0" name="Oval 228">
          <a:extLst>
            <a:ext uri="{FF2B5EF4-FFF2-40B4-BE49-F238E27FC236}">
              <a16:creationId xmlns:a16="http://schemas.microsoft.com/office/drawing/2014/main" id="{00400E6C-CDAC-4923-B9CF-6944402137E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9">
          <a:extLst>
            <a:ext uri="{FF2B5EF4-FFF2-40B4-BE49-F238E27FC236}">
              <a16:creationId xmlns:a16="http://schemas.microsoft.com/office/drawing/2014/main" id="{D82371B0-98D9-4E11-A1DD-4A3BDCD320D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30">
          <a:extLst>
            <a:ext uri="{FF2B5EF4-FFF2-40B4-BE49-F238E27FC236}">
              <a16:creationId xmlns:a16="http://schemas.microsoft.com/office/drawing/2014/main" id="{3987855E-087E-4712-9C62-877E7B53281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1">
          <a:extLst>
            <a:ext uri="{FF2B5EF4-FFF2-40B4-BE49-F238E27FC236}">
              <a16:creationId xmlns:a16="http://schemas.microsoft.com/office/drawing/2014/main" id="{C6E1E514-26C3-416F-B78D-821317FD326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4" name="AutoShape 232">
          <a:extLst>
            <a:ext uri="{FF2B5EF4-FFF2-40B4-BE49-F238E27FC236}">
              <a16:creationId xmlns:a16="http://schemas.microsoft.com/office/drawing/2014/main" id="{36541993-68A3-4801-B9D3-ED3D06C953F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5" name="Rectangle 233">
          <a:extLst>
            <a:ext uri="{FF2B5EF4-FFF2-40B4-BE49-F238E27FC236}">
              <a16:creationId xmlns:a16="http://schemas.microsoft.com/office/drawing/2014/main" id="{051A227D-088F-4192-BE5D-3370BE10275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6" name="Oval 234">
          <a:extLst>
            <a:ext uri="{FF2B5EF4-FFF2-40B4-BE49-F238E27FC236}">
              <a16:creationId xmlns:a16="http://schemas.microsoft.com/office/drawing/2014/main" id="{94E5498B-EF69-4228-9956-1D32EC85746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5">
          <a:extLst>
            <a:ext uri="{FF2B5EF4-FFF2-40B4-BE49-F238E27FC236}">
              <a16:creationId xmlns:a16="http://schemas.microsoft.com/office/drawing/2014/main" id="{21A97A90-5F18-485D-AA6A-D5DA0F2CED6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6">
          <a:extLst>
            <a:ext uri="{FF2B5EF4-FFF2-40B4-BE49-F238E27FC236}">
              <a16:creationId xmlns:a16="http://schemas.microsoft.com/office/drawing/2014/main" id="{236756A4-7F89-4AB4-ADFD-2A20D6977CE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7">
          <a:extLst>
            <a:ext uri="{FF2B5EF4-FFF2-40B4-BE49-F238E27FC236}">
              <a16:creationId xmlns:a16="http://schemas.microsoft.com/office/drawing/2014/main" id="{27B7BF0D-06E0-446C-A581-8CA89C13BC3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0" name="AutoShape 238">
          <a:extLst>
            <a:ext uri="{FF2B5EF4-FFF2-40B4-BE49-F238E27FC236}">
              <a16:creationId xmlns:a16="http://schemas.microsoft.com/office/drawing/2014/main" id="{8E727874-4184-43A7-95CB-5F846FA93B1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1" name="Rectangle 239">
          <a:extLst>
            <a:ext uri="{FF2B5EF4-FFF2-40B4-BE49-F238E27FC236}">
              <a16:creationId xmlns:a16="http://schemas.microsoft.com/office/drawing/2014/main" id="{DED9F2B5-5B1C-47F5-ADF8-DAF370438D88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2" name="Oval 240">
          <a:extLst>
            <a:ext uri="{FF2B5EF4-FFF2-40B4-BE49-F238E27FC236}">
              <a16:creationId xmlns:a16="http://schemas.microsoft.com/office/drawing/2014/main" id="{E4214BFE-5D45-4C06-85D0-116E0C5341A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1">
          <a:extLst>
            <a:ext uri="{FF2B5EF4-FFF2-40B4-BE49-F238E27FC236}">
              <a16:creationId xmlns:a16="http://schemas.microsoft.com/office/drawing/2014/main" id="{D5941BC8-4BB4-4B36-A027-6C63D6A8B9E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2">
          <a:extLst>
            <a:ext uri="{FF2B5EF4-FFF2-40B4-BE49-F238E27FC236}">
              <a16:creationId xmlns:a16="http://schemas.microsoft.com/office/drawing/2014/main" id="{B0D94B01-F6D8-41E2-9FE1-521FD56B092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3">
          <a:extLst>
            <a:ext uri="{FF2B5EF4-FFF2-40B4-BE49-F238E27FC236}">
              <a16:creationId xmlns:a16="http://schemas.microsoft.com/office/drawing/2014/main" id="{3BF00601-3592-4A4A-A1A9-62F00488AC0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6" name="AutoShape 244">
          <a:extLst>
            <a:ext uri="{FF2B5EF4-FFF2-40B4-BE49-F238E27FC236}">
              <a16:creationId xmlns:a16="http://schemas.microsoft.com/office/drawing/2014/main" id="{9D86DCD4-1628-43AF-B3FA-09D4D5F1D70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7" name="Rectangle 245">
          <a:extLst>
            <a:ext uri="{FF2B5EF4-FFF2-40B4-BE49-F238E27FC236}">
              <a16:creationId xmlns:a16="http://schemas.microsoft.com/office/drawing/2014/main" id="{E1F755E8-A9AB-40A4-80B3-94AB795BC5A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8" name="Oval 246">
          <a:extLst>
            <a:ext uri="{FF2B5EF4-FFF2-40B4-BE49-F238E27FC236}">
              <a16:creationId xmlns:a16="http://schemas.microsoft.com/office/drawing/2014/main" id="{4613257F-136D-4C09-9ACA-6700F188931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7">
          <a:extLst>
            <a:ext uri="{FF2B5EF4-FFF2-40B4-BE49-F238E27FC236}">
              <a16:creationId xmlns:a16="http://schemas.microsoft.com/office/drawing/2014/main" id="{E7D9C5D2-D2AE-4D31-BCDC-BE5E152E63A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8">
          <a:extLst>
            <a:ext uri="{FF2B5EF4-FFF2-40B4-BE49-F238E27FC236}">
              <a16:creationId xmlns:a16="http://schemas.microsoft.com/office/drawing/2014/main" id="{84CFF1EC-571C-4F3A-B0C0-8041AA97E4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9">
          <a:extLst>
            <a:ext uri="{FF2B5EF4-FFF2-40B4-BE49-F238E27FC236}">
              <a16:creationId xmlns:a16="http://schemas.microsoft.com/office/drawing/2014/main" id="{BFB5C863-5D0E-483A-87B2-44F997910E8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2" name="AutoShape 250">
          <a:extLst>
            <a:ext uri="{FF2B5EF4-FFF2-40B4-BE49-F238E27FC236}">
              <a16:creationId xmlns:a16="http://schemas.microsoft.com/office/drawing/2014/main" id="{52E73A41-3A03-4E9B-856E-742DE63BB8A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3" name="Rectangle 251">
          <a:extLst>
            <a:ext uri="{FF2B5EF4-FFF2-40B4-BE49-F238E27FC236}">
              <a16:creationId xmlns:a16="http://schemas.microsoft.com/office/drawing/2014/main" id="{0EDC87B0-395C-4BCC-8982-B7D9CC286E7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4" name="Oval 252">
          <a:extLst>
            <a:ext uri="{FF2B5EF4-FFF2-40B4-BE49-F238E27FC236}">
              <a16:creationId xmlns:a16="http://schemas.microsoft.com/office/drawing/2014/main" id="{E988D451-5763-4C7A-B010-43537FA3348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3">
          <a:extLst>
            <a:ext uri="{FF2B5EF4-FFF2-40B4-BE49-F238E27FC236}">
              <a16:creationId xmlns:a16="http://schemas.microsoft.com/office/drawing/2014/main" id="{983DC590-1452-43FA-B1B2-207D61BC803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4">
          <a:extLst>
            <a:ext uri="{FF2B5EF4-FFF2-40B4-BE49-F238E27FC236}">
              <a16:creationId xmlns:a16="http://schemas.microsoft.com/office/drawing/2014/main" id="{198A8878-AAD1-4089-81BC-5941BC00876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5">
          <a:extLst>
            <a:ext uri="{FF2B5EF4-FFF2-40B4-BE49-F238E27FC236}">
              <a16:creationId xmlns:a16="http://schemas.microsoft.com/office/drawing/2014/main" id="{4B4CD199-C65A-4AF9-8E92-07CCF24E23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8" name="AutoShape 256">
          <a:extLst>
            <a:ext uri="{FF2B5EF4-FFF2-40B4-BE49-F238E27FC236}">
              <a16:creationId xmlns:a16="http://schemas.microsoft.com/office/drawing/2014/main" id="{AEB81EF4-A9F5-4053-82AC-646683BDC46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65593A1F-3001-4A98-820A-1A6D77A818C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0" name="Oval 258">
          <a:extLst>
            <a:ext uri="{FF2B5EF4-FFF2-40B4-BE49-F238E27FC236}">
              <a16:creationId xmlns:a16="http://schemas.microsoft.com/office/drawing/2014/main" id="{078121A2-CA8A-4C67-87C6-F0AACF5ABC1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9">
          <a:extLst>
            <a:ext uri="{FF2B5EF4-FFF2-40B4-BE49-F238E27FC236}">
              <a16:creationId xmlns:a16="http://schemas.microsoft.com/office/drawing/2014/main" id="{B7BD55D6-F8FD-42CA-A954-69E09AB1513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60">
          <a:extLst>
            <a:ext uri="{FF2B5EF4-FFF2-40B4-BE49-F238E27FC236}">
              <a16:creationId xmlns:a16="http://schemas.microsoft.com/office/drawing/2014/main" id="{AFB1D931-723D-4FBC-9534-208C07FD40C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1">
          <a:extLst>
            <a:ext uri="{FF2B5EF4-FFF2-40B4-BE49-F238E27FC236}">
              <a16:creationId xmlns:a16="http://schemas.microsoft.com/office/drawing/2014/main" id="{31D51751-59B0-41BF-8C9A-8411AF17407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4" name="AutoShape 262">
          <a:extLst>
            <a:ext uri="{FF2B5EF4-FFF2-40B4-BE49-F238E27FC236}">
              <a16:creationId xmlns:a16="http://schemas.microsoft.com/office/drawing/2014/main" id="{15DB15B9-A310-43E7-805D-ED7AF18C4AA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5" name="Rectangle 263">
          <a:extLst>
            <a:ext uri="{FF2B5EF4-FFF2-40B4-BE49-F238E27FC236}">
              <a16:creationId xmlns:a16="http://schemas.microsoft.com/office/drawing/2014/main" id="{29056ACB-30EC-48FF-9F84-46BAEC0F706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6" name="Oval 264">
          <a:extLst>
            <a:ext uri="{FF2B5EF4-FFF2-40B4-BE49-F238E27FC236}">
              <a16:creationId xmlns:a16="http://schemas.microsoft.com/office/drawing/2014/main" id="{9CB05BD1-4E0A-4AF2-92C7-29330BECD1D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5">
          <a:extLst>
            <a:ext uri="{FF2B5EF4-FFF2-40B4-BE49-F238E27FC236}">
              <a16:creationId xmlns:a16="http://schemas.microsoft.com/office/drawing/2014/main" id="{711EC585-F591-4936-9E98-185B1319353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6">
          <a:extLst>
            <a:ext uri="{FF2B5EF4-FFF2-40B4-BE49-F238E27FC236}">
              <a16:creationId xmlns:a16="http://schemas.microsoft.com/office/drawing/2014/main" id="{7593E4E0-E865-4195-9D73-A5A8001C37C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7">
          <a:extLst>
            <a:ext uri="{FF2B5EF4-FFF2-40B4-BE49-F238E27FC236}">
              <a16:creationId xmlns:a16="http://schemas.microsoft.com/office/drawing/2014/main" id="{65F942DA-D158-48BE-8653-6A847BCCEDF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0" name="AutoShape 268">
          <a:extLst>
            <a:ext uri="{FF2B5EF4-FFF2-40B4-BE49-F238E27FC236}">
              <a16:creationId xmlns:a16="http://schemas.microsoft.com/office/drawing/2014/main" id="{F33E5BC5-1D62-4B11-A44B-2481A60D361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1" name="Rectangle 269">
          <a:extLst>
            <a:ext uri="{FF2B5EF4-FFF2-40B4-BE49-F238E27FC236}">
              <a16:creationId xmlns:a16="http://schemas.microsoft.com/office/drawing/2014/main" id="{775F7697-591C-4DDE-9E61-EE71EC4DC04E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2" name="Oval 270">
          <a:extLst>
            <a:ext uri="{FF2B5EF4-FFF2-40B4-BE49-F238E27FC236}">
              <a16:creationId xmlns:a16="http://schemas.microsoft.com/office/drawing/2014/main" id="{8C5BCDB2-B80E-465C-B9B1-566A998B7E3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1">
          <a:extLst>
            <a:ext uri="{FF2B5EF4-FFF2-40B4-BE49-F238E27FC236}">
              <a16:creationId xmlns:a16="http://schemas.microsoft.com/office/drawing/2014/main" id="{FE155995-15CD-4247-A0BD-FC33CDCB270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2">
          <a:extLst>
            <a:ext uri="{FF2B5EF4-FFF2-40B4-BE49-F238E27FC236}">
              <a16:creationId xmlns:a16="http://schemas.microsoft.com/office/drawing/2014/main" id="{73EF2B69-9E9A-4DC5-B3EE-DAB5AA9DD6B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3">
          <a:extLst>
            <a:ext uri="{FF2B5EF4-FFF2-40B4-BE49-F238E27FC236}">
              <a16:creationId xmlns:a16="http://schemas.microsoft.com/office/drawing/2014/main" id="{446CC011-A24A-44D4-BCE9-FFDEBC87260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6" name="Rectangle 274">
          <a:extLst>
            <a:ext uri="{FF2B5EF4-FFF2-40B4-BE49-F238E27FC236}">
              <a16:creationId xmlns:a16="http://schemas.microsoft.com/office/drawing/2014/main" id="{162722AC-8E2C-497B-89B6-1B05982DEDE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7" name="Oval 275">
          <a:extLst>
            <a:ext uri="{FF2B5EF4-FFF2-40B4-BE49-F238E27FC236}">
              <a16:creationId xmlns:a16="http://schemas.microsoft.com/office/drawing/2014/main" id="{4CAD1EDD-9042-49BB-98E7-37B93A0D4EE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6">
          <a:extLst>
            <a:ext uri="{FF2B5EF4-FFF2-40B4-BE49-F238E27FC236}">
              <a16:creationId xmlns:a16="http://schemas.microsoft.com/office/drawing/2014/main" id="{EC7A836F-B3AE-4AF0-8672-41C530EBBE6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7">
          <a:extLst>
            <a:ext uri="{FF2B5EF4-FFF2-40B4-BE49-F238E27FC236}">
              <a16:creationId xmlns:a16="http://schemas.microsoft.com/office/drawing/2014/main" id="{D8ABC469-2688-4DF5-B2E9-8B30D610EF5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8">
          <a:extLst>
            <a:ext uri="{FF2B5EF4-FFF2-40B4-BE49-F238E27FC236}">
              <a16:creationId xmlns:a16="http://schemas.microsoft.com/office/drawing/2014/main" id="{AD14AE9C-EB6C-4808-98F8-17F77D6B16F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1" name="Rectangle 279">
          <a:extLst>
            <a:ext uri="{FF2B5EF4-FFF2-40B4-BE49-F238E27FC236}">
              <a16:creationId xmlns:a16="http://schemas.microsoft.com/office/drawing/2014/main" id="{E6127AD2-669D-4301-B321-7AC586D6971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2" name="Oval 280">
          <a:extLst>
            <a:ext uri="{FF2B5EF4-FFF2-40B4-BE49-F238E27FC236}">
              <a16:creationId xmlns:a16="http://schemas.microsoft.com/office/drawing/2014/main" id="{132D6AF8-087E-4217-B34D-EBDB0F4DDA9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1">
          <a:extLst>
            <a:ext uri="{FF2B5EF4-FFF2-40B4-BE49-F238E27FC236}">
              <a16:creationId xmlns:a16="http://schemas.microsoft.com/office/drawing/2014/main" id="{7C50DC41-4EBE-4BFA-B5C6-E5D1BB0FB8A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2">
          <a:extLst>
            <a:ext uri="{FF2B5EF4-FFF2-40B4-BE49-F238E27FC236}">
              <a16:creationId xmlns:a16="http://schemas.microsoft.com/office/drawing/2014/main" id="{60E1804F-3FB8-435F-BAF1-CFD30B842B7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3">
          <a:extLst>
            <a:ext uri="{FF2B5EF4-FFF2-40B4-BE49-F238E27FC236}">
              <a16:creationId xmlns:a16="http://schemas.microsoft.com/office/drawing/2014/main" id="{FD366188-2028-4F32-8F2C-97CA7749A79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6" name="Rectangle 285">
          <a:extLst>
            <a:ext uri="{FF2B5EF4-FFF2-40B4-BE49-F238E27FC236}">
              <a16:creationId xmlns:a16="http://schemas.microsoft.com/office/drawing/2014/main" id="{13E3782C-D686-4032-8B13-B6730642EEC9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7" name="Rectangle 287">
          <a:extLst>
            <a:ext uri="{FF2B5EF4-FFF2-40B4-BE49-F238E27FC236}">
              <a16:creationId xmlns:a16="http://schemas.microsoft.com/office/drawing/2014/main" id="{9A8A8DA6-8E80-4A3A-B297-C73DF1333385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8" name="Rectangle 289">
          <a:extLst>
            <a:ext uri="{FF2B5EF4-FFF2-40B4-BE49-F238E27FC236}">
              <a16:creationId xmlns:a16="http://schemas.microsoft.com/office/drawing/2014/main" id="{8A8EAD5B-EC69-4CF7-95CF-0E701D8C0EA3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199" name="Rectangle 291">
          <a:extLst>
            <a:ext uri="{FF2B5EF4-FFF2-40B4-BE49-F238E27FC236}">
              <a16:creationId xmlns:a16="http://schemas.microsoft.com/office/drawing/2014/main" id="{FDE7037B-FEF8-4990-9AD1-11CDA3371CB2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0" name="Rectangle 293">
          <a:extLst>
            <a:ext uri="{FF2B5EF4-FFF2-40B4-BE49-F238E27FC236}">
              <a16:creationId xmlns:a16="http://schemas.microsoft.com/office/drawing/2014/main" id="{81D76591-ACE2-4934-8AC7-644702D71282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1" name="Rectangle 295">
          <a:extLst>
            <a:ext uri="{FF2B5EF4-FFF2-40B4-BE49-F238E27FC236}">
              <a16:creationId xmlns:a16="http://schemas.microsoft.com/office/drawing/2014/main" id="{FA749BFB-9C99-4C3F-BCD5-78A73D205CAD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2" name="Rectangle 297">
          <a:extLst>
            <a:ext uri="{FF2B5EF4-FFF2-40B4-BE49-F238E27FC236}">
              <a16:creationId xmlns:a16="http://schemas.microsoft.com/office/drawing/2014/main" id="{1A55C5F9-B1E6-43DE-AE17-E49E93A39912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3" name="Rectangle 299">
          <a:extLst>
            <a:ext uri="{FF2B5EF4-FFF2-40B4-BE49-F238E27FC236}">
              <a16:creationId xmlns:a16="http://schemas.microsoft.com/office/drawing/2014/main" id="{258E6B37-BD29-4EBE-AE77-1123C50CF79A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4" name="Rectangle 301">
          <a:extLst>
            <a:ext uri="{FF2B5EF4-FFF2-40B4-BE49-F238E27FC236}">
              <a16:creationId xmlns:a16="http://schemas.microsoft.com/office/drawing/2014/main" id="{B0199282-9AE8-4B8F-A5AE-5E381667A723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5" name="Rectangle 303">
          <a:extLst>
            <a:ext uri="{FF2B5EF4-FFF2-40B4-BE49-F238E27FC236}">
              <a16:creationId xmlns:a16="http://schemas.microsoft.com/office/drawing/2014/main" id="{A6181A39-F04A-4604-9B32-BDB2B378404E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6" name="Rectangle 305">
          <a:extLst>
            <a:ext uri="{FF2B5EF4-FFF2-40B4-BE49-F238E27FC236}">
              <a16:creationId xmlns:a16="http://schemas.microsoft.com/office/drawing/2014/main" id="{57DFD071-5BE6-482F-8ADB-19DFEF3A21A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7" name="Rectangle 307">
          <a:extLst>
            <a:ext uri="{FF2B5EF4-FFF2-40B4-BE49-F238E27FC236}">
              <a16:creationId xmlns:a16="http://schemas.microsoft.com/office/drawing/2014/main" id="{D9CD7E5F-0EFF-45A7-AFCA-D90C910ACD36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5BC9B4C8-007D-4DB2-9801-E5357F1D111E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A4767645-574F-454A-B77D-9758C68E86EE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D95A9EEB-28E0-49A4-9E77-CA43D8DB6AA4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15555389-C249-4950-A0D6-8386E92BEC25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AFD05356-F846-445F-9A8F-7D8A92D7A2FB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7BFB1601-A7E5-4D3A-8DEE-0CEBC27B207A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C9537CA7-DB43-4256-885D-6D41CCDD35CA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12818630-0BD2-4B6C-B643-C3305479FFE3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6A12D089-69DD-4D37-B075-2BCD5F9F8287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8867BF4F-B792-4AF3-A32B-D216CC56252C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8" name="フリーフォーム 322">
          <a:extLst>
            <a:ext uri="{FF2B5EF4-FFF2-40B4-BE49-F238E27FC236}">
              <a16:creationId xmlns:a16="http://schemas.microsoft.com/office/drawing/2014/main" id="{BAF3FB0E-D492-45BB-BD47-D6557569CCD9}"/>
            </a:ext>
          </a:extLst>
        </xdr:cNvPr>
        <xdr:cNvSpPr>
          <a:spLocks noChangeArrowheads="1"/>
        </xdr:cNvSpPr>
      </xdr:nvSpPr>
      <xdr:spPr bwMode="auto">
        <a:xfrm>
          <a:off x="754380" y="9683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19" name="Rectangle 2">
          <a:extLst>
            <a:ext uri="{FF2B5EF4-FFF2-40B4-BE49-F238E27FC236}">
              <a16:creationId xmlns:a16="http://schemas.microsoft.com/office/drawing/2014/main" id="{D07148F1-5965-493E-9464-9AEBEF43BA6B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7B025E41-0FF3-4C5B-B34E-447450B0FA3E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E09EF280-E050-480D-B0E0-598D7E016633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F6EFFDD2-C037-43E9-BF43-A048ECBA868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70C83D2A-EE9E-4185-AEE7-8737D29EACCF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4" name="Rectangle 293">
          <a:extLst>
            <a:ext uri="{FF2B5EF4-FFF2-40B4-BE49-F238E27FC236}">
              <a16:creationId xmlns:a16="http://schemas.microsoft.com/office/drawing/2014/main" id="{088139CC-F3AE-41FD-9FFB-4B7C171DF3E6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7A5004A0-3D15-446E-9C27-0B672759A3CD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6" name="Rectangle 293">
          <a:extLst>
            <a:ext uri="{FF2B5EF4-FFF2-40B4-BE49-F238E27FC236}">
              <a16:creationId xmlns:a16="http://schemas.microsoft.com/office/drawing/2014/main" id="{55192355-3A93-48AE-9103-876EC76064E6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">
          <a:extLst>
            <a:ext uri="{FF2B5EF4-FFF2-40B4-BE49-F238E27FC236}">
              <a16:creationId xmlns:a16="http://schemas.microsoft.com/office/drawing/2014/main" id="{91793410-696C-45AE-AC6C-D406DA2943F6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8" name="Rectangle 293">
          <a:extLst>
            <a:ext uri="{FF2B5EF4-FFF2-40B4-BE49-F238E27FC236}">
              <a16:creationId xmlns:a16="http://schemas.microsoft.com/office/drawing/2014/main" id="{EF0301AB-29FB-40E1-8E61-2C62E3BAD2D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586D1FC4-352C-46BE-89B8-D961D52A9AEA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C33BFAF0-ACBF-4F63-978D-A8CE6EB64B51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C258E32D-5FB6-420B-B824-D5BDBF4C33E9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">
          <a:extLst>
            <a:ext uri="{FF2B5EF4-FFF2-40B4-BE49-F238E27FC236}">
              <a16:creationId xmlns:a16="http://schemas.microsoft.com/office/drawing/2014/main" id="{B4EED71F-59E9-4049-A38E-DADE4736960E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3" name="Rectangle 293">
          <a:extLst>
            <a:ext uri="{FF2B5EF4-FFF2-40B4-BE49-F238E27FC236}">
              <a16:creationId xmlns:a16="http://schemas.microsoft.com/office/drawing/2014/main" id="{F2C74684-0DC9-4D80-97CA-2E4398EF9E32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D8A4004C-8440-413A-B8B6-306F5ECAD3B3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4CDC607D-BCD9-4E31-90DD-6A8528757991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51088D44-DC5D-4E40-93B0-A27993F10E61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A4842140-9F89-433A-836D-032D585B7A79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9591338C-1F89-4378-ABBE-6B7ADA1C1405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39" name="Rectangle 293">
          <a:extLst>
            <a:ext uri="{FF2B5EF4-FFF2-40B4-BE49-F238E27FC236}">
              <a16:creationId xmlns:a16="http://schemas.microsoft.com/office/drawing/2014/main" id="{94D67526-7639-4BE4-99E6-6877FEF0E5A2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">
          <a:extLst>
            <a:ext uri="{FF2B5EF4-FFF2-40B4-BE49-F238E27FC236}">
              <a16:creationId xmlns:a16="http://schemas.microsoft.com/office/drawing/2014/main" id="{A4C6B04C-2042-43A2-9C17-8AA2C1B9D0C8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1" name="Rectangle 285">
          <a:extLst>
            <a:ext uri="{FF2B5EF4-FFF2-40B4-BE49-F238E27FC236}">
              <a16:creationId xmlns:a16="http://schemas.microsoft.com/office/drawing/2014/main" id="{9448C644-55BF-4748-AFED-5652F66C47DA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12B43F8A-D1C1-4B29-80E1-F27A9E7592B6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1C9FC0FF-7A00-4272-AF94-37F8B86D23EB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4" name="Oval 18">
          <a:extLst>
            <a:ext uri="{FF2B5EF4-FFF2-40B4-BE49-F238E27FC236}">
              <a16:creationId xmlns:a16="http://schemas.microsoft.com/office/drawing/2014/main" id="{E68666C3-C3D6-490F-BFF5-A72C6E41CE51}"/>
            </a:ext>
          </a:extLst>
        </xdr:cNvPr>
        <xdr:cNvSpPr>
          <a:spLocks noChangeArrowheads="1"/>
        </xdr:cNvSpPr>
      </xdr:nvSpPr>
      <xdr:spPr bwMode="auto">
        <a:xfrm>
          <a:off x="160020" y="89325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5" name="Oval 51">
          <a:extLst>
            <a:ext uri="{FF2B5EF4-FFF2-40B4-BE49-F238E27FC236}">
              <a16:creationId xmlns:a16="http://schemas.microsoft.com/office/drawing/2014/main" id="{7AE0565C-1AEB-4739-A5B4-0532FF383F0B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246" name="Oval 18">
          <a:extLst>
            <a:ext uri="{FF2B5EF4-FFF2-40B4-BE49-F238E27FC236}">
              <a16:creationId xmlns:a16="http://schemas.microsoft.com/office/drawing/2014/main" id="{B0A1AC22-3076-4E10-AE7D-50A294F643BF}"/>
            </a:ext>
          </a:extLst>
        </xdr:cNvPr>
        <xdr:cNvSpPr>
          <a:spLocks noChangeArrowheads="1"/>
        </xdr:cNvSpPr>
      </xdr:nvSpPr>
      <xdr:spPr bwMode="auto">
        <a:xfrm>
          <a:off x="160020" y="96183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162325</xdr:colOff>
      <xdr:row>12</xdr:row>
      <xdr:rowOff>3182</xdr:rowOff>
    </xdr:from>
    <xdr:to>
      <xdr:col>8</xdr:col>
      <xdr:colOff>5013</xdr:colOff>
      <xdr:row>12</xdr:row>
      <xdr:rowOff>10026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C8FF8277-65FA-4677-B5C7-7B5F8DF82A08}"/>
            </a:ext>
          </a:extLst>
        </xdr:cNvPr>
        <xdr:cNvCxnSpPr/>
      </xdr:nvCxnSpPr>
      <xdr:spPr bwMode="auto">
        <a:xfrm>
          <a:off x="1009549" y="1552248"/>
          <a:ext cx="745056" cy="684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154781</xdr:colOff>
      <xdr:row>20</xdr:row>
      <xdr:rowOff>0</xdr:rowOff>
    </xdr:from>
    <xdr:to>
      <xdr:col>10</xdr:col>
      <xdr:colOff>155408</xdr:colOff>
      <xdr:row>20</xdr:row>
      <xdr:rowOff>2142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AB23EB4B-42E0-4EFF-A2E3-26173157138A}"/>
            </a:ext>
          </a:extLst>
        </xdr:cNvPr>
        <xdr:cNvCxnSpPr/>
      </xdr:nvCxnSpPr>
      <xdr:spPr bwMode="auto">
        <a:xfrm flipV="1">
          <a:off x="1002005" y="2240882"/>
          <a:ext cx="1263942" cy="214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15477</xdr:colOff>
      <xdr:row>28</xdr:row>
      <xdr:rowOff>10027</xdr:rowOff>
    </xdr:from>
    <xdr:to>
      <xdr:col>14</xdr:col>
      <xdr:colOff>105277</xdr:colOff>
      <xdr:row>28</xdr:row>
      <xdr:rowOff>15478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64B3E82F-C59C-4948-9D26-C898EA97ABEA}"/>
            </a:ext>
          </a:extLst>
        </xdr:cNvPr>
        <xdr:cNvCxnSpPr/>
      </xdr:nvCxnSpPr>
      <xdr:spPr bwMode="auto">
        <a:xfrm flipV="1">
          <a:off x="1043174" y="2942724"/>
          <a:ext cx="1894537" cy="545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</xdr:colOff>
      <xdr:row>36</xdr:row>
      <xdr:rowOff>6918</xdr:rowOff>
    </xdr:from>
    <xdr:to>
      <xdr:col>8</xdr:col>
      <xdr:colOff>138112</xdr:colOff>
      <xdr:row>36</xdr:row>
      <xdr:rowOff>14288</xdr:rowOff>
    </xdr:to>
    <xdr:cxnSp macro="">
      <xdr:nvCxnSpPr>
        <xdr:cNvPr id="254" name="直線コネクタ 253">
          <a:extLst>
            <a:ext uri="{FF2B5EF4-FFF2-40B4-BE49-F238E27FC236}">
              <a16:creationId xmlns:a16="http://schemas.microsoft.com/office/drawing/2014/main" id="{08FE0EA5-532F-40D0-8759-F96F8DC904CF}"/>
            </a:ext>
          </a:extLst>
        </xdr:cNvPr>
        <xdr:cNvCxnSpPr/>
      </xdr:nvCxnSpPr>
      <xdr:spPr bwMode="auto">
        <a:xfrm>
          <a:off x="1033464" y="3616893"/>
          <a:ext cx="862011" cy="737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171650</xdr:colOff>
      <xdr:row>44</xdr:row>
      <xdr:rowOff>6918</xdr:rowOff>
    </xdr:from>
    <xdr:to>
      <xdr:col>13</xdr:col>
      <xdr:colOff>10026</xdr:colOff>
      <xdr:row>44</xdr:row>
      <xdr:rowOff>10026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58891040-4725-470C-8513-26B2EE994C44}"/>
            </a:ext>
          </a:extLst>
        </xdr:cNvPr>
        <xdr:cNvCxnSpPr/>
      </xdr:nvCxnSpPr>
      <xdr:spPr bwMode="auto">
        <a:xfrm>
          <a:off x="1018874" y="4323247"/>
          <a:ext cx="1643113" cy="310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51</xdr:row>
      <xdr:rowOff>40105</xdr:rowOff>
    </xdr:from>
    <xdr:to>
      <xdr:col>12</xdr:col>
      <xdr:colOff>5013</xdr:colOff>
      <xdr:row>52</xdr:row>
      <xdr:rowOff>0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A31D3E29-9CAA-49DE-8606-98FCCDA568F2}"/>
            </a:ext>
          </a:extLst>
        </xdr:cNvPr>
        <xdr:cNvCxnSpPr/>
      </xdr:nvCxnSpPr>
      <xdr:spPr bwMode="auto">
        <a:xfrm>
          <a:off x="1020779" y="5008144"/>
          <a:ext cx="1455721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176865</xdr:colOff>
      <xdr:row>59</xdr:row>
      <xdr:rowOff>33689</xdr:rowOff>
    </xdr:from>
    <xdr:to>
      <xdr:col>11</xdr:col>
      <xdr:colOff>21257</xdr:colOff>
      <xdr:row>60</xdr:row>
      <xdr:rowOff>3108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FD596EFE-1E39-4233-924D-45B5066A02C6}"/>
            </a:ext>
          </a:extLst>
        </xdr:cNvPr>
        <xdr:cNvCxnSpPr/>
      </xdr:nvCxnSpPr>
      <xdr:spPr bwMode="auto">
        <a:xfrm>
          <a:off x="1024089" y="5693544"/>
          <a:ext cx="1288181" cy="952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155407</xdr:colOff>
      <xdr:row>67</xdr:row>
      <xdr:rowOff>35092</xdr:rowOff>
    </xdr:from>
    <xdr:to>
      <xdr:col>10</xdr:col>
      <xdr:colOff>165435</xdr:colOff>
      <xdr:row>67</xdr:row>
      <xdr:rowOff>40105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CCADEBE8-35CC-4FC2-8539-71C2C1C7B693}"/>
            </a:ext>
          </a:extLst>
        </xdr:cNvPr>
        <xdr:cNvCxnSpPr/>
      </xdr:nvCxnSpPr>
      <xdr:spPr bwMode="auto">
        <a:xfrm>
          <a:off x="1002631" y="6386763"/>
          <a:ext cx="1273343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167840</xdr:colOff>
      <xdr:row>76</xdr:row>
      <xdr:rowOff>0</xdr:rowOff>
    </xdr:from>
    <xdr:to>
      <xdr:col>8</xdr:col>
      <xdr:colOff>52387</xdr:colOff>
      <xdr:row>76</xdr:row>
      <xdr:rowOff>4763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80D030B8-AAC7-4B3F-A13F-6CA3C7EB24AC}"/>
            </a:ext>
          </a:extLst>
        </xdr:cNvPr>
        <xdr:cNvCxnSpPr/>
      </xdr:nvCxnSpPr>
      <xdr:spPr bwMode="auto">
        <a:xfrm>
          <a:off x="1020328" y="7038975"/>
          <a:ext cx="789422" cy="476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8824</xdr:colOff>
      <xdr:row>83</xdr:row>
      <xdr:rowOff>35092</xdr:rowOff>
    </xdr:from>
    <xdr:to>
      <xdr:col>12</xdr:col>
      <xdr:colOff>0</xdr:colOff>
      <xdr:row>84</xdr:row>
      <xdr:rowOff>0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494D0E25-3F54-4F68-A5F5-E54A935A8762}"/>
            </a:ext>
          </a:extLst>
        </xdr:cNvPr>
        <xdr:cNvCxnSpPr/>
      </xdr:nvCxnSpPr>
      <xdr:spPr bwMode="auto">
        <a:xfrm>
          <a:off x="1036521" y="7770395"/>
          <a:ext cx="1434966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171650</xdr:colOff>
      <xdr:row>92</xdr:row>
      <xdr:rowOff>10728</xdr:rowOff>
    </xdr:from>
    <xdr:to>
      <xdr:col>7</xdr:col>
      <xdr:colOff>50132</xdr:colOff>
      <xdr:row>92</xdr:row>
      <xdr:rowOff>15039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D004120C-CE86-4423-BF0A-5FD359B4E78A}"/>
            </a:ext>
          </a:extLst>
        </xdr:cNvPr>
        <xdr:cNvCxnSpPr/>
      </xdr:nvCxnSpPr>
      <xdr:spPr bwMode="auto">
        <a:xfrm>
          <a:off x="1018874" y="8477952"/>
          <a:ext cx="600376" cy="431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169744</xdr:colOff>
      <xdr:row>100</xdr:row>
      <xdr:rowOff>10027</xdr:rowOff>
    </xdr:from>
    <xdr:to>
      <xdr:col>11</xdr:col>
      <xdr:colOff>110290</xdr:colOff>
      <xdr:row>100</xdr:row>
      <xdr:rowOff>10728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E39C3F0B-CF64-4724-BF13-2C422464650B}"/>
            </a:ext>
          </a:extLst>
        </xdr:cNvPr>
        <xdr:cNvCxnSpPr/>
      </xdr:nvCxnSpPr>
      <xdr:spPr bwMode="auto">
        <a:xfrm flipV="1">
          <a:off x="1016968" y="9169066"/>
          <a:ext cx="1384335" cy="70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168542</xdr:colOff>
      <xdr:row>107</xdr:row>
      <xdr:rowOff>35092</xdr:rowOff>
    </xdr:from>
    <xdr:to>
      <xdr:col>12</xdr:col>
      <xdr:colOff>50131</xdr:colOff>
      <xdr:row>108</xdr:row>
      <xdr:rowOff>10027</xdr:rowOff>
    </xdr:to>
    <xdr:cxnSp macro="">
      <xdr:nvCxnSpPr>
        <xdr:cNvPr id="271" name="直線コネクタ 270">
          <a:extLst>
            <a:ext uri="{FF2B5EF4-FFF2-40B4-BE49-F238E27FC236}">
              <a16:creationId xmlns:a16="http://schemas.microsoft.com/office/drawing/2014/main" id="{C434E5A1-6618-4F6A-B68F-5DFC8129B3B9}"/>
            </a:ext>
          </a:extLst>
        </xdr:cNvPr>
        <xdr:cNvCxnSpPr/>
      </xdr:nvCxnSpPr>
      <xdr:spPr bwMode="auto">
        <a:xfrm>
          <a:off x="1015766" y="9845842"/>
          <a:ext cx="1505852" cy="1504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40105</xdr:colOff>
      <xdr:row>109</xdr:row>
      <xdr:rowOff>25065</xdr:rowOff>
    </xdr:from>
    <xdr:to>
      <xdr:col>16</xdr:col>
      <xdr:colOff>1253</xdr:colOff>
      <xdr:row>109</xdr:row>
      <xdr:rowOff>27886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E23DAC61-A9CA-4470-90BA-842CCB04D39A}"/>
            </a:ext>
          </a:extLst>
        </xdr:cNvPr>
        <xdr:cNvCxnSpPr/>
      </xdr:nvCxnSpPr>
      <xdr:spPr bwMode="auto">
        <a:xfrm>
          <a:off x="2511592" y="9916026"/>
          <a:ext cx="683043" cy="282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D82EFC2F-37B7-47E1-9C49-09C26EC3AB02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7BE52CA7-156A-4CDA-90BB-5246D8F01618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33F780B4-DC9B-421F-B0F3-E3593BBF6239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D854DDD7-9BBD-4795-B48C-62947A9B9770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3C8EFA33-6096-4CD7-BB42-BD9460BFF08F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A5421643-3B90-48DA-B3C1-96152844A397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6A8203EC-6612-4A0B-9FD2-8C6022FDEB79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3EF97C5F-0B5B-4195-BDF1-3CCBADE44842}"/>
            </a:ext>
          </a:extLst>
        </xdr:cNvPr>
        <xdr:cNvSpPr>
          <a:spLocks noChangeArrowheads="1"/>
        </xdr:cNvSpPr>
      </xdr:nvSpPr>
      <xdr:spPr bwMode="auto">
        <a:xfrm>
          <a:off x="681990" y="97059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0" name="Oval 30">
          <a:extLst>
            <a:ext uri="{FF2B5EF4-FFF2-40B4-BE49-F238E27FC236}">
              <a16:creationId xmlns:a16="http://schemas.microsoft.com/office/drawing/2014/main" id="{8B817B5D-C3C5-4179-934D-EFBAEB758111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1" name="Oval 34">
          <a:extLst>
            <a:ext uri="{FF2B5EF4-FFF2-40B4-BE49-F238E27FC236}">
              <a16:creationId xmlns:a16="http://schemas.microsoft.com/office/drawing/2014/main" id="{428EA82F-706B-460E-8441-81D744BB4348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2" name="Oval 51">
          <a:extLst>
            <a:ext uri="{FF2B5EF4-FFF2-40B4-BE49-F238E27FC236}">
              <a16:creationId xmlns:a16="http://schemas.microsoft.com/office/drawing/2014/main" id="{4BB9E89A-8D4E-4927-9494-560111658659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CE876A5B-29A6-46BE-8F5B-41A33C160861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" name="AutoShape 102">
          <a:extLst>
            <a:ext uri="{FF2B5EF4-FFF2-40B4-BE49-F238E27FC236}">
              <a16:creationId xmlns:a16="http://schemas.microsoft.com/office/drawing/2014/main" id="{2C4601E5-C649-464A-A5D8-60346717B51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19A09994-04B0-44A3-B15C-5155D098AFD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" name="Oval 104">
          <a:extLst>
            <a:ext uri="{FF2B5EF4-FFF2-40B4-BE49-F238E27FC236}">
              <a16:creationId xmlns:a16="http://schemas.microsoft.com/office/drawing/2014/main" id="{52EAF70A-60E1-4412-9336-1B3ED96511A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" name="AutoShape 105">
          <a:extLst>
            <a:ext uri="{FF2B5EF4-FFF2-40B4-BE49-F238E27FC236}">
              <a16:creationId xmlns:a16="http://schemas.microsoft.com/office/drawing/2014/main" id="{030ABCCB-296B-4533-9F16-6EA79BD83F2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FBA6D0F7-31A5-4738-A86B-23118DC0FB0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" name="Oval 107">
          <a:extLst>
            <a:ext uri="{FF2B5EF4-FFF2-40B4-BE49-F238E27FC236}">
              <a16:creationId xmlns:a16="http://schemas.microsoft.com/office/drawing/2014/main" id="{C041A965-F2CA-4A0E-814D-FCCC46A6B4C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DCD5C0D2-B47E-44F3-BA5A-F8CA71FD954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1" name="Rectangle 109">
          <a:extLst>
            <a:ext uri="{FF2B5EF4-FFF2-40B4-BE49-F238E27FC236}">
              <a16:creationId xmlns:a16="http://schemas.microsoft.com/office/drawing/2014/main" id="{40B5B0CB-4425-4A2F-9E9F-C24D94F9993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2" name="Oval 110">
          <a:extLst>
            <a:ext uri="{FF2B5EF4-FFF2-40B4-BE49-F238E27FC236}">
              <a16:creationId xmlns:a16="http://schemas.microsoft.com/office/drawing/2014/main" id="{0D3EEBC5-4BBB-4CFD-B753-FC53E1B3BEA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3" name="AutoShape 111">
          <a:extLst>
            <a:ext uri="{FF2B5EF4-FFF2-40B4-BE49-F238E27FC236}">
              <a16:creationId xmlns:a16="http://schemas.microsoft.com/office/drawing/2014/main" id="{D511EB07-1ACA-4A96-B493-214EB0A73B4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4" name="Rectangle 112">
          <a:extLst>
            <a:ext uri="{FF2B5EF4-FFF2-40B4-BE49-F238E27FC236}">
              <a16:creationId xmlns:a16="http://schemas.microsoft.com/office/drawing/2014/main" id="{C0CDE564-A207-471C-AA2B-563CC3439DF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08E91951-89BC-4AF6-AA4E-BB355084C24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6" name="AutoShape 114">
          <a:extLst>
            <a:ext uri="{FF2B5EF4-FFF2-40B4-BE49-F238E27FC236}">
              <a16:creationId xmlns:a16="http://schemas.microsoft.com/office/drawing/2014/main" id="{569E8108-F973-4354-8866-C6790DEF410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7" name="Rectangle 115">
          <a:extLst>
            <a:ext uri="{FF2B5EF4-FFF2-40B4-BE49-F238E27FC236}">
              <a16:creationId xmlns:a16="http://schemas.microsoft.com/office/drawing/2014/main" id="{197B193B-9826-43E2-9D1E-E17B4E5C261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8" name="Oval 116">
          <a:extLst>
            <a:ext uri="{FF2B5EF4-FFF2-40B4-BE49-F238E27FC236}">
              <a16:creationId xmlns:a16="http://schemas.microsoft.com/office/drawing/2014/main" id="{BAECA142-4578-4574-AE8D-A7D0CC601C9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9" name="AutoShape 117">
          <a:extLst>
            <a:ext uri="{FF2B5EF4-FFF2-40B4-BE49-F238E27FC236}">
              <a16:creationId xmlns:a16="http://schemas.microsoft.com/office/drawing/2014/main" id="{2FD947CC-18C6-47F4-93BB-3D75FDEA4B7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0" name="Rectangle 118">
          <a:extLst>
            <a:ext uri="{FF2B5EF4-FFF2-40B4-BE49-F238E27FC236}">
              <a16:creationId xmlns:a16="http://schemas.microsoft.com/office/drawing/2014/main" id="{1797770B-5F7B-4EC0-ABD0-16A3A489F89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1" name="Oval 119">
          <a:extLst>
            <a:ext uri="{FF2B5EF4-FFF2-40B4-BE49-F238E27FC236}">
              <a16:creationId xmlns:a16="http://schemas.microsoft.com/office/drawing/2014/main" id="{BBF3F527-31A2-4469-8345-9CFCBEC940F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2" name="AutoShape 120">
          <a:extLst>
            <a:ext uri="{FF2B5EF4-FFF2-40B4-BE49-F238E27FC236}">
              <a16:creationId xmlns:a16="http://schemas.microsoft.com/office/drawing/2014/main" id="{29764251-970E-4EA4-B9F8-D2A205BDA1A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" name="Rectangle 121">
          <a:extLst>
            <a:ext uri="{FF2B5EF4-FFF2-40B4-BE49-F238E27FC236}">
              <a16:creationId xmlns:a16="http://schemas.microsoft.com/office/drawing/2014/main" id="{E5AA4197-7369-41E4-A2AD-BDCD5544C98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" name="Oval 122">
          <a:extLst>
            <a:ext uri="{FF2B5EF4-FFF2-40B4-BE49-F238E27FC236}">
              <a16:creationId xmlns:a16="http://schemas.microsoft.com/office/drawing/2014/main" id="{2FEB6CAF-1DA5-42D6-B272-6FA571F80A9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" name="AutoShape 123">
          <a:extLst>
            <a:ext uri="{FF2B5EF4-FFF2-40B4-BE49-F238E27FC236}">
              <a16:creationId xmlns:a16="http://schemas.microsoft.com/office/drawing/2014/main" id="{2486DCC3-AFB3-4BE2-B625-1DF573BFF47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6" name="Rectangle 124">
          <a:extLst>
            <a:ext uri="{FF2B5EF4-FFF2-40B4-BE49-F238E27FC236}">
              <a16:creationId xmlns:a16="http://schemas.microsoft.com/office/drawing/2014/main" id="{DAB79CC7-2FD6-4197-97B3-246D8FCB38E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7" name="Oval 125">
          <a:extLst>
            <a:ext uri="{FF2B5EF4-FFF2-40B4-BE49-F238E27FC236}">
              <a16:creationId xmlns:a16="http://schemas.microsoft.com/office/drawing/2014/main" id="{934C1A7C-6653-4B17-9B4C-6C8FCAD0FC6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8" name="AutoShape 126">
          <a:extLst>
            <a:ext uri="{FF2B5EF4-FFF2-40B4-BE49-F238E27FC236}">
              <a16:creationId xmlns:a16="http://schemas.microsoft.com/office/drawing/2014/main" id="{236EEB18-A396-4183-98D0-9697E343539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9" name="Rectangle 127">
          <a:extLst>
            <a:ext uri="{FF2B5EF4-FFF2-40B4-BE49-F238E27FC236}">
              <a16:creationId xmlns:a16="http://schemas.microsoft.com/office/drawing/2014/main" id="{25C76A52-5600-49F5-88BB-191DCD94C0B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0" name="Oval 128">
          <a:extLst>
            <a:ext uri="{FF2B5EF4-FFF2-40B4-BE49-F238E27FC236}">
              <a16:creationId xmlns:a16="http://schemas.microsoft.com/office/drawing/2014/main" id="{D3E3E238-A6EE-45A9-843E-24EA78074E2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1" name="AutoShape 129">
          <a:extLst>
            <a:ext uri="{FF2B5EF4-FFF2-40B4-BE49-F238E27FC236}">
              <a16:creationId xmlns:a16="http://schemas.microsoft.com/office/drawing/2014/main" id="{5879D8C2-44F0-4DF6-A5DC-9964E76777F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2" name="Rectangle 130">
          <a:extLst>
            <a:ext uri="{FF2B5EF4-FFF2-40B4-BE49-F238E27FC236}">
              <a16:creationId xmlns:a16="http://schemas.microsoft.com/office/drawing/2014/main" id="{8165EEC5-81B5-4417-9512-A1066FDAC50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3" name="Oval 131">
          <a:extLst>
            <a:ext uri="{FF2B5EF4-FFF2-40B4-BE49-F238E27FC236}">
              <a16:creationId xmlns:a16="http://schemas.microsoft.com/office/drawing/2014/main" id="{82930219-2C71-449D-8643-94267126C94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4" name="AutoShape 132">
          <a:extLst>
            <a:ext uri="{FF2B5EF4-FFF2-40B4-BE49-F238E27FC236}">
              <a16:creationId xmlns:a16="http://schemas.microsoft.com/office/drawing/2014/main" id="{B2CA1B7C-B86F-4904-878B-0C45E5FBD69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5" name="Rectangle 133">
          <a:extLst>
            <a:ext uri="{FF2B5EF4-FFF2-40B4-BE49-F238E27FC236}">
              <a16:creationId xmlns:a16="http://schemas.microsoft.com/office/drawing/2014/main" id="{55FF2305-0E7D-486B-BDC7-08B0126DA64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6" name="Oval 134">
          <a:extLst>
            <a:ext uri="{FF2B5EF4-FFF2-40B4-BE49-F238E27FC236}">
              <a16:creationId xmlns:a16="http://schemas.microsoft.com/office/drawing/2014/main" id="{1244FB52-2589-43F2-A8AD-2CAEE9CC2D4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7" name="AutoShape 135">
          <a:extLst>
            <a:ext uri="{FF2B5EF4-FFF2-40B4-BE49-F238E27FC236}">
              <a16:creationId xmlns:a16="http://schemas.microsoft.com/office/drawing/2014/main" id="{71227B29-1634-4832-B32E-2A3CBE793AD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8" name="Rectangle 136">
          <a:extLst>
            <a:ext uri="{FF2B5EF4-FFF2-40B4-BE49-F238E27FC236}">
              <a16:creationId xmlns:a16="http://schemas.microsoft.com/office/drawing/2014/main" id="{6BD6FCFD-DE78-4D47-B5E6-48919C3E1AE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9" name="Oval 137">
          <a:extLst>
            <a:ext uri="{FF2B5EF4-FFF2-40B4-BE49-F238E27FC236}">
              <a16:creationId xmlns:a16="http://schemas.microsoft.com/office/drawing/2014/main" id="{0D9D3600-789A-4FC4-9F99-357B264FBBF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0" name="AutoShape 138">
          <a:extLst>
            <a:ext uri="{FF2B5EF4-FFF2-40B4-BE49-F238E27FC236}">
              <a16:creationId xmlns:a16="http://schemas.microsoft.com/office/drawing/2014/main" id="{4956D46B-E06F-4C69-9717-27808C741F1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1" name="Rectangle 139">
          <a:extLst>
            <a:ext uri="{FF2B5EF4-FFF2-40B4-BE49-F238E27FC236}">
              <a16:creationId xmlns:a16="http://schemas.microsoft.com/office/drawing/2014/main" id="{3AD0D645-2F36-4BEF-B0FA-47928978ABF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2" name="Oval 140">
          <a:extLst>
            <a:ext uri="{FF2B5EF4-FFF2-40B4-BE49-F238E27FC236}">
              <a16:creationId xmlns:a16="http://schemas.microsoft.com/office/drawing/2014/main" id="{435DCB2D-5250-47B2-82BC-6BA8E482B8A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3" name="Rectangle 141">
          <a:extLst>
            <a:ext uri="{FF2B5EF4-FFF2-40B4-BE49-F238E27FC236}">
              <a16:creationId xmlns:a16="http://schemas.microsoft.com/office/drawing/2014/main" id="{3D710350-2A0C-48E5-9E89-4205D4C84ACE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4" name="AutoShape 142">
          <a:extLst>
            <a:ext uri="{FF2B5EF4-FFF2-40B4-BE49-F238E27FC236}">
              <a16:creationId xmlns:a16="http://schemas.microsoft.com/office/drawing/2014/main" id="{D8AE81E9-EDE7-4AD2-9C73-7814D462DDA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35C01562-A220-496B-97D3-FEFBDBF5DB5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6" name="Oval 144">
          <a:extLst>
            <a:ext uri="{FF2B5EF4-FFF2-40B4-BE49-F238E27FC236}">
              <a16:creationId xmlns:a16="http://schemas.microsoft.com/office/drawing/2014/main" id="{D8876C11-E2CE-4BEB-8963-09F1F4D6233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7" name="AutoShape 145">
          <a:extLst>
            <a:ext uri="{FF2B5EF4-FFF2-40B4-BE49-F238E27FC236}">
              <a16:creationId xmlns:a16="http://schemas.microsoft.com/office/drawing/2014/main" id="{DBC0F8F3-3C31-48AD-9430-A44E05BEB74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8" name="Rectangle 146">
          <a:extLst>
            <a:ext uri="{FF2B5EF4-FFF2-40B4-BE49-F238E27FC236}">
              <a16:creationId xmlns:a16="http://schemas.microsoft.com/office/drawing/2014/main" id="{69EEF098-034B-4FD3-8B71-A2DAD8BB479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9" name="Oval 147">
          <a:extLst>
            <a:ext uri="{FF2B5EF4-FFF2-40B4-BE49-F238E27FC236}">
              <a16:creationId xmlns:a16="http://schemas.microsoft.com/office/drawing/2014/main" id="{9524AA4E-E97F-4ABE-8A7D-262B2AC43C3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0" name="AutoShape 148">
          <a:extLst>
            <a:ext uri="{FF2B5EF4-FFF2-40B4-BE49-F238E27FC236}">
              <a16:creationId xmlns:a16="http://schemas.microsoft.com/office/drawing/2014/main" id="{6B4A55C4-B719-48D6-97CA-561C4C9072A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1" name="Rectangle 149">
          <a:extLst>
            <a:ext uri="{FF2B5EF4-FFF2-40B4-BE49-F238E27FC236}">
              <a16:creationId xmlns:a16="http://schemas.microsoft.com/office/drawing/2014/main" id="{80E81DA8-3BC4-428B-A702-2EE7F5195EB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2" name="Oval 150">
          <a:extLst>
            <a:ext uri="{FF2B5EF4-FFF2-40B4-BE49-F238E27FC236}">
              <a16:creationId xmlns:a16="http://schemas.microsoft.com/office/drawing/2014/main" id="{4DF1B70C-0ED9-46C3-B2EA-ED95E92AD71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1">
          <a:extLst>
            <a:ext uri="{FF2B5EF4-FFF2-40B4-BE49-F238E27FC236}">
              <a16:creationId xmlns:a16="http://schemas.microsoft.com/office/drawing/2014/main" id="{3C439297-2611-42A9-A94D-65049B278C9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2">
          <a:extLst>
            <a:ext uri="{FF2B5EF4-FFF2-40B4-BE49-F238E27FC236}">
              <a16:creationId xmlns:a16="http://schemas.microsoft.com/office/drawing/2014/main" id="{D13F54C1-449E-4850-80E5-2D44217A740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3">
          <a:extLst>
            <a:ext uri="{FF2B5EF4-FFF2-40B4-BE49-F238E27FC236}">
              <a16:creationId xmlns:a16="http://schemas.microsoft.com/office/drawing/2014/main" id="{73F0E5AC-1799-4919-8C43-16AFCFBF05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6" name="AutoShape 154">
          <a:extLst>
            <a:ext uri="{FF2B5EF4-FFF2-40B4-BE49-F238E27FC236}">
              <a16:creationId xmlns:a16="http://schemas.microsoft.com/office/drawing/2014/main" id="{D7E4848F-7CC0-42BF-AFE1-F28C199B064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7" name="Rectangle 155">
          <a:extLst>
            <a:ext uri="{FF2B5EF4-FFF2-40B4-BE49-F238E27FC236}">
              <a16:creationId xmlns:a16="http://schemas.microsoft.com/office/drawing/2014/main" id="{A9529133-CD6F-4329-A529-D4D6C4F5624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8" name="Oval 156">
          <a:extLst>
            <a:ext uri="{FF2B5EF4-FFF2-40B4-BE49-F238E27FC236}">
              <a16:creationId xmlns:a16="http://schemas.microsoft.com/office/drawing/2014/main" id="{CE01DF88-7593-48FD-98A7-AB868421EAE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7">
          <a:extLst>
            <a:ext uri="{FF2B5EF4-FFF2-40B4-BE49-F238E27FC236}">
              <a16:creationId xmlns:a16="http://schemas.microsoft.com/office/drawing/2014/main" id="{B64E3EFE-5274-4D3D-82E7-AFF93453675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8">
          <a:extLst>
            <a:ext uri="{FF2B5EF4-FFF2-40B4-BE49-F238E27FC236}">
              <a16:creationId xmlns:a16="http://schemas.microsoft.com/office/drawing/2014/main" id="{5664BC42-37C8-4228-AFCC-080561A9913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9">
          <a:extLst>
            <a:ext uri="{FF2B5EF4-FFF2-40B4-BE49-F238E27FC236}">
              <a16:creationId xmlns:a16="http://schemas.microsoft.com/office/drawing/2014/main" id="{C57D5A18-0956-4BA0-B088-C61931018E3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2" name="AutoShape 160">
          <a:extLst>
            <a:ext uri="{FF2B5EF4-FFF2-40B4-BE49-F238E27FC236}">
              <a16:creationId xmlns:a16="http://schemas.microsoft.com/office/drawing/2014/main" id="{A4765E58-2AE2-42F9-A358-3DBD629FF91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3" name="Rectangle 161">
          <a:extLst>
            <a:ext uri="{FF2B5EF4-FFF2-40B4-BE49-F238E27FC236}">
              <a16:creationId xmlns:a16="http://schemas.microsoft.com/office/drawing/2014/main" id="{7412F706-A2F6-46C3-B0C5-C4CDCAEAEE2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4" name="Oval 162">
          <a:extLst>
            <a:ext uri="{FF2B5EF4-FFF2-40B4-BE49-F238E27FC236}">
              <a16:creationId xmlns:a16="http://schemas.microsoft.com/office/drawing/2014/main" id="{7DB8C944-8782-487D-BF48-161E0E260D4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3">
          <a:extLst>
            <a:ext uri="{FF2B5EF4-FFF2-40B4-BE49-F238E27FC236}">
              <a16:creationId xmlns:a16="http://schemas.microsoft.com/office/drawing/2014/main" id="{96736103-7840-4713-B52E-10A4DB71B42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4">
          <a:extLst>
            <a:ext uri="{FF2B5EF4-FFF2-40B4-BE49-F238E27FC236}">
              <a16:creationId xmlns:a16="http://schemas.microsoft.com/office/drawing/2014/main" id="{A7367A29-DEE5-47B2-A367-EE7767DBB06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5">
          <a:extLst>
            <a:ext uri="{FF2B5EF4-FFF2-40B4-BE49-F238E27FC236}">
              <a16:creationId xmlns:a16="http://schemas.microsoft.com/office/drawing/2014/main" id="{7F2FB16D-4630-482D-BC12-F33D5B281BC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8" name="AutoShape 166">
          <a:extLst>
            <a:ext uri="{FF2B5EF4-FFF2-40B4-BE49-F238E27FC236}">
              <a16:creationId xmlns:a16="http://schemas.microsoft.com/office/drawing/2014/main" id="{643D6952-ED7E-4B03-80DB-2571ABAA81E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86041929-BC29-497A-BC1A-289DDB4A013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0" name="Oval 168">
          <a:extLst>
            <a:ext uri="{FF2B5EF4-FFF2-40B4-BE49-F238E27FC236}">
              <a16:creationId xmlns:a16="http://schemas.microsoft.com/office/drawing/2014/main" id="{3DB5AD7B-ABCF-438D-9FA0-9F657CC8E5C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9">
          <a:extLst>
            <a:ext uri="{FF2B5EF4-FFF2-40B4-BE49-F238E27FC236}">
              <a16:creationId xmlns:a16="http://schemas.microsoft.com/office/drawing/2014/main" id="{197A5F04-2D7B-48F3-9CFC-E5E40A382A6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70">
          <a:extLst>
            <a:ext uri="{FF2B5EF4-FFF2-40B4-BE49-F238E27FC236}">
              <a16:creationId xmlns:a16="http://schemas.microsoft.com/office/drawing/2014/main" id="{CA8D8289-DF3D-41E2-AE58-B664F255194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1">
          <a:extLst>
            <a:ext uri="{FF2B5EF4-FFF2-40B4-BE49-F238E27FC236}">
              <a16:creationId xmlns:a16="http://schemas.microsoft.com/office/drawing/2014/main" id="{8CCC6A1B-19C5-416F-8499-22E0E8095AF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4" name="AutoShape 172">
          <a:extLst>
            <a:ext uri="{FF2B5EF4-FFF2-40B4-BE49-F238E27FC236}">
              <a16:creationId xmlns:a16="http://schemas.microsoft.com/office/drawing/2014/main" id="{F8F6690D-8F37-4017-A024-FBC4BEDBA2D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5" name="Rectangle 173">
          <a:extLst>
            <a:ext uri="{FF2B5EF4-FFF2-40B4-BE49-F238E27FC236}">
              <a16:creationId xmlns:a16="http://schemas.microsoft.com/office/drawing/2014/main" id="{508109F1-D355-4D07-8481-B9B6345A798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6" name="Oval 174">
          <a:extLst>
            <a:ext uri="{FF2B5EF4-FFF2-40B4-BE49-F238E27FC236}">
              <a16:creationId xmlns:a16="http://schemas.microsoft.com/office/drawing/2014/main" id="{71B2139D-593E-47AD-940E-577ACBCA058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5">
          <a:extLst>
            <a:ext uri="{FF2B5EF4-FFF2-40B4-BE49-F238E27FC236}">
              <a16:creationId xmlns:a16="http://schemas.microsoft.com/office/drawing/2014/main" id="{78BA1C78-6771-46DF-9D09-0B60F2C3910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6">
          <a:extLst>
            <a:ext uri="{FF2B5EF4-FFF2-40B4-BE49-F238E27FC236}">
              <a16:creationId xmlns:a16="http://schemas.microsoft.com/office/drawing/2014/main" id="{A0DB8272-3BDE-4BB5-B1A4-E7CD0A75CBE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7">
          <a:extLst>
            <a:ext uri="{FF2B5EF4-FFF2-40B4-BE49-F238E27FC236}">
              <a16:creationId xmlns:a16="http://schemas.microsoft.com/office/drawing/2014/main" id="{459EF6C2-3131-4540-8EBA-6DE1EAEB356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0" name="AutoShape 178">
          <a:extLst>
            <a:ext uri="{FF2B5EF4-FFF2-40B4-BE49-F238E27FC236}">
              <a16:creationId xmlns:a16="http://schemas.microsoft.com/office/drawing/2014/main" id="{6056A053-B05E-41FA-8397-446DC788CAF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1" name="Rectangle 179">
          <a:extLst>
            <a:ext uri="{FF2B5EF4-FFF2-40B4-BE49-F238E27FC236}">
              <a16:creationId xmlns:a16="http://schemas.microsoft.com/office/drawing/2014/main" id="{0D6FA2FA-FCDD-424B-AC06-012F204A012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2" name="Oval 180">
          <a:extLst>
            <a:ext uri="{FF2B5EF4-FFF2-40B4-BE49-F238E27FC236}">
              <a16:creationId xmlns:a16="http://schemas.microsoft.com/office/drawing/2014/main" id="{2F142670-9BD4-461E-8FA0-D04FA3DCCF4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1">
          <a:extLst>
            <a:ext uri="{FF2B5EF4-FFF2-40B4-BE49-F238E27FC236}">
              <a16:creationId xmlns:a16="http://schemas.microsoft.com/office/drawing/2014/main" id="{79F2E28C-B237-46AD-9C76-BB77B7AAF49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2">
          <a:extLst>
            <a:ext uri="{FF2B5EF4-FFF2-40B4-BE49-F238E27FC236}">
              <a16:creationId xmlns:a16="http://schemas.microsoft.com/office/drawing/2014/main" id="{99847045-25A4-43FA-914A-1B80E6C9500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3">
          <a:extLst>
            <a:ext uri="{FF2B5EF4-FFF2-40B4-BE49-F238E27FC236}">
              <a16:creationId xmlns:a16="http://schemas.microsoft.com/office/drawing/2014/main" id="{10ECAD2F-B8D5-4967-B06B-6ECB951AF82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6" name="AutoShape 184">
          <a:extLst>
            <a:ext uri="{FF2B5EF4-FFF2-40B4-BE49-F238E27FC236}">
              <a16:creationId xmlns:a16="http://schemas.microsoft.com/office/drawing/2014/main" id="{59B97494-E523-41A0-AAAA-628D2872C21F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7" name="Rectangle 185">
          <a:extLst>
            <a:ext uri="{FF2B5EF4-FFF2-40B4-BE49-F238E27FC236}">
              <a16:creationId xmlns:a16="http://schemas.microsoft.com/office/drawing/2014/main" id="{B54E0199-01EB-4D56-86B0-8D2504C9813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8" name="Oval 186">
          <a:extLst>
            <a:ext uri="{FF2B5EF4-FFF2-40B4-BE49-F238E27FC236}">
              <a16:creationId xmlns:a16="http://schemas.microsoft.com/office/drawing/2014/main" id="{A8C13DBC-7643-43E0-A8CA-5720069BB03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7">
          <a:extLst>
            <a:ext uri="{FF2B5EF4-FFF2-40B4-BE49-F238E27FC236}">
              <a16:creationId xmlns:a16="http://schemas.microsoft.com/office/drawing/2014/main" id="{925AD370-B84C-4AD0-8882-870B05165CC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8">
          <a:extLst>
            <a:ext uri="{FF2B5EF4-FFF2-40B4-BE49-F238E27FC236}">
              <a16:creationId xmlns:a16="http://schemas.microsoft.com/office/drawing/2014/main" id="{B9E099D4-2BAF-4BF8-8F1E-B97D1B60BAB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9">
          <a:extLst>
            <a:ext uri="{FF2B5EF4-FFF2-40B4-BE49-F238E27FC236}">
              <a16:creationId xmlns:a16="http://schemas.microsoft.com/office/drawing/2014/main" id="{FB914C40-1F06-45E0-B867-0BDFC8DB9F7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2" name="AutoShape 190">
          <a:extLst>
            <a:ext uri="{FF2B5EF4-FFF2-40B4-BE49-F238E27FC236}">
              <a16:creationId xmlns:a16="http://schemas.microsoft.com/office/drawing/2014/main" id="{05963FDE-1C18-4BD5-967C-5346F08C67C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3" name="Rectangle 191">
          <a:extLst>
            <a:ext uri="{FF2B5EF4-FFF2-40B4-BE49-F238E27FC236}">
              <a16:creationId xmlns:a16="http://schemas.microsoft.com/office/drawing/2014/main" id="{3BD63E47-92C8-4C5E-84B7-B37A5F85E91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4" name="Oval 192">
          <a:extLst>
            <a:ext uri="{FF2B5EF4-FFF2-40B4-BE49-F238E27FC236}">
              <a16:creationId xmlns:a16="http://schemas.microsoft.com/office/drawing/2014/main" id="{5951318F-CD13-435E-89B5-DAC5BF95A07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3">
          <a:extLst>
            <a:ext uri="{FF2B5EF4-FFF2-40B4-BE49-F238E27FC236}">
              <a16:creationId xmlns:a16="http://schemas.microsoft.com/office/drawing/2014/main" id="{7D7276F4-37C1-4F5F-8A88-3357DC28095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4">
          <a:extLst>
            <a:ext uri="{FF2B5EF4-FFF2-40B4-BE49-F238E27FC236}">
              <a16:creationId xmlns:a16="http://schemas.microsoft.com/office/drawing/2014/main" id="{63EC94DB-C0D9-48AC-BDBB-A8D90FBCA04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5">
          <a:extLst>
            <a:ext uri="{FF2B5EF4-FFF2-40B4-BE49-F238E27FC236}">
              <a16:creationId xmlns:a16="http://schemas.microsoft.com/office/drawing/2014/main" id="{2A7D013C-9BE5-4FE8-A450-5262B197194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8" name="AutoShape 196">
          <a:extLst>
            <a:ext uri="{FF2B5EF4-FFF2-40B4-BE49-F238E27FC236}">
              <a16:creationId xmlns:a16="http://schemas.microsoft.com/office/drawing/2014/main" id="{FD80A258-EB0C-4E26-ADEA-FD0E0B01865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9" name="Rectangle 197">
          <a:extLst>
            <a:ext uri="{FF2B5EF4-FFF2-40B4-BE49-F238E27FC236}">
              <a16:creationId xmlns:a16="http://schemas.microsoft.com/office/drawing/2014/main" id="{DE95D55B-C6B3-4ED4-8570-19C586C98DD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0" name="Oval 198">
          <a:extLst>
            <a:ext uri="{FF2B5EF4-FFF2-40B4-BE49-F238E27FC236}">
              <a16:creationId xmlns:a16="http://schemas.microsoft.com/office/drawing/2014/main" id="{1AAA510C-890B-4A05-B810-E3AC2D2469F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9">
          <a:extLst>
            <a:ext uri="{FF2B5EF4-FFF2-40B4-BE49-F238E27FC236}">
              <a16:creationId xmlns:a16="http://schemas.microsoft.com/office/drawing/2014/main" id="{9423976E-CA42-4FA3-9B49-0CAAF2612FB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200">
          <a:extLst>
            <a:ext uri="{FF2B5EF4-FFF2-40B4-BE49-F238E27FC236}">
              <a16:creationId xmlns:a16="http://schemas.microsoft.com/office/drawing/2014/main" id="{812A69CB-9677-411C-B308-D1C75EA830D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1">
          <a:extLst>
            <a:ext uri="{FF2B5EF4-FFF2-40B4-BE49-F238E27FC236}">
              <a16:creationId xmlns:a16="http://schemas.microsoft.com/office/drawing/2014/main" id="{472A33DD-1CC5-4D7A-B331-73E8E430F19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4" name="AutoShape 202">
          <a:extLst>
            <a:ext uri="{FF2B5EF4-FFF2-40B4-BE49-F238E27FC236}">
              <a16:creationId xmlns:a16="http://schemas.microsoft.com/office/drawing/2014/main" id="{308BA218-125E-4437-94D6-A9DBAC2F67A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5" name="Rectangle 203">
          <a:extLst>
            <a:ext uri="{FF2B5EF4-FFF2-40B4-BE49-F238E27FC236}">
              <a16:creationId xmlns:a16="http://schemas.microsoft.com/office/drawing/2014/main" id="{35E7018F-B7D0-4838-B6ED-D24634087F4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6" name="Oval 204">
          <a:extLst>
            <a:ext uri="{FF2B5EF4-FFF2-40B4-BE49-F238E27FC236}">
              <a16:creationId xmlns:a16="http://schemas.microsoft.com/office/drawing/2014/main" id="{D112F901-5B11-462E-9EE4-3E91E7E66A0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5">
          <a:extLst>
            <a:ext uri="{FF2B5EF4-FFF2-40B4-BE49-F238E27FC236}">
              <a16:creationId xmlns:a16="http://schemas.microsoft.com/office/drawing/2014/main" id="{6FD2E9BE-8EB7-45FB-883F-BBB4C37CDE3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6">
          <a:extLst>
            <a:ext uri="{FF2B5EF4-FFF2-40B4-BE49-F238E27FC236}">
              <a16:creationId xmlns:a16="http://schemas.microsoft.com/office/drawing/2014/main" id="{9FA1775C-1C66-4E72-80C4-318FCB5D742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7">
          <a:extLst>
            <a:ext uri="{FF2B5EF4-FFF2-40B4-BE49-F238E27FC236}">
              <a16:creationId xmlns:a16="http://schemas.microsoft.com/office/drawing/2014/main" id="{31BD78B9-8887-495E-9ED0-67C218B856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0" name="AutoShape 208">
          <a:extLst>
            <a:ext uri="{FF2B5EF4-FFF2-40B4-BE49-F238E27FC236}">
              <a16:creationId xmlns:a16="http://schemas.microsoft.com/office/drawing/2014/main" id="{CEDF060A-0323-46ED-8F99-596E80DF563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1" name="Rectangle 209">
          <a:extLst>
            <a:ext uri="{FF2B5EF4-FFF2-40B4-BE49-F238E27FC236}">
              <a16:creationId xmlns:a16="http://schemas.microsoft.com/office/drawing/2014/main" id="{EEE1CBB2-1173-47C0-BE7D-7F4C857E129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2" name="Oval 210">
          <a:extLst>
            <a:ext uri="{FF2B5EF4-FFF2-40B4-BE49-F238E27FC236}">
              <a16:creationId xmlns:a16="http://schemas.microsoft.com/office/drawing/2014/main" id="{F9F8CB5D-3445-48F7-9E38-FADD821A444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1">
          <a:extLst>
            <a:ext uri="{FF2B5EF4-FFF2-40B4-BE49-F238E27FC236}">
              <a16:creationId xmlns:a16="http://schemas.microsoft.com/office/drawing/2014/main" id="{C69B9BD1-B381-4DEC-9BDF-C64AA5C94EF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2">
          <a:extLst>
            <a:ext uri="{FF2B5EF4-FFF2-40B4-BE49-F238E27FC236}">
              <a16:creationId xmlns:a16="http://schemas.microsoft.com/office/drawing/2014/main" id="{3D032DCF-EE66-440D-9BCF-55CE743B51E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3">
          <a:extLst>
            <a:ext uri="{FF2B5EF4-FFF2-40B4-BE49-F238E27FC236}">
              <a16:creationId xmlns:a16="http://schemas.microsoft.com/office/drawing/2014/main" id="{04C0FF00-DE5A-468B-B358-223172F4F43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6" name="AutoShape 214">
          <a:extLst>
            <a:ext uri="{FF2B5EF4-FFF2-40B4-BE49-F238E27FC236}">
              <a16:creationId xmlns:a16="http://schemas.microsoft.com/office/drawing/2014/main" id="{34472B0B-1068-4FE7-8BC2-B0854232552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7" name="Rectangle 215">
          <a:extLst>
            <a:ext uri="{FF2B5EF4-FFF2-40B4-BE49-F238E27FC236}">
              <a16:creationId xmlns:a16="http://schemas.microsoft.com/office/drawing/2014/main" id="{6971A15D-6BA7-462A-A357-9C31E4038FA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8" name="Oval 216">
          <a:extLst>
            <a:ext uri="{FF2B5EF4-FFF2-40B4-BE49-F238E27FC236}">
              <a16:creationId xmlns:a16="http://schemas.microsoft.com/office/drawing/2014/main" id="{85E341C1-FFE8-446D-8FF2-F825A28C24E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7">
          <a:extLst>
            <a:ext uri="{FF2B5EF4-FFF2-40B4-BE49-F238E27FC236}">
              <a16:creationId xmlns:a16="http://schemas.microsoft.com/office/drawing/2014/main" id="{85A02751-D180-41F4-A1B6-3DB7892CFA7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8">
          <a:extLst>
            <a:ext uri="{FF2B5EF4-FFF2-40B4-BE49-F238E27FC236}">
              <a16:creationId xmlns:a16="http://schemas.microsoft.com/office/drawing/2014/main" id="{A994E53E-0ACE-4B99-8F23-A4C058818DB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9">
          <a:extLst>
            <a:ext uri="{FF2B5EF4-FFF2-40B4-BE49-F238E27FC236}">
              <a16:creationId xmlns:a16="http://schemas.microsoft.com/office/drawing/2014/main" id="{ACDD5D0B-5A8B-43F0-A13E-0F06C596A44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2" name="AutoShape 220">
          <a:extLst>
            <a:ext uri="{FF2B5EF4-FFF2-40B4-BE49-F238E27FC236}">
              <a16:creationId xmlns:a16="http://schemas.microsoft.com/office/drawing/2014/main" id="{ABA2DC74-2850-4785-9CD7-070F5A84512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3" name="Rectangle 221">
          <a:extLst>
            <a:ext uri="{FF2B5EF4-FFF2-40B4-BE49-F238E27FC236}">
              <a16:creationId xmlns:a16="http://schemas.microsoft.com/office/drawing/2014/main" id="{E87938ED-E8DF-4998-9A63-22BB6053E6A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4" name="Oval 222">
          <a:extLst>
            <a:ext uri="{FF2B5EF4-FFF2-40B4-BE49-F238E27FC236}">
              <a16:creationId xmlns:a16="http://schemas.microsoft.com/office/drawing/2014/main" id="{E29FA257-4104-4A22-B5CB-1E579F06185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3">
          <a:extLst>
            <a:ext uri="{FF2B5EF4-FFF2-40B4-BE49-F238E27FC236}">
              <a16:creationId xmlns:a16="http://schemas.microsoft.com/office/drawing/2014/main" id="{6EBBB4D0-E350-4485-A1B4-0F621B30A89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4">
          <a:extLst>
            <a:ext uri="{FF2B5EF4-FFF2-40B4-BE49-F238E27FC236}">
              <a16:creationId xmlns:a16="http://schemas.microsoft.com/office/drawing/2014/main" id="{85B2F6E1-E0DF-407A-BAD2-51EEFBA3BEF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5">
          <a:extLst>
            <a:ext uri="{FF2B5EF4-FFF2-40B4-BE49-F238E27FC236}">
              <a16:creationId xmlns:a16="http://schemas.microsoft.com/office/drawing/2014/main" id="{B48AD9AB-BEBF-423B-9677-AC2DB334749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8" name="AutoShape 226">
          <a:extLst>
            <a:ext uri="{FF2B5EF4-FFF2-40B4-BE49-F238E27FC236}">
              <a16:creationId xmlns:a16="http://schemas.microsoft.com/office/drawing/2014/main" id="{E4ACF189-1B5C-4F5F-929C-E4FA68B4DE9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9" name="Rectangle 227">
          <a:extLst>
            <a:ext uri="{FF2B5EF4-FFF2-40B4-BE49-F238E27FC236}">
              <a16:creationId xmlns:a16="http://schemas.microsoft.com/office/drawing/2014/main" id="{C92C0B59-35B4-4AC2-8A93-000E7FE9D1D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0" name="Oval 228">
          <a:extLst>
            <a:ext uri="{FF2B5EF4-FFF2-40B4-BE49-F238E27FC236}">
              <a16:creationId xmlns:a16="http://schemas.microsoft.com/office/drawing/2014/main" id="{CFE76C6A-DD24-4AEC-884B-0009C25A79E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9">
          <a:extLst>
            <a:ext uri="{FF2B5EF4-FFF2-40B4-BE49-F238E27FC236}">
              <a16:creationId xmlns:a16="http://schemas.microsoft.com/office/drawing/2014/main" id="{88C26B70-5F57-486A-A18C-4437B230A0D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30">
          <a:extLst>
            <a:ext uri="{FF2B5EF4-FFF2-40B4-BE49-F238E27FC236}">
              <a16:creationId xmlns:a16="http://schemas.microsoft.com/office/drawing/2014/main" id="{C18B7938-CE77-4A7B-8334-3AD44C7D239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1">
          <a:extLst>
            <a:ext uri="{FF2B5EF4-FFF2-40B4-BE49-F238E27FC236}">
              <a16:creationId xmlns:a16="http://schemas.microsoft.com/office/drawing/2014/main" id="{D5F6A9C2-D350-4B8F-A38C-6016FF5F938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4" name="AutoShape 232">
          <a:extLst>
            <a:ext uri="{FF2B5EF4-FFF2-40B4-BE49-F238E27FC236}">
              <a16:creationId xmlns:a16="http://schemas.microsoft.com/office/drawing/2014/main" id="{67AA7AF4-C18A-420F-97C1-F9A4CB86B4B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5" name="Rectangle 233">
          <a:extLst>
            <a:ext uri="{FF2B5EF4-FFF2-40B4-BE49-F238E27FC236}">
              <a16:creationId xmlns:a16="http://schemas.microsoft.com/office/drawing/2014/main" id="{FD3F3D39-F201-44A8-A6C1-C75A8726011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6" name="Oval 234">
          <a:extLst>
            <a:ext uri="{FF2B5EF4-FFF2-40B4-BE49-F238E27FC236}">
              <a16:creationId xmlns:a16="http://schemas.microsoft.com/office/drawing/2014/main" id="{6EAE2E87-0472-4EFC-B039-2238D83E7C1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5">
          <a:extLst>
            <a:ext uri="{FF2B5EF4-FFF2-40B4-BE49-F238E27FC236}">
              <a16:creationId xmlns:a16="http://schemas.microsoft.com/office/drawing/2014/main" id="{D3031757-9EAA-4896-9646-B15CEDF3979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6">
          <a:extLst>
            <a:ext uri="{FF2B5EF4-FFF2-40B4-BE49-F238E27FC236}">
              <a16:creationId xmlns:a16="http://schemas.microsoft.com/office/drawing/2014/main" id="{02F71EA0-73BD-426F-815E-19AA27EE2DD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7">
          <a:extLst>
            <a:ext uri="{FF2B5EF4-FFF2-40B4-BE49-F238E27FC236}">
              <a16:creationId xmlns:a16="http://schemas.microsoft.com/office/drawing/2014/main" id="{372DCA48-9FCF-4AF1-B1DE-FD0DD132A9D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0" name="AutoShape 238">
          <a:extLst>
            <a:ext uri="{FF2B5EF4-FFF2-40B4-BE49-F238E27FC236}">
              <a16:creationId xmlns:a16="http://schemas.microsoft.com/office/drawing/2014/main" id="{C61318E3-9760-489C-922A-21311028073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1" name="Rectangle 239">
          <a:extLst>
            <a:ext uri="{FF2B5EF4-FFF2-40B4-BE49-F238E27FC236}">
              <a16:creationId xmlns:a16="http://schemas.microsoft.com/office/drawing/2014/main" id="{7E3256B2-8A49-4709-AD5E-C61DBBB9271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2" name="Oval 240">
          <a:extLst>
            <a:ext uri="{FF2B5EF4-FFF2-40B4-BE49-F238E27FC236}">
              <a16:creationId xmlns:a16="http://schemas.microsoft.com/office/drawing/2014/main" id="{75E369D2-2F98-4EE0-865D-F7AAAAB53C7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1">
          <a:extLst>
            <a:ext uri="{FF2B5EF4-FFF2-40B4-BE49-F238E27FC236}">
              <a16:creationId xmlns:a16="http://schemas.microsoft.com/office/drawing/2014/main" id="{4025B071-3988-40D9-8E83-5A2848D6336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2">
          <a:extLst>
            <a:ext uri="{FF2B5EF4-FFF2-40B4-BE49-F238E27FC236}">
              <a16:creationId xmlns:a16="http://schemas.microsoft.com/office/drawing/2014/main" id="{BD195A2F-88A5-41A6-BE9D-041FAF93D48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3">
          <a:extLst>
            <a:ext uri="{FF2B5EF4-FFF2-40B4-BE49-F238E27FC236}">
              <a16:creationId xmlns:a16="http://schemas.microsoft.com/office/drawing/2014/main" id="{2A4A15C6-91E9-4625-AEA9-265D9488BDC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6" name="AutoShape 244">
          <a:extLst>
            <a:ext uri="{FF2B5EF4-FFF2-40B4-BE49-F238E27FC236}">
              <a16:creationId xmlns:a16="http://schemas.microsoft.com/office/drawing/2014/main" id="{832E19F0-39E6-4FAE-821D-70B1B4F246C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7" name="Rectangle 245">
          <a:extLst>
            <a:ext uri="{FF2B5EF4-FFF2-40B4-BE49-F238E27FC236}">
              <a16:creationId xmlns:a16="http://schemas.microsoft.com/office/drawing/2014/main" id="{5958E69C-BE47-4463-9902-F0BC6CE87CE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8" name="Oval 246">
          <a:extLst>
            <a:ext uri="{FF2B5EF4-FFF2-40B4-BE49-F238E27FC236}">
              <a16:creationId xmlns:a16="http://schemas.microsoft.com/office/drawing/2014/main" id="{256DC563-1A7E-4116-9157-4FE4C278CC0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7">
          <a:extLst>
            <a:ext uri="{FF2B5EF4-FFF2-40B4-BE49-F238E27FC236}">
              <a16:creationId xmlns:a16="http://schemas.microsoft.com/office/drawing/2014/main" id="{A1C984CD-DE98-439B-8989-2452031DF70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8">
          <a:extLst>
            <a:ext uri="{FF2B5EF4-FFF2-40B4-BE49-F238E27FC236}">
              <a16:creationId xmlns:a16="http://schemas.microsoft.com/office/drawing/2014/main" id="{5EEA8295-D895-40EB-B1E6-2706D0498D0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9">
          <a:extLst>
            <a:ext uri="{FF2B5EF4-FFF2-40B4-BE49-F238E27FC236}">
              <a16:creationId xmlns:a16="http://schemas.microsoft.com/office/drawing/2014/main" id="{B0DBA547-78C7-4B86-B7D0-4F80FA999F0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2" name="AutoShape 250">
          <a:extLst>
            <a:ext uri="{FF2B5EF4-FFF2-40B4-BE49-F238E27FC236}">
              <a16:creationId xmlns:a16="http://schemas.microsoft.com/office/drawing/2014/main" id="{E21F6051-AB34-4CEB-8883-C99F2140C3B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3" name="Rectangle 251">
          <a:extLst>
            <a:ext uri="{FF2B5EF4-FFF2-40B4-BE49-F238E27FC236}">
              <a16:creationId xmlns:a16="http://schemas.microsoft.com/office/drawing/2014/main" id="{F2BA3A90-03D7-4AC9-800C-2F764972994E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4" name="Oval 252">
          <a:extLst>
            <a:ext uri="{FF2B5EF4-FFF2-40B4-BE49-F238E27FC236}">
              <a16:creationId xmlns:a16="http://schemas.microsoft.com/office/drawing/2014/main" id="{E1130136-FA6F-4E75-AA00-9CF12E7227A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3">
          <a:extLst>
            <a:ext uri="{FF2B5EF4-FFF2-40B4-BE49-F238E27FC236}">
              <a16:creationId xmlns:a16="http://schemas.microsoft.com/office/drawing/2014/main" id="{EA488DDB-8E2B-4883-8DCC-3553DD40448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4">
          <a:extLst>
            <a:ext uri="{FF2B5EF4-FFF2-40B4-BE49-F238E27FC236}">
              <a16:creationId xmlns:a16="http://schemas.microsoft.com/office/drawing/2014/main" id="{4114BC75-0526-4F9A-AACC-E7B84ACD28B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5">
          <a:extLst>
            <a:ext uri="{FF2B5EF4-FFF2-40B4-BE49-F238E27FC236}">
              <a16:creationId xmlns:a16="http://schemas.microsoft.com/office/drawing/2014/main" id="{8ED3234D-6DB5-441A-9AA7-B0A46871FF7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8" name="AutoShape 256">
          <a:extLst>
            <a:ext uri="{FF2B5EF4-FFF2-40B4-BE49-F238E27FC236}">
              <a16:creationId xmlns:a16="http://schemas.microsoft.com/office/drawing/2014/main" id="{6BCAB04F-58D9-4208-A1B5-551B81D0488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E2990136-2F02-4700-96DE-4ED62080FB3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0" name="Oval 258">
          <a:extLst>
            <a:ext uri="{FF2B5EF4-FFF2-40B4-BE49-F238E27FC236}">
              <a16:creationId xmlns:a16="http://schemas.microsoft.com/office/drawing/2014/main" id="{E482981B-05A1-4E08-AD80-469A6E01B2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9">
          <a:extLst>
            <a:ext uri="{FF2B5EF4-FFF2-40B4-BE49-F238E27FC236}">
              <a16:creationId xmlns:a16="http://schemas.microsoft.com/office/drawing/2014/main" id="{7B416515-404F-48B2-AA9B-9CF8D4E662C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60">
          <a:extLst>
            <a:ext uri="{FF2B5EF4-FFF2-40B4-BE49-F238E27FC236}">
              <a16:creationId xmlns:a16="http://schemas.microsoft.com/office/drawing/2014/main" id="{D4B3A5E4-58F2-42B7-9AD8-4E2635ACA6F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1">
          <a:extLst>
            <a:ext uri="{FF2B5EF4-FFF2-40B4-BE49-F238E27FC236}">
              <a16:creationId xmlns:a16="http://schemas.microsoft.com/office/drawing/2014/main" id="{220B0FB1-E866-4989-BD08-271DBF93362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4" name="AutoShape 262">
          <a:extLst>
            <a:ext uri="{FF2B5EF4-FFF2-40B4-BE49-F238E27FC236}">
              <a16:creationId xmlns:a16="http://schemas.microsoft.com/office/drawing/2014/main" id="{939DCFA8-B683-4680-A052-6F659BD585D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5" name="Rectangle 263">
          <a:extLst>
            <a:ext uri="{FF2B5EF4-FFF2-40B4-BE49-F238E27FC236}">
              <a16:creationId xmlns:a16="http://schemas.microsoft.com/office/drawing/2014/main" id="{B893CCC1-5D3C-474F-AAB7-236286CCED9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6" name="Oval 264">
          <a:extLst>
            <a:ext uri="{FF2B5EF4-FFF2-40B4-BE49-F238E27FC236}">
              <a16:creationId xmlns:a16="http://schemas.microsoft.com/office/drawing/2014/main" id="{6990F63F-17C8-47B1-B5BC-7F14690FA0E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5">
          <a:extLst>
            <a:ext uri="{FF2B5EF4-FFF2-40B4-BE49-F238E27FC236}">
              <a16:creationId xmlns:a16="http://schemas.microsoft.com/office/drawing/2014/main" id="{8F499F59-54B0-41D5-B552-606FC06DD18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6">
          <a:extLst>
            <a:ext uri="{FF2B5EF4-FFF2-40B4-BE49-F238E27FC236}">
              <a16:creationId xmlns:a16="http://schemas.microsoft.com/office/drawing/2014/main" id="{68929870-AD38-4D23-821E-0530138A9A7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7">
          <a:extLst>
            <a:ext uri="{FF2B5EF4-FFF2-40B4-BE49-F238E27FC236}">
              <a16:creationId xmlns:a16="http://schemas.microsoft.com/office/drawing/2014/main" id="{1BF879D9-8130-43CD-9158-CB548C88F1A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0" name="AutoShape 268">
          <a:extLst>
            <a:ext uri="{FF2B5EF4-FFF2-40B4-BE49-F238E27FC236}">
              <a16:creationId xmlns:a16="http://schemas.microsoft.com/office/drawing/2014/main" id="{80BFF836-FA99-4E9C-B6F0-EAA484AD9EF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1" name="Rectangle 269">
          <a:extLst>
            <a:ext uri="{FF2B5EF4-FFF2-40B4-BE49-F238E27FC236}">
              <a16:creationId xmlns:a16="http://schemas.microsoft.com/office/drawing/2014/main" id="{A74BF523-E548-49A8-A33E-3BCE3E74E27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2" name="Oval 270">
          <a:extLst>
            <a:ext uri="{FF2B5EF4-FFF2-40B4-BE49-F238E27FC236}">
              <a16:creationId xmlns:a16="http://schemas.microsoft.com/office/drawing/2014/main" id="{680EBE2E-E30A-4BE8-9AFB-9F8EE1D7E11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1">
          <a:extLst>
            <a:ext uri="{FF2B5EF4-FFF2-40B4-BE49-F238E27FC236}">
              <a16:creationId xmlns:a16="http://schemas.microsoft.com/office/drawing/2014/main" id="{C64A358E-F243-4A4F-8CDC-066EC3E7FBD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2">
          <a:extLst>
            <a:ext uri="{FF2B5EF4-FFF2-40B4-BE49-F238E27FC236}">
              <a16:creationId xmlns:a16="http://schemas.microsoft.com/office/drawing/2014/main" id="{7E13B27E-6A17-49E3-990E-179BE1781B1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3">
          <a:extLst>
            <a:ext uri="{FF2B5EF4-FFF2-40B4-BE49-F238E27FC236}">
              <a16:creationId xmlns:a16="http://schemas.microsoft.com/office/drawing/2014/main" id="{362546DF-6464-4CC7-9DD6-2D2DCDC6D89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6" name="Rectangle 274">
          <a:extLst>
            <a:ext uri="{FF2B5EF4-FFF2-40B4-BE49-F238E27FC236}">
              <a16:creationId xmlns:a16="http://schemas.microsoft.com/office/drawing/2014/main" id="{342A550C-4447-45A3-B3BA-216994BD894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7" name="Oval 275">
          <a:extLst>
            <a:ext uri="{FF2B5EF4-FFF2-40B4-BE49-F238E27FC236}">
              <a16:creationId xmlns:a16="http://schemas.microsoft.com/office/drawing/2014/main" id="{4E48D562-6693-4D2A-8294-8F187EBAE78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6">
          <a:extLst>
            <a:ext uri="{FF2B5EF4-FFF2-40B4-BE49-F238E27FC236}">
              <a16:creationId xmlns:a16="http://schemas.microsoft.com/office/drawing/2014/main" id="{53610ADB-678B-4F4B-B34B-04DCF9982DC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7">
          <a:extLst>
            <a:ext uri="{FF2B5EF4-FFF2-40B4-BE49-F238E27FC236}">
              <a16:creationId xmlns:a16="http://schemas.microsoft.com/office/drawing/2014/main" id="{7D149091-FF19-4E35-9EB0-D5392371DFB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8">
          <a:extLst>
            <a:ext uri="{FF2B5EF4-FFF2-40B4-BE49-F238E27FC236}">
              <a16:creationId xmlns:a16="http://schemas.microsoft.com/office/drawing/2014/main" id="{D46E943E-1DAB-45E5-BF28-6648631B976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1" name="Rectangle 279">
          <a:extLst>
            <a:ext uri="{FF2B5EF4-FFF2-40B4-BE49-F238E27FC236}">
              <a16:creationId xmlns:a16="http://schemas.microsoft.com/office/drawing/2014/main" id="{2E62F1F4-CAA8-4FB1-B680-29ED117169B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2" name="Oval 280">
          <a:extLst>
            <a:ext uri="{FF2B5EF4-FFF2-40B4-BE49-F238E27FC236}">
              <a16:creationId xmlns:a16="http://schemas.microsoft.com/office/drawing/2014/main" id="{C2ABC23A-225F-4B44-8798-4C4E3764608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1">
          <a:extLst>
            <a:ext uri="{FF2B5EF4-FFF2-40B4-BE49-F238E27FC236}">
              <a16:creationId xmlns:a16="http://schemas.microsoft.com/office/drawing/2014/main" id="{5B4971B2-6F07-4FA2-8797-41E8FB9287F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2">
          <a:extLst>
            <a:ext uri="{FF2B5EF4-FFF2-40B4-BE49-F238E27FC236}">
              <a16:creationId xmlns:a16="http://schemas.microsoft.com/office/drawing/2014/main" id="{FD35DCC6-21FF-4853-8C5B-85B930B77CC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3">
          <a:extLst>
            <a:ext uri="{FF2B5EF4-FFF2-40B4-BE49-F238E27FC236}">
              <a16:creationId xmlns:a16="http://schemas.microsoft.com/office/drawing/2014/main" id="{85868BE3-F7DA-461C-81F6-51D81810E39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6" name="Rectangle 285">
          <a:extLst>
            <a:ext uri="{FF2B5EF4-FFF2-40B4-BE49-F238E27FC236}">
              <a16:creationId xmlns:a16="http://schemas.microsoft.com/office/drawing/2014/main" id="{02DEA75D-9F1B-4941-B448-BABDD4774D85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7" name="Rectangle 287">
          <a:extLst>
            <a:ext uri="{FF2B5EF4-FFF2-40B4-BE49-F238E27FC236}">
              <a16:creationId xmlns:a16="http://schemas.microsoft.com/office/drawing/2014/main" id="{208C1AC3-0D9F-45FC-93FA-2DBB4E1AC298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8" name="Rectangle 289">
          <a:extLst>
            <a:ext uri="{FF2B5EF4-FFF2-40B4-BE49-F238E27FC236}">
              <a16:creationId xmlns:a16="http://schemas.microsoft.com/office/drawing/2014/main" id="{9974A969-D802-495A-95A3-49E00015212E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199" name="Rectangle 291">
          <a:extLst>
            <a:ext uri="{FF2B5EF4-FFF2-40B4-BE49-F238E27FC236}">
              <a16:creationId xmlns:a16="http://schemas.microsoft.com/office/drawing/2014/main" id="{3578E2B3-A6B7-414F-A6E1-9682ADF79537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0" name="Rectangle 293">
          <a:extLst>
            <a:ext uri="{FF2B5EF4-FFF2-40B4-BE49-F238E27FC236}">
              <a16:creationId xmlns:a16="http://schemas.microsoft.com/office/drawing/2014/main" id="{B005EE2A-8C00-4799-B41D-1CFC45987BEE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1" name="Rectangle 295">
          <a:extLst>
            <a:ext uri="{FF2B5EF4-FFF2-40B4-BE49-F238E27FC236}">
              <a16:creationId xmlns:a16="http://schemas.microsoft.com/office/drawing/2014/main" id="{D0671F0B-81E2-400A-AEEC-963A8FE54709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2" name="Rectangle 297">
          <a:extLst>
            <a:ext uri="{FF2B5EF4-FFF2-40B4-BE49-F238E27FC236}">
              <a16:creationId xmlns:a16="http://schemas.microsoft.com/office/drawing/2014/main" id="{8470D327-E310-4417-9958-494732984475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3" name="Rectangle 299">
          <a:extLst>
            <a:ext uri="{FF2B5EF4-FFF2-40B4-BE49-F238E27FC236}">
              <a16:creationId xmlns:a16="http://schemas.microsoft.com/office/drawing/2014/main" id="{220DFAFF-90E8-48F9-9E1E-5777E12BF9A9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4" name="Rectangle 301">
          <a:extLst>
            <a:ext uri="{FF2B5EF4-FFF2-40B4-BE49-F238E27FC236}">
              <a16:creationId xmlns:a16="http://schemas.microsoft.com/office/drawing/2014/main" id="{A0FE8595-F236-48E0-9789-E13E4A2FCDDA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5" name="Rectangle 303">
          <a:extLst>
            <a:ext uri="{FF2B5EF4-FFF2-40B4-BE49-F238E27FC236}">
              <a16:creationId xmlns:a16="http://schemas.microsoft.com/office/drawing/2014/main" id="{7FCB9EA8-F414-41F0-9155-EF9234C66AB9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6" name="Rectangle 305">
          <a:extLst>
            <a:ext uri="{FF2B5EF4-FFF2-40B4-BE49-F238E27FC236}">
              <a16:creationId xmlns:a16="http://schemas.microsoft.com/office/drawing/2014/main" id="{3712DD40-4EFD-4DC3-B3E3-06431193D8E6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7" name="Rectangle 307">
          <a:extLst>
            <a:ext uri="{FF2B5EF4-FFF2-40B4-BE49-F238E27FC236}">
              <a16:creationId xmlns:a16="http://schemas.microsoft.com/office/drawing/2014/main" id="{20339B18-22B4-447B-8669-14CE587A510F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9FACF203-FECE-4A3A-90D9-5C26D6FAF67A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7AAEFC93-42BA-4DC0-91A8-504F813E8285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95398A83-30E7-414C-AA86-BAB18FC9E0F5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35957499-EA1A-4E17-B580-3EA2491DDA59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726FB4A4-EF28-4FAE-9516-A069E24FBF0F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C8C0D928-B23A-480E-8FFE-A1054AE749A6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B97F6FA8-A23A-434B-8929-D8FA0EDE3ACA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09C379F1-676F-400A-A602-114BEA26ECC7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E4A778B9-9E5C-45B1-A502-88941D425BBD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18424F8D-C2BC-456D-9B0A-92C1A6C0E5C1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8" name="フリーフォーム 322">
          <a:extLst>
            <a:ext uri="{FF2B5EF4-FFF2-40B4-BE49-F238E27FC236}">
              <a16:creationId xmlns:a16="http://schemas.microsoft.com/office/drawing/2014/main" id="{FABBFB8E-73A1-4352-871C-28A089320B6A}"/>
            </a:ext>
          </a:extLst>
        </xdr:cNvPr>
        <xdr:cNvSpPr>
          <a:spLocks noChangeArrowheads="1"/>
        </xdr:cNvSpPr>
      </xdr:nvSpPr>
      <xdr:spPr bwMode="auto">
        <a:xfrm>
          <a:off x="754380" y="9683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19" name="Rectangle 2">
          <a:extLst>
            <a:ext uri="{FF2B5EF4-FFF2-40B4-BE49-F238E27FC236}">
              <a16:creationId xmlns:a16="http://schemas.microsoft.com/office/drawing/2014/main" id="{F6FED79F-B059-4F05-BB79-E507ED038B7C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62E5BBCC-55DB-42F3-BEE4-29D3EC54ACA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6BC76B82-A911-478F-A05D-B8E1C7D4A182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8B27BBC3-6F20-4ECE-A45C-38AEC38E3997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87CD929F-0E8F-4CA8-9733-1268A6692C4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4" name="Rectangle 293">
          <a:extLst>
            <a:ext uri="{FF2B5EF4-FFF2-40B4-BE49-F238E27FC236}">
              <a16:creationId xmlns:a16="http://schemas.microsoft.com/office/drawing/2014/main" id="{9C22D514-6022-4F98-8A9D-158AB621EC15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7B116AF9-BE37-41F5-8924-8DA56AF31E81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6" name="Rectangle 293">
          <a:extLst>
            <a:ext uri="{FF2B5EF4-FFF2-40B4-BE49-F238E27FC236}">
              <a16:creationId xmlns:a16="http://schemas.microsoft.com/office/drawing/2014/main" id="{AF707DBE-CFBC-4421-8E03-342613509F74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">
          <a:extLst>
            <a:ext uri="{FF2B5EF4-FFF2-40B4-BE49-F238E27FC236}">
              <a16:creationId xmlns:a16="http://schemas.microsoft.com/office/drawing/2014/main" id="{5C6C1E1A-893F-4D8E-BA7B-FDAB699A4034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8" name="Rectangle 293">
          <a:extLst>
            <a:ext uri="{FF2B5EF4-FFF2-40B4-BE49-F238E27FC236}">
              <a16:creationId xmlns:a16="http://schemas.microsoft.com/office/drawing/2014/main" id="{12D920A2-79E5-41FC-A60D-EB6AB2D524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356F7B78-FE5D-45FC-9AC9-67C159508E82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D79012EA-63A9-480E-BDB8-FC0C1602F19D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778855DE-76B2-4666-8E1F-4D3C7354A771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">
          <a:extLst>
            <a:ext uri="{FF2B5EF4-FFF2-40B4-BE49-F238E27FC236}">
              <a16:creationId xmlns:a16="http://schemas.microsoft.com/office/drawing/2014/main" id="{4375CCA6-7E8C-4D60-BEFE-1247D4EFAA67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3" name="Rectangle 293">
          <a:extLst>
            <a:ext uri="{FF2B5EF4-FFF2-40B4-BE49-F238E27FC236}">
              <a16:creationId xmlns:a16="http://schemas.microsoft.com/office/drawing/2014/main" id="{44D92D37-43AC-4D08-BAD5-EA753B6673E9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053834FF-2B11-405A-B759-8554B7E9CBF5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90C642F0-B554-4D34-BC3A-D55CB2C697AE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87E23C81-CB9E-40B7-87A8-C70B77C5502F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EEED10B2-2D67-4EF6-949B-5E022865E214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2FB8FA02-B9F5-430D-A4A0-5798994BA738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39" name="Rectangle 293">
          <a:extLst>
            <a:ext uri="{FF2B5EF4-FFF2-40B4-BE49-F238E27FC236}">
              <a16:creationId xmlns:a16="http://schemas.microsoft.com/office/drawing/2014/main" id="{92944C98-F469-4D01-834A-68D87D424F22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">
          <a:extLst>
            <a:ext uri="{FF2B5EF4-FFF2-40B4-BE49-F238E27FC236}">
              <a16:creationId xmlns:a16="http://schemas.microsoft.com/office/drawing/2014/main" id="{C9D01F5D-5352-4BC6-9241-203213C7E01D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1" name="Rectangle 285">
          <a:extLst>
            <a:ext uri="{FF2B5EF4-FFF2-40B4-BE49-F238E27FC236}">
              <a16:creationId xmlns:a16="http://schemas.microsoft.com/office/drawing/2014/main" id="{B0A88FA1-D26A-418C-A0A6-A2C8E7DDB1CE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8A949817-0E44-4EE2-B0C2-FC2791EE574F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A9C14561-678D-4293-ADDB-F89397C0DC42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4" name="Oval 18">
          <a:extLst>
            <a:ext uri="{FF2B5EF4-FFF2-40B4-BE49-F238E27FC236}">
              <a16:creationId xmlns:a16="http://schemas.microsoft.com/office/drawing/2014/main" id="{BDAE4BD7-300A-4872-9EDE-7F7F2409A5F1}"/>
            </a:ext>
          </a:extLst>
        </xdr:cNvPr>
        <xdr:cNvSpPr>
          <a:spLocks noChangeArrowheads="1"/>
        </xdr:cNvSpPr>
      </xdr:nvSpPr>
      <xdr:spPr bwMode="auto">
        <a:xfrm>
          <a:off x="160020" y="89325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5" name="Oval 51">
          <a:extLst>
            <a:ext uri="{FF2B5EF4-FFF2-40B4-BE49-F238E27FC236}">
              <a16:creationId xmlns:a16="http://schemas.microsoft.com/office/drawing/2014/main" id="{B8089A01-1257-460B-8FB7-9813895C19B4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246" name="Oval 18">
          <a:extLst>
            <a:ext uri="{FF2B5EF4-FFF2-40B4-BE49-F238E27FC236}">
              <a16:creationId xmlns:a16="http://schemas.microsoft.com/office/drawing/2014/main" id="{349BDEE4-5B02-45E8-AC2C-6C2C8F7A4870}"/>
            </a:ext>
          </a:extLst>
        </xdr:cNvPr>
        <xdr:cNvSpPr>
          <a:spLocks noChangeArrowheads="1"/>
        </xdr:cNvSpPr>
      </xdr:nvSpPr>
      <xdr:spPr bwMode="auto">
        <a:xfrm>
          <a:off x="160020" y="96183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162325</xdr:colOff>
      <xdr:row>12</xdr:row>
      <xdr:rowOff>0</xdr:rowOff>
    </xdr:from>
    <xdr:to>
      <xdr:col>11</xdr:col>
      <xdr:colOff>125329</xdr:colOff>
      <xdr:row>12</xdr:row>
      <xdr:rowOff>3182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95B6D3C4-57E4-47E7-A54A-43B1CBEF2CC2}"/>
            </a:ext>
          </a:extLst>
        </xdr:cNvPr>
        <xdr:cNvCxnSpPr/>
      </xdr:nvCxnSpPr>
      <xdr:spPr bwMode="auto">
        <a:xfrm flipV="1">
          <a:off x="1009549" y="1549066"/>
          <a:ext cx="1406793" cy="318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154781</xdr:colOff>
      <xdr:row>20</xdr:row>
      <xdr:rowOff>0</xdr:rowOff>
    </xdr:from>
    <xdr:to>
      <xdr:col>15</xdr:col>
      <xdr:colOff>35092</xdr:colOff>
      <xdr:row>20</xdr:row>
      <xdr:rowOff>2142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2CFFA7A0-4DDB-4190-A530-1FA6DB85E413}"/>
            </a:ext>
          </a:extLst>
        </xdr:cNvPr>
        <xdr:cNvCxnSpPr/>
      </xdr:nvCxnSpPr>
      <xdr:spPr bwMode="auto">
        <a:xfrm flipV="1">
          <a:off x="1002005" y="2240882"/>
          <a:ext cx="2045995" cy="214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11667</xdr:colOff>
      <xdr:row>28</xdr:row>
      <xdr:rowOff>10027</xdr:rowOff>
    </xdr:from>
    <xdr:to>
      <xdr:col>7</xdr:col>
      <xdr:colOff>75198</xdr:colOff>
      <xdr:row>28</xdr:row>
      <xdr:rowOff>11668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ACC0EDCF-752F-42DB-976C-CD69866C6A07}"/>
            </a:ext>
          </a:extLst>
        </xdr:cNvPr>
        <xdr:cNvCxnSpPr/>
      </xdr:nvCxnSpPr>
      <xdr:spPr bwMode="auto">
        <a:xfrm flipV="1">
          <a:off x="1039364" y="2942724"/>
          <a:ext cx="604952" cy="164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</xdr:colOff>
      <xdr:row>36</xdr:row>
      <xdr:rowOff>8823</xdr:rowOff>
    </xdr:from>
    <xdr:to>
      <xdr:col>6</xdr:col>
      <xdr:colOff>100263</xdr:colOff>
      <xdr:row>36</xdr:row>
      <xdr:rowOff>10026</xdr:rowOff>
    </xdr:to>
    <xdr:cxnSp macro="">
      <xdr:nvCxnSpPr>
        <xdr:cNvPr id="254" name="直線コネクタ 253">
          <a:extLst>
            <a:ext uri="{FF2B5EF4-FFF2-40B4-BE49-F238E27FC236}">
              <a16:creationId xmlns:a16="http://schemas.microsoft.com/office/drawing/2014/main" id="{85B79BAD-2DC2-40CF-84C1-A253C1D81F65}"/>
            </a:ext>
          </a:extLst>
        </xdr:cNvPr>
        <xdr:cNvCxnSpPr/>
      </xdr:nvCxnSpPr>
      <xdr:spPr bwMode="auto">
        <a:xfrm>
          <a:off x="1027698" y="3633336"/>
          <a:ext cx="461210" cy="120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171650</xdr:colOff>
      <xdr:row>44</xdr:row>
      <xdr:rowOff>5013</xdr:rowOff>
    </xdr:from>
    <xdr:to>
      <xdr:col>7</xdr:col>
      <xdr:colOff>10027</xdr:colOff>
      <xdr:row>44</xdr:row>
      <xdr:rowOff>6918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FF726882-F8A0-47EF-A890-9C9B266FE3D6}"/>
            </a:ext>
          </a:extLst>
        </xdr:cNvPr>
        <xdr:cNvCxnSpPr/>
      </xdr:nvCxnSpPr>
      <xdr:spPr bwMode="auto">
        <a:xfrm flipV="1">
          <a:off x="1018874" y="4321342"/>
          <a:ext cx="560271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51</xdr:row>
      <xdr:rowOff>40105</xdr:rowOff>
    </xdr:from>
    <xdr:to>
      <xdr:col>7</xdr:col>
      <xdr:colOff>5014</xdr:colOff>
      <xdr:row>52</xdr:row>
      <xdr:rowOff>0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7F69F4DD-0F7D-4210-8A26-0E912EA7E0F3}"/>
            </a:ext>
          </a:extLst>
        </xdr:cNvPr>
        <xdr:cNvCxnSpPr/>
      </xdr:nvCxnSpPr>
      <xdr:spPr bwMode="auto">
        <a:xfrm>
          <a:off x="1020779" y="5008144"/>
          <a:ext cx="553353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165434</xdr:colOff>
      <xdr:row>59</xdr:row>
      <xdr:rowOff>30079</xdr:rowOff>
    </xdr:from>
    <xdr:to>
      <xdr:col>11</xdr:col>
      <xdr:colOff>136559</xdr:colOff>
      <xdr:row>60</xdr:row>
      <xdr:rowOff>6918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01170991-0562-4CB9-A6E1-0332B04D49F9}"/>
            </a:ext>
          </a:extLst>
        </xdr:cNvPr>
        <xdr:cNvCxnSpPr/>
      </xdr:nvCxnSpPr>
      <xdr:spPr bwMode="auto">
        <a:xfrm>
          <a:off x="1012658" y="5689934"/>
          <a:ext cx="1414914" cy="1694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155407</xdr:colOff>
      <xdr:row>67</xdr:row>
      <xdr:rowOff>35092</xdr:rowOff>
    </xdr:from>
    <xdr:to>
      <xdr:col>13</xdr:col>
      <xdr:colOff>135355</xdr:colOff>
      <xdr:row>67</xdr:row>
      <xdr:rowOff>40105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0685FD06-8901-4B16-A68D-D80756D0EF07}"/>
            </a:ext>
          </a:extLst>
        </xdr:cNvPr>
        <xdr:cNvCxnSpPr/>
      </xdr:nvCxnSpPr>
      <xdr:spPr bwMode="auto">
        <a:xfrm>
          <a:off x="1002631" y="6386763"/>
          <a:ext cx="1784685" cy="501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130342</xdr:colOff>
      <xdr:row>69</xdr:row>
      <xdr:rowOff>16657</xdr:rowOff>
    </xdr:from>
    <xdr:to>
      <xdr:col>16</xdr:col>
      <xdr:colOff>15792</xdr:colOff>
      <xdr:row>69</xdr:row>
      <xdr:rowOff>20052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CCB237AD-63DC-4E99-9A34-4BAE07314230}"/>
            </a:ext>
          </a:extLst>
        </xdr:cNvPr>
        <xdr:cNvCxnSpPr/>
      </xdr:nvCxnSpPr>
      <xdr:spPr bwMode="auto">
        <a:xfrm flipV="1">
          <a:off x="2782303" y="6448539"/>
          <a:ext cx="426871" cy="339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167840</xdr:colOff>
      <xdr:row>76</xdr:row>
      <xdr:rowOff>0</xdr:rowOff>
    </xdr:from>
    <xdr:to>
      <xdr:col>6</xdr:col>
      <xdr:colOff>175460</xdr:colOff>
      <xdr:row>76</xdr:row>
      <xdr:rowOff>0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90FAB036-C353-4B90-AB8A-16C670E0963D}"/>
            </a:ext>
          </a:extLst>
        </xdr:cNvPr>
        <xdr:cNvCxnSpPr/>
      </xdr:nvCxnSpPr>
      <xdr:spPr bwMode="auto">
        <a:xfrm>
          <a:off x="1015064" y="7083592"/>
          <a:ext cx="549041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8824</xdr:colOff>
      <xdr:row>83</xdr:row>
      <xdr:rowOff>35092</xdr:rowOff>
    </xdr:from>
    <xdr:to>
      <xdr:col>7</xdr:col>
      <xdr:colOff>40106</xdr:colOff>
      <xdr:row>83</xdr:row>
      <xdr:rowOff>35092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B9B30394-C09F-4E4B-A515-60A870AB0EF0}"/>
            </a:ext>
          </a:extLst>
        </xdr:cNvPr>
        <xdr:cNvCxnSpPr/>
      </xdr:nvCxnSpPr>
      <xdr:spPr bwMode="auto">
        <a:xfrm>
          <a:off x="1036521" y="7770395"/>
          <a:ext cx="572703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171650</xdr:colOff>
      <xdr:row>92</xdr:row>
      <xdr:rowOff>6918</xdr:rowOff>
    </xdr:from>
    <xdr:to>
      <xdr:col>15</xdr:col>
      <xdr:colOff>60158</xdr:colOff>
      <xdr:row>92</xdr:row>
      <xdr:rowOff>10026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1DA29367-F00F-48F3-A364-34B988B47823}"/>
            </a:ext>
          </a:extLst>
        </xdr:cNvPr>
        <xdr:cNvCxnSpPr/>
      </xdr:nvCxnSpPr>
      <xdr:spPr bwMode="auto">
        <a:xfrm>
          <a:off x="1015565" y="8419398"/>
          <a:ext cx="2060208" cy="310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169744</xdr:colOff>
      <xdr:row>100</xdr:row>
      <xdr:rowOff>10027</xdr:rowOff>
    </xdr:from>
    <xdr:to>
      <xdr:col>8</xdr:col>
      <xdr:colOff>5013</xdr:colOff>
      <xdr:row>100</xdr:row>
      <xdr:rowOff>10728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CF9188AA-9BEA-4539-86B3-9E9B78729FD3}"/>
            </a:ext>
          </a:extLst>
        </xdr:cNvPr>
        <xdr:cNvCxnSpPr/>
      </xdr:nvCxnSpPr>
      <xdr:spPr bwMode="auto">
        <a:xfrm flipV="1">
          <a:off x="1016968" y="9169066"/>
          <a:ext cx="737637" cy="70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168542</xdr:colOff>
      <xdr:row>107</xdr:row>
      <xdr:rowOff>35092</xdr:rowOff>
    </xdr:from>
    <xdr:to>
      <xdr:col>11</xdr:col>
      <xdr:colOff>109537</xdr:colOff>
      <xdr:row>108</xdr:row>
      <xdr:rowOff>4763</xdr:rowOff>
    </xdr:to>
    <xdr:cxnSp macro="">
      <xdr:nvCxnSpPr>
        <xdr:cNvPr id="271" name="直線コネクタ 270">
          <a:extLst>
            <a:ext uri="{FF2B5EF4-FFF2-40B4-BE49-F238E27FC236}">
              <a16:creationId xmlns:a16="http://schemas.microsoft.com/office/drawing/2014/main" id="{6A0CA576-4A34-48E1-B975-2B3766FE20F1}"/>
            </a:ext>
          </a:extLst>
        </xdr:cNvPr>
        <xdr:cNvCxnSpPr/>
      </xdr:nvCxnSpPr>
      <xdr:spPr bwMode="auto">
        <a:xfrm>
          <a:off x="1021030" y="9779167"/>
          <a:ext cx="1388795" cy="777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145381</xdr:colOff>
      <xdr:row>109</xdr:row>
      <xdr:rowOff>25065</xdr:rowOff>
    </xdr:from>
    <xdr:to>
      <xdr:col>16</xdr:col>
      <xdr:colOff>1253</xdr:colOff>
      <xdr:row>109</xdr:row>
      <xdr:rowOff>27886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B78844CE-A85D-460E-A248-91F0F24C1AC9}"/>
            </a:ext>
          </a:extLst>
        </xdr:cNvPr>
        <xdr:cNvCxnSpPr/>
      </xdr:nvCxnSpPr>
      <xdr:spPr bwMode="auto">
        <a:xfrm>
          <a:off x="2797342" y="9916026"/>
          <a:ext cx="397293" cy="282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81A7DD7-F752-4F87-9997-9FFEE175F5F5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9575C3B8-5A6E-4F93-900F-00DC289340CA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25FF668-05B1-4891-BE32-31BB9B71726F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1E4C1CF-96AF-4E4F-8856-F3B7AFC52BD8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2779E88C-6F4A-4CEF-8C17-F7D8303287B9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35346056-B176-40B7-96CF-7AB104C0A80C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0" name="Oval 30">
          <a:extLst>
            <a:ext uri="{FF2B5EF4-FFF2-40B4-BE49-F238E27FC236}">
              <a16:creationId xmlns:a16="http://schemas.microsoft.com/office/drawing/2014/main" id="{CD92C062-B070-4382-A951-14FEB6E0114E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1" name="Oval 34">
          <a:extLst>
            <a:ext uri="{FF2B5EF4-FFF2-40B4-BE49-F238E27FC236}">
              <a16:creationId xmlns:a16="http://schemas.microsoft.com/office/drawing/2014/main" id="{694D9936-FE59-4C96-B727-0E4C5DA9989C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2" name="Oval 51">
          <a:extLst>
            <a:ext uri="{FF2B5EF4-FFF2-40B4-BE49-F238E27FC236}">
              <a16:creationId xmlns:a16="http://schemas.microsoft.com/office/drawing/2014/main" id="{D08CFA98-5959-407D-A30E-AB32D152D364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513FFB55-6FEF-4727-975D-11C32B403EC3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4" name="AutoShape 102">
          <a:extLst>
            <a:ext uri="{FF2B5EF4-FFF2-40B4-BE49-F238E27FC236}">
              <a16:creationId xmlns:a16="http://schemas.microsoft.com/office/drawing/2014/main" id="{03C22A36-1FF3-48DD-B0C3-C0C4A2128D8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67E25C01-8E0D-4EF5-A7DC-165AC62C65F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" name="Oval 104">
          <a:extLst>
            <a:ext uri="{FF2B5EF4-FFF2-40B4-BE49-F238E27FC236}">
              <a16:creationId xmlns:a16="http://schemas.microsoft.com/office/drawing/2014/main" id="{44B1BA9D-7E19-4B38-8A34-2FC32E10FDA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7" name="AutoShape 105">
          <a:extLst>
            <a:ext uri="{FF2B5EF4-FFF2-40B4-BE49-F238E27FC236}">
              <a16:creationId xmlns:a16="http://schemas.microsoft.com/office/drawing/2014/main" id="{D19F859F-B6C7-4168-A4FC-888D8D655A8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39D66D85-89F7-4E79-952C-2A887D5FF19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" name="Oval 107">
          <a:extLst>
            <a:ext uri="{FF2B5EF4-FFF2-40B4-BE49-F238E27FC236}">
              <a16:creationId xmlns:a16="http://schemas.microsoft.com/office/drawing/2014/main" id="{D11A8429-5511-43D9-8962-FC1D36C7100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1713E0F5-45BC-4946-96EC-A43B4A77F75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21" name="Rectangle 109">
          <a:extLst>
            <a:ext uri="{FF2B5EF4-FFF2-40B4-BE49-F238E27FC236}">
              <a16:creationId xmlns:a16="http://schemas.microsoft.com/office/drawing/2014/main" id="{868E7ED1-93F3-432A-B48F-DE3AA280EED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22" name="Oval 110">
          <a:extLst>
            <a:ext uri="{FF2B5EF4-FFF2-40B4-BE49-F238E27FC236}">
              <a16:creationId xmlns:a16="http://schemas.microsoft.com/office/drawing/2014/main" id="{C346900F-6EB5-4F10-82C0-28EA0504714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23" name="AutoShape 111">
          <a:extLst>
            <a:ext uri="{FF2B5EF4-FFF2-40B4-BE49-F238E27FC236}">
              <a16:creationId xmlns:a16="http://schemas.microsoft.com/office/drawing/2014/main" id="{229A7215-E700-4261-AEB6-BBDCC9A4A5E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24" name="Rectangle 112">
          <a:extLst>
            <a:ext uri="{FF2B5EF4-FFF2-40B4-BE49-F238E27FC236}">
              <a16:creationId xmlns:a16="http://schemas.microsoft.com/office/drawing/2014/main" id="{3D7221C2-EC65-4717-9EC0-23624184004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E11BE779-6151-4707-AD44-1B0519F1084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26" name="AutoShape 114">
          <a:extLst>
            <a:ext uri="{FF2B5EF4-FFF2-40B4-BE49-F238E27FC236}">
              <a16:creationId xmlns:a16="http://schemas.microsoft.com/office/drawing/2014/main" id="{18C9B80F-9CDF-4F22-B5E9-8874D01A74E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27" name="Rectangle 115">
          <a:extLst>
            <a:ext uri="{FF2B5EF4-FFF2-40B4-BE49-F238E27FC236}">
              <a16:creationId xmlns:a16="http://schemas.microsoft.com/office/drawing/2014/main" id="{D564747A-D2B6-476A-BF95-0B9AE279E0B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28" name="Oval 116">
          <a:extLst>
            <a:ext uri="{FF2B5EF4-FFF2-40B4-BE49-F238E27FC236}">
              <a16:creationId xmlns:a16="http://schemas.microsoft.com/office/drawing/2014/main" id="{7F0D7758-CECA-4999-8A4E-E872C8B73E3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29" name="AutoShape 117">
          <a:extLst>
            <a:ext uri="{FF2B5EF4-FFF2-40B4-BE49-F238E27FC236}">
              <a16:creationId xmlns:a16="http://schemas.microsoft.com/office/drawing/2014/main" id="{15F87844-FCD5-47F5-902C-DE7DBDDDE94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30" name="Rectangle 118">
          <a:extLst>
            <a:ext uri="{FF2B5EF4-FFF2-40B4-BE49-F238E27FC236}">
              <a16:creationId xmlns:a16="http://schemas.microsoft.com/office/drawing/2014/main" id="{E47D7630-A694-4553-A0AD-1EB41069F58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31" name="Oval 119">
          <a:extLst>
            <a:ext uri="{FF2B5EF4-FFF2-40B4-BE49-F238E27FC236}">
              <a16:creationId xmlns:a16="http://schemas.microsoft.com/office/drawing/2014/main" id="{3560F291-A31E-42E3-8A83-B67F2824571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32" name="AutoShape 120">
          <a:extLst>
            <a:ext uri="{FF2B5EF4-FFF2-40B4-BE49-F238E27FC236}">
              <a16:creationId xmlns:a16="http://schemas.microsoft.com/office/drawing/2014/main" id="{043136BF-83B1-4B53-9287-690589C4D03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33" name="Rectangle 121">
          <a:extLst>
            <a:ext uri="{FF2B5EF4-FFF2-40B4-BE49-F238E27FC236}">
              <a16:creationId xmlns:a16="http://schemas.microsoft.com/office/drawing/2014/main" id="{7C44EEC9-FC95-4736-B49C-9807FCD3F6A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34" name="Oval 122">
          <a:extLst>
            <a:ext uri="{FF2B5EF4-FFF2-40B4-BE49-F238E27FC236}">
              <a16:creationId xmlns:a16="http://schemas.microsoft.com/office/drawing/2014/main" id="{28E101F9-1D93-40D3-B681-8C2332D69E0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35" name="AutoShape 123">
          <a:extLst>
            <a:ext uri="{FF2B5EF4-FFF2-40B4-BE49-F238E27FC236}">
              <a16:creationId xmlns:a16="http://schemas.microsoft.com/office/drawing/2014/main" id="{A89F27C8-F641-4DA6-9C28-4F759EE0B1ED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36" name="Rectangle 124">
          <a:extLst>
            <a:ext uri="{FF2B5EF4-FFF2-40B4-BE49-F238E27FC236}">
              <a16:creationId xmlns:a16="http://schemas.microsoft.com/office/drawing/2014/main" id="{6BCD61D3-1BA7-4EC9-A544-0F97CC6D1B5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37" name="Oval 125">
          <a:extLst>
            <a:ext uri="{FF2B5EF4-FFF2-40B4-BE49-F238E27FC236}">
              <a16:creationId xmlns:a16="http://schemas.microsoft.com/office/drawing/2014/main" id="{B8335BB0-2E6E-40C5-8E8E-C8924E06C99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38" name="AutoShape 126">
          <a:extLst>
            <a:ext uri="{FF2B5EF4-FFF2-40B4-BE49-F238E27FC236}">
              <a16:creationId xmlns:a16="http://schemas.microsoft.com/office/drawing/2014/main" id="{D3E12A55-C44D-4DF4-B7DD-9B4CE83EC2A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39" name="Rectangle 127">
          <a:extLst>
            <a:ext uri="{FF2B5EF4-FFF2-40B4-BE49-F238E27FC236}">
              <a16:creationId xmlns:a16="http://schemas.microsoft.com/office/drawing/2014/main" id="{ECE18999-EE39-4738-B2D6-9DD61C17137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40" name="Oval 128">
          <a:extLst>
            <a:ext uri="{FF2B5EF4-FFF2-40B4-BE49-F238E27FC236}">
              <a16:creationId xmlns:a16="http://schemas.microsoft.com/office/drawing/2014/main" id="{B137A81F-C405-4B1A-B274-7F619C13880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41" name="AutoShape 129">
          <a:extLst>
            <a:ext uri="{FF2B5EF4-FFF2-40B4-BE49-F238E27FC236}">
              <a16:creationId xmlns:a16="http://schemas.microsoft.com/office/drawing/2014/main" id="{28AE455D-619F-4B19-B668-1DB7D64E85DA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42" name="Rectangle 130">
          <a:extLst>
            <a:ext uri="{FF2B5EF4-FFF2-40B4-BE49-F238E27FC236}">
              <a16:creationId xmlns:a16="http://schemas.microsoft.com/office/drawing/2014/main" id="{D8F93FE5-4BFB-40E3-942B-8783D360845A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43" name="Oval 131">
          <a:extLst>
            <a:ext uri="{FF2B5EF4-FFF2-40B4-BE49-F238E27FC236}">
              <a16:creationId xmlns:a16="http://schemas.microsoft.com/office/drawing/2014/main" id="{38ECEA04-2C2D-42F4-BE35-3E63A4FD98C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44" name="AutoShape 132">
          <a:extLst>
            <a:ext uri="{FF2B5EF4-FFF2-40B4-BE49-F238E27FC236}">
              <a16:creationId xmlns:a16="http://schemas.microsoft.com/office/drawing/2014/main" id="{913D1712-3AF1-42FA-B5F6-93BB1896FBC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45" name="Rectangle 133">
          <a:extLst>
            <a:ext uri="{FF2B5EF4-FFF2-40B4-BE49-F238E27FC236}">
              <a16:creationId xmlns:a16="http://schemas.microsoft.com/office/drawing/2014/main" id="{97AF4DC7-0649-46F8-B9D3-87045FA0170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46" name="Oval 134">
          <a:extLst>
            <a:ext uri="{FF2B5EF4-FFF2-40B4-BE49-F238E27FC236}">
              <a16:creationId xmlns:a16="http://schemas.microsoft.com/office/drawing/2014/main" id="{109B8E7E-7D18-4CE1-9500-B15CD5103ED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47" name="AutoShape 135">
          <a:extLst>
            <a:ext uri="{FF2B5EF4-FFF2-40B4-BE49-F238E27FC236}">
              <a16:creationId xmlns:a16="http://schemas.microsoft.com/office/drawing/2014/main" id="{65F450A4-EA76-41E0-969C-387BE4A37BC9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48" name="Rectangle 136">
          <a:extLst>
            <a:ext uri="{FF2B5EF4-FFF2-40B4-BE49-F238E27FC236}">
              <a16:creationId xmlns:a16="http://schemas.microsoft.com/office/drawing/2014/main" id="{605B78CB-9396-4D21-AD05-DFBEC1A53A5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49" name="Oval 137">
          <a:extLst>
            <a:ext uri="{FF2B5EF4-FFF2-40B4-BE49-F238E27FC236}">
              <a16:creationId xmlns:a16="http://schemas.microsoft.com/office/drawing/2014/main" id="{4DB77422-4B2F-4E81-91DD-534DCDFBADD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50" name="AutoShape 138">
          <a:extLst>
            <a:ext uri="{FF2B5EF4-FFF2-40B4-BE49-F238E27FC236}">
              <a16:creationId xmlns:a16="http://schemas.microsoft.com/office/drawing/2014/main" id="{DD232C13-33B8-4340-B9C9-0DF91A69250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51" name="Rectangle 139">
          <a:extLst>
            <a:ext uri="{FF2B5EF4-FFF2-40B4-BE49-F238E27FC236}">
              <a16:creationId xmlns:a16="http://schemas.microsoft.com/office/drawing/2014/main" id="{EAD78596-AF17-4EFD-9436-18DC2987B0B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52" name="Oval 140">
          <a:extLst>
            <a:ext uri="{FF2B5EF4-FFF2-40B4-BE49-F238E27FC236}">
              <a16:creationId xmlns:a16="http://schemas.microsoft.com/office/drawing/2014/main" id="{D0B6B104-3B31-435B-A26F-C8BF1679E37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53" name="Rectangle 141">
          <a:extLst>
            <a:ext uri="{FF2B5EF4-FFF2-40B4-BE49-F238E27FC236}">
              <a16:creationId xmlns:a16="http://schemas.microsoft.com/office/drawing/2014/main" id="{83D49F3C-0088-4E80-9A3A-D642C144361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54" name="AutoShape 142">
          <a:extLst>
            <a:ext uri="{FF2B5EF4-FFF2-40B4-BE49-F238E27FC236}">
              <a16:creationId xmlns:a16="http://schemas.microsoft.com/office/drawing/2014/main" id="{2A205F33-2DD2-4D0A-B43B-870612B3069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AB6A53C2-088D-4435-8633-F3C31AF51A6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56" name="Oval 144">
          <a:extLst>
            <a:ext uri="{FF2B5EF4-FFF2-40B4-BE49-F238E27FC236}">
              <a16:creationId xmlns:a16="http://schemas.microsoft.com/office/drawing/2014/main" id="{1F526595-F4AF-4AFD-835D-60625E5D9B5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57" name="AutoShape 145">
          <a:extLst>
            <a:ext uri="{FF2B5EF4-FFF2-40B4-BE49-F238E27FC236}">
              <a16:creationId xmlns:a16="http://schemas.microsoft.com/office/drawing/2014/main" id="{1C619147-E83B-4B23-8FAE-E887A8EB199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58" name="Rectangle 146">
          <a:extLst>
            <a:ext uri="{FF2B5EF4-FFF2-40B4-BE49-F238E27FC236}">
              <a16:creationId xmlns:a16="http://schemas.microsoft.com/office/drawing/2014/main" id="{6CE48D91-B94F-4741-9351-3910D0589CB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59" name="Oval 147">
          <a:extLst>
            <a:ext uri="{FF2B5EF4-FFF2-40B4-BE49-F238E27FC236}">
              <a16:creationId xmlns:a16="http://schemas.microsoft.com/office/drawing/2014/main" id="{335C8AC1-73B0-4B9C-9CEC-ADD0CD7F95C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60" name="AutoShape 148">
          <a:extLst>
            <a:ext uri="{FF2B5EF4-FFF2-40B4-BE49-F238E27FC236}">
              <a16:creationId xmlns:a16="http://schemas.microsoft.com/office/drawing/2014/main" id="{ECAAE5B5-777B-4226-B202-2CA3FF85B25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61" name="Rectangle 149">
          <a:extLst>
            <a:ext uri="{FF2B5EF4-FFF2-40B4-BE49-F238E27FC236}">
              <a16:creationId xmlns:a16="http://schemas.microsoft.com/office/drawing/2014/main" id="{09B8DB57-BE20-45AD-BF9F-522854B3173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2" name="Oval 150">
          <a:extLst>
            <a:ext uri="{FF2B5EF4-FFF2-40B4-BE49-F238E27FC236}">
              <a16:creationId xmlns:a16="http://schemas.microsoft.com/office/drawing/2014/main" id="{613044AB-E578-490C-9A93-9F529324FF1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3" name="Oval 151">
          <a:extLst>
            <a:ext uri="{FF2B5EF4-FFF2-40B4-BE49-F238E27FC236}">
              <a16:creationId xmlns:a16="http://schemas.microsoft.com/office/drawing/2014/main" id="{642A9E56-5077-483A-83B6-B2CCD82089A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4" name="Oval 152">
          <a:extLst>
            <a:ext uri="{FF2B5EF4-FFF2-40B4-BE49-F238E27FC236}">
              <a16:creationId xmlns:a16="http://schemas.microsoft.com/office/drawing/2014/main" id="{3B312AB8-DA19-4D01-90E8-BDF320ABF63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5" name="Oval 153">
          <a:extLst>
            <a:ext uri="{FF2B5EF4-FFF2-40B4-BE49-F238E27FC236}">
              <a16:creationId xmlns:a16="http://schemas.microsoft.com/office/drawing/2014/main" id="{B498DA54-58C1-4C48-A63A-33EE013DAA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66" name="AutoShape 154">
          <a:extLst>
            <a:ext uri="{FF2B5EF4-FFF2-40B4-BE49-F238E27FC236}">
              <a16:creationId xmlns:a16="http://schemas.microsoft.com/office/drawing/2014/main" id="{9098280D-9FD3-46B7-9C0C-F593F6B0C30C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67" name="Rectangle 155">
          <a:extLst>
            <a:ext uri="{FF2B5EF4-FFF2-40B4-BE49-F238E27FC236}">
              <a16:creationId xmlns:a16="http://schemas.microsoft.com/office/drawing/2014/main" id="{002609D8-119F-4748-819A-6D97DAB266C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8" name="Oval 156">
          <a:extLst>
            <a:ext uri="{FF2B5EF4-FFF2-40B4-BE49-F238E27FC236}">
              <a16:creationId xmlns:a16="http://schemas.microsoft.com/office/drawing/2014/main" id="{A272EC49-2F87-481F-82E8-BC55DE983D2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69" name="Oval 157">
          <a:extLst>
            <a:ext uri="{FF2B5EF4-FFF2-40B4-BE49-F238E27FC236}">
              <a16:creationId xmlns:a16="http://schemas.microsoft.com/office/drawing/2014/main" id="{6D9E390A-2E8C-4B8B-9C2F-5E19363D7A4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0" name="Oval 158">
          <a:extLst>
            <a:ext uri="{FF2B5EF4-FFF2-40B4-BE49-F238E27FC236}">
              <a16:creationId xmlns:a16="http://schemas.microsoft.com/office/drawing/2014/main" id="{3F623913-37D5-46A3-9698-B32C7CCCB84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1" name="Oval 159">
          <a:extLst>
            <a:ext uri="{FF2B5EF4-FFF2-40B4-BE49-F238E27FC236}">
              <a16:creationId xmlns:a16="http://schemas.microsoft.com/office/drawing/2014/main" id="{28C1403D-CE6D-488B-8652-8FB35BCD462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72" name="AutoShape 160">
          <a:extLst>
            <a:ext uri="{FF2B5EF4-FFF2-40B4-BE49-F238E27FC236}">
              <a16:creationId xmlns:a16="http://schemas.microsoft.com/office/drawing/2014/main" id="{9112FE97-607C-4486-84A7-6A7E9F00F123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73" name="Rectangle 161">
          <a:extLst>
            <a:ext uri="{FF2B5EF4-FFF2-40B4-BE49-F238E27FC236}">
              <a16:creationId xmlns:a16="http://schemas.microsoft.com/office/drawing/2014/main" id="{C2133454-C9DD-4646-B39C-D0BA655977E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4" name="Oval 162">
          <a:extLst>
            <a:ext uri="{FF2B5EF4-FFF2-40B4-BE49-F238E27FC236}">
              <a16:creationId xmlns:a16="http://schemas.microsoft.com/office/drawing/2014/main" id="{E7CE164A-1DF1-4077-90A6-C4DE8FBE2E7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5" name="Oval 163">
          <a:extLst>
            <a:ext uri="{FF2B5EF4-FFF2-40B4-BE49-F238E27FC236}">
              <a16:creationId xmlns:a16="http://schemas.microsoft.com/office/drawing/2014/main" id="{4C8600F4-4D69-4E03-B8D3-A1DC1E6D3B9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6" name="Oval 164">
          <a:extLst>
            <a:ext uri="{FF2B5EF4-FFF2-40B4-BE49-F238E27FC236}">
              <a16:creationId xmlns:a16="http://schemas.microsoft.com/office/drawing/2014/main" id="{20385B5D-90E3-4C0D-A9F4-FF21C062DBE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77" name="Oval 165">
          <a:extLst>
            <a:ext uri="{FF2B5EF4-FFF2-40B4-BE49-F238E27FC236}">
              <a16:creationId xmlns:a16="http://schemas.microsoft.com/office/drawing/2014/main" id="{AD596E38-B996-490D-AEA8-62EC361B3D3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78" name="AutoShape 166">
          <a:extLst>
            <a:ext uri="{FF2B5EF4-FFF2-40B4-BE49-F238E27FC236}">
              <a16:creationId xmlns:a16="http://schemas.microsoft.com/office/drawing/2014/main" id="{F2B81090-9794-4782-A813-D7B368B95C4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DEE60E8F-C550-4A9E-A2FD-3070AA539F6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0" name="Oval 168">
          <a:extLst>
            <a:ext uri="{FF2B5EF4-FFF2-40B4-BE49-F238E27FC236}">
              <a16:creationId xmlns:a16="http://schemas.microsoft.com/office/drawing/2014/main" id="{59558050-DCC2-4C95-9345-A950C263F58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1" name="Oval 169">
          <a:extLst>
            <a:ext uri="{FF2B5EF4-FFF2-40B4-BE49-F238E27FC236}">
              <a16:creationId xmlns:a16="http://schemas.microsoft.com/office/drawing/2014/main" id="{68BA36B8-E467-443D-8E7B-04811B07239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2" name="Oval 170">
          <a:extLst>
            <a:ext uri="{FF2B5EF4-FFF2-40B4-BE49-F238E27FC236}">
              <a16:creationId xmlns:a16="http://schemas.microsoft.com/office/drawing/2014/main" id="{6465542F-D072-4509-A4E2-5E3FA73798E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3" name="Oval 171">
          <a:extLst>
            <a:ext uri="{FF2B5EF4-FFF2-40B4-BE49-F238E27FC236}">
              <a16:creationId xmlns:a16="http://schemas.microsoft.com/office/drawing/2014/main" id="{47C2E6EA-F16D-40D8-954B-F7EAB95CFC1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84" name="AutoShape 172">
          <a:extLst>
            <a:ext uri="{FF2B5EF4-FFF2-40B4-BE49-F238E27FC236}">
              <a16:creationId xmlns:a16="http://schemas.microsoft.com/office/drawing/2014/main" id="{51957A55-3B38-4ADE-8CAB-F4F2722CB98E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85" name="Rectangle 173">
          <a:extLst>
            <a:ext uri="{FF2B5EF4-FFF2-40B4-BE49-F238E27FC236}">
              <a16:creationId xmlns:a16="http://schemas.microsoft.com/office/drawing/2014/main" id="{01ACA774-D0C7-4DE6-9CC3-FD273E0581A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6" name="Oval 174">
          <a:extLst>
            <a:ext uri="{FF2B5EF4-FFF2-40B4-BE49-F238E27FC236}">
              <a16:creationId xmlns:a16="http://schemas.microsoft.com/office/drawing/2014/main" id="{89B56CA3-1D43-4244-B353-AD024486290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7" name="Oval 175">
          <a:extLst>
            <a:ext uri="{FF2B5EF4-FFF2-40B4-BE49-F238E27FC236}">
              <a16:creationId xmlns:a16="http://schemas.microsoft.com/office/drawing/2014/main" id="{F21266F2-85A6-4EBC-8137-6FDB0C52F01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8" name="Oval 176">
          <a:extLst>
            <a:ext uri="{FF2B5EF4-FFF2-40B4-BE49-F238E27FC236}">
              <a16:creationId xmlns:a16="http://schemas.microsoft.com/office/drawing/2014/main" id="{A42FD368-CF1B-43BC-B091-F419F132782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89" name="Oval 177">
          <a:extLst>
            <a:ext uri="{FF2B5EF4-FFF2-40B4-BE49-F238E27FC236}">
              <a16:creationId xmlns:a16="http://schemas.microsoft.com/office/drawing/2014/main" id="{618AA98F-8876-45BA-96CD-3F2394599D6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90" name="AutoShape 178">
          <a:extLst>
            <a:ext uri="{FF2B5EF4-FFF2-40B4-BE49-F238E27FC236}">
              <a16:creationId xmlns:a16="http://schemas.microsoft.com/office/drawing/2014/main" id="{F94B8035-F7A6-42E2-831B-1F5FADB1455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91" name="Rectangle 179">
          <a:extLst>
            <a:ext uri="{FF2B5EF4-FFF2-40B4-BE49-F238E27FC236}">
              <a16:creationId xmlns:a16="http://schemas.microsoft.com/office/drawing/2014/main" id="{8AE8344A-6542-4D09-9E89-3A0F9A8E7DE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2" name="Oval 180">
          <a:extLst>
            <a:ext uri="{FF2B5EF4-FFF2-40B4-BE49-F238E27FC236}">
              <a16:creationId xmlns:a16="http://schemas.microsoft.com/office/drawing/2014/main" id="{48D9714E-3EBF-4663-9C93-972EFAF339E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3" name="Oval 181">
          <a:extLst>
            <a:ext uri="{FF2B5EF4-FFF2-40B4-BE49-F238E27FC236}">
              <a16:creationId xmlns:a16="http://schemas.microsoft.com/office/drawing/2014/main" id="{8E9EF401-7626-488A-9790-F26379C6DEC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4" name="Oval 182">
          <a:extLst>
            <a:ext uri="{FF2B5EF4-FFF2-40B4-BE49-F238E27FC236}">
              <a16:creationId xmlns:a16="http://schemas.microsoft.com/office/drawing/2014/main" id="{48468E53-ECE3-49F6-B773-0C1A87A8BD7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5" name="Oval 183">
          <a:extLst>
            <a:ext uri="{FF2B5EF4-FFF2-40B4-BE49-F238E27FC236}">
              <a16:creationId xmlns:a16="http://schemas.microsoft.com/office/drawing/2014/main" id="{FA4714C9-49E5-4A59-9099-66AADE0F673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96" name="AutoShape 184">
          <a:extLst>
            <a:ext uri="{FF2B5EF4-FFF2-40B4-BE49-F238E27FC236}">
              <a16:creationId xmlns:a16="http://schemas.microsoft.com/office/drawing/2014/main" id="{B878FC49-EB1C-4627-B576-6D3D2D293B6B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97" name="Rectangle 185">
          <a:extLst>
            <a:ext uri="{FF2B5EF4-FFF2-40B4-BE49-F238E27FC236}">
              <a16:creationId xmlns:a16="http://schemas.microsoft.com/office/drawing/2014/main" id="{4A9C9A16-F137-4512-9DA8-BB6A42157AF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8" name="Oval 186">
          <a:extLst>
            <a:ext uri="{FF2B5EF4-FFF2-40B4-BE49-F238E27FC236}">
              <a16:creationId xmlns:a16="http://schemas.microsoft.com/office/drawing/2014/main" id="{3C0C5D6D-3941-4934-B73F-6DE4DE8BDF3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99" name="Oval 187">
          <a:extLst>
            <a:ext uri="{FF2B5EF4-FFF2-40B4-BE49-F238E27FC236}">
              <a16:creationId xmlns:a16="http://schemas.microsoft.com/office/drawing/2014/main" id="{9ED42FEC-B8DE-4598-82AC-BA48A9C42E4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0" name="Oval 188">
          <a:extLst>
            <a:ext uri="{FF2B5EF4-FFF2-40B4-BE49-F238E27FC236}">
              <a16:creationId xmlns:a16="http://schemas.microsoft.com/office/drawing/2014/main" id="{B4E7DB3B-9ECE-49E0-875C-D5B07FD6321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1" name="Oval 189">
          <a:extLst>
            <a:ext uri="{FF2B5EF4-FFF2-40B4-BE49-F238E27FC236}">
              <a16:creationId xmlns:a16="http://schemas.microsoft.com/office/drawing/2014/main" id="{72459F2A-99DE-48D1-B16D-BF0170EE3F1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02" name="AutoShape 190">
          <a:extLst>
            <a:ext uri="{FF2B5EF4-FFF2-40B4-BE49-F238E27FC236}">
              <a16:creationId xmlns:a16="http://schemas.microsoft.com/office/drawing/2014/main" id="{B2B66DA5-9FFC-4827-9A83-F626FD604135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03" name="Rectangle 191">
          <a:extLst>
            <a:ext uri="{FF2B5EF4-FFF2-40B4-BE49-F238E27FC236}">
              <a16:creationId xmlns:a16="http://schemas.microsoft.com/office/drawing/2014/main" id="{CDBD66B5-1036-42B1-884C-03EF0C385A4D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4" name="Oval 192">
          <a:extLst>
            <a:ext uri="{FF2B5EF4-FFF2-40B4-BE49-F238E27FC236}">
              <a16:creationId xmlns:a16="http://schemas.microsoft.com/office/drawing/2014/main" id="{541206FA-0526-4E61-833A-D382824FB1F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5" name="Oval 193">
          <a:extLst>
            <a:ext uri="{FF2B5EF4-FFF2-40B4-BE49-F238E27FC236}">
              <a16:creationId xmlns:a16="http://schemas.microsoft.com/office/drawing/2014/main" id="{20DC715C-3CD9-4364-992D-C1B9F48D4B0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6" name="Oval 194">
          <a:extLst>
            <a:ext uri="{FF2B5EF4-FFF2-40B4-BE49-F238E27FC236}">
              <a16:creationId xmlns:a16="http://schemas.microsoft.com/office/drawing/2014/main" id="{1FFE5C7C-EAA6-4024-8554-6B659F480F8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07" name="Oval 195">
          <a:extLst>
            <a:ext uri="{FF2B5EF4-FFF2-40B4-BE49-F238E27FC236}">
              <a16:creationId xmlns:a16="http://schemas.microsoft.com/office/drawing/2014/main" id="{0F48D18E-6CAE-403A-ADAE-2F0EE8BA4BF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08" name="AutoShape 196">
          <a:extLst>
            <a:ext uri="{FF2B5EF4-FFF2-40B4-BE49-F238E27FC236}">
              <a16:creationId xmlns:a16="http://schemas.microsoft.com/office/drawing/2014/main" id="{917C4997-9201-4924-B5C7-2E6D902EBD5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09" name="Rectangle 197">
          <a:extLst>
            <a:ext uri="{FF2B5EF4-FFF2-40B4-BE49-F238E27FC236}">
              <a16:creationId xmlns:a16="http://schemas.microsoft.com/office/drawing/2014/main" id="{F80DC1BE-7787-4D50-9D1C-2FD4C53656E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0" name="Oval 198">
          <a:extLst>
            <a:ext uri="{FF2B5EF4-FFF2-40B4-BE49-F238E27FC236}">
              <a16:creationId xmlns:a16="http://schemas.microsoft.com/office/drawing/2014/main" id="{81683D3D-E4A9-4B01-B7C6-9143C192A62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1" name="Oval 199">
          <a:extLst>
            <a:ext uri="{FF2B5EF4-FFF2-40B4-BE49-F238E27FC236}">
              <a16:creationId xmlns:a16="http://schemas.microsoft.com/office/drawing/2014/main" id="{D34A27BE-869F-4A09-91BB-EF37977B9C2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2" name="Oval 200">
          <a:extLst>
            <a:ext uri="{FF2B5EF4-FFF2-40B4-BE49-F238E27FC236}">
              <a16:creationId xmlns:a16="http://schemas.microsoft.com/office/drawing/2014/main" id="{FD577FFA-8541-4240-9ADF-638472891CF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3" name="Oval 201">
          <a:extLst>
            <a:ext uri="{FF2B5EF4-FFF2-40B4-BE49-F238E27FC236}">
              <a16:creationId xmlns:a16="http://schemas.microsoft.com/office/drawing/2014/main" id="{34B3098A-4733-4163-B0BB-08E5B031BA9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14" name="AutoShape 202">
          <a:extLst>
            <a:ext uri="{FF2B5EF4-FFF2-40B4-BE49-F238E27FC236}">
              <a16:creationId xmlns:a16="http://schemas.microsoft.com/office/drawing/2014/main" id="{B86A4E93-9C0A-4FC6-A470-71EA3BBAF3C4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15" name="Rectangle 203">
          <a:extLst>
            <a:ext uri="{FF2B5EF4-FFF2-40B4-BE49-F238E27FC236}">
              <a16:creationId xmlns:a16="http://schemas.microsoft.com/office/drawing/2014/main" id="{DD98053A-CB17-474C-ABE9-15F00BF08BC2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6" name="Oval 204">
          <a:extLst>
            <a:ext uri="{FF2B5EF4-FFF2-40B4-BE49-F238E27FC236}">
              <a16:creationId xmlns:a16="http://schemas.microsoft.com/office/drawing/2014/main" id="{E9CEE45F-21C6-4C64-BCA0-50516868EB8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7" name="Oval 205">
          <a:extLst>
            <a:ext uri="{FF2B5EF4-FFF2-40B4-BE49-F238E27FC236}">
              <a16:creationId xmlns:a16="http://schemas.microsoft.com/office/drawing/2014/main" id="{A464DD19-228B-427A-9EE0-0A54222277F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8" name="Oval 206">
          <a:extLst>
            <a:ext uri="{FF2B5EF4-FFF2-40B4-BE49-F238E27FC236}">
              <a16:creationId xmlns:a16="http://schemas.microsoft.com/office/drawing/2014/main" id="{0D0EACCE-F12E-4F0E-B3F2-69ECDC5D9A0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19" name="Oval 207">
          <a:extLst>
            <a:ext uri="{FF2B5EF4-FFF2-40B4-BE49-F238E27FC236}">
              <a16:creationId xmlns:a16="http://schemas.microsoft.com/office/drawing/2014/main" id="{07397F3C-C8E8-4C48-9FC5-9B0EDCAF210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20" name="AutoShape 208">
          <a:extLst>
            <a:ext uri="{FF2B5EF4-FFF2-40B4-BE49-F238E27FC236}">
              <a16:creationId xmlns:a16="http://schemas.microsoft.com/office/drawing/2014/main" id="{0FB66A7F-0180-495B-813E-BC5AF8FD677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21" name="Rectangle 209">
          <a:extLst>
            <a:ext uri="{FF2B5EF4-FFF2-40B4-BE49-F238E27FC236}">
              <a16:creationId xmlns:a16="http://schemas.microsoft.com/office/drawing/2014/main" id="{326EBBC5-5D17-46E9-9A8F-88E7C62475EC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2" name="Oval 210">
          <a:extLst>
            <a:ext uri="{FF2B5EF4-FFF2-40B4-BE49-F238E27FC236}">
              <a16:creationId xmlns:a16="http://schemas.microsoft.com/office/drawing/2014/main" id="{4FAE6440-222D-453C-8B8E-99E5AB3B238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3" name="Oval 211">
          <a:extLst>
            <a:ext uri="{FF2B5EF4-FFF2-40B4-BE49-F238E27FC236}">
              <a16:creationId xmlns:a16="http://schemas.microsoft.com/office/drawing/2014/main" id="{4FD07B3A-CF8C-4B19-A35C-1C1223B8313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4" name="Oval 212">
          <a:extLst>
            <a:ext uri="{FF2B5EF4-FFF2-40B4-BE49-F238E27FC236}">
              <a16:creationId xmlns:a16="http://schemas.microsoft.com/office/drawing/2014/main" id="{A98A0B28-E957-4561-8648-BB07486C9A6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5" name="Oval 213">
          <a:extLst>
            <a:ext uri="{FF2B5EF4-FFF2-40B4-BE49-F238E27FC236}">
              <a16:creationId xmlns:a16="http://schemas.microsoft.com/office/drawing/2014/main" id="{53105AE3-8D3B-4F42-BC7E-7B32D4B2984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26" name="AutoShape 214">
          <a:extLst>
            <a:ext uri="{FF2B5EF4-FFF2-40B4-BE49-F238E27FC236}">
              <a16:creationId xmlns:a16="http://schemas.microsoft.com/office/drawing/2014/main" id="{9A1C4B7B-5752-456E-A313-80D125AD3B77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27" name="Rectangle 215">
          <a:extLst>
            <a:ext uri="{FF2B5EF4-FFF2-40B4-BE49-F238E27FC236}">
              <a16:creationId xmlns:a16="http://schemas.microsoft.com/office/drawing/2014/main" id="{F3948D2F-D860-4539-88AA-41E1345169AE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8" name="Oval 216">
          <a:extLst>
            <a:ext uri="{FF2B5EF4-FFF2-40B4-BE49-F238E27FC236}">
              <a16:creationId xmlns:a16="http://schemas.microsoft.com/office/drawing/2014/main" id="{6C9DA093-B566-413D-B5F7-D6E5B834C73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29" name="Oval 217">
          <a:extLst>
            <a:ext uri="{FF2B5EF4-FFF2-40B4-BE49-F238E27FC236}">
              <a16:creationId xmlns:a16="http://schemas.microsoft.com/office/drawing/2014/main" id="{7E84560A-74FB-43D3-9E31-D92ED6A91C0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0" name="Oval 218">
          <a:extLst>
            <a:ext uri="{FF2B5EF4-FFF2-40B4-BE49-F238E27FC236}">
              <a16:creationId xmlns:a16="http://schemas.microsoft.com/office/drawing/2014/main" id="{FB61CAD7-E317-4C3B-91ED-EAB5B4C00FB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1" name="Oval 219">
          <a:extLst>
            <a:ext uri="{FF2B5EF4-FFF2-40B4-BE49-F238E27FC236}">
              <a16:creationId xmlns:a16="http://schemas.microsoft.com/office/drawing/2014/main" id="{37A48654-0A98-4BA8-A881-F11A67A6DEF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32" name="AutoShape 220">
          <a:extLst>
            <a:ext uri="{FF2B5EF4-FFF2-40B4-BE49-F238E27FC236}">
              <a16:creationId xmlns:a16="http://schemas.microsoft.com/office/drawing/2014/main" id="{E6000DD2-7C78-461A-A45B-676FD62F79D2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33" name="Rectangle 221">
          <a:extLst>
            <a:ext uri="{FF2B5EF4-FFF2-40B4-BE49-F238E27FC236}">
              <a16:creationId xmlns:a16="http://schemas.microsoft.com/office/drawing/2014/main" id="{1B26BC19-5130-4B5C-B315-C9C592FE07C9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4" name="Oval 222">
          <a:extLst>
            <a:ext uri="{FF2B5EF4-FFF2-40B4-BE49-F238E27FC236}">
              <a16:creationId xmlns:a16="http://schemas.microsoft.com/office/drawing/2014/main" id="{CCD15BD3-AE77-427A-A964-903B534C792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5" name="Oval 223">
          <a:extLst>
            <a:ext uri="{FF2B5EF4-FFF2-40B4-BE49-F238E27FC236}">
              <a16:creationId xmlns:a16="http://schemas.microsoft.com/office/drawing/2014/main" id="{1A7CA00D-55AB-4CAD-9E73-106548502475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6" name="Oval 224">
          <a:extLst>
            <a:ext uri="{FF2B5EF4-FFF2-40B4-BE49-F238E27FC236}">
              <a16:creationId xmlns:a16="http://schemas.microsoft.com/office/drawing/2014/main" id="{C360EF0A-63C3-4329-8D55-D5FC1712B55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37" name="Oval 225">
          <a:extLst>
            <a:ext uri="{FF2B5EF4-FFF2-40B4-BE49-F238E27FC236}">
              <a16:creationId xmlns:a16="http://schemas.microsoft.com/office/drawing/2014/main" id="{0799B486-4BEB-4160-8115-72D711A3D74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38" name="AutoShape 226">
          <a:extLst>
            <a:ext uri="{FF2B5EF4-FFF2-40B4-BE49-F238E27FC236}">
              <a16:creationId xmlns:a16="http://schemas.microsoft.com/office/drawing/2014/main" id="{08F89166-1C4B-46DF-AFC6-BD144172E8E1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39" name="Rectangle 227">
          <a:extLst>
            <a:ext uri="{FF2B5EF4-FFF2-40B4-BE49-F238E27FC236}">
              <a16:creationId xmlns:a16="http://schemas.microsoft.com/office/drawing/2014/main" id="{1B53EF69-4CCF-4FE0-96BE-FB27D1A7FA01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0" name="Oval 228">
          <a:extLst>
            <a:ext uri="{FF2B5EF4-FFF2-40B4-BE49-F238E27FC236}">
              <a16:creationId xmlns:a16="http://schemas.microsoft.com/office/drawing/2014/main" id="{680C2D44-4521-4691-847E-49B8B2ABEAE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1" name="Oval 229">
          <a:extLst>
            <a:ext uri="{FF2B5EF4-FFF2-40B4-BE49-F238E27FC236}">
              <a16:creationId xmlns:a16="http://schemas.microsoft.com/office/drawing/2014/main" id="{5D167D0F-A3CC-4289-9486-C4AE1E66314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2" name="Oval 230">
          <a:extLst>
            <a:ext uri="{FF2B5EF4-FFF2-40B4-BE49-F238E27FC236}">
              <a16:creationId xmlns:a16="http://schemas.microsoft.com/office/drawing/2014/main" id="{70192701-FA3C-4371-9AEA-77BE1F64B804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3" name="Oval 231">
          <a:extLst>
            <a:ext uri="{FF2B5EF4-FFF2-40B4-BE49-F238E27FC236}">
              <a16:creationId xmlns:a16="http://schemas.microsoft.com/office/drawing/2014/main" id="{98E671A4-41D5-4EF3-BCD3-7AE22093A5D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44" name="AutoShape 232">
          <a:extLst>
            <a:ext uri="{FF2B5EF4-FFF2-40B4-BE49-F238E27FC236}">
              <a16:creationId xmlns:a16="http://schemas.microsoft.com/office/drawing/2014/main" id="{47D15196-3D32-4E03-B8A4-B6F39E8757F7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45" name="Rectangle 233">
          <a:extLst>
            <a:ext uri="{FF2B5EF4-FFF2-40B4-BE49-F238E27FC236}">
              <a16:creationId xmlns:a16="http://schemas.microsoft.com/office/drawing/2014/main" id="{64C703D5-0B58-444F-9538-0F3A1070F1E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6" name="Oval 234">
          <a:extLst>
            <a:ext uri="{FF2B5EF4-FFF2-40B4-BE49-F238E27FC236}">
              <a16:creationId xmlns:a16="http://schemas.microsoft.com/office/drawing/2014/main" id="{73B42F61-1509-4DB0-865A-1DBB66C88442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7" name="Oval 235">
          <a:extLst>
            <a:ext uri="{FF2B5EF4-FFF2-40B4-BE49-F238E27FC236}">
              <a16:creationId xmlns:a16="http://schemas.microsoft.com/office/drawing/2014/main" id="{4C57C80E-5CEE-451F-B100-647FFEAE7F7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8" name="Oval 236">
          <a:extLst>
            <a:ext uri="{FF2B5EF4-FFF2-40B4-BE49-F238E27FC236}">
              <a16:creationId xmlns:a16="http://schemas.microsoft.com/office/drawing/2014/main" id="{4AB8DCC9-9ABA-4C9C-9F9D-4404BD29F68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49" name="Oval 237">
          <a:extLst>
            <a:ext uri="{FF2B5EF4-FFF2-40B4-BE49-F238E27FC236}">
              <a16:creationId xmlns:a16="http://schemas.microsoft.com/office/drawing/2014/main" id="{022A7AD2-17B4-421E-8D94-EB51608916C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50" name="AutoShape 238">
          <a:extLst>
            <a:ext uri="{FF2B5EF4-FFF2-40B4-BE49-F238E27FC236}">
              <a16:creationId xmlns:a16="http://schemas.microsoft.com/office/drawing/2014/main" id="{F4BE903A-A03F-4B32-B9D0-9E1177AF4A3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51" name="Rectangle 239">
          <a:extLst>
            <a:ext uri="{FF2B5EF4-FFF2-40B4-BE49-F238E27FC236}">
              <a16:creationId xmlns:a16="http://schemas.microsoft.com/office/drawing/2014/main" id="{FEA7D41D-A9DC-4C1B-8221-8F1AF89748C4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2" name="Oval 240">
          <a:extLst>
            <a:ext uri="{FF2B5EF4-FFF2-40B4-BE49-F238E27FC236}">
              <a16:creationId xmlns:a16="http://schemas.microsoft.com/office/drawing/2014/main" id="{83D208E4-2C92-44B4-B4A3-0771E23F64C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3" name="Oval 241">
          <a:extLst>
            <a:ext uri="{FF2B5EF4-FFF2-40B4-BE49-F238E27FC236}">
              <a16:creationId xmlns:a16="http://schemas.microsoft.com/office/drawing/2014/main" id="{6BA9FE8D-FFE7-4FEF-B18A-AA764056C36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4" name="Oval 242">
          <a:extLst>
            <a:ext uri="{FF2B5EF4-FFF2-40B4-BE49-F238E27FC236}">
              <a16:creationId xmlns:a16="http://schemas.microsoft.com/office/drawing/2014/main" id="{CEA2A236-2979-46E1-BB11-42BE8E17262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5" name="Oval 243">
          <a:extLst>
            <a:ext uri="{FF2B5EF4-FFF2-40B4-BE49-F238E27FC236}">
              <a16:creationId xmlns:a16="http://schemas.microsoft.com/office/drawing/2014/main" id="{9ED043E2-4A22-482A-ABDF-87CB48809F2A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56" name="AutoShape 244">
          <a:extLst>
            <a:ext uri="{FF2B5EF4-FFF2-40B4-BE49-F238E27FC236}">
              <a16:creationId xmlns:a16="http://schemas.microsoft.com/office/drawing/2014/main" id="{731A91AB-BAE1-43EB-AAED-1DAC6F51A5E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57" name="Rectangle 245">
          <a:extLst>
            <a:ext uri="{FF2B5EF4-FFF2-40B4-BE49-F238E27FC236}">
              <a16:creationId xmlns:a16="http://schemas.microsoft.com/office/drawing/2014/main" id="{C934FDD2-B9F8-464C-A8B4-C5A54BD18895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8" name="Oval 246">
          <a:extLst>
            <a:ext uri="{FF2B5EF4-FFF2-40B4-BE49-F238E27FC236}">
              <a16:creationId xmlns:a16="http://schemas.microsoft.com/office/drawing/2014/main" id="{7B4B4D5B-AEA7-44B2-87AE-59841836CBB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59" name="Oval 247">
          <a:extLst>
            <a:ext uri="{FF2B5EF4-FFF2-40B4-BE49-F238E27FC236}">
              <a16:creationId xmlns:a16="http://schemas.microsoft.com/office/drawing/2014/main" id="{7676FC83-726C-47C4-8A66-0CCEB9BD97C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0" name="Oval 248">
          <a:extLst>
            <a:ext uri="{FF2B5EF4-FFF2-40B4-BE49-F238E27FC236}">
              <a16:creationId xmlns:a16="http://schemas.microsoft.com/office/drawing/2014/main" id="{078E66BE-F6A6-4D45-BDC1-B1FAD20E6BBB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1" name="Oval 249">
          <a:extLst>
            <a:ext uri="{FF2B5EF4-FFF2-40B4-BE49-F238E27FC236}">
              <a16:creationId xmlns:a16="http://schemas.microsoft.com/office/drawing/2014/main" id="{B2ED4BB2-50EA-4ACB-99DC-00DCF7832B1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62" name="AutoShape 250">
          <a:extLst>
            <a:ext uri="{FF2B5EF4-FFF2-40B4-BE49-F238E27FC236}">
              <a16:creationId xmlns:a16="http://schemas.microsoft.com/office/drawing/2014/main" id="{9F8BD1FF-4D0B-4B07-B2D9-04920084EC1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63" name="Rectangle 251">
          <a:extLst>
            <a:ext uri="{FF2B5EF4-FFF2-40B4-BE49-F238E27FC236}">
              <a16:creationId xmlns:a16="http://schemas.microsoft.com/office/drawing/2014/main" id="{94896BF8-4515-40EB-91CD-B60BB25CB277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4" name="Oval 252">
          <a:extLst>
            <a:ext uri="{FF2B5EF4-FFF2-40B4-BE49-F238E27FC236}">
              <a16:creationId xmlns:a16="http://schemas.microsoft.com/office/drawing/2014/main" id="{B3F0EF69-EE38-44AC-8DAC-506B28C8775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5" name="Oval 253">
          <a:extLst>
            <a:ext uri="{FF2B5EF4-FFF2-40B4-BE49-F238E27FC236}">
              <a16:creationId xmlns:a16="http://schemas.microsoft.com/office/drawing/2014/main" id="{0EDC2C2A-9FBD-49A7-AF57-6D595E5D1BB1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6" name="Oval 254">
          <a:extLst>
            <a:ext uri="{FF2B5EF4-FFF2-40B4-BE49-F238E27FC236}">
              <a16:creationId xmlns:a16="http://schemas.microsoft.com/office/drawing/2014/main" id="{C42AA41A-701F-41B3-934D-A9B5E9A5562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67" name="Oval 255">
          <a:extLst>
            <a:ext uri="{FF2B5EF4-FFF2-40B4-BE49-F238E27FC236}">
              <a16:creationId xmlns:a16="http://schemas.microsoft.com/office/drawing/2014/main" id="{E21AA73C-F6CA-4B35-A167-E1B74869891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68" name="AutoShape 256">
          <a:extLst>
            <a:ext uri="{FF2B5EF4-FFF2-40B4-BE49-F238E27FC236}">
              <a16:creationId xmlns:a16="http://schemas.microsoft.com/office/drawing/2014/main" id="{B8C5EC44-498B-41E0-829D-EE53921D35C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F1386D11-CFF0-4CD5-B93E-1EF4E299D6F3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0" name="Oval 258">
          <a:extLst>
            <a:ext uri="{FF2B5EF4-FFF2-40B4-BE49-F238E27FC236}">
              <a16:creationId xmlns:a16="http://schemas.microsoft.com/office/drawing/2014/main" id="{28454A20-5E15-4075-A776-C30D3624A18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1" name="Oval 259">
          <a:extLst>
            <a:ext uri="{FF2B5EF4-FFF2-40B4-BE49-F238E27FC236}">
              <a16:creationId xmlns:a16="http://schemas.microsoft.com/office/drawing/2014/main" id="{D0119376-8926-487C-B763-8B2BF23344D6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2" name="Oval 260">
          <a:extLst>
            <a:ext uri="{FF2B5EF4-FFF2-40B4-BE49-F238E27FC236}">
              <a16:creationId xmlns:a16="http://schemas.microsoft.com/office/drawing/2014/main" id="{4C7484C7-7EE9-40CE-AEFD-F2CC975E9C0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3" name="Oval 261">
          <a:extLst>
            <a:ext uri="{FF2B5EF4-FFF2-40B4-BE49-F238E27FC236}">
              <a16:creationId xmlns:a16="http://schemas.microsoft.com/office/drawing/2014/main" id="{0AE91EB7-AE92-4E60-BF22-20C9D94F1CB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74" name="AutoShape 262">
          <a:extLst>
            <a:ext uri="{FF2B5EF4-FFF2-40B4-BE49-F238E27FC236}">
              <a16:creationId xmlns:a16="http://schemas.microsoft.com/office/drawing/2014/main" id="{C46E4C3B-575C-48AC-9791-6AC398AB6CE8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75" name="Rectangle 263">
          <a:extLst>
            <a:ext uri="{FF2B5EF4-FFF2-40B4-BE49-F238E27FC236}">
              <a16:creationId xmlns:a16="http://schemas.microsoft.com/office/drawing/2014/main" id="{0355C8C8-B139-46CD-9AE7-5716583F180B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6" name="Oval 264">
          <a:extLst>
            <a:ext uri="{FF2B5EF4-FFF2-40B4-BE49-F238E27FC236}">
              <a16:creationId xmlns:a16="http://schemas.microsoft.com/office/drawing/2014/main" id="{3C3ABCB0-C0E5-4D7C-8EA3-68C4C029C06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7" name="Oval 265">
          <a:extLst>
            <a:ext uri="{FF2B5EF4-FFF2-40B4-BE49-F238E27FC236}">
              <a16:creationId xmlns:a16="http://schemas.microsoft.com/office/drawing/2014/main" id="{0F4112EF-9556-4392-A970-317CBD89EC9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8" name="Oval 266">
          <a:extLst>
            <a:ext uri="{FF2B5EF4-FFF2-40B4-BE49-F238E27FC236}">
              <a16:creationId xmlns:a16="http://schemas.microsoft.com/office/drawing/2014/main" id="{063FDAAE-E298-454C-AF21-77B0E06050E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79" name="Oval 267">
          <a:extLst>
            <a:ext uri="{FF2B5EF4-FFF2-40B4-BE49-F238E27FC236}">
              <a16:creationId xmlns:a16="http://schemas.microsoft.com/office/drawing/2014/main" id="{539371A7-1D15-4B54-ADEC-31DF35053E7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108</xdr:row>
      <xdr:rowOff>0</xdr:rowOff>
    </xdr:from>
    <xdr:to>
      <xdr:col>4</xdr:col>
      <xdr:colOff>9525</xdr:colOff>
      <xdr:row>108</xdr:row>
      <xdr:rowOff>0</xdr:rowOff>
    </xdr:to>
    <xdr:sp macro="" textlink="">
      <xdr:nvSpPr>
        <xdr:cNvPr id="180" name="AutoShape 268">
          <a:extLst>
            <a:ext uri="{FF2B5EF4-FFF2-40B4-BE49-F238E27FC236}">
              <a16:creationId xmlns:a16="http://schemas.microsoft.com/office/drawing/2014/main" id="{9E78AB88-B87F-468B-8201-3CFA0AFD5BA6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81" name="Rectangle 269">
          <a:extLst>
            <a:ext uri="{FF2B5EF4-FFF2-40B4-BE49-F238E27FC236}">
              <a16:creationId xmlns:a16="http://schemas.microsoft.com/office/drawing/2014/main" id="{624585C4-55F7-4A57-86E7-6F3C00495F4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2" name="Oval 270">
          <a:extLst>
            <a:ext uri="{FF2B5EF4-FFF2-40B4-BE49-F238E27FC236}">
              <a16:creationId xmlns:a16="http://schemas.microsoft.com/office/drawing/2014/main" id="{954A82CB-7345-4EF4-B35D-34BC109A272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3" name="Oval 271">
          <a:extLst>
            <a:ext uri="{FF2B5EF4-FFF2-40B4-BE49-F238E27FC236}">
              <a16:creationId xmlns:a16="http://schemas.microsoft.com/office/drawing/2014/main" id="{691344CC-8FDD-4EF4-A532-115A4ECB2737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4" name="Oval 272">
          <a:extLst>
            <a:ext uri="{FF2B5EF4-FFF2-40B4-BE49-F238E27FC236}">
              <a16:creationId xmlns:a16="http://schemas.microsoft.com/office/drawing/2014/main" id="{99A19D77-577B-493F-A992-2385292513FE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5" name="Oval 273">
          <a:extLst>
            <a:ext uri="{FF2B5EF4-FFF2-40B4-BE49-F238E27FC236}">
              <a16:creationId xmlns:a16="http://schemas.microsoft.com/office/drawing/2014/main" id="{F845BD0A-EE24-451F-92C4-78EFCFE7804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86" name="Rectangle 274">
          <a:extLst>
            <a:ext uri="{FF2B5EF4-FFF2-40B4-BE49-F238E27FC236}">
              <a16:creationId xmlns:a16="http://schemas.microsoft.com/office/drawing/2014/main" id="{BDCCD213-13B9-43CF-AFCC-17D6F234D3DF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7" name="Oval 275">
          <a:extLst>
            <a:ext uri="{FF2B5EF4-FFF2-40B4-BE49-F238E27FC236}">
              <a16:creationId xmlns:a16="http://schemas.microsoft.com/office/drawing/2014/main" id="{F34520E9-82F4-42C2-800D-73635ABFA7E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8" name="Oval 276">
          <a:extLst>
            <a:ext uri="{FF2B5EF4-FFF2-40B4-BE49-F238E27FC236}">
              <a16:creationId xmlns:a16="http://schemas.microsoft.com/office/drawing/2014/main" id="{A06AA2EF-D3AC-447F-9438-76F99E3E017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89" name="Oval 277">
          <a:extLst>
            <a:ext uri="{FF2B5EF4-FFF2-40B4-BE49-F238E27FC236}">
              <a16:creationId xmlns:a16="http://schemas.microsoft.com/office/drawing/2014/main" id="{8A1CAB6F-E935-4B08-B537-B4849F25C02F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0" name="Oval 278">
          <a:extLst>
            <a:ext uri="{FF2B5EF4-FFF2-40B4-BE49-F238E27FC236}">
              <a16:creationId xmlns:a16="http://schemas.microsoft.com/office/drawing/2014/main" id="{7DB98592-3913-4EE5-AAA6-ABA2CCAF5C13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161925</xdr:colOff>
      <xdr:row>108</xdr:row>
      <xdr:rowOff>0</xdr:rowOff>
    </xdr:to>
    <xdr:sp macro="" textlink="">
      <xdr:nvSpPr>
        <xdr:cNvPr id="191" name="Rectangle 279">
          <a:extLst>
            <a:ext uri="{FF2B5EF4-FFF2-40B4-BE49-F238E27FC236}">
              <a16:creationId xmlns:a16="http://schemas.microsoft.com/office/drawing/2014/main" id="{B6E0F927-1A7C-4C65-A96B-6A32846B9BE6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2" name="Oval 280">
          <a:extLst>
            <a:ext uri="{FF2B5EF4-FFF2-40B4-BE49-F238E27FC236}">
              <a16:creationId xmlns:a16="http://schemas.microsoft.com/office/drawing/2014/main" id="{EB2CFB26-4563-4036-A58C-87B68DA3BB79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3" name="Oval 281">
          <a:extLst>
            <a:ext uri="{FF2B5EF4-FFF2-40B4-BE49-F238E27FC236}">
              <a16:creationId xmlns:a16="http://schemas.microsoft.com/office/drawing/2014/main" id="{3587A1F5-EF90-451E-985E-3C4132170F8D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4" name="Oval 282">
          <a:extLst>
            <a:ext uri="{FF2B5EF4-FFF2-40B4-BE49-F238E27FC236}">
              <a16:creationId xmlns:a16="http://schemas.microsoft.com/office/drawing/2014/main" id="{74B2FE15-4C3E-4D01-ABA3-629F7000BD08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108</xdr:row>
      <xdr:rowOff>0</xdr:rowOff>
    </xdr:from>
    <xdr:to>
      <xdr:col>1</xdr:col>
      <xdr:colOff>476250</xdr:colOff>
      <xdr:row>108</xdr:row>
      <xdr:rowOff>0</xdr:rowOff>
    </xdr:to>
    <xdr:sp macro="" textlink="">
      <xdr:nvSpPr>
        <xdr:cNvPr id="195" name="Oval 283">
          <a:extLst>
            <a:ext uri="{FF2B5EF4-FFF2-40B4-BE49-F238E27FC236}">
              <a16:creationId xmlns:a16="http://schemas.microsoft.com/office/drawing/2014/main" id="{196F553B-4EB7-4A80-86C7-AD8F2B72002C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6" name="Rectangle 285">
          <a:extLst>
            <a:ext uri="{FF2B5EF4-FFF2-40B4-BE49-F238E27FC236}">
              <a16:creationId xmlns:a16="http://schemas.microsoft.com/office/drawing/2014/main" id="{D344525D-E1F2-46AD-AEEC-E66514D9491E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7" name="Rectangle 287">
          <a:extLst>
            <a:ext uri="{FF2B5EF4-FFF2-40B4-BE49-F238E27FC236}">
              <a16:creationId xmlns:a16="http://schemas.microsoft.com/office/drawing/2014/main" id="{4D05B4A9-70BE-43AF-9D10-EAB38F52DB7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8" name="Rectangle 289">
          <a:extLst>
            <a:ext uri="{FF2B5EF4-FFF2-40B4-BE49-F238E27FC236}">
              <a16:creationId xmlns:a16="http://schemas.microsoft.com/office/drawing/2014/main" id="{3CE64D9C-893D-4C81-9C92-CAE368CEF879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199" name="Rectangle 291">
          <a:extLst>
            <a:ext uri="{FF2B5EF4-FFF2-40B4-BE49-F238E27FC236}">
              <a16:creationId xmlns:a16="http://schemas.microsoft.com/office/drawing/2014/main" id="{27A4E4BA-5469-4986-A1D4-B8C6D62212DE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0" name="Rectangle 293">
          <a:extLst>
            <a:ext uri="{FF2B5EF4-FFF2-40B4-BE49-F238E27FC236}">
              <a16:creationId xmlns:a16="http://schemas.microsoft.com/office/drawing/2014/main" id="{C24EA746-7F40-4ABC-A058-303E69F9A083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1" name="Rectangle 295">
          <a:extLst>
            <a:ext uri="{FF2B5EF4-FFF2-40B4-BE49-F238E27FC236}">
              <a16:creationId xmlns:a16="http://schemas.microsoft.com/office/drawing/2014/main" id="{D4D2B76A-5146-44C3-930D-43DA53B644AE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2" name="Rectangle 297">
          <a:extLst>
            <a:ext uri="{FF2B5EF4-FFF2-40B4-BE49-F238E27FC236}">
              <a16:creationId xmlns:a16="http://schemas.microsoft.com/office/drawing/2014/main" id="{B338DE8E-7BF9-46EA-933A-E8BE03189154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3" name="Rectangle 299">
          <a:extLst>
            <a:ext uri="{FF2B5EF4-FFF2-40B4-BE49-F238E27FC236}">
              <a16:creationId xmlns:a16="http://schemas.microsoft.com/office/drawing/2014/main" id="{816EA097-BDA9-4206-898C-88BCACCE0C3C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4" name="Rectangle 301">
          <a:extLst>
            <a:ext uri="{FF2B5EF4-FFF2-40B4-BE49-F238E27FC236}">
              <a16:creationId xmlns:a16="http://schemas.microsoft.com/office/drawing/2014/main" id="{E084C767-3274-41F9-85FE-2C94EBD3168E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5" name="Rectangle 303">
          <a:extLst>
            <a:ext uri="{FF2B5EF4-FFF2-40B4-BE49-F238E27FC236}">
              <a16:creationId xmlns:a16="http://schemas.microsoft.com/office/drawing/2014/main" id="{7F65E789-84FF-4D9B-AE04-EFB4FEBCFF5A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6" name="Rectangle 305">
          <a:extLst>
            <a:ext uri="{FF2B5EF4-FFF2-40B4-BE49-F238E27FC236}">
              <a16:creationId xmlns:a16="http://schemas.microsoft.com/office/drawing/2014/main" id="{AA6AD40E-078A-4368-82A2-5DD8A8164704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A000737C-596F-4D22-B5D3-AE8086E56805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586ACEAC-8189-434F-BF17-E385D16E7E1C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6748DC74-26E7-4962-B0CC-4DBEFCE95D4C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BB82A0F4-93A0-472F-BBFF-D97B6FFC6214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791D93C5-3932-4A45-A6A6-81714947BAEF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F459DF2D-0C38-4182-A3CC-33DD9E6D7517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47D3DA36-6590-4780-A833-2CC6ED4247D3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91D0868F-DDA4-476D-A35D-B16BFD3BC285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4B4CFC50-98F5-482B-A106-F9FEB5025080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47FA5EDB-D6CE-4A4F-A5AA-EA28D3DFAB68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19" name="Rectangle 2">
          <a:extLst>
            <a:ext uri="{FF2B5EF4-FFF2-40B4-BE49-F238E27FC236}">
              <a16:creationId xmlns:a16="http://schemas.microsoft.com/office/drawing/2014/main" id="{B92F1024-70DE-4ADB-9AC8-6AC7A5882152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800D0687-077D-427A-ABFB-779F691956A5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90AB7BAA-1DAD-4D5F-857C-8103AD551BEE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54E0C52B-2496-4784-B10C-4EBA4AAC59D8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D7BF58CB-E0C8-4C7D-8958-74A9975F31E6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4" name="Rectangle 293">
          <a:extLst>
            <a:ext uri="{FF2B5EF4-FFF2-40B4-BE49-F238E27FC236}">
              <a16:creationId xmlns:a16="http://schemas.microsoft.com/office/drawing/2014/main" id="{CFA3E4EC-CA6D-41E7-B0BC-3A14A2050018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00F63FB2-8667-4B60-B68B-18CC81B6CCBE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6" name="Rectangle 293">
          <a:extLst>
            <a:ext uri="{FF2B5EF4-FFF2-40B4-BE49-F238E27FC236}">
              <a16:creationId xmlns:a16="http://schemas.microsoft.com/office/drawing/2014/main" id="{B95E6227-0450-476F-846B-E160A18E7423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">
          <a:extLst>
            <a:ext uri="{FF2B5EF4-FFF2-40B4-BE49-F238E27FC236}">
              <a16:creationId xmlns:a16="http://schemas.microsoft.com/office/drawing/2014/main" id="{3E1411D7-8E17-4368-AFDE-72001DDB7E3D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8" name="Rectangle 293">
          <a:extLst>
            <a:ext uri="{FF2B5EF4-FFF2-40B4-BE49-F238E27FC236}">
              <a16:creationId xmlns:a16="http://schemas.microsoft.com/office/drawing/2014/main" id="{75FDA5D6-C83C-4278-BFB1-DF6BB563FB9C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CB5F2F89-0D1D-4B52-AF7F-AFF6D922BB31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A3C1490A-B595-491F-B13D-D94793A0A0BB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B52DD830-CEF7-4A67-8980-C1F23B2D1C67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">
          <a:extLst>
            <a:ext uri="{FF2B5EF4-FFF2-40B4-BE49-F238E27FC236}">
              <a16:creationId xmlns:a16="http://schemas.microsoft.com/office/drawing/2014/main" id="{B71EF9F4-8D63-4687-8E92-E9266BC0CC37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3" name="Rectangle 293">
          <a:extLst>
            <a:ext uri="{FF2B5EF4-FFF2-40B4-BE49-F238E27FC236}">
              <a16:creationId xmlns:a16="http://schemas.microsoft.com/office/drawing/2014/main" id="{9D037FB0-FDF1-4F0D-9CFE-AD21255CD5AA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5D68922F-3B3A-4DA7-B451-560E0EA687CD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0CAC6B5E-899A-4DA9-BB7E-DED497F5C854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2BC9B779-D25C-49C7-BC59-EE1A9A9ED5F2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A69B51EE-6748-4615-81DB-F8B10B384CBD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E5C550CC-AE7A-4105-BA51-62B8A938CC16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1" name="Rectangle 285">
          <a:extLst>
            <a:ext uri="{FF2B5EF4-FFF2-40B4-BE49-F238E27FC236}">
              <a16:creationId xmlns:a16="http://schemas.microsoft.com/office/drawing/2014/main" id="{138AA38E-DF08-4C66-84EE-683A6D2DCC8D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5EAF1428-3276-40E8-9C2B-F61903CA1E46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653E2A7D-AD1D-470A-BED1-8973F78015B4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4" name="Oval 18">
          <a:extLst>
            <a:ext uri="{FF2B5EF4-FFF2-40B4-BE49-F238E27FC236}">
              <a16:creationId xmlns:a16="http://schemas.microsoft.com/office/drawing/2014/main" id="{A296BDB9-8D04-43FB-866D-CB882F8945AA}"/>
            </a:ext>
          </a:extLst>
        </xdr:cNvPr>
        <xdr:cNvSpPr>
          <a:spLocks noChangeArrowheads="1"/>
        </xdr:cNvSpPr>
      </xdr:nvSpPr>
      <xdr:spPr bwMode="auto">
        <a:xfrm>
          <a:off x="160020" y="89325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5" name="Oval 51">
          <a:extLst>
            <a:ext uri="{FF2B5EF4-FFF2-40B4-BE49-F238E27FC236}">
              <a16:creationId xmlns:a16="http://schemas.microsoft.com/office/drawing/2014/main" id="{ED064BB7-0016-438B-8237-E11E683D764B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162325</xdr:colOff>
      <xdr:row>12</xdr:row>
      <xdr:rowOff>0</xdr:rowOff>
    </xdr:from>
    <xdr:to>
      <xdr:col>10</xdr:col>
      <xdr:colOff>86732</xdr:colOff>
      <xdr:row>12</xdr:row>
      <xdr:rowOff>3184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1E195264-974D-4EC8-A204-1310978A0277}"/>
            </a:ext>
          </a:extLst>
        </xdr:cNvPr>
        <xdr:cNvCxnSpPr/>
      </xdr:nvCxnSpPr>
      <xdr:spPr bwMode="auto">
        <a:xfrm flipV="1">
          <a:off x="1017252" y="1554976"/>
          <a:ext cx="1225382" cy="318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9" name="Oval 5">
          <a:extLst>
            <a:ext uri="{FF2B5EF4-FFF2-40B4-BE49-F238E27FC236}">
              <a16:creationId xmlns:a16="http://schemas.microsoft.com/office/drawing/2014/main" id="{9D7E9111-928C-4FB5-A6BC-4F0AAE786755}"/>
            </a:ext>
          </a:extLst>
        </xdr:cNvPr>
        <xdr:cNvSpPr>
          <a:spLocks noChangeArrowheads="1"/>
        </xdr:cNvSpPr>
      </xdr:nvSpPr>
      <xdr:spPr bwMode="auto">
        <a:xfrm>
          <a:off x="173831" y="2730818"/>
          <a:ext cx="358140" cy="348615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4" name="Oval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5" name="Oval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6" name="Oval 1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9" name="Oval 1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10" name="Oval 1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11" name="Rectangle 1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12" name="Oval 17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13" name="Oval 1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15" name="Oval 6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6" name="Oval 80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" name="AutoShape 10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" name="Rectangle 103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" name="Oval 10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0" name="AutoShape 105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1" name="Rectangle 106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2" name="Oval 10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3" name="AutoShape 108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4" name="Rectangle 10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5" name="Oval 110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6" name="AutoShape 11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7" name="Rectangle 112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8" name="Oval 113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9" name="AutoShape 11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0" name="Rectangle 115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1" name="Oval 116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2" name="AutoShape 117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" name="Rectangle 118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" name="Oval 119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" name="AutoShape 120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6" name="Rectangle 12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7" name="Oval 122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8" name="AutoShape 123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9" name="Rectangle 124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0" name="Oval 125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1" name="AutoShape 126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2" name="Rectangle 127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3" name="Oval 128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4" name="AutoShape 129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5" name="Rectangle 130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6" name="Oval 13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7" name="AutoShape 13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8" name="Rectangle 133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9" name="Oval 134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0" name="AutoShape 135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1" name="Rectangle 136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2" name="Oval 137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3" name="AutoShape 138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4" name="Rectangle 139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5" name="Oval 140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6" name="Rectangle 14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7" name="AutoShape 142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8" name="Rectangle 143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9" name="Oval 14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0" name="AutoShape 14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1" name="Rectangle 146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2" name="Oval 147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3" name="AutoShape 148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4" name="Rectangle 149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0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6" name="Oval 15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7" name="Oval 15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8" name="Oval 15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9" name="AutoShape 15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0" name="Rectangle 15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2" name="Oval 15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3" name="Oval 15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4" name="Oval 15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5" name="AutoShape 16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6" name="Rectangle 16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8" name="Oval 16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9" name="Oval 164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0" name="Oval 165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1" name="AutoShape 166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2" name="Rectangle 167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68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4" name="Oval 169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5" name="Oval 170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6" name="Oval 17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7" name="AutoShape 172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8" name="Rectangle 173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4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0" name="Oval 175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1" name="Oval 176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2" name="Oval 177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3" name="AutoShape 178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4" name="Rectangle 179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0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6" name="Oval 181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7" name="Oval 182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8" name="Oval 183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9" name="AutoShape 184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0" name="Rectangle 185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6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2" name="Oval 187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3" name="Oval 188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4" name="Oval 189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5" name="AutoShape 190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6" name="Rectangle 19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2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8" name="Oval 193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9" name="Oval 194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0" name="Oval 195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1" name="AutoShape 196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2" name="Rectangle 197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198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4" name="Oval 199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5" name="Oval 200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6" name="Oval 201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7" name="AutoShape 202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8" name="Rectangle 203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4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0" name="Oval 205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1" name="Oval 206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2" name="Oval 207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3" name="AutoShape 208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4" name="Rectangle 209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0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6" name="Oval 211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7" name="Oval 212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8" name="Oval 213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9" name="AutoShape 214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0" name="Rectangle 215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6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2" name="Oval 217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3" name="Oval 218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4" name="Oval 219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5" name="AutoShape 220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6" name="Rectangle 221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2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8" name="Oval 223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9" name="Oval 224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0" name="Oval 225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1" name="AutoShape 226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2" name="Rectangle 227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28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4" name="Oval 229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5" name="Oval 230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6" name="Oval 231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7" name="AutoShape 232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8" name="Rectangle 233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4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0" name="Oval 235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1" name="Oval 236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2" name="Oval 237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3" name="AutoShape 238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4" name="Rectangle 239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0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6" name="Oval 241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7" name="Oval 242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8" name="Oval 243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9" name="AutoShape 244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0" name="Rectangle 245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6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2" name="Oval 247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3" name="Oval 248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4" name="Oval 249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5" name="AutoShape 250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6" name="Rectangle 251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2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8" name="Oval 253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9" name="Oval 254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0" name="Oval 255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1" name="AutoShape 256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2" name="Rectangle 257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58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4" name="Oval 259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5" name="Oval 260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6" name="Oval 261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7" name="AutoShape 262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8" name="Rectangle 263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4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0" name="Oval 265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1" name="Oval 266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2" name="Oval 267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3" name="AutoShape 268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4" name="Rectangle 269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0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6" name="Oval 271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7" name="Oval 272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3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9" name="Rectangle 274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5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1" name="Oval 276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2" name="Oval 277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78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4" name="Rectangle 279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0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6" name="Oval 281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7" name="Oval 282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8" name="Oval 283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9" name="Rectangle 285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00" name="Rectangle 287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01" name="Rectangle 289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02" name="Rectangle 29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3" name="Rectangle 293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4" name="Rectangle 295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5" name="Rectangle 297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6" name="Rectangle 299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7" name="Rectangle 301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8" name="Rectangle 303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9" name="Rectangle 305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10" name="Rectangle 307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9" name="Rectangle 293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2" name="Rectangle 293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4" name="Rectangle 285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6" name="Rectangle 2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232" name="Oval 65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>
          <a:spLocks noChangeArrowheads="1"/>
        </xdr:cNvSpPr>
      </xdr:nvSpPr>
      <xdr:spPr bwMode="auto">
        <a:xfrm>
          <a:off x="169863" y="2784475"/>
          <a:ext cx="361950" cy="36830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4316" name="Rectangle 2">
          <a:extLst>
            <a:ext uri="{FF2B5EF4-FFF2-40B4-BE49-F238E27FC236}">
              <a16:creationId xmlns:a16="http://schemas.microsoft.com/office/drawing/2014/main" id="{00000000-0008-0000-0600-0000FC4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4317" name="Oval 3">
          <a:extLst>
            <a:ext uri="{FF2B5EF4-FFF2-40B4-BE49-F238E27FC236}">
              <a16:creationId xmlns:a16="http://schemas.microsoft.com/office/drawing/2014/main" id="{00000000-0008-0000-0600-0000FD40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4318" name="Oval 4">
          <a:extLst>
            <a:ext uri="{FF2B5EF4-FFF2-40B4-BE49-F238E27FC236}">
              <a16:creationId xmlns:a16="http://schemas.microsoft.com/office/drawing/2014/main" id="{00000000-0008-0000-0600-0000FE40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4319" name="Oval 5">
          <a:extLst>
            <a:ext uri="{FF2B5EF4-FFF2-40B4-BE49-F238E27FC236}">
              <a16:creationId xmlns:a16="http://schemas.microsoft.com/office/drawing/2014/main" id="{00000000-0008-0000-0600-0000FF40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4320" name="Oval 8">
          <a:extLst>
            <a:ext uri="{FF2B5EF4-FFF2-40B4-BE49-F238E27FC236}">
              <a16:creationId xmlns:a16="http://schemas.microsoft.com/office/drawing/2014/main" id="{00000000-0008-0000-0600-0000004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4321" name="Oval 12">
          <a:extLst>
            <a:ext uri="{FF2B5EF4-FFF2-40B4-BE49-F238E27FC236}">
              <a16:creationId xmlns:a16="http://schemas.microsoft.com/office/drawing/2014/main" id="{00000000-0008-0000-0600-0000014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4322" name="Oval 13">
          <a:extLst>
            <a:ext uri="{FF2B5EF4-FFF2-40B4-BE49-F238E27FC236}">
              <a16:creationId xmlns:a16="http://schemas.microsoft.com/office/drawing/2014/main" id="{00000000-0008-0000-0600-0000024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4323" name="Rectangle 16">
          <a:extLst>
            <a:ext uri="{FF2B5EF4-FFF2-40B4-BE49-F238E27FC236}">
              <a16:creationId xmlns:a16="http://schemas.microsoft.com/office/drawing/2014/main" id="{00000000-0008-0000-0600-00000341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44324" name="Oval 18">
          <a:extLst>
            <a:ext uri="{FF2B5EF4-FFF2-40B4-BE49-F238E27FC236}">
              <a16:creationId xmlns:a16="http://schemas.microsoft.com/office/drawing/2014/main" id="{00000000-0008-0000-0600-00000441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4325" name="Oval 30">
          <a:extLst>
            <a:ext uri="{FF2B5EF4-FFF2-40B4-BE49-F238E27FC236}">
              <a16:creationId xmlns:a16="http://schemas.microsoft.com/office/drawing/2014/main" id="{00000000-0008-0000-0600-0000054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4326" name="Oval 34">
          <a:extLst>
            <a:ext uri="{FF2B5EF4-FFF2-40B4-BE49-F238E27FC236}">
              <a16:creationId xmlns:a16="http://schemas.microsoft.com/office/drawing/2014/main" id="{00000000-0008-0000-0600-0000064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4327" name="Oval 51">
          <a:extLst>
            <a:ext uri="{FF2B5EF4-FFF2-40B4-BE49-F238E27FC236}">
              <a16:creationId xmlns:a16="http://schemas.microsoft.com/office/drawing/2014/main" id="{00000000-0008-0000-0600-0000074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4328" name="Oval 81">
          <a:extLst>
            <a:ext uri="{FF2B5EF4-FFF2-40B4-BE49-F238E27FC236}">
              <a16:creationId xmlns:a16="http://schemas.microsoft.com/office/drawing/2014/main" id="{00000000-0008-0000-0600-0000084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29" name="AutoShape 102">
          <a:extLst>
            <a:ext uri="{FF2B5EF4-FFF2-40B4-BE49-F238E27FC236}">
              <a16:creationId xmlns:a16="http://schemas.microsoft.com/office/drawing/2014/main" id="{00000000-0008-0000-0600-00000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30" name="Rectangle 103">
          <a:extLst>
            <a:ext uri="{FF2B5EF4-FFF2-40B4-BE49-F238E27FC236}">
              <a16:creationId xmlns:a16="http://schemas.microsoft.com/office/drawing/2014/main" id="{00000000-0008-0000-0600-00000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31" name="Oval 104">
          <a:extLst>
            <a:ext uri="{FF2B5EF4-FFF2-40B4-BE49-F238E27FC236}">
              <a16:creationId xmlns:a16="http://schemas.microsoft.com/office/drawing/2014/main" id="{00000000-0008-0000-0600-00000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32" name="AutoShape 105">
          <a:extLst>
            <a:ext uri="{FF2B5EF4-FFF2-40B4-BE49-F238E27FC236}">
              <a16:creationId xmlns:a16="http://schemas.microsoft.com/office/drawing/2014/main" id="{00000000-0008-0000-0600-00000C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33" name="Rectangle 106">
          <a:extLst>
            <a:ext uri="{FF2B5EF4-FFF2-40B4-BE49-F238E27FC236}">
              <a16:creationId xmlns:a16="http://schemas.microsoft.com/office/drawing/2014/main" id="{00000000-0008-0000-0600-00000D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34" name="Oval 107">
          <a:extLst>
            <a:ext uri="{FF2B5EF4-FFF2-40B4-BE49-F238E27FC236}">
              <a16:creationId xmlns:a16="http://schemas.microsoft.com/office/drawing/2014/main" id="{00000000-0008-0000-0600-00000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35" name="AutoShape 108">
          <a:extLst>
            <a:ext uri="{FF2B5EF4-FFF2-40B4-BE49-F238E27FC236}">
              <a16:creationId xmlns:a16="http://schemas.microsoft.com/office/drawing/2014/main" id="{00000000-0008-0000-0600-00000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36" name="Rectangle 109">
          <a:extLst>
            <a:ext uri="{FF2B5EF4-FFF2-40B4-BE49-F238E27FC236}">
              <a16:creationId xmlns:a16="http://schemas.microsoft.com/office/drawing/2014/main" id="{00000000-0008-0000-0600-00001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37" name="Oval 110">
          <a:extLst>
            <a:ext uri="{FF2B5EF4-FFF2-40B4-BE49-F238E27FC236}">
              <a16:creationId xmlns:a16="http://schemas.microsoft.com/office/drawing/2014/main" id="{00000000-0008-0000-0600-00001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38" name="AutoShape 111">
          <a:extLst>
            <a:ext uri="{FF2B5EF4-FFF2-40B4-BE49-F238E27FC236}">
              <a16:creationId xmlns:a16="http://schemas.microsoft.com/office/drawing/2014/main" id="{00000000-0008-0000-0600-000012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39" name="Rectangle 112">
          <a:extLst>
            <a:ext uri="{FF2B5EF4-FFF2-40B4-BE49-F238E27FC236}">
              <a16:creationId xmlns:a16="http://schemas.microsoft.com/office/drawing/2014/main" id="{00000000-0008-0000-0600-000013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40" name="Oval 113">
          <a:extLst>
            <a:ext uri="{FF2B5EF4-FFF2-40B4-BE49-F238E27FC236}">
              <a16:creationId xmlns:a16="http://schemas.microsoft.com/office/drawing/2014/main" id="{00000000-0008-0000-0600-00001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41" name="AutoShape 114">
          <a:extLst>
            <a:ext uri="{FF2B5EF4-FFF2-40B4-BE49-F238E27FC236}">
              <a16:creationId xmlns:a16="http://schemas.microsoft.com/office/drawing/2014/main" id="{00000000-0008-0000-0600-00001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42" name="Rectangle 115">
          <a:extLst>
            <a:ext uri="{FF2B5EF4-FFF2-40B4-BE49-F238E27FC236}">
              <a16:creationId xmlns:a16="http://schemas.microsoft.com/office/drawing/2014/main" id="{00000000-0008-0000-0600-00001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43" name="Oval 116">
          <a:extLst>
            <a:ext uri="{FF2B5EF4-FFF2-40B4-BE49-F238E27FC236}">
              <a16:creationId xmlns:a16="http://schemas.microsoft.com/office/drawing/2014/main" id="{00000000-0008-0000-0600-00001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44" name="AutoShape 117">
          <a:extLst>
            <a:ext uri="{FF2B5EF4-FFF2-40B4-BE49-F238E27FC236}">
              <a16:creationId xmlns:a16="http://schemas.microsoft.com/office/drawing/2014/main" id="{00000000-0008-0000-0600-000018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45" name="Rectangle 118">
          <a:extLst>
            <a:ext uri="{FF2B5EF4-FFF2-40B4-BE49-F238E27FC236}">
              <a16:creationId xmlns:a16="http://schemas.microsoft.com/office/drawing/2014/main" id="{00000000-0008-0000-0600-000019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46" name="Oval 119">
          <a:extLst>
            <a:ext uri="{FF2B5EF4-FFF2-40B4-BE49-F238E27FC236}">
              <a16:creationId xmlns:a16="http://schemas.microsoft.com/office/drawing/2014/main" id="{00000000-0008-0000-0600-00001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47" name="AutoShape 120">
          <a:extLst>
            <a:ext uri="{FF2B5EF4-FFF2-40B4-BE49-F238E27FC236}">
              <a16:creationId xmlns:a16="http://schemas.microsoft.com/office/drawing/2014/main" id="{00000000-0008-0000-0600-00001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48" name="Rectangle 121">
          <a:extLst>
            <a:ext uri="{FF2B5EF4-FFF2-40B4-BE49-F238E27FC236}">
              <a16:creationId xmlns:a16="http://schemas.microsoft.com/office/drawing/2014/main" id="{00000000-0008-0000-0600-00001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49" name="Oval 122">
          <a:extLst>
            <a:ext uri="{FF2B5EF4-FFF2-40B4-BE49-F238E27FC236}">
              <a16:creationId xmlns:a16="http://schemas.microsoft.com/office/drawing/2014/main" id="{00000000-0008-0000-0600-00001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50" name="AutoShape 123">
          <a:extLst>
            <a:ext uri="{FF2B5EF4-FFF2-40B4-BE49-F238E27FC236}">
              <a16:creationId xmlns:a16="http://schemas.microsoft.com/office/drawing/2014/main" id="{00000000-0008-0000-0600-00001E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51" name="Rectangle 124">
          <a:extLst>
            <a:ext uri="{FF2B5EF4-FFF2-40B4-BE49-F238E27FC236}">
              <a16:creationId xmlns:a16="http://schemas.microsoft.com/office/drawing/2014/main" id="{00000000-0008-0000-0600-00001F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52" name="Oval 125">
          <a:extLst>
            <a:ext uri="{FF2B5EF4-FFF2-40B4-BE49-F238E27FC236}">
              <a16:creationId xmlns:a16="http://schemas.microsoft.com/office/drawing/2014/main" id="{00000000-0008-0000-0600-00002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53" name="AutoShape 126">
          <a:extLst>
            <a:ext uri="{FF2B5EF4-FFF2-40B4-BE49-F238E27FC236}">
              <a16:creationId xmlns:a16="http://schemas.microsoft.com/office/drawing/2014/main" id="{00000000-0008-0000-0600-00002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54" name="Rectangle 127">
          <a:extLst>
            <a:ext uri="{FF2B5EF4-FFF2-40B4-BE49-F238E27FC236}">
              <a16:creationId xmlns:a16="http://schemas.microsoft.com/office/drawing/2014/main" id="{00000000-0008-0000-0600-00002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55" name="Oval 128">
          <a:extLst>
            <a:ext uri="{FF2B5EF4-FFF2-40B4-BE49-F238E27FC236}">
              <a16:creationId xmlns:a16="http://schemas.microsoft.com/office/drawing/2014/main" id="{00000000-0008-0000-0600-00002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56" name="AutoShape 129">
          <a:extLst>
            <a:ext uri="{FF2B5EF4-FFF2-40B4-BE49-F238E27FC236}">
              <a16:creationId xmlns:a16="http://schemas.microsoft.com/office/drawing/2014/main" id="{00000000-0008-0000-0600-000024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57" name="Rectangle 130">
          <a:extLst>
            <a:ext uri="{FF2B5EF4-FFF2-40B4-BE49-F238E27FC236}">
              <a16:creationId xmlns:a16="http://schemas.microsoft.com/office/drawing/2014/main" id="{00000000-0008-0000-0600-00002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58" name="Oval 131">
          <a:extLst>
            <a:ext uri="{FF2B5EF4-FFF2-40B4-BE49-F238E27FC236}">
              <a16:creationId xmlns:a16="http://schemas.microsoft.com/office/drawing/2014/main" id="{00000000-0008-0000-0600-00002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59" name="AutoShape 132">
          <a:extLst>
            <a:ext uri="{FF2B5EF4-FFF2-40B4-BE49-F238E27FC236}">
              <a16:creationId xmlns:a16="http://schemas.microsoft.com/office/drawing/2014/main" id="{00000000-0008-0000-0600-00002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60" name="Rectangle 133">
          <a:extLst>
            <a:ext uri="{FF2B5EF4-FFF2-40B4-BE49-F238E27FC236}">
              <a16:creationId xmlns:a16="http://schemas.microsoft.com/office/drawing/2014/main" id="{00000000-0008-0000-0600-00002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61" name="Oval 134">
          <a:extLst>
            <a:ext uri="{FF2B5EF4-FFF2-40B4-BE49-F238E27FC236}">
              <a16:creationId xmlns:a16="http://schemas.microsoft.com/office/drawing/2014/main" id="{00000000-0008-0000-0600-00002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62" name="AutoShape 135">
          <a:extLst>
            <a:ext uri="{FF2B5EF4-FFF2-40B4-BE49-F238E27FC236}">
              <a16:creationId xmlns:a16="http://schemas.microsoft.com/office/drawing/2014/main" id="{00000000-0008-0000-0600-00002A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63" name="Rectangle 136">
          <a:extLst>
            <a:ext uri="{FF2B5EF4-FFF2-40B4-BE49-F238E27FC236}">
              <a16:creationId xmlns:a16="http://schemas.microsoft.com/office/drawing/2014/main" id="{00000000-0008-0000-0600-00002B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64" name="Oval 137">
          <a:extLst>
            <a:ext uri="{FF2B5EF4-FFF2-40B4-BE49-F238E27FC236}">
              <a16:creationId xmlns:a16="http://schemas.microsoft.com/office/drawing/2014/main" id="{00000000-0008-0000-0600-00002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65" name="AutoShape 138">
          <a:extLst>
            <a:ext uri="{FF2B5EF4-FFF2-40B4-BE49-F238E27FC236}">
              <a16:creationId xmlns:a16="http://schemas.microsoft.com/office/drawing/2014/main" id="{00000000-0008-0000-0600-00002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66" name="Rectangle 139">
          <a:extLst>
            <a:ext uri="{FF2B5EF4-FFF2-40B4-BE49-F238E27FC236}">
              <a16:creationId xmlns:a16="http://schemas.microsoft.com/office/drawing/2014/main" id="{00000000-0008-0000-0600-00002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67" name="Oval 140">
          <a:extLst>
            <a:ext uri="{FF2B5EF4-FFF2-40B4-BE49-F238E27FC236}">
              <a16:creationId xmlns:a16="http://schemas.microsoft.com/office/drawing/2014/main" id="{00000000-0008-0000-0600-00002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68" name="Rectangle 141">
          <a:extLst>
            <a:ext uri="{FF2B5EF4-FFF2-40B4-BE49-F238E27FC236}">
              <a16:creationId xmlns:a16="http://schemas.microsoft.com/office/drawing/2014/main" id="{00000000-0008-0000-0600-00003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69" name="AutoShape 142">
          <a:extLst>
            <a:ext uri="{FF2B5EF4-FFF2-40B4-BE49-F238E27FC236}">
              <a16:creationId xmlns:a16="http://schemas.microsoft.com/office/drawing/2014/main" id="{00000000-0008-0000-0600-00003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70" name="Rectangle 143">
          <a:extLst>
            <a:ext uri="{FF2B5EF4-FFF2-40B4-BE49-F238E27FC236}">
              <a16:creationId xmlns:a16="http://schemas.microsoft.com/office/drawing/2014/main" id="{00000000-0008-0000-0600-00003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71" name="Oval 144">
          <a:extLst>
            <a:ext uri="{FF2B5EF4-FFF2-40B4-BE49-F238E27FC236}">
              <a16:creationId xmlns:a16="http://schemas.microsoft.com/office/drawing/2014/main" id="{00000000-0008-0000-0600-00003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72" name="AutoShape 145">
          <a:extLst>
            <a:ext uri="{FF2B5EF4-FFF2-40B4-BE49-F238E27FC236}">
              <a16:creationId xmlns:a16="http://schemas.microsoft.com/office/drawing/2014/main" id="{00000000-0008-0000-0600-000034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73" name="Rectangle 146">
          <a:extLst>
            <a:ext uri="{FF2B5EF4-FFF2-40B4-BE49-F238E27FC236}">
              <a16:creationId xmlns:a16="http://schemas.microsoft.com/office/drawing/2014/main" id="{00000000-0008-0000-0600-00003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74" name="Oval 147">
          <a:extLst>
            <a:ext uri="{FF2B5EF4-FFF2-40B4-BE49-F238E27FC236}">
              <a16:creationId xmlns:a16="http://schemas.microsoft.com/office/drawing/2014/main" id="{00000000-0008-0000-0600-00003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75" name="AutoShape 148">
          <a:extLst>
            <a:ext uri="{FF2B5EF4-FFF2-40B4-BE49-F238E27FC236}">
              <a16:creationId xmlns:a16="http://schemas.microsoft.com/office/drawing/2014/main" id="{00000000-0008-0000-0600-00003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76" name="Rectangle 149">
          <a:extLst>
            <a:ext uri="{FF2B5EF4-FFF2-40B4-BE49-F238E27FC236}">
              <a16:creationId xmlns:a16="http://schemas.microsoft.com/office/drawing/2014/main" id="{00000000-0008-0000-0600-00003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77" name="Oval 150">
          <a:extLst>
            <a:ext uri="{FF2B5EF4-FFF2-40B4-BE49-F238E27FC236}">
              <a16:creationId xmlns:a16="http://schemas.microsoft.com/office/drawing/2014/main" id="{00000000-0008-0000-0600-00003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78" name="Oval 151">
          <a:extLst>
            <a:ext uri="{FF2B5EF4-FFF2-40B4-BE49-F238E27FC236}">
              <a16:creationId xmlns:a16="http://schemas.microsoft.com/office/drawing/2014/main" id="{00000000-0008-0000-0600-00003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79" name="Oval 152">
          <a:extLst>
            <a:ext uri="{FF2B5EF4-FFF2-40B4-BE49-F238E27FC236}">
              <a16:creationId xmlns:a16="http://schemas.microsoft.com/office/drawing/2014/main" id="{00000000-0008-0000-0600-00003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0" name="Oval 153">
          <a:extLst>
            <a:ext uri="{FF2B5EF4-FFF2-40B4-BE49-F238E27FC236}">
              <a16:creationId xmlns:a16="http://schemas.microsoft.com/office/drawing/2014/main" id="{00000000-0008-0000-0600-00003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81" name="AutoShape 154">
          <a:extLst>
            <a:ext uri="{FF2B5EF4-FFF2-40B4-BE49-F238E27FC236}">
              <a16:creationId xmlns:a16="http://schemas.microsoft.com/office/drawing/2014/main" id="{00000000-0008-0000-0600-00003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82" name="Rectangle 155">
          <a:extLst>
            <a:ext uri="{FF2B5EF4-FFF2-40B4-BE49-F238E27FC236}">
              <a16:creationId xmlns:a16="http://schemas.microsoft.com/office/drawing/2014/main" id="{00000000-0008-0000-0600-00003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3" name="Oval 156">
          <a:extLst>
            <a:ext uri="{FF2B5EF4-FFF2-40B4-BE49-F238E27FC236}">
              <a16:creationId xmlns:a16="http://schemas.microsoft.com/office/drawing/2014/main" id="{00000000-0008-0000-0600-00003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4" name="Oval 157">
          <a:extLst>
            <a:ext uri="{FF2B5EF4-FFF2-40B4-BE49-F238E27FC236}">
              <a16:creationId xmlns:a16="http://schemas.microsoft.com/office/drawing/2014/main" id="{00000000-0008-0000-0600-00004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5" name="Oval 158">
          <a:extLst>
            <a:ext uri="{FF2B5EF4-FFF2-40B4-BE49-F238E27FC236}">
              <a16:creationId xmlns:a16="http://schemas.microsoft.com/office/drawing/2014/main" id="{00000000-0008-0000-0600-00004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6" name="Oval 159">
          <a:extLst>
            <a:ext uri="{FF2B5EF4-FFF2-40B4-BE49-F238E27FC236}">
              <a16:creationId xmlns:a16="http://schemas.microsoft.com/office/drawing/2014/main" id="{00000000-0008-0000-0600-00004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87" name="AutoShape 160">
          <a:extLst>
            <a:ext uri="{FF2B5EF4-FFF2-40B4-BE49-F238E27FC236}">
              <a16:creationId xmlns:a16="http://schemas.microsoft.com/office/drawing/2014/main" id="{00000000-0008-0000-0600-00004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88" name="Rectangle 161">
          <a:extLst>
            <a:ext uri="{FF2B5EF4-FFF2-40B4-BE49-F238E27FC236}">
              <a16:creationId xmlns:a16="http://schemas.microsoft.com/office/drawing/2014/main" id="{00000000-0008-0000-0600-00004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89" name="Oval 162">
          <a:extLst>
            <a:ext uri="{FF2B5EF4-FFF2-40B4-BE49-F238E27FC236}">
              <a16:creationId xmlns:a16="http://schemas.microsoft.com/office/drawing/2014/main" id="{00000000-0008-0000-0600-00004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0" name="Oval 163">
          <a:extLst>
            <a:ext uri="{FF2B5EF4-FFF2-40B4-BE49-F238E27FC236}">
              <a16:creationId xmlns:a16="http://schemas.microsoft.com/office/drawing/2014/main" id="{00000000-0008-0000-0600-00004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1" name="Oval 164">
          <a:extLst>
            <a:ext uri="{FF2B5EF4-FFF2-40B4-BE49-F238E27FC236}">
              <a16:creationId xmlns:a16="http://schemas.microsoft.com/office/drawing/2014/main" id="{00000000-0008-0000-0600-00004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2" name="Oval 165">
          <a:extLst>
            <a:ext uri="{FF2B5EF4-FFF2-40B4-BE49-F238E27FC236}">
              <a16:creationId xmlns:a16="http://schemas.microsoft.com/office/drawing/2014/main" id="{00000000-0008-0000-0600-00004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93" name="AutoShape 166">
          <a:extLst>
            <a:ext uri="{FF2B5EF4-FFF2-40B4-BE49-F238E27FC236}">
              <a16:creationId xmlns:a16="http://schemas.microsoft.com/office/drawing/2014/main" id="{00000000-0008-0000-0600-00004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394" name="Rectangle 167">
          <a:extLst>
            <a:ext uri="{FF2B5EF4-FFF2-40B4-BE49-F238E27FC236}">
              <a16:creationId xmlns:a16="http://schemas.microsoft.com/office/drawing/2014/main" id="{00000000-0008-0000-0600-00004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5" name="Oval 168">
          <a:extLst>
            <a:ext uri="{FF2B5EF4-FFF2-40B4-BE49-F238E27FC236}">
              <a16:creationId xmlns:a16="http://schemas.microsoft.com/office/drawing/2014/main" id="{00000000-0008-0000-0600-00004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6" name="Oval 169">
          <a:extLst>
            <a:ext uri="{FF2B5EF4-FFF2-40B4-BE49-F238E27FC236}">
              <a16:creationId xmlns:a16="http://schemas.microsoft.com/office/drawing/2014/main" id="{00000000-0008-0000-0600-00004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7" name="Oval 170">
          <a:extLst>
            <a:ext uri="{FF2B5EF4-FFF2-40B4-BE49-F238E27FC236}">
              <a16:creationId xmlns:a16="http://schemas.microsoft.com/office/drawing/2014/main" id="{00000000-0008-0000-0600-00004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398" name="Oval 171">
          <a:extLst>
            <a:ext uri="{FF2B5EF4-FFF2-40B4-BE49-F238E27FC236}">
              <a16:creationId xmlns:a16="http://schemas.microsoft.com/office/drawing/2014/main" id="{00000000-0008-0000-0600-00004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399" name="AutoShape 172">
          <a:extLst>
            <a:ext uri="{FF2B5EF4-FFF2-40B4-BE49-F238E27FC236}">
              <a16:creationId xmlns:a16="http://schemas.microsoft.com/office/drawing/2014/main" id="{00000000-0008-0000-0600-00004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00" name="Rectangle 173">
          <a:extLst>
            <a:ext uri="{FF2B5EF4-FFF2-40B4-BE49-F238E27FC236}">
              <a16:creationId xmlns:a16="http://schemas.microsoft.com/office/drawing/2014/main" id="{00000000-0008-0000-0600-00005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1" name="Oval 174">
          <a:extLst>
            <a:ext uri="{FF2B5EF4-FFF2-40B4-BE49-F238E27FC236}">
              <a16:creationId xmlns:a16="http://schemas.microsoft.com/office/drawing/2014/main" id="{00000000-0008-0000-0600-00005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2" name="Oval 175">
          <a:extLst>
            <a:ext uri="{FF2B5EF4-FFF2-40B4-BE49-F238E27FC236}">
              <a16:creationId xmlns:a16="http://schemas.microsoft.com/office/drawing/2014/main" id="{00000000-0008-0000-0600-00005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3" name="Oval 176">
          <a:extLst>
            <a:ext uri="{FF2B5EF4-FFF2-40B4-BE49-F238E27FC236}">
              <a16:creationId xmlns:a16="http://schemas.microsoft.com/office/drawing/2014/main" id="{00000000-0008-0000-0600-00005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4" name="Oval 177">
          <a:extLst>
            <a:ext uri="{FF2B5EF4-FFF2-40B4-BE49-F238E27FC236}">
              <a16:creationId xmlns:a16="http://schemas.microsoft.com/office/drawing/2014/main" id="{00000000-0008-0000-0600-00005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05" name="AutoShape 178">
          <a:extLst>
            <a:ext uri="{FF2B5EF4-FFF2-40B4-BE49-F238E27FC236}">
              <a16:creationId xmlns:a16="http://schemas.microsoft.com/office/drawing/2014/main" id="{00000000-0008-0000-0600-00005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06" name="Rectangle 179">
          <a:extLst>
            <a:ext uri="{FF2B5EF4-FFF2-40B4-BE49-F238E27FC236}">
              <a16:creationId xmlns:a16="http://schemas.microsoft.com/office/drawing/2014/main" id="{00000000-0008-0000-0600-00005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7" name="Oval 180">
          <a:extLst>
            <a:ext uri="{FF2B5EF4-FFF2-40B4-BE49-F238E27FC236}">
              <a16:creationId xmlns:a16="http://schemas.microsoft.com/office/drawing/2014/main" id="{00000000-0008-0000-0600-00005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8" name="Oval 181">
          <a:extLst>
            <a:ext uri="{FF2B5EF4-FFF2-40B4-BE49-F238E27FC236}">
              <a16:creationId xmlns:a16="http://schemas.microsoft.com/office/drawing/2014/main" id="{00000000-0008-0000-0600-00005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09" name="Oval 182">
          <a:extLst>
            <a:ext uri="{FF2B5EF4-FFF2-40B4-BE49-F238E27FC236}">
              <a16:creationId xmlns:a16="http://schemas.microsoft.com/office/drawing/2014/main" id="{00000000-0008-0000-0600-00005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0" name="Oval 183">
          <a:extLst>
            <a:ext uri="{FF2B5EF4-FFF2-40B4-BE49-F238E27FC236}">
              <a16:creationId xmlns:a16="http://schemas.microsoft.com/office/drawing/2014/main" id="{00000000-0008-0000-0600-00005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11" name="AutoShape 184">
          <a:extLst>
            <a:ext uri="{FF2B5EF4-FFF2-40B4-BE49-F238E27FC236}">
              <a16:creationId xmlns:a16="http://schemas.microsoft.com/office/drawing/2014/main" id="{00000000-0008-0000-0600-00005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12" name="Rectangle 185">
          <a:extLst>
            <a:ext uri="{FF2B5EF4-FFF2-40B4-BE49-F238E27FC236}">
              <a16:creationId xmlns:a16="http://schemas.microsoft.com/office/drawing/2014/main" id="{00000000-0008-0000-0600-00005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3" name="Oval 186">
          <a:extLst>
            <a:ext uri="{FF2B5EF4-FFF2-40B4-BE49-F238E27FC236}">
              <a16:creationId xmlns:a16="http://schemas.microsoft.com/office/drawing/2014/main" id="{00000000-0008-0000-0600-00005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4" name="Oval 187">
          <a:extLst>
            <a:ext uri="{FF2B5EF4-FFF2-40B4-BE49-F238E27FC236}">
              <a16:creationId xmlns:a16="http://schemas.microsoft.com/office/drawing/2014/main" id="{00000000-0008-0000-0600-00005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5" name="Oval 188">
          <a:extLst>
            <a:ext uri="{FF2B5EF4-FFF2-40B4-BE49-F238E27FC236}">
              <a16:creationId xmlns:a16="http://schemas.microsoft.com/office/drawing/2014/main" id="{00000000-0008-0000-0600-00005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6" name="Oval 189">
          <a:extLst>
            <a:ext uri="{FF2B5EF4-FFF2-40B4-BE49-F238E27FC236}">
              <a16:creationId xmlns:a16="http://schemas.microsoft.com/office/drawing/2014/main" id="{00000000-0008-0000-0600-00006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17" name="AutoShape 190">
          <a:extLst>
            <a:ext uri="{FF2B5EF4-FFF2-40B4-BE49-F238E27FC236}">
              <a16:creationId xmlns:a16="http://schemas.microsoft.com/office/drawing/2014/main" id="{00000000-0008-0000-0600-00006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18" name="Rectangle 191">
          <a:extLst>
            <a:ext uri="{FF2B5EF4-FFF2-40B4-BE49-F238E27FC236}">
              <a16:creationId xmlns:a16="http://schemas.microsoft.com/office/drawing/2014/main" id="{00000000-0008-0000-0600-00006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19" name="Oval 192">
          <a:extLst>
            <a:ext uri="{FF2B5EF4-FFF2-40B4-BE49-F238E27FC236}">
              <a16:creationId xmlns:a16="http://schemas.microsoft.com/office/drawing/2014/main" id="{00000000-0008-0000-0600-00006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0" name="Oval 193">
          <a:extLst>
            <a:ext uri="{FF2B5EF4-FFF2-40B4-BE49-F238E27FC236}">
              <a16:creationId xmlns:a16="http://schemas.microsoft.com/office/drawing/2014/main" id="{00000000-0008-0000-0600-00006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1" name="Oval 194">
          <a:extLst>
            <a:ext uri="{FF2B5EF4-FFF2-40B4-BE49-F238E27FC236}">
              <a16:creationId xmlns:a16="http://schemas.microsoft.com/office/drawing/2014/main" id="{00000000-0008-0000-0600-00006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2" name="Oval 195">
          <a:extLst>
            <a:ext uri="{FF2B5EF4-FFF2-40B4-BE49-F238E27FC236}">
              <a16:creationId xmlns:a16="http://schemas.microsoft.com/office/drawing/2014/main" id="{00000000-0008-0000-0600-00006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23" name="AutoShape 196">
          <a:extLst>
            <a:ext uri="{FF2B5EF4-FFF2-40B4-BE49-F238E27FC236}">
              <a16:creationId xmlns:a16="http://schemas.microsoft.com/office/drawing/2014/main" id="{00000000-0008-0000-0600-00006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24" name="Rectangle 197">
          <a:extLst>
            <a:ext uri="{FF2B5EF4-FFF2-40B4-BE49-F238E27FC236}">
              <a16:creationId xmlns:a16="http://schemas.microsoft.com/office/drawing/2014/main" id="{00000000-0008-0000-0600-00006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5" name="Oval 198">
          <a:extLst>
            <a:ext uri="{FF2B5EF4-FFF2-40B4-BE49-F238E27FC236}">
              <a16:creationId xmlns:a16="http://schemas.microsoft.com/office/drawing/2014/main" id="{00000000-0008-0000-0600-00006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6" name="Oval 199">
          <a:extLst>
            <a:ext uri="{FF2B5EF4-FFF2-40B4-BE49-F238E27FC236}">
              <a16:creationId xmlns:a16="http://schemas.microsoft.com/office/drawing/2014/main" id="{00000000-0008-0000-0600-00006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7" name="Oval 200">
          <a:extLst>
            <a:ext uri="{FF2B5EF4-FFF2-40B4-BE49-F238E27FC236}">
              <a16:creationId xmlns:a16="http://schemas.microsoft.com/office/drawing/2014/main" id="{00000000-0008-0000-0600-00006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28" name="Oval 201">
          <a:extLst>
            <a:ext uri="{FF2B5EF4-FFF2-40B4-BE49-F238E27FC236}">
              <a16:creationId xmlns:a16="http://schemas.microsoft.com/office/drawing/2014/main" id="{00000000-0008-0000-0600-00006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29" name="AutoShape 202">
          <a:extLst>
            <a:ext uri="{FF2B5EF4-FFF2-40B4-BE49-F238E27FC236}">
              <a16:creationId xmlns:a16="http://schemas.microsoft.com/office/drawing/2014/main" id="{00000000-0008-0000-0600-00006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30" name="Rectangle 203">
          <a:extLst>
            <a:ext uri="{FF2B5EF4-FFF2-40B4-BE49-F238E27FC236}">
              <a16:creationId xmlns:a16="http://schemas.microsoft.com/office/drawing/2014/main" id="{00000000-0008-0000-0600-00006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1" name="Oval 204">
          <a:extLst>
            <a:ext uri="{FF2B5EF4-FFF2-40B4-BE49-F238E27FC236}">
              <a16:creationId xmlns:a16="http://schemas.microsoft.com/office/drawing/2014/main" id="{00000000-0008-0000-0600-00006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2" name="Oval 205">
          <a:extLst>
            <a:ext uri="{FF2B5EF4-FFF2-40B4-BE49-F238E27FC236}">
              <a16:creationId xmlns:a16="http://schemas.microsoft.com/office/drawing/2014/main" id="{00000000-0008-0000-0600-00007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3" name="Oval 206">
          <a:extLst>
            <a:ext uri="{FF2B5EF4-FFF2-40B4-BE49-F238E27FC236}">
              <a16:creationId xmlns:a16="http://schemas.microsoft.com/office/drawing/2014/main" id="{00000000-0008-0000-0600-00007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4" name="Oval 207">
          <a:extLst>
            <a:ext uri="{FF2B5EF4-FFF2-40B4-BE49-F238E27FC236}">
              <a16:creationId xmlns:a16="http://schemas.microsoft.com/office/drawing/2014/main" id="{00000000-0008-0000-0600-00007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35" name="AutoShape 208">
          <a:extLst>
            <a:ext uri="{FF2B5EF4-FFF2-40B4-BE49-F238E27FC236}">
              <a16:creationId xmlns:a16="http://schemas.microsoft.com/office/drawing/2014/main" id="{00000000-0008-0000-0600-00007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36" name="Rectangle 209">
          <a:extLst>
            <a:ext uri="{FF2B5EF4-FFF2-40B4-BE49-F238E27FC236}">
              <a16:creationId xmlns:a16="http://schemas.microsoft.com/office/drawing/2014/main" id="{00000000-0008-0000-0600-00007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7" name="Oval 210">
          <a:extLst>
            <a:ext uri="{FF2B5EF4-FFF2-40B4-BE49-F238E27FC236}">
              <a16:creationId xmlns:a16="http://schemas.microsoft.com/office/drawing/2014/main" id="{00000000-0008-0000-0600-00007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8" name="Oval 211">
          <a:extLst>
            <a:ext uri="{FF2B5EF4-FFF2-40B4-BE49-F238E27FC236}">
              <a16:creationId xmlns:a16="http://schemas.microsoft.com/office/drawing/2014/main" id="{00000000-0008-0000-0600-00007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39" name="Oval 212">
          <a:extLst>
            <a:ext uri="{FF2B5EF4-FFF2-40B4-BE49-F238E27FC236}">
              <a16:creationId xmlns:a16="http://schemas.microsoft.com/office/drawing/2014/main" id="{00000000-0008-0000-0600-00007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0" name="Oval 213">
          <a:extLst>
            <a:ext uri="{FF2B5EF4-FFF2-40B4-BE49-F238E27FC236}">
              <a16:creationId xmlns:a16="http://schemas.microsoft.com/office/drawing/2014/main" id="{00000000-0008-0000-0600-00007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41" name="AutoShape 214">
          <a:extLst>
            <a:ext uri="{FF2B5EF4-FFF2-40B4-BE49-F238E27FC236}">
              <a16:creationId xmlns:a16="http://schemas.microsoft.com/office/drawing/2014/main" id="{00000000-0008-0000-0600-00007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42" name="Rectangle 215">
          <a:extLst>
            <a:ext uri="{FF2B5EF4-FFF2-40B4-BE49-F238E27FC236}">
              <a16:creationId xmlns:a16="http://schemas.microsoft.com/office/drawing/2014/main" id="{00000000-0008-0000-0600-00007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3" name="Oval 216">
          <a:extLst>
            <a:ext uri="{FF2B5EF4-FFF2-40B4-BE49-F238E27FC236}">
              <a16:creationId xmlns:a16="http://schemas.microsoft.com/office/drawing/2014/main" id="{00000000-0008-0000-0600-00007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4" name="Oval 217">
          <a:extLst>
            <a:ext uri="{FF2B5EF4-FFF2-40B4-BE49-F238E27FC236}">
              <a16:creationId xmlns:a16="http://schemas.microsoft.com/office/drawing/2014/main" id="{00000000-0008-0000-0600-00007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5" name="Oval 218">
          <a:extLst>
            <a:ext uri="{FF2B5EF4-FFF2-40B4-BE49-F238E27FC236}">
              <a16:creationId xmlns:a16="http://schemas.microsoft.com/office/drawing/2014/main" id="{00000000-0008-0000-0600-00007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6" name="Oval 219">
          <a:extLst>
            <a:ext uri="{FF2B5EF4-FFF2-40B4-BE49-F238E27FC236}">
              <a16:creationId xmlns:a16="http://schemas.microsoft.com/office/drawing/2014/main" id="{00000000-0008-0000-0600-00007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47" name="AutoShape 220">
          <a:extLst>
            <a:ext uri="{FF2B5EF4-FFF2-40B4-BE49-F238E27FC236}">
              <a16:creationId xmlns:a16="http://schemas.microsoft.com/office/drawing/2014/main" id="{00000000-0008-0000-0600-00007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48" name="Rectangle 221">
          <a:extLst>
            <a:ext uri="{FF2B5EF4-FFF2-40B4-BE49-F238E27FC236}">
              <a16:creationId xmlns:a16="http://schemas.microsoft.com/office/drawing/2014/main" id="{00000000-0008-0000-0600-00008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49" name="Oval 222">
          <a:extLst>
            <a:ext uri="{FF2B5EF4-FFF2-40B4-BE49-F238E27FC236}">
              <a16:creationId xmlns:a16="http://schemas.microsoft.com/office/drawing/2014/main" id="{00000000-0008-0000-0600-00008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0" name="Oval 223">
          <a:extLst>
            <a:ext uri="{FF2B5EF4-FFF2-40B4-BE49-F238E27FC236}">
              <a16:creationId xmlns:a16="http://schemas.microsoft.com/office/drawing/2014/main" id="{00000000-0008-0000-0600-00008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1" name="Oval 224">
          <a:extLst>
            <a:ext uri="{FF2B5EF4-FFF2-40B4-BE49-F238E27FC236}">
              <a16:creationId xmlns:a16="http://schemas.microsoft.com/office/drawing/2014/main" id="{00000000-0008-0000-0600-00008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2" name="Oval 225">
          <a:extLst>
            <a:ext uri="{FF2B5EF4-FFF2-40B4-BE49-F238E27FC236}">
              <a16:creationId xmlns:a16="http://schemas.microsoft.com/office/drawing/2014/main" id="{00000000-0008-0000-0600-00008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53" name="AutoShape 226">
          <a:extLst>
            <a:ext uri="{FF2B5EF4-FFF2-40B4-BE49-F238E27FC236}">
              <a16:creationId xmlns:a16="http://schemas.microsoft.com/office/drawing/2014/main" id="{00000000-0008-0000-0600-00008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54" name="Rectangle 227">
          <a:extLst>
            <a:ext uri="{FF2B5EF4-FFF2-40B4-BE49-F238E27FC236}">
              <a16:creationId xmlns:a16="http://schemas.microsoft.com/office/drawing/2014/main" id="{00000000-0008-0000-0600-00008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5" name="Oval 228">
          <a:extLst>
            <a:ext uri="{FF2B5EF4-FFF2-40B4-BE49-F238E27FC236}">
              <a16:creationId xmlns:a16="http://schemas.microsoft.com/office/drawing/2014/main" id="{00000000-0008-0000-0600-00008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6" name="Oval 229">
          <a:extLst>
            <a:ext uri="{FF2B5EF4-FFF2-40B4-BE49-F238E27FC236}">
              <a16:creationId xmlns:a16="http://schemas.microsoft.com/office/drawing/2014/main" id="{00000000-0008-0000-0600-00008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7" name="Oval 230">
          <a:extLst>
            <a:ext uri="{FF2B5EF4-FFF2-40B4-BE49-F238E27FC236}">
              <a16:creationId xmlns:a16="http://schemas.microsoft.com/office/drawing/2014/main" id="{00000000-0008-0000-0600-00008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58" name="Oval 231">
          <a:extLst>
            <a:ext uri="{FF2B5EF4-FFF2-40B4-BE49-F238E27FC236}">
              <a16:creationId xmlns:a16="http://schemas.microsoft.com/office/drawing/2014/main" id="{00000000-0008-0000-0600-00008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59" name="AutoShape 232">
          <a:extLst>
            <a:ext uri="{FF2B5EF4-FFF2-40B4-BE49-F238E27FC236}">
              <a16:creationId xmlns:a16="http://schemas.microsoft.com/office/drawing/2014/main" id="{00000000-0008-0000-0600-00008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60" name="Rectangle 233">
          <a:extLst>
            <a:ext uri="{FF2B5EF4-FFF2-40B4-BE49-F238E27FC236}">
              <a16:creationId xmlns:a16="http://schemas.microsoft.com/office/drawing/2014/main" id="{00000000-0008-0000-0600-00008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1" name="Oval 234">
          <a:extLst>
            <a:ext uri="{FF2B5EF4-FFF2-40B4-BE49-F238E27FC236}">
              <a16:creationId xmlns:a16="http://schemas.microsoft.com/office/drawing/2014/main" id="{00000000-0008-0000-0600-00008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2" name="Oval 235">
          <a:extLst>
            <a:ext uri="{FF2B5EF4-FFF2-40B4-BE49-F238E27FC236}">
              <a16:creationId xmlns:a16="http://schemas.microsoft.com/office/drawing/2014/main" id="{00000000-0008-0000-0600-00008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3" name="Oval 236">
          <a:extLst>
            <a:ext uri="{FF2B5EF4-FFF2-40B4-BE49-F238E27FC236}">
              <a16:creationId xmlns:a16="http://schemas.microsoft.com/office/drawing/2014/main" id="{00000000-0008-0000-0600-00008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4" name="Oval 237">
          <a:extLst>
            <a:ext uri="{FF2B5EF4-FFF2-40B4-BE49-F238E27FC236}">
              <a16:creationId xmlns:a16="http://schemas.microsoft.com/office/drawing/2014/main" id="{00000000-0008-0000-0600-00009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65" name="AutoShape 238">
          <a:extLst>
            <a:ext uri="{FF2B5EF4-FFF2-40B4-BE49-F238E27FC236}">
              <a16:creationId xmlns:a16="http://schemas.microsoft.com/office/drawing/2014/main" id="{00000000-0008-0000-0600-00009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66" name="Rectangle 239">
          <a:extLst>
            <a:ext uri="{FF2B5EF4-FFF2-40B4-BE49-F238E27FC236}">
              <a16:creationId xmlns:a16="http://schemas.microsoft.com/office/drawing/2014/main" id="{00000000-0008-0000-0600-00009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7" name="Oval 240">
          <a:extLst>
            <a:ext uri="{FF2B5EF4-FFF2-40B4-BE49-F238E27FC236}">
              <a16:creationId xmlns:a16="http://schemas.microsoft.com/office/drawing/2014/main" id="{00000000-0008-0000-0600-00009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8" name="Oval 241">
          <a:extLst>
            <a:ext uri="{FF2B5EF4-FFF2-40B4-BE49-F238E27FC236}">
              <a16:creationId xmlns:a16="http://schemas.microsoft.com/office/drawing/2014/main" id="{00000000-0008-0000-0600-00009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69" name="Oval 242">
          <a:extLst>
            <a:ext uri="{FF2B5EF4-FFF2-40B4-BE49-F238E27FC236}">
              <a16:creationId xmlns:a16="http://schemas.microsoft.com/office/drawing/2014/main" id="{00000000-0008-0000-0600-00009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0" name="Oval 243">
          <a:extLst>
            <a:ext uri="{FF2B5EF4-FFF2-40B4-BE49-F238E27FC236}">
              <a16:creationId xmlns:a16="http://schemas.microsoft.com/office/drawing/2014/main" id="{00000000-0008-0000-0600-00009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71" name="AutoShape 244">
          <a:extLst>
            <a:ext uri="{FF2B5EF4-FFF2-40B4-BE49-F238E27FC236}">
              <a16:creationId xmlns:a16="http://schemas.microsoft.com/office/drawing/2014/main" id="{00000000-0008-0000-0600-00009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72" name="Rectangle 245">
          <a:extLst>
            <a:ext uri="{FF2B5EF4-FFF2-40B4-BE49-F238E27FC236}">
              <a16:creationId xmlns:a16="http://schemas.microsoft.com/office/drawing/2014/main" id="{00000000-0008-0000-0600-00009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3" name="Oval 246">
          <a:extLst>
            <a:ext uri="{FF2B5EF4-FFF2-40B4-BE49-F238E27FC236}">
              <a16:creationId xmlns:a16="http://schemas.microsoft.com/office/drawing/2014/main" id="{00000000-0008-0000-0600-00009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4" name="Oval 247">
          <a:extLst>
            <a:ext uri="{FF2B5EF4-FFF2-40B4-BE49-F238E27FC236}">
              <a16:creationId xmlns:a16="http://schemas.microsoft.com/office/drawing/2014/main" id="{00000000-0008-0000-0600-00009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5" name="Oval 248">
          <a:extLst>
            <a:ext uri="{FF2B5EF4-FFF2-40B4-BE49-F238E27FC236}">
              <a16:creationId xmlns:a16="http://schemas.microsoft.com/office/drawing/2014/main" id="{00000000-0008-0000-0600-00009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6" name="Oval 249">
          <a:extLst>
            <a:ext uri="{FF2B5EF4-FFF2-40B4-BE49-F238E27FC236}">
              <a16:creationId xmlns:a16="http://schemas.microsoft.com/office/drawing/2014/main" id="{00000000-0008-0000-0600-00009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77" name="AutoShape 250">
          <a:extLst>
            <a:ext uri="{FF2B5EF4-FFF2-40B4-BE49-F238E27FC236}">
              <a16:creationId xmlns:a16="http://schemas.microsoft.com/office/drawing/2014/main" id="{00000000-0008-0000-0600-00009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78" name="Rectangle 251">
          <a:extLst>
            <a:ext uri="{FF2B5EF4-FFF2-40B4-BE49-F238E27FC236}">
              <a16:creationId xmlns:a16="http://schemas.microsoft.com/office/drawing/2014/main" id="{00000000-0008-0000-0600-00009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79" name="Oval 252">
          <a:extLst>
            <a:ext uri="{FF2B5EF4-FFF2-40B4-BE49-F238E27FC236}">
              <a16:creationId xmlns:a16="http://schemas.microsoft.com/office/drawing/2014/main" id="{00000000-0008-0000-0600-00009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0" name="Oval 253">
          <a:extLst>
            <a:ext uri="{FF2B5EF4-FFF2-40B4-BE49-F238E27FC236}">
              <a16:creationId xmlns:a16="http://schemas.microsoft.com/office/drawing/2014/main" id="{00000000-0008-0000-0600-0000A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1" name="Oval 254">
          <a:extLst>
            <a:ext uri="{FF2B5EF4-FFF2-40B4-BE49-F238E27FC236}">
              <a16:creationId xmlns:a16="http://schemas.microsoft.com/office/drawing/2014/main" id="{00000000-0008-0000-0600-0000A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2" name="Oval 255">
          <a:extLst>
            <a:ext uri="{FF2B5EF4-FFF2-40B4-BE49-F238E27FC236}">
              <a16:creationId xmlns:a16="http://schemas.microsoft.com/office/drawing/2014/main" id="{00000000-0008-0000-0600-0000A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83" name="AutoShape 256">
          <a:extLst>
            <a:ext uri="{FF2B5EF4-FFF2-40B4-BE49-F238E27FC236}">
              <a16:creationId xmlns:a16="http://schemas.microsoft.com/office/drawing/2014/main" id="{00000000-0008-0000-0600-0000A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84" name="Rectangle 257">
          <a:extLst>
            <a:ext uri="{FF2B5EF4-FFF2-40B4-BE49-F238E27FC236}">
              <a16:creationId xmlns:a16="http://schemas.microsoft.com/office/drawing/2014/main" id="{00000000-0008-0000-0600-0000A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5" name="Oval 258">
          <a:extLst>
            <a:ext uri="{FF2B5EF4-FFF2-40B4-BE49-F238E27FC236}">
              <a16:creationId xmlns:a16="http://schemas.microsoft.com/office/drawing/2014/main" id="{00000000-0008-0000-0600-0000A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6" name="Oval 259">
          <a:extLst>
            <a:ext uri="{FF2B5EF4-FFF2-40B4-BE49-F238E27FC236}">
              <a16:creationId xmlns:a16="http://schemas.microsoft.com/office/drawing/2014/main" id="{00000000-0008-0000-0600-0000A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7" name="Oval 260">
          <a:extLst>
            <a:ext uri="{FF2B5EF4-FFF2-40B4-BE49-F238E27FC236}">
              <a16:creationId xmlns:a16="http://schemas.microsoft.com/office/drawing/2014/main" id="{00000000-0008-0000-0600-0000A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88" name="Oval 261">
          <a:extLst>
            <a:ext uri="{FF2B5EF4-FFF2-40B4-BE49-F238E27FC236}">
              <a16:creationId xmlns:a16="http://schemas.microsoft.com/office/drawing/2014/main" id="{00000000-0008-0000-0600-0000A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89" name="AutoShape 262">
          <a:extLst>
            <a:ext uri="{FF2B5EF4-FFF2-40B4-BE49-F238E27FC236}">
              <a16:creationId xmlns:a16="http://schemas.microsoft.com/office/drawing/2014/main" id="{00000000-0008-0000-0600-0000A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90" name="Rectangle 263">
          <a:extLst>
            <a:ext uri="{FF2B5EF4-FFF2-40B4-BE49-F238E27FC236}">
              <a16:creationId xmlns:a16="http://schemas.microsoft.com/office/drawing/2014/main" id="{00000000-0008-0000-0600-0000A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1" name="Oval 264">
          <a:extLst>
            <a:ext uri="{FF2B5EF4-FFF2-40B4-BE49-F238E27FC236}">
              <a16:creationId xmlns:a16="http://schemas.microsoft.com/office/drawing/2014/main" id="{00000000-0008-0000-0600-0000A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2" name="Oval 265">
          <a:extLst>
            <a:ext uri="{FF2B5EF4-FFF2-40B4-BE49-F238E27FC236}">
              <a16:creationId xmlns:a16="http://schemas.microsoft.com/office/drawing/2014/main" id="{00000000-0008-0000-0600-0000A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3" name="Oval 266">
          <a:extLst>
            <a:ext uri="{FF2B5EF4-FFF2-40B4-BE49-F238E27FC236}">
              <a16:creationId xmlns:a16="http://schemas.microsoft.com/office/drawing/2014/main" id="{00000000-0008-0000-0600-0000A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4" name="Oval 267">
          <a:extLst>
            <a:ext uri="{FF2B5EF4-FFF2-40B4-BE49-F238E27FC236}">
              <a16:creationId xmlns:a16="http://schemas.microsoft.com/office/drawing/2014/main" id="{00000000-0008-0000-0600-0000A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4495" name="AutoShape 268">
          <a:extLst>
            <a:ext uri="{FF2B5EF4-FFF2-40B4-BE49-F238E27FC236}">
              <a16:creationId xmlns:a16="http://schemas.microsoft.com/office/drawing/2014/main" id="{00000000-0008-0000-0600-0000A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496" name="Rectangle 269">
          <a:extLst>
            <a:ext uri="{FF2B5EF4-FFF2-40B4-BE49-F238E27FC236}">
              <a16:creationId xmlns:a16="http://schemas.microsoft.com/office/drawing/2014/main" id="{00000000-0008-0000-0600-0000B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7" name="Oval 270">
          <a:extLst>
            <a:ext uri="{FF2B5EF4-FFF2-40B4-BE49-F238E27FC236}">
              <a16:creationId xmlns:a16="http://schemas.microsoft.com/office/drawing/2014/main" id="{00000000-0008-0000-0600-0000B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8" name="Oval 271">
          <a:extLst>
            <a:ext uri="{FF2B5EF4-FFF2-40B4-BE49-F238E27FC236}">
              <a16:creationId xmlns:a16="http://schemas.microsoft.com/office/drawing/2014/main" id="{00000000-0008-0000-0600-0000B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499" name="Oval 272">
          <a:extLst>
            <a:ext uri="{FF2B5EF4-FFF2-40B4-BE49-F238E27FC236}">
              <a16:creationId xmlns:a16="http://schemas.microsoft.com/office/drawing/2014/main" id="{00000000-0008-0000-0600-0000B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0" name="Oval 273">
          <a:extLst>
            <a:ext uri="{FF2B5EF4-FFF2-40B4-BE49-F238E27FC236}">
              <a16:creationId xmlns:a16="http://schemas.microsoft.com/office/drawing/2014/main" id="{00000000-0008-0000-0600-0000B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501" name="Rectangle 274">
          <a:extLst>
            <a:ext uri="{FF2B5EF4-FFF2-40B4-BE49-F238E27FC236}">
              <a16:creationId xmlns:a16="http://schemas.microsoft.com/office/drawing/2014/main" id="{00000000-0008-0000-0600-0000B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2" name="Oval 275">
          <a:extLst>
            <a:ext uri="{FF2B5EF4-FFF2-40B4-BE49-F238E27FC236}">
              <a16:creationId xmlns:a16="http://schemas.microsoft.com/office/drawing/2014/main" id="{00000000-0008-0000-0600-0000B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3" name="Oval 276">
          <a:extLst>
            <a:ext uri="{FF2B5EF4-FFF2-40B4-BE49-F238E27FC236}">
              <a16:creationId xmlns:a16="http://schemas.microsoft.com/office/drawing/2014/main" id="{00000000-0008-0000-0600-0000B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4" name="Oval 277">
          <a:extLst>
            <a:ext uri="{FF2B5EF4-FFF2-40B4-BE49-F238E27FC236}">
              <a16:creationId xmlns:a16="http://schemas.microsoft.com/office/drawing/2014/main" id="{00000000-0008-0000-0600-0000B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5" name="Oval 278">
          <a:extLst>
            <a:ext uri="{FF2B5EF4-FFF2-40B4-BE49-F238E27FC236}">
              <a16:creationId xmlns:a16="http://schemas.microsoft.com/office/drawing/2014/main" id="{00000000-0008-0000-0600-0000B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4506" name="Rectangle 279">
          <a:extLst>
            <a:ext uri="{FF2B5EF4-FFF2-40B4-BE49-F238E27FC236}">
              <a16:creationId xmlns:a16="http://schemas.microsoft.com/office/drawing/2014/main" id="{00000000-0008-0000-0600-0000B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7" name="Oval 280">
          <a:extLst>
            <a:ext uri="{FF2B5EF4-FFF2-40B4-BE49-F238E27FC236}">
              <a16:creationId xmlns:a16="http://schemas.microsoft.com/office/drawing/2014/main" id="{00000000-0008-0000-0600-0000B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8" name="Oval 281">
          <a:extLst>
            <a:ext uri="{FF2B5EF4-FFF2-40B4-BE49-F238E27FC236}">
              <a16:creationId xmlns:a16="http://schemas.microsoft.com/office/drawing/2014/main" id="{00000000-0008-0000-0600-0000B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09" name="Oval 282">
          <a:extLst>
            <a:ext uri="{FF2B5EF4-FFF2-40B4-BE49-F238E27FC236}">
              <a16:creationId xmlns:a16="http://schemas.microsoft.com/office/drawing/2014/main" id="{00000000-0008-0000-0600-0000B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4510" name="Oval 283">
          <a:extLst>
            <a:ext uri="{FF2B5EF4-FFF2-40B4-BE49-F238E27FC236}">
              <a16:creationId xmlns:a16="http://schemas.microsoft.com/office/drawing/2014/main" id="{00000000-0008-0000-0600-0000B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4511" name="Rectangle 285">
          <a:extLst>
            <a:ext uri="{FF2B5EF4-FFF2-40B4-BE49-F238E27FC236}">
              <a16:creationId xmlns:a16="http://schemas.microsoft.com/office/drawing/2014/main" id="{00000000-0008-0000-0600-0000BF41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4512" name="Rectangle 287">
          <a:extLst>
            <a:ext uri="{FF2B5EF4-FFF2-40B4-BE49-F238E27FC236}">
              <a16:creationId xmlns:a16="http://schemas.microsoft.com/office/drawing/2014/main" id="{00000000-0008-0000-0600-0000C041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4513" name="Rectangle 289">
          <a:extLst>
            <a:ext uri="{FF2B5EF4-FFF2-40B4-BE49-F238E27FC236}">
              <a16:creationId xmlns:a16="http://schemas.microsoft.com/office/drawing/2014/main" id="{00000000-0008-0000-0600-0000C141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4514" name="Rectangle 291">
          <a:extLst>
            <a:ext uri="{FF2B5EF4-FFF2-40B4-BE49-F238E27FC236}">
              <a16:creationId xmlns:a16="http://schemas.microsoft.com/office/drawing/2014/main" id="{00000000-0008-0000-0600-0000C241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4515" name="Rectangle 293">
          <a:extLst>
            <a:ext uri="{FF2B5EF4-FFF2-40B4-BE49-F238E27FC236}">
              <a16:creationId xmlns:a16="http://schemas.microsoft.com/office/drawing/2014/main" id="{00000000-0008-0000-0600-0000C341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4516" name="Rectangle 295">
          <a:extLst>
            <a:ext uri="{FF2B5EF4-FFF2-40B4-BE49-F238E27FC236}">
              <a16:creationId xmlns:a16="http://schemas.microsoft.com/office/drawing/2014/main" id="{00000000-0008-0000-0600-0000C4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4517" name="Rectangle 297">
          <a:extLst>
            <a:ext uri="{FF2B5EF4-FFF2-40B4-BE49-F238E27FC236}">
              <a16:creationId xmlns:a16="http://schemas.microsoft.com/office/drawing/2014/main" id="{00000000-0008-0000-0600-0000C5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4518" name="Rectangle 299">
          <a:extLst>
            <a:ext uri="{FF2B5EF4-FFF2-40B4-BE49-F238E27FC236}">
              <a16:creationId xmlns:a16="http://schemas.microsoft.com/office/drawing/2014/main" id="{00000000-0008-0000-0600-0000C6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4519" name="Rectangle 301">
          <a:extLst>
            <a:ext uri="{FF2B5EF4-FFF2-40B4-BE49-F238E27FC236}">
              <a16:creationId xmlns:a16="http://schemas.microsoft.com/office/drawing/2014/main" id="{00000000-0008-0000-0600-0000C7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4520" name="Rectangle 303">
          <a:extLst>
            <a:ext uri="{FF2B5EF4-FFF2-40B4-BE49-F238E27FC236}">
              <a16:creationId xmlns:a16="http://schemas.microsoft.com/office/drawing/2014/main" id="{00000000-0008-0000-0600-0000C8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4521" name="Rectangle 305">
          <a:extLst>
            <a:ext uri="{FF2B5EF4-FFF2-40B4-BE49-F238E27FC236}">
              <a16:creationId xmlns:a16="http://schemas.microsoft.com/office/drawing/2014/main" id="{00000000-0008-0000-0600-0000C9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4522" name="Rectangle 307">
          <a:extLst>
            <a:ext uri="{FF2B5EF4-FFF2-40B4-BE49-F238E27FC236}">
              <a16:creationId xmlns:a16="http://schemas.microsoft.com/office/drawing/2014/main" id="{00000000-0008-0000-0600-0000CA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44523" name="フリーフォーム 311">
          <a:extLst>
            <a:ext uri="{FF2B5EF4-FFF2-40B4-BE49-F238E27FC236}">
              <a16:creationId xmlns:a16="http://schemas.microsoft.com/office/drawing/2014/main" id="{00000000-0008-0000-0600-0000CB41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44524" name="フリーフォーム 312">
          <a:extLst>
            <a:ext uri="{FF2B5EF4-FFF2-40B4-BE49-F238E27FC236}">
              <a16:creationId xmlns:a16="http://schemas.microsoft.com/office/drawing/2014/main" id="{00000000-0008-0000-0600-0000CC41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44525" name="フリーフォーム 313">
          <a:extLst>
            <a:ext uri="{FF2B5EF4-FFF2-40B4-BE49-F238E27FC236}">
              <a16:creationId xmlns:a16="http://schemas.microsoft.com/office/drawing/2014/main" id="{00000000-0008-0000-0600-0000CD41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44526" name="フリーフォーム 314">
          <a:extLst>
            <a:ext uri="{FF2B5EF4-FFF2-40B4-BE49-F238E27FC236}">
              <a16:creationId xmlns:a16="http://schemas.microsoft.com/office/drawing/2014/main" id="{00000000-0008-0000-0600-0000CE41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44527" name="フリーフォーム 315">
          <a:extLst>
            <a:ext uri="{FF2B5EF4-FFF2-40B4-BE49-F238E27FC236}">
              <a16:creationId xmlns:a16="http://schemas.microsoft.com/office/drawing/2014/main" id="{00000000-0008-0000-0600-0000CF41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44528" name="フリーフォーム 316">
          <a:extLst>
            <a:ext uri="{FF2B5EF4-FFF2-40B4-BE49-F238E27FC236}">
              <a16:creationId xmlns:a16="http://schemas.microsoft.com/office/drawing/2014/main" id="{00000000-0008-0000-0600-0000D041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44529" name="フリーフォーム 317">
          <a:extLst>
            <a:ext uri="{FF2B5EF4-FFF2-40B4-BE49-F238E27FC236}">
              <a16:creationId xmlns:a16="http://schemas.microsoft.com/office/drawing/2014/main" id="{00000000-0008-0000-0600-0000D141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44530" name="フリーフォーム 319">
          <a:extLst>
            <a:ext uri="{FF2B5EF4-FFF2-40B4-BE49-F238E27FC236}">
              <a16:creationId xmlns:a16="http://schemas.microsoft.com/office/drawing/2014/main" id="{00000000-0008-0000-0600-0000D241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44531" name="フリーフォーム 320">
          <a:extLst>
            <a:ext uri="{FF2B5EF4-FFF2-40B4-BE49-F238E27FC236}">
              <a16:creationId xmlns:a16="http://schemas.microsoft.com/office/drawing/2014/main" id="{00000000-0008-0000-0600-0000D341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44532" name="フリーフォーム 321">
          <a:extLst>
            <a:ext uri="{FF2B5EF4-FFF2-40B4-BE49-F238E27FC236}">
              <a16:creationId xmlns:a16="http://schemas.microsoft.com/office/drawing/2014/main" id="{00000000-0008-0000-0600-0000D441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44533" name="フリーフォーム 322">
          <a:extLst>
            <a:ext uri="{FF2B5EF4-FFF2-40B4-BE49-F238E27FC236}">
              <a16:creationId xmlns:a16="http://schemas.microsoft.com/office/drawing/2014/main" id="{00000000-0008-0000-0600-0000D541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4534" name="Rectangle 2">
          <a:extLst>
            <a:ext uri="{FF2B5EF4-FFF2-40B4-BE49-F238E27FC236}">
              <a16:creationId xmlns:a16="http://schemas.microsoft.com/office/drawing/2014/main" id="{00000000-0008-0000-0600-0000D641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4535" name="Rectangle 2">
          <a:extLst>
            <a:ext uri="{FF2B5EF4-FFF2-40B4-BE49-F238E27FC236}">
              <a16:creationId xmlns:a16="http://schemas.microsoft.com/office/drawing/2014/main" id="{00000000-0008-0000-0600-0000D741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4536" name="Rectangle 2">
          <a:extLst>
            <a:ext uri="{FF2B5EF4-FFF2-40B4-BE49-F238E27FC236}">
              <a16:creationId xmlns:a16="http://schemas.microsoft.com/office/drawing/2014/main" id="{00000000-0008-0000-0600-0000D841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4537" name="Rectangle 2">
          <a:extLst>
            <a:ext uri="{FF2B5EF4-FFF2-40B4-BE49-F238E27FC236}">
              <a16:creationId xmlns:a16="http://schemas.microsoft.com/office/drawing/2014/main" id="{00000000-0008-0000-0600-0000D941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4538" name="Rectangle 2">
          <a:extLst>
            <a:ext uri="{FF2B5EF4-FFF2-40B4-BE49-F238E27FC236}">
              <a16:creationId xmlns:a16="http://schemas.microsoft.com/office/drawing/2014/main" id="{00000000-0008-0000-0600-0000DA41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4539" name="Rectangle 293">
          <a:extLst>
            <a:ext uri="{FF2B5EF4-FFF2-40B4-BE49-F238E27FC236}">
              <a16:creationId xmlns:a16="http://schemas.microsoft.com/office/drawing/2014/main" id="{00000000-0008-0000-0600-0000DB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4540" name="Rectangle 2">
          <a:extLst>
            <a:ext uri="{FF2B5EF4-FFF2-40B4-BE49-F238E27FC236}">
              <a16:creationId xmlns:a16="http://schemas.microsoft.com/office/drawing/2014/main" id="{00000000-0008-0000-0600-0000DC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4541" name="Rectangle 293">
          <a:extLst>
            <a:ext uri="{FF2B5EF4-FFF2-40B4-BE49-F238E27FC236}">
              <a16:creationId xmlns:a16="http://schemas.microsoft.com/office/drawing/2014/main" id="{00000000-0008-0000-0600-0000DD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4542" name="Rectangle 2">
          <a:extLst>
            <a:ext uri="{FF2B5EF4-FFF2-40B4-BE49-F238E27FC236}">
              <a16:creationId xmlns:a16="http://schemas.microsoft.com/office/drawing/2014/main" id="{00000000-0008-0000-0600-0000DE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4543" name="Rectangle 293">
          <a:extLst>
            <a:ext uri="{FF2B5EF4-FFF2-40B4-BE49-F238E27FC236}">
              <a16:creationId xmlns:a16="http://schemas.microsoft.com/office/drawing/2014/main" id="{00000000-0008-0000-0600-0000DF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344544" name="フリーフォーム 342">
          <a:extLst>
            <a:ext uri="{FF2B5EF4-FFF2-40B4-BE49-F238E27FC236}">
              <a16:creationId xmlns:a16="http://schemas.microsoft.com/office/drawing/2014/main" id="{00000000-0008-0000-0600-0000E041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83656 w 272143"/>
            <a:gd name="T3" fmla="*/ 0 h 185057"/>
            <a:gd name="T4" fmla="*/ 541634 w 272143"/>
            <a:gd name="T5" fmla="*/ 297802 h 185057"/>
            <a:gd name="T6" fmla="*/ 564201 w 272143"/>
            <a:gd name="T7" fmla="*/ 340334 h 185057"/>
            <a:gd name="T8" fmla="*/ 383656 w 272143"/>
            <a:gd name="T9" fmla="*/ 723228 h 185057"/>
            <a:gd name="T10" fmla="*/ 11283 w 272143"/>
            <a:gd name="T11" fmla="*/ 72322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4545" name="Rectangle 2">
          <a:extLst>
            <a:ext uri="{FF2B5EF4-FFF2-40B4-BE49-F238E27FC236}">
              <a16:creationId xmlns:a16="http://schemas.microsoft.com/office/drawing/2014/main" id="{00000000-0008-0000-0600-0000E1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4546" name="Rectangle 293">
          <a:extLst>
            <a:ext uri="{FF2B5EF4-FFF2-40B4-BE49-F238E27FC236}">
              <a16:creationId xmlns:a16="http://schemas.microsoft.com/office/drawing/2014/main" id="{00000000-0008-0000-0600-0000E2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4547" name="Rectangle 2">
          <a:extLst>
            <a:ext uri="{FF2B5EF4-FFF2-40B4-BE49-F238E27FC236}">
              <a16:creationId xmlns:a16="http://schemas.microsoft.com/office/drawing/2014/main" id="{00000000-0008-0000-0600-0000E3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4548" name="Rectangle 293">
          <a:extLst>
            <a:ext uri="{FF2B5EF4-FFF2-40B4-BE49-F238E27FC236}">
              <a16:creationId xmlns:a16="http://schemas.microsoft.com/office/drawing/2014/main" id="{00000000-0008-0000-0600-0000E4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44549" name="フリーフォーム 350">
          <a:extLst>
            <a:ext uri="{FF2B5EF4-FFF2-40B4-BE49-F238E27FC236}">
              <a16:creationId xmlns:a16="http://schemas.microsoft.com/office/drawing/2014/main" id="{00000000-0008-0000-0600-0000E541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4550" name="Rectangle 2">
          <a:extLst>
            <a:ext uri="{FF2B5EF4-FFF2-40B4-BE49-F238E27FC236}">
              <a16:creationId xmlns:a16="http://schemas.microsoft.com/office/drawing/2014/main" id="{00000000-0008-0000-0600-0000E6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4551" name="Rectangle 293">
          <a:extLst>
            <a:ext uri="{FF2B5EF4-FFF2-40B4-BE49-F238E27FC236}">
              <a16:creationId xmlns:a16="http://schemas.microsoft.com/office/drawing/2014/main" id="{00000000-0008-0000-0600-0000E7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44552" name="フリーフォーム 354">
          <a:extLst>
            <a:ext uri="{FF2B5EF4-FFF2-40B4-BE49-F238E27FC236}">
              <a16:creationId xmlns:a16="http://schemas.microsoft.com/office/drawing/2014/main" id="{00000000-0008-0000-0600-0000E841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4553" name="Rectangle 2">
          <a:extLst>
            <a:ext uri="{FF2B5EF4-FFF2-40B4-BE49-F238E27FC236}">
              <a16:creationId xmlns:a16="http://schemas.microsoft.com/office/drawing/2014/main" id="{00000000-0008-0000-0600-0000E9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4554" name="Rectangle 293">
          <a:extLst>
            <a:ext uri="{FF2B5EF4-FFF2-40B4-BE49-F238E27FC236}">
              <a16:creationId xmlns:a16="http://schemas.microsoft.com/office/drawing/2014/main" id="{00000000-0008-0000-0600-0000EA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4555" name="Rectangle 2">
          <a:extLst>
            <a:ext uri="{FF2B5EF4-FFF2-40B4-BE49-F238E27FC236}">
              <a16:creationId xmlns:a16="http://schemas.microsoft.com/office/drawing/2014/main" id="{00000000-0008-0000-0600-0000EB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4556" name="Rectangle 285">
          <a:extLst>
            <a:ext uri="{FF2B5EF4-FFF2-40B4-BE49-F238E27FC236}">
              <a16:creationId xmlns:a16="http://schemas.microsoft.com/office/drawing/2014/main" id="{00000000-0008-0000-0600-0000EC4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44557" name="フリーフォーム 362">
          <a:extLst>
            <a:ext uri="{FF2B5EF4-FFF2-40B4-BE49-F238E27FC236}">
              <a16:creationId xmlns:a16="http://schemas.microsoft.com/office/drawing/2014/main" id="{00000000-0008-0000-0600-0000ED41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4558" name="Rectangle 2">
          <a:extLst>
            <a:ext uri="{FF2B5EF4-FFF2-40B4-BE49-F238E27FC236}">
              <a16:creationId xmlns:a16="http://schemas.microsoft.com/office/drawing/2014/main" id="{00000000-0008-0000-0600-0000EE4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344559" name="Oval 18">
          <a:extLst>
            <a:ext uri="{FF2B5EF4-FFF2-40B4-BE49-F238E27FC236}">
              <a16:creationId xmlns:a16="http://schemas.microsoft.com/office/drawing/2014/main" id="{00000000-0008-0000-0600-0000EF41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4560" name="Oval 51">
          <a:extLst>
            <a:ext uri="{FF2B5EF4-FFF2-40B4-BE49-F238E27FC236}">
              <a16:creationId xmlns:a16="http://schemas.microsoft.com/office/drawing/2014/main" id="{00000000-0008-0000-0600-0000F04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2821" name="Rectangle 2">
          <a:extLst>
            <a:ext uri="{FF2B5EF4-FFF2-40B4-BE49-F238E27FC236}">
              <a16:creationId xmlns:a16="http://schemas.microsoft.com/office/drawing/2014/main" id="{00000000-0008-0000-0800-0000253B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2822" name="Oval 3">
          <a:extLst>
            <a:ext uri="{FF2B5EF4-FFF2-40B4-BE49-F238E27FC236}">
              <a16:creationId xmlns:a16="http://schemas.microsoft.com/office/drawing/2014/main" id="{00000000-0008-0000-0800-0000263B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2823" name="Oval 4">
          <a:extLst>
            <a:ext uri="{FF2B5EF4-FFF2-40B4-BE49-F238E27FC236}">
              <a16:creationId xmlns:a16="http://schemas.microsoft.com/office/drawing/2014/main" id="{00000000-0008-0000-0800-0000273B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2824" name="Oval 5">
          <a:extLst>
            <a:ext uri="{FF2B5EF4-FFF2-40B4-BE49-F238E27FC236}">
              <a16:creationId xmlns:a16="http://schemas.microsoft.com/office/drawing/2014/main" id="{00000000-0008-0000-0800-0000283B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2826" name="Oval 12">
          <a:extLst>
            <a:ext uri="{FF2B5EF4-FFF2-40B4-BE49-F238E27FC236}">
              <a16:creationId xmlns:a16="http://schemas.microsoft.com/office/drawing/2014/main" id="{00000000-0008-0000-0800-00002A3B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2827" name="Oval 13">
          <a:extLst>
            <a:ext uri="{FF2B5EF4-FFF2-40B4-BE49-F238E27FC236}">
              <a16:creationId xmlns:a16="http://schemas.microsoft.com/office/drawing/2014/main" id="{00000000-0008-0000-0800-00002B3B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2828" name="Rectangle 16">
          <a:extLst>
            <a:ext uri="{FF2B5EF4-FFF2-40B4-BE49-F238E27FC236}">
              <a16:creationId xmlns:a16="http://schemas.microsoft.com/office/drawing/2014/main" id="{00000000-0008-0000-0800-00002C3B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2829" name="Oval 30">
          <a:extLst>
            <a:ext uri="{FF2B5EF4-FFF2-40B4-BE49-F238E27FC236}">
              <a16:creationId xmlns:a16="http://schemas.microsoft.com/office/drawing/2014/main" id="{00000000-0008-0000-0800-00002D3B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2830" name="Oval 34">
          <a:extLst>
            <a:ext uri="{FF2B5EF4-FFF2-40B4-BE49-F238E27FC236}">
              <a16:creationId xmlns:a16="http://schemas.microsoft.com/office/drawing/2014/main" id="{00000000-0008-0000-0800-00002E3B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2831" name="Oval 51">
          <a:extLst>
            <a:ext uri="{FF2B5EF4-FFF2-40B4-BE49-F238E27FC236}">
              <a16:creationId xmlns:a16="http://schemas.microsoft.com/office/drawing/2014/main" id="{00000000-0008-0000-0800-00002F3B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2832" name="Oval 81">
          <a:extLst>
            <a:ext uri="{FF2B5EF4-FFF2-40B4-BE49-F238E27FC236}">
              <a16:creationId xmlns:a16="http://schemas.microsoft.com/office/drawing/2014/main" id="{00000000-0008-0000-0800-0000303B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33" name="AutoShape 102">
          <a:extLst>
            <a:ext uri="{FF2B5EF4-FFF2-40B4-BE49-F238E27FC236}">
              <a16:creationId xmlns:a16="http://schemas.microsoft.com/office/drawing/2014/main" id="{00000000-0008-0000-0800-00003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34" name="Rectangle 103">
          <a:extLst>
            <a:ext uri="{FF2B5EF4-FFF2-40B4-BE49-F238E27FC236}">
              <a16:creationId xmlns:a16="http://schemas.microsoft.com/office/drawing/2014/main" id="{00000000-0008-0000-0800-00003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35" name="Oval 104">
          <a:extLst>
            <a:ext uri="{FF2B5EF4-FFF2-40B4-BE49-F238E27FC236}">
              <a16:creationId xmlns:a16="http://schemas.microsoft.com/office/drawing/2014/main" id="{00000000-0008-0000-0800-00003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36" name="AutoShape 105">
          <a:extLst>
            <a:ext uri="{FF2B5EF4-FFF2-40B4-BE49-F238E27FC236}">
              <a16:creationId xmlns:a16="http://schemas.microsoft.com/office/drawing/2014/main" id="{00000000-0008-0000-0800-000034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37" name="Rectangle 106">
          <a:extLst>
            <a:ext uri="{FF2B5EF4-FFF2-40B4-BE49-F238E27FC236}">
              <a16:creationId xmlns:a16="http://schemas.microsoft.com/office/drawing/2014/main" id="{00000000-0008-0000-0800-000035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38" name="Oval 107">
          <a:extLst>
            <a:ext uri="{FF2B5EF4-FFF2-40B4-BE49-F238E27FC236}">
              <a16:creationId xmlns:a16="http://schemas.microsoft.com/office/drawing/2014/main" id="{00000000-0008-0000-0800-00003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39" name="AutoShape 108">
          <a:extLst>
            <a:ext uri="{FF2B5EF4-FFF2-40B4-BE49-F238E27FC236}">
              <a16:creationId xmlns:a16="http://schemas.microsoft.com/office/drawing/2014/main" id="{00000000-0008-0000-0800-00003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40" name="Rectangle 109">
          <a:extLst>
            <a:ext uri="{FF2B5EF4-FFF2-40B4-BE49-F238E27FC236}">
              <a16:creationId xmlns:a16="http://schemas.microsoft.com/office/drawing/2014/main" id="{00000000-0008-0000-0800-00003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41" name="Oval 110">
          <a:extLst>
            <a:ext uri="{FF2B5EF4-FFF2-40B4-BE49-F238E27FC236}">
              <a16:creationId xmlns:a16="http://schemas.microsoft.com/office/drawing/2014/main" id="{00000000-0008-0000-0800-00003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42" name="AutoShape 111">
          <a:extLst>
            <a:ext uri="{FF2B5EF4-FFF2-40B4-BE49-F238E27FC236}">
              <a16:creationId xmlns:a16="http://schemas.microsoft.com/office/drawing/2014/main" id="{00000000-0008-0000-0800-00003A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43" name="Rectangle 112">
          <a:extLst>
            <a:ext uri="{FF2B5EF4-FFF2-40B4-BE49-F238E27FC236}">
              <a16:creationId xmlns:a16="http://schemas.microsoft.com/office/drawing/2014/main" id="{00000000-0008-0000-0800-00003B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44" name="Oval 113">
          <a:extLst>
            <a:ext uri="{FF2B5EF4-FFF2-40B4-BE49-F238E27FC236}">
              <a16:creationId xmlns:a16="http://schemas.microsoft.com/office/drawing/2014/main" id="{00000000-0008-0000-0800-00003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45" name="AutoShape 114">
          <a:extLst>
            <a:ext uri="{FF2B5EF4-FFF2-40B4-BE49-F238E27FC236}">
              <a16:creationId xmlns:a16="http://schemas.microsoft.com/office/drawing/2014/main" id="{00000000-0008-0000-0800-00003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46" name="Rectangle 115">
          <a:extLst>
            <a:ext uri="{FF2B5EF4-FFF2-40B4-BE49-F238E27FC236}">
              <a16:creationId xmlns:a16="http://schemas.microsoft.com/office/drawing/2014/main" id="{00000000-0008-0000-0800-00003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47" name="Oval 116">
          <a:extLst>
            <a:ext uri="{FF2B5EF4-FFF2-40B4-BE49-F238E27FC236}">
              <a16:creationId xmlns:a16="http://schemas.microsoft.com/office/drawing/2014/main" id="{00000000-0008-0000-0800-00003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48" name="AutoShape 117">
          <a:extLst>
            <a:ext uri="{FF2B5EF4-FFF2-40B4-BE49-F238E27FC236}">
              <a16:creationId xmlns:a16="http://schemas.microsoft.com/office/drawing/2014/main" id="{00000000-0008-0000-0800-000040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49" name="Rectangle 118">
          <a:extLst>
            <a:ext uri="{FF2B5EF4-FFF2-40B4-BE49-F238E27FC236}">
              <a16:creationId xmlns:a16="http://schemas.microsoft.com/office/drawing/2014/main" id="{00000000-0008-0000-0800-000041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50" name="Oval 119">
          <a:extLst>
            <a:ext uri="{FF2B5EF4-FFF2-40B4-BE49-F238E27FC236}">
              <a16:creationId xmlns:a16="http://schemas.microsoft.com/office/drawing/2014/main" id="{00000000-0008-0000-0800-00004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51" name="AutoShape 120">
          <a:extLst>
            <a:ext uri="{FF2B5EF4-FFF2-40B4-BE49-F238E27FC236}">
              <a16:creationId xmlns:a16="http://schemas.microsoft.com/office/drawing/2014/main" id="{00000000-0008-0000-0800-00004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52" name="Rectangle 121">
          <a:extLst>
            <a:ext uri="{FF2B5EF4-FFF2-40B4-BE49-F238E27FC236}">
              <a16:creationId xmlns:a16="http://schemas.microsoft.com/office/drawing/2014/main" id="{00000000-0008-0000-0800-00004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53" name="Oval 122">
          <a:extLst>
            <a:ext uri="{FF2B5EF4-FFF2-40B4-BE49-F238E27FC236}">
              <a16:creationId xmlns:a16="http://schemas.microsoft.com/office/drawing/2014/main" id="{00000000-0008-0000-0800-00004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54" name="AutoShape 123">
          <a:extLst>
            <a:ext uri="{FF2B5EF4-FFF2-40B4-BE49-F238E27FC236}">
              <a16:creationId xmlns:a16="http://schemas.microsoft.com/office/drawing/2014/main" id="{00000000-0008-0000-0800-000046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55" name="Rectangle 124">
          <a:extLst>
            <a:ext uri="{FF2B5EF4-FFF2-40B4-BE49-F238E27FC236}">
              <a16:creationId xmlns:a16="http://schemas.microsoft.com/office/drawing/2014/main" id="{00000000-0008-0000-0800-000047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56" name="Oval 125">
          <a:extLst>
            <a:ext uri="{FF2B5EF4-FFF2-40B4-BE49-F238E27FC236}">
              <a16:creationId xmlns:a16="http://schemas.microsoft.com/office/drawing/2014/main" id="{00000000-0008-0000-0800-00004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57" name="AutoShape 126">
          <a:extLst>
            <a:ext uri="{FF2B5EF4-FFF2-40B4-BE49-F238E27FC236}">
              <a16:creationId xmlns:a16="http://schemas.microsoft.com/office/drawing/2014/main" id="{00000000-0008-0000-0800-00004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58" name="Rectangle 127">
          <a:extLst>
            <a:ext uri="{FF2B5EF4-FFF2-40B4-BE49-F238E27FC236}">
              <a16:creationId xmlns:a16="http://schemas.microsoft.com/office/drawing/2014/main" id="{00000000-0008-0000-0800-00004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59" name="Oval 128">
          <a:extLst>
            <a:ext uri="{FF2B5EF4-FFF2-40B4-BE49-F238E27FC236}">
              <a16:creationId xmlns:a16="http://schemas.microsoft.com/office/drawing/2014/main" id="{00000000-0008-0000-0800-00004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60" name="AutoShape 129">
          <a:extLst>
            <a:ext uri="{FF2B5EF4-FFF2-40B4-BE49-F238E27FC236}">
              <a16:creationId xmlns:a16="http://schemas.microsoft.com/office/drawing/2014/main" id="{00000000-0008-0000-0800-00004C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61" name="Rectangle 130">
          <a:extLst>
            <a:ext uri="{FF2B5EF4-FFF2-40B4-BE49-F238E27FC236}">
              <a16:creationId xmlns:a16="http://schemas.microsoft.com/office/drawing/2014/main" id="{00000000-0008-0000-0800-00004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62" name="Oval 131">
          <a:extLst>
            <a:ext uri="{FF2B5EF4-FFF2-40B4-BE49-F238E27FC236}">
              <a16:creationId xmlns:a16="http://schemas.microsoft.com/office/drawing/2014/main" id="{00000000-0008-0000-0800-00004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63" name="AutoShape 132">
          <a:extLst>
            <a:ext uri="{FF2B5EF4-FFF2-40B4-BE49-F238E27FC236}">
              <a16:creationId xmlns:a16="http://schemas.microsoft.com/office/drawing/2014/main" id="{00000000-0008-0000-0800-00004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64" name="Rectangle 133">
          <a:extLst>
            <a:ext uri="{FF2B5EF4-FFF2-40B4-BE49-F238E27FC236}">
              <a16:creationId xmlns:a16="http://schemas.microsoft.com/office/drawing/2014/main" id="{00000000-0008-0000-0800-00005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65" name="Oval 134">
          <a:extLst>
            <a:ext uri="{FF2B5EF4-FFF2-40B4-BE49-F238E27FC236}">
              <a16:creationId xmlns:a16="http://schemas.microsoft.com/office/drawing/2014/main" id="{00000000-0008-0000-0800-00005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66" name="AutoShape 135">
          <a:extLst>
            <a:ext uri="{FF2B5EF4-FFF2-40B4-BE49-F238E27FC236}">
              <a16:creationId xmlns:a16="http://schemas.microsoft.com/office/drawing/2014/main" id="{00000000-0008-0000-0800-000052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67" name="Rectangle 136">
          <a:extLst>
            <a:ext uri="{FF2B5EF4-FFF2-40B4-BE49-F238E27FC236}">
              <a16:creationId xmlns:a16="http://schemas.microsoft.com/office/drawing/2014/main" id="{00000000-0008-0000-0800-000053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68" name="Oval 137">
          <a:extLst>
            <a:ext uri="{FF2B5EF4-FFF2-40B4-BE49-F238E27FC236}">
              <a16:creationId xmlns:a16="http://schemas.microsoft.com/office/drawing/2014/main" id="{00000000-0008-0000-0800-00005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69" name="AutoShape 138">
          <a:extLst>
            <a:ext uri="{FF2B5EF4-FFF2-40B4-BE49-F238E27FC236}">
              <a16:creationId xmlns:a16="http://schemas.microsoft.com/office/drawing/2014/main" id="{00000000-0008-0000-0800-00005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70" name="Rectangle 139">
          <a:extLst>
            <a:ext uri="{FF2B5EF4-FFF2-40B4-BE49-F238E27FC236}">
              <a16:creationId xmlns:a16="http://schemas.microsoft.com/office/drawing/2014/main" id="{00000000-0008-0000-0800-00005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71" name="Oval 140">
          <a:extLst>
            <a:ext uri="{FF2B5EF4-FFF2-40B4-BE49-F238E27FC236}">
              <a16:creationId xmlns:a16="http://schemas.microsoft.com/office/drawing/2014/main" id="{00000000-0008-0000-0800-00005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72" name="Rectangle 141">
          <a:extLst>
            <a:ext uri="{FF2B5EF4-FFF2-40B4-BE49-F238E27FC236}">
              <a16:creationId xmlns:a16="http://schemas.microsoft.com/office/drawing/2014/main" id="{00000000-0008-0000-0800-00005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73" name="AutoShape 142">
          <a:extLst>
            <a:ext uri="{FF2B5EF4-FFF2-40B4-BE49-F238E27FC236}">
              <a16:creationId xmlns:a16="http://schemas.microsoft.com/office/drawing/2014/main" id="{00000000-0008-0000-0800-00005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74" name="Rectangle 143">
          <a:extLst>
            <a:ext uri="{FF2B5EF4-FFF2-40B4-BE49-F238E27FC236}">
              <a16:creationId xmlns:a16="http://schemas.microsoft.com/office/drawing/2014/main" id="{00000000-0008-0000-0800-00005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75" name="Oval 144">
          <a:extLst>
            <a:ext uri="{FF2B5EF4-FFF2-40B4-BE49-F238E27FC236}">
              <a16:creationId xmlns:a16="http://schemas.microsoft.com/office/drawing/2014/main" id="{00000000-0008-0000-0800-00005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76" name="AutoShape 145">
          <a:extLst>
            <a:ext uri="{FF2B5EF4-FFF2-40B4-BE49-F238E27FC236}">
              <a16:creationId xmlns:a16="http://schemas.microsoft.com/office/drawing/2014/main" id="{00000000-0008-0000-0800-00005C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77" name="Rectangle 146">
          <a:extLst>
            <a:ext uri="{FF2B5EF4-FFF2-40B4-BE49-F238E27FC236}">
              <a16:creationId xmlns:a16="http://schemas.microsoft.com/office/drawing/2014/main" id="{00000000-0008-0000-0800-00005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78" name="Oval 147">
          <a:extLst>
            <a:ext uri="{FF2B5EF4-FFF2-40B4-BE49-F238E27FC236}">
              <a16:creationId xmlns:a16="http://schemas.microsoft.com/office/drawing/2014/main" id="{00000000-0008-0000-0800-00005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79" name="AutoShape 148">
          <a:extLst>
            <a:ext uri="{FF2B5EF4-FFF2-40B4-BE49-F238E27FC236}">
              <a16:creationId xmlns:a16="http://schemas.microsoft.com/office/drawing/2014/main" id="{00000000-0008-0000-0800-00005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80" name="Rectangle 149">
          <a:extLst>
            <a:ext uri="{FF2B5EF4-FFF2-40B4-BE49-F238E27FC236}">
              <a16:creationId xmlns:a16="http://schemas.microsoft.com/office/drawing/2014/main" id="{00000000-0008-0000-0800-00006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1" name="Oval 150">
          <a:extLst>
            <a:ext uri="{FF2B5EF4-FFF2-40B4-BE49-F238E27FC236}">
              <a16:creationId xmlns:a16="http://schemas.microsoft.com/office/drawing/2014/main" id="{00000000-0008-0000-0800-00006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2" name="Oval 151">
          <a:extLst>
            <a:ext uri="{FF2B5EF4-FFF2-40B4-BE49-F238E27FC236}">
              <a16:creationId xmlns:a16="http://schemas.microsoft.com/office/drawing/2014/main" id="{00000000-0008-0000-0800-00006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3" name="Oval 152">
          <a:extLst>
            <a:ext uri="{FF2B5EF4-FFF2-40B4-BE49-F238E27FC236}">
              <a16:creationId xmlns:a16="http://schemas.microsoft.com/office/drawing/2014/main" id="{00000000-0008-0000-0800-00006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4" name="Oval 153">
          <a:extLst>
            <a:ext uri="{FF2B5EF4-FFF2-40B4-BE49-F238E27FC236}">
              <a16:creationId xmlns:a16="http://schemas.microsoft.com/office/drawing/2014/main" id="{00000000-0008-0000-0800-00006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85" name="AutoShape 154">
          <a:extLst>
            <a:ext uri="{FF2B5EF4-FFF2-40B4-BE49-F238E27FC236}">
              <a16:creationId xmlns:a16="http://schemas.microsoft.com/office/drawing/2014/main" id="{00000000-0008-0000-0800-00006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86" name="Rectangle 155">
          <a:extLst>
            <a:ext uri="{FF2B5EF4-FFF2-40B4-BE49-F238E27FC236}">
              <a16:creationId xmlns:a16="http://schemas.microsoft.com/office/drawing/2014/main" id="{00000000-0008-0000-0800-00006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7" name="Oval 156">
          <a:extLst>
            <a:ext uri="{FF2B5EF4-FFF2-40B4-BE49-F238E27FC236}">
              <a16:creationId xmlns:a16="http://schemas.microsoft.com/office/drawing/2014/main" id="{00000000-0008-0000-0800-00006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8" name="Oval 157">
          <a:extLst>
            <a:ext uri="{FF2B5EF4-FFF2-40B4-BE49-F238E27FC236}">
              <a16:creationId xmlns:a16="http://schemas.microsoft.com/office/drawing/2014/main" id="{00000000-0008-0000-0800-00006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89" name="Oval 158">
          <a:extLst>
            <a:ext uri="{FF2B5EF4-FFF2-40B4-BE49-F238E27FC236}">
              <a16:creationId xmlns:a16="http://schemas.microsoft.com/office/drawing/2014/main" id="{00000000-0008-0000-0800-00006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0" name="Oval 159">
          <a:extLst>
            <a:ext uri="{FF2B5EF4-FFF2-40B4-BE49-F238E27FC236}">
              <a16:creationId xmlns:a16="http://schemas.microsoft.com/office/drawing/2014/main" id="{00000000-0008-0000-0800-00006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91" name="AutoShape 160">
          <a:extLst>
            <a:ext uri="{FF2B5EF4-FFF2-40B4-BE49-F238E27FC236}">
              <a16:creationId xmlns:a16="http://schemas.microsoft.com/office/drawing/2014/main" id="{00000000-0008-0000-0800-00006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92" name="Rectangle 161">
          <a:extLst>
            <a:ext uri="{FF2B5EF4-FFF2-40B4-BE49-F238E27FC236}">
              <a16:creationId xmlns:a16="http://schemas.microsoft.com/office/drawing/2014/main" id="{00000000-0008-0000-0800-00006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3" name="Oval 162">
          <a:extLst>
            <a:ext uri="{FF2B5EF4-FFF2-40B4-BE49-F238E27FC236}">
              <a16:creationId xmlns:a16="http://schemas.microsoft.com/office/drawing/2014/main" id="{00000000-0008-0000-0800-00006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4" name="Oval 163">
          <a:extLst>
            <a:ext uri="{FF2B5EF4-FFF2-40B4-BE49-F238E27FC236}">
              <a16:creationId xmlns:a16="http://schemas.microsoft.com/office/drawing/2014/main" id="{00000000-0008-0000-0800-00006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5" name="Oval 164">
          <a:extLst>
            <a:ext uri="{FF2B5EF4-FFF2-40B4-BE49-F238E27FC236}">
              <a16:creationId xmlns:a16="http://schemas.microsoft.com/office/drawing/2014/main" id="{00000000-0008-0000-0800-00006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6" name="Oval 165">
          <a:extLst>
            <a:ext uri="{FF2B5EF4-FFF2-40B4-BE49-F238E27FC236}">
              <a16:creationId xmlns:a16="http://schemas.microsoft.com/office/drawing/2014/main" id="{00000000-0008-0000-0800-00007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897" name="AutoShape 166">
          <a:extLst>
            <a:ext uri="{FF2B5EF4-FFF2-40B4-BE49-F238E27FC236}">
              <a16:creationId xmlns:a16="http://schemas.microsoft.com/office/drawing/2014/main" id="{00000000-0008-0000-0800-00007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898" name="Rectangle 167">
          <a:extLst>
            <a:ext uri="{FF2B5EF4-FFF2-40B4-BE49-F238E27FC236}">
              <a16:creationId xmlns:a16="http://schemas.microsoft.com/office/drawing/2014/main" id="{00000000-0008-0000-0800-00007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899" name="Oval 168">
          <a:extLst>
            <a:ext uri="{FF2B5EF4-FFF2-40B4-BE49-F238E27FC236}">
              <a16:creationId xmlns:a16="http://schemas.microsoft.com/office/drawing/2014/main" id="{00000000-0008-0000-0800-00007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0" name="Oval 169">
          <a:extLst>
            <a:ext uri="{FF2B5EF4-FFF2-40B4-BE49-F238E27FC236}">
              <a16:creationId xmlns:a16="http://schemas.microsoft.com/office/drawing/2014/main" id="{00000000-0008-0000-0800-00007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1" name="Oval 170">
          <a:extLst>
            <a:ext uri="{FF2B5EF4-FFF2-40B4-BE49-F238E27FC236}">
              <a16:creationId xmlns:a16="http://schemas.microsoft.com/office/drawing/2014/main" id="{00000000-0008-0000-0800-00007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2" name="Oval 171">
          <a:extLst>
            <a:ext uri="{FF2B5EF4-FFF2-40B4-BE49-F238E27FC236}">
              <a16:creationId xmlns:a16="http://schemas.microsoft.com/office/drawing/2014/main" id="{00000000-0008-0000-0800-00007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03" name="AutoShape 172">
          <a:extLst>
            <a:ext uri="{FF2B5EF4-FFF2-40B4-BE49-F238E27FC236}">
              <a16:creationId xmlns:a16="http://schemas.microsoft.com/office/drawing/2014/main" id="{00000000-0008-0000-0800-00007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04" name="Rectangle 173">
          <a:extLst>
            <a:ext uri="{FF2B5EF4-FFF2-40B4-BE49-F238E27FC236}">
              <a16:creationId xmlns:a16="http://schemas.microsoft.com/office/drawing/2014/main" id="{00000000-0008-0000-0800-00007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5" name="Oval 174">
          <a:extLst>
            <a:ext uri="{FF2B5EF4-FFF2-40B4-BE49-F238E27FC236}">
              <a16:creationId xmlns:a16="http://schemas.microsoft.com/office/drawing/2014/main" id="{00000000-0008-0000-0800-00007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6" name="Oval 175">
          <a:extLst>
            <a:ext uri="{FF2B5EF4-FFF2-40B4-BE49-F238E27FC236}">
              <a16:creationId xmlns:a16="http://schemas.microsoft.com/office/drawing/2014/main" id="{00000000-0008-0000-0800-00007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7" name="Oval 176">
          <a:extLst>
            <a:ext uri="{FF2B5EF4-FFF2-40B4-BE49-F238E27FC236}">
              <a16:creationId xmlns:a16="http://schemas.microsoft.com/office/drawing/2014/main" id="{00000000-0008-0000-0800-00007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08" name="Oval 177">
          <a:extLst>
            <a:ext uri="{FF2B5EF4-FFF2-40B4-BE49-F238E27FC236}">
              <a16:creationId xmlns:a16="http://schemas.microsoft.com/office/drawing/2014/main" id="{00000000-0008-0000-0800-00007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09" name="AutoShape 178">
          <a:extLst>
            <a:ext uri="{FF2B5EF4-FFF2-40B4-BE49-F238E27FC236}">
              <a16:creationId xmlns:a16="http://schemas.microsoft.com/office/drawing/2014/main" id="{00000000-0008-0000-0800-00007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10" name="Rectangle 179">
          <a:extLst>
            <a:ext uri="{FF2B5EF4-FFF2-40B4-BE49-F238E27FC236}">
              <a16:creationId xmlns:a16="http://schemas.microsoft.com/office/drawing/2014/main" id="{00000000-0008-0000-0800-00007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1" name="Oval 180">
          <a:extLst>
            <a:ext uri="{FF2B5EF4-FFF2-40B4-BE49-F238E27FC236}">
              <a16:creationId xmlns:a16="http://schemas.microsoft.com/office/drawing/2014/main" id="{00000000-0008-0000-0800-00007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2" name="Oval 181">
          <a:extLst>
            <a:ext uri="{FF2B5EF4-FFF2-40B4-BE49-F238E27FC236}">
              <a16:creationId xmlns:a16="http://schemas.microsoft.com/office/drawing/2014/main" id="{00000000-0008-0000-0800-00008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3" name="Oval 182">
          <a:extLst>
            <a:ext uri="{FF2B5EF4-FFF2-40B4-BE49-F238E27FC236}">
              <a16:creationId xmlns:a16="http://schemas.microsoft.com/office/drawing/2014/main" id="{00000000-0008-0000-0800-00008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4" name="Oval 183">
          <a:extLst>
            <a:ext uri="{FF2B5EF4-FFF2-40B4-BE49-F238E27FC236}">
              <a16:creationId xmlns:a16="http://schemas.microsoft.com/office/drawing/2014/main" id="{00000000-0008-0000-0800-00008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15" name="AutoShape 184">
          <a:extLst>
            <a:ext uri="{FF2B5EF4-FFF2-40B4-BE49-F238E27FC236}">
              <a16:creationId xmlns:a16="http://schemas.microsoft.com/office/drawing/2014/main" id="{00000000-0008-0000-0800-00008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16" name="Rectangle 185">
          <a:extLst>
            <a:ext uri="{FF2B5EF4-FFF2-40B4-BE49-F238E27FC236}">
              <a16:creationId xmlns:a16="http://schemas.microsoft.com/office/drawing/2014/main" id="{00000000-0008-0000-0800-00008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7" name="Oval 186">
          <a:extLst>
            <a:ext uri="{FF2B5EF4-FFF2-40B4-BE49-F238E27FC236}">
              <a16:creationId xmlns:a16="http://schemas.microsoft.com/office/drawing/2014/main" id="{00000000-0008-0000-0800-00008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8" name="Oval 187">
          <a:extLst>
            <a:ext uri="{FF2B5EF4-FFF2-40B4-BE49-F238E27FC236}">
              <a16:creationId xmlns:a16="http://schemas.microsoft.com/office/drawing/2014/main" id="{00000000-0008-0000-0800-00008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19" name="Oval 188">
          <a:extLst>
            <a:ext uri="{FF2B5EF4-FFF2-40B4-BE49-F238E27FC236}">
              <a16:creationId xmlns:a16="http://schemas.microsoft.com/office/drawing/2014/main" id="{00000000-0008-0000-0800-00008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0" name="Oval 189">
          <a:extLst>
            <a:ext uri="{FF2B5EF4-FFF2-40B4-BE49-F238E27FC236}">
              <a16:creationId xmlns:a16="http://schemas.microsoft.com/office/drawing/2014/main" id="{00000000-0008-0000-0800-00008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21" name="AutoShape 190">
          <a:extLst>
            <a:ext uri="{FF2B5EF4-FFF2-40B4-BE49-F238E27FC236}">
              <a16:creationId xmlns:a16="http://schemas.microsoft.com/office/drawing/2014/main" id="{00000000-0008-0000-0800-00008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22" name="Rectangle 191">
          <a:extLst>
            <a:ext uri="{FF2B5EF4-FFF2-40B4-BE49-F238E27FC236}">
              <a16:creationId xmlns:a16="http://schemas.microsoft.com/office/drawing/2014/main" id="{00000000-0008-0000-0800-00008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3" name="Oval 192">
          <a:extLst>
            <a:ext uri="{FF2B5EF4-FFF2-40B4-BE49-F238E27FC236}">
              <a16:creationId xmlns:a16="http://schemas.microsoft.com/office/drawing/2014/main" id="{00000000-0008-0000-0800-00008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4" name="Oval 193">
          <a:extLst>
            <a:ext uri="{FF2B5EF4-FFF2-40B4-BE49-F238E27FC236}">
              <a16:creationId xmlns:a16="http://schemas.microsoft.com/office/drawing/2014/main" id="{00000000-0008-0000-0800-00008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5" name="Oval 194">
          <a:extLst>
            <a:ext uri="{FF2B5EF4-FFF2-40B4-BE49-F238E27FC236}">
              <a16:creationId xmlns:a16="http://schemas.microsoft.com/office/drawing/2014/main" id="{00000000-0008-0000-0800-00008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6" name="Oval 195">
          <a:extLst>
            <a:ext uri="{FF2B5EF4-FFF2-40B4-BE49-F238E27FC236}">
              <a16:creationId xmlns:a16="http://schemas.microsoft.com/office/drawing/2014/main" id="{00000000-0008-0000-0800-00008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27" name="AutoShape 196">
          <a:extLst>
            <a:ext uri="{FF2B5EF4-FFF2-40B4-BE49-F238E27FC236}">
              <a16:creationId xmlns:a16="http://schemas.microsoft.com/office/drawing/2014/main" id="{00000000-0008-0000-0800-00008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28" name="Rectangle 197">
          <a:extLst>
            <a:ext uri="{FF2B5EF4-FFF2-40B4-BE49-F238E27FC236}">
              <a16:creationId xmlns:a16="http://schemas.microsoft.com/office/drawing/2014/main" id="{00000000-0008-0000-0800-00009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29" name="Oval 198">
          <a:extLst>
            <a:ext uri="{FF2B5EF4-FFF2-40B4-BE49-F238E27FC236}">
              <a16:creationId xmlns:a16="http://schemas.microsoft.com/office/drawing/2014/main" id="{00000000-0008-0000-0800-00009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0" name="Oval 199">
          <a:extLst>
            <a:ext uri="{FF2B5EF4-FFF2-40B4-BE49-F238E27FC236}">
              <a16:creationId xmlns:a16="http://schemas.microsoft.com/office/drawing/2014/main" id="{00000000-0008-0000-0800-00009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1" name="Oval 200">
          <a:extLst>
            <a:ext uri="{FF2B5EF4-FFF2-40B4-BE49-F238E27FC236}">
              <a16:creationId xmlns:a16="http://schemas.microsoft.com/office/drawing/2014/main" id="{00000000-0008-0000-0800-00009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2" name="Oval 201">
          <a:extLst>
            <a:ext uri="{FF2B5EF4-FFF2-40B4-BE49-F238E27FC236}">
              <a16:creationId xmlns:a16="http://schemas.microsoft.com/office/drawing/2014/main" id="{00000000-0008-0000-0800-00009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33" name="AutoShape 202">
          <a:extLst>
            <a:ext uri="{FF2B5EF4-FFF2-40B4-BE49-F238E27FC236}">
              <a16:creationId xmlns:a16="http://schemas.microsoft.com/office/drawing/2014/main" id="{00000000-0008-0000-0800-00009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34" name="Rectangle 203">
          <a:extLst>
            <a:ext uri="{FF2B5EF4-FFF2-40B4-BE49-F238E27FC236}">
              <a16:creationId xmlns:a16="http://schemas.microsoft.com/office/drawing/2014/main" id="{00000000-0008-0000-0800-00009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5" name="Oval 204">
          <a:extLst>
            <a:ext uri="{FF2B5EF4-FFF2-40B4-BE49-F238E27FC236}">
              <a16:creationId xmlns:a16="http://schemas.microsoft.com/office/drawing/2014/main" id="{00000000-0008-0000-0800-00009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6" name="Oval 205">
          <a:extLst>
            <a:ext uri="{FF2B5EF4-FFF2-40B4-BE49-F238E27FC236}">
              <a16:creationId xmlns:a16="http://schemas.microsoft.com/office/drawing/2014/main" id="{00000000-0008-0000-0800-00009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7" name="Oval 206">
          <a:extLst>
            <a:ext uri="{FF2B5EF4-FFF2-40B4-BE49-F238E27FC236}">
              <a16:creationId xmlns:a16="http://schemas.microsoft.com/office/drawing/2014/main" id="{00000000-0008-0000-0800-00009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38" name="Oval 207">
          <a:extLst>
            <a:ext uri="{FF2B5EF4-FFF2-40B4-BE49-F238E27FC236}">
              <a16:creationId xmlns:a16="http://schemas.microsoft.com/office/drawing/2014/main" id="{00000000-0008-0000-0800-00009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39" name="AutoShape 208">
          <a:extLst>
            <a:ext uri="{FF2B5EF4-FFF2-40B4-BE49-F238E27FC236}">
              <a16:creationId xmlns:a16="http://schemas.microsoft.com/office/drawing/2014/main" id="{00000000-0008-0000-0800-00009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40" name="Rectangle 209">
          <a:extLst>
            <a:ext uri="{FF2B5EF4-FFF2-40B4-BE49-F238E27FC236}">
              <a16:creationId xmlns:a16="http://schemas.microsoft.com/office/drawing/2014/main" id="{00000000-0008-0000-0800-00009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1" name="Oval 210">
          <a:extLst>
            <a:ext uri="{FF2B5EF4-FFF2-40B4-BE49-F238E27FC236}">
              <a16:creationId xmlns:a16="http://schemas.microsoft.com/office/drawing/2014/main" id="{00000000-0008-0000-0800-00009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2" name="Oval 211">
          <a:extLst>
            <a:ext uri="{FF2B5EF4-FFF2-40B4-BE49-F238E27FC236}">
              <a16:creationId xmlns:a16="http://schemas.microsoft.com/office/drawing/2014/main" id="{00000000-0008-0000-0800-00009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3" name="Oval 212">
          <a:extLst>
            <a:ext uri="{FF2B5EF4-FFF2-40B4-BE49-F238E27FC236}">
              <a16:creationId xmlns:a16="http://schemas.microsoft.com/office/drawing/2014/main" id="{00000000-0008-0000-0800-00009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4" name="Oval 213">
          <a:extLst>
            <a:ext uri="{FF2B5EF4-FFF2-40B4-BE49-F238E27FC236}">
              <a16:creationId xmlns:a16="http://schemas.microsoft.com/office/drawing/2014/main" id="{00000000-0008-0000-0800-0000A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45" name="AutoShape 214">
          <a:extLst>
            <a:ext uri="{FF2B5EF4-FFF2-40B4-BE49-F238E27FC236}">
              <a16:creationId xmlns:a16="http://schemas.microsoft.com/office/drawing/2014/main" id="{00000000-0008-0000-0800-0000A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46" name="Rectangle 215">
          <a:extLst>
            <a:ext uri="{FF2B5EF4-FFF2-40B4-BE49-F238E27FC236}">
              <a16:creationId xmlns:a16="http://schemas.microsoft.com/office/drawing/2014/main" id="{00000000-0008-0000-0800-0000A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7" name="Oval 216">
          <a:extLst>
            <a:ext uri="{FF2B5EF4-FFF2-40B4-BE49-F238E27FC236}">
              <a16:creationId xmlns:a16="http://schemas.microsoft.com/office/drawing/2014/main" id="{00000000-0008-0000-0800-0000A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8" name="Oval 217">
          <a:extLst>
            <a:ext uri="{FF2B5EF4-FFF2-40B4-BE49-F238E27FC236}">
              <a16:creationId xmlns:a16="http://schemas.microsoft.com/office/drawing/2014/main" id="{00000000-0008-0000-0800-0000A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49" name="Oval 218">
          <a:extLst>
            <a:ext uri="{FF2B5EF4-FFF2-40B4-BE49-F238E27FC236}">
              <a16:creationId xmlns:a16="http://schemas.microsoft.com/office/drawing/2014/main" id="{00000000-0008-0000-0800-0000A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0" name="Oval 219">
          <a:extLst>
            <a:ext uri="{FF2B5EF4-FFF2-40B4-BE49-F238E27FC236}">
              <a16:creationId xmlns:a16="http://schemas.microsoft.com/office/drawing/2014/main" id="{00000000-0008-0000-0800-0000A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51" name="AutoShape 220">
          <a:extLst>
            <a:ext uri="{FF2B5EF4-FFF2-40B4-BE49-F238E27FC236}">
              <a16:creationId xmlns:a16="http://schemas.microsoft.com/office/drawing/2014/main" id="{00000000-0008-0000-0800-0000A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52" name="Rectangle 221">
          <a:extLst>
            <a:ext uri="{FF2B5EF4-FFF2-40B4-BE49-F238E27FC236}">
              <a16:creationId xmlns:a16="http://schemas.microsoft.com/office/drawing/2014/main" id="{00000000-0008-0000-0800-0000A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3" name="Oval 222">
          <a:extLst>
            <a:ext uri="{FF2B5EF4-FFF2-40B4-BE49-F238E27FC236}">
              <a16:creationId xmlns:a16="http://schemas.microsoft.com/office/drawing/2014/main" id="{00000000-0008-0000-0800-0000A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4" name="Oval 223">
          <a:extLst>
            <a:ext uri="{FF2B5EF4-FFF2-40B4-BE49-F238E27FC236}">
              <a16:creationId xmlns:a16="http://schemas.microsoft.com/office/drawing/2014/main" id="{00000000-0008-0000-0800-0000A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5" name="Oval 224">
          <a:extLst>
            <a:ext uri="{FF2B5EF4-FFF2-40B4-BE49-F238E27FC236}">
              <a16:creationId xmlns:a16="http://schemas.microsoft.com/office/drawing/2014/main" id="{00000000-0008-0000-0800-0000A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6" name="Oval 225">
          <a:extLst>
            <a:ext uri="{FF2B5EF4-FFF2-40B4-BE49-F238E27FC236}">
              <a16:creationId xmlns:a16="http://schemas.microsoft.com/office/drawing/2014/main" id="{00000000-0008-0000-0800-0000A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57" name="AutoShape 226">
          <a:extLst>
            <a:ext uri="{FF2B5EF4-FFF2-40B4-BE49-F238E27FC236}">
              <a16:creationId xmlns:a16="http://schemas.microsoft.com/office/drawing/2014/main" id="{00000000-0008-0000-0800-0000A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58" name="Rectangle 227">
          <a:extLst>
            <a:ext uri="{FF2B5EF4-FFF2-40B4-BE49-F238E27FC236}">
              <a16:creationId xmlns:a16="http://schemas.microsoft.com/office/drawing/2014/main" id="{00000000-0008-0000-0800-0000A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59" name="Oval 228">
          <a:extLst>
            <a:ext uri="{FF2B5EF4-FFF2-40B4-BE49-F238E27FC236}">
              <a16:creationId xmlns:a16="http://schemas.microsoft.com/office/drawing/2014/main" id="{00000000-0008-0000-0800-0000A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0" name="Oval 229">
          <a:extLst>
            <a:ext uri="{FF2B5EF4-FFF2-40B4-BE49-F238E27FC236}">
              <a16:creationId xmlns:a16="http://schemas.microsoft.com/office/drawing/2014/main" id="{00000000-0008-0000-0800-0000B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1" name="Oval 230">
          <a:extLst>
            <a:ext uri="{FF2B5EF4-FFF2-40B4-BE49-F238E27FC236}">
              <a16:creationId xmlns:a16="http://schemas.microsoft.com/office/drawing/2014/main" id="{00000000-0008-0000-0800-0000B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2" name="Oval 231">
          <a:extLst>
            <a:ext uri="{FF2B5EF4-FFF2-40B4-BE49-F238E27FC236}">
              <a16:creationId xmlns:a16="http://schemas.microsoft.com/office/drawing/2014/main" id="{00000000-0008-0000-0800-0000B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63" name="AutoShape 232">
          <a:extLst>
            <a:ext uri="{FF2B5EF4-FFF2-40B4-BE49-F238E27FC236}">
              <a16:creationId xmlns:a16="http://schemas.microsoft.com/office/drawing/2014/main" id="{00000000-0008-0000-0800-0000B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64" name="Rectangle 233">
          <a:extLst>
            <a:ext uri="{FF2B5EF4-FFF2-40B4-BE49-F238E27FC236}">
              <a16:creationId xmlns:a16="http://schemas.microsoft.com/office/drawing/2014/main" id="{00000000-0008-0000-0800-0000B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5" name="Oval 234">
          <a:extLst>
            <a:ext uri="{FF2B5EF4-FFF2-40B4-BE49-F238E27FC236}">
              <a16:creationId xmlns:a16="http://schemas.microsoft.com/office/drawing/2014/main" id="{00000000-0008-0000-0800-0000B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6" name="Oval 235">
          <a:extLst>
            <a:ext uri="{FF2B5EF4-FFF2-40B4-BE49-F238E27FC236}">
              <a16:creationId xmlns:a16="http://schemas.microsoft.com/office/drawing/2014/main" id="{00000000-0008-0000-0800-0000B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7" name="Oval 236">
          <a:extLst>
            <a:ext uri="{FF2B5EF4-FFF2-40B4-BE49-F238E27FC236}">
              <a16:creationId xmlns:a16="http://schemas.microsoft.com/office/drawing/2014/main" id="{00000000-0008-0000-0800-0000B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68" name="Oval 237">
          <a:extLst>
            <a:ext uri="{FF2B5EF4-FFF2-40B4-BE49-F238E27FC236}">
              <a16:creationId xmlns:a16="http://schemas.microsoft.com/office/drawing/2014/main" id="{00000000-0008-0000-0800-0000B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69" name="AutoShape 238">
          <a:extLst>
            <a:ext uri="{FF2B5EF4-FFF2-40B4-BE49-F238E27FC236}">
              <a16:creationId xmlns:a16="http://schemas.microsoft.com/office/drawing/2014/main" id="{00000000-0008-0000-0800-0000B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70" name="Rectangle 239">
          <a:extLst>
            <a:ext uri="{FF2B5EF4-FFF2-40B4-BE49-F238E27FC236}">
              <a16:creationId xmlns:a16="http://schemas.microsoft.com/office/drawing/2014/main" id="{00000000-0008-0000-0800-0000B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1" name="Oval 240">
          <a:extLst>
            <a:ext uri="{FF2B5EF4-FFF2-40B4-BE49-F238E27FC236}">
              <a16:creationId xmlns:a16="http://schemas.microsoft.com/office/drawing/2014/main" id="{00000000-0008-0000-0800-0000B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2" name="Oval 241">
          <a:extLst>
            <a:ext uri="{FF2B5EF4-FFF2-40B4-BE49-F238E27FC236}">
              <a16:creationId xmlns:a16="http://schemas.microsoft.com/office/drawing/2014/main" id="{00000000-0008-0000-0800-0000B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3" name="Oval 242">
          <a:extLst>
            <a:ext uri="{FF2B5EF4-FFF2-40B4-BE49-F238E27FC236}">
              <a16:creationId xmlns:a16="http://schemas.microsoft.com/office/drawing/2014/main" id="{00000000-0008-0000-0800-0000B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4" name="Oval 243">
          <a:extLst>
            <a:ext uri="{FF2B5EF4-FFF2-40B4-BE49-F238E27FC236}">
              <a16:creationId xmlns:a16="http://schemas.microsoft.com/office/drawing/2014/main" id="{00000000-0008-0000-0800-0000B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75" name="AutoShape 244">
          <a:extLst>
            <a:ext uri="{FF2B5EF4-FFF2-40B4-BE49-F238E27FC236}">
              <a16:creationId xmlns:a16="http://schemas.microsoft.com/office/drawing/2014/main" id="{00000000-0008-0000-0800-0000B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76" name="Rectangle 245">
          <a:extLst>
            <a:ext uri="{FF2B5EF4-FFF2-40B4-BE49-F238E27FC236}">
              <a16:creationId xmlns:a16="http://schemas.microsoft.com/office/drawing/2014/main" id="{00000000-0008-0000-0800-0000C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7" name="Oval 246">
          <a:extLst>
            <a:ext uri="{FF2B5EF4-FFF2-40B4-BE49-F238E27FC236}">
              <a16:creationId xmlns:a16="http://schemas.microsoft.com/office/drawing/2014/main" id="{00000000-0008-0000-0800-0000C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8" name="Oval 247">
          <a:extLst>
            <a:ext uri="{FF2B5EF4-FFF2-40B4-BE49-F238E27FC236}">
              <a16:creationId xmlns:a16="http://schemas.microsoft.com/office/drawing/2014/main" id="{00000000-0008-0000-0800-0000C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79" name="Oval 248">
          <a:extLst>
            <a:ext uri="{FF2B5EF4-FFF2-40B4-BE49-F238E27FC236}">
              <a16:creationId xmlns:a16="http://schemas.microsoft.com/office/drawing/2014/main" id="{00000000-0008-0000-0800-0000C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0" name="Oval 249">
          <a:extLst>
            <a:ext uri="{FF2B5EF4-FFF2-40B4-BE49-F238E27FC236}">
              <a16:creationId xmlns:a16="http://schemas.microsoft.com/office/drawing/2014/main" id="{00000000-0008-0000-0800-0000C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81" name="AutoShape 250">
          <a:extLst>
            <a:ext uri="{FF2B5EF4-FFF2-40B4-BE49-F238E27FC236}">
              <a16:creationId xmlns:a16="http://schemas.microsoft.com/office/drawing/2014/main" id="{00000000-0008-0000-0800-0000C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82" name="Rectangle 251">
          <a:extLst>
            <a:ext uri="{FF2B5EF4-FFF2-40B4-BE49-F238E27FC236}">
              <a16:creationId xmlns:a16="http://schemas.microsoft.com/office/drawing/2014/main" id="{00000000-0008-0000-0800-0000C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3" name="Oval 252">
          <a:extLst>
            <a:ext uri="{FF2B5EF4-FFF2-40B4-BE49-F238E27FC236}">
              <a16:creationId xmlns:a16="http://schemas.microsoft.com/office/drawing/2014/main" id="{00000000-0008-0000-0800-0000C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4" name="Oval 253">
          <a:extLst>
            <a:ext uri="{FF2B5EF4-FFF2-40B4-BE49-F238E27FC236}">
              <a16:creationId xmlns:a16="http://schemas.microsoft.com/office/drawing/2014/main" id="{00000000-0008-0000-0800-0000C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5" name="Oval 254">
          <a:extLst>
            <a:ext uri="{FF2B5EF4-FFF2-40B4-BE49-F238E27FC236}">
              <a16:creationId xmlns:a16="http://schemas.microsoft.com/office/drawing/2014/main" id="{00000000-0008-0000-0800-0000C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6" name="Oval 255">
          <a:extLst>
            <a:ext uri="{FF2B5EF4-FFF2-40B4-BE49-F238E27FC236}">
              <a16:creationId xmlns:a16="http://schemas.microsoft.com/office/drawing/2014/main" id="{00000000-0008-0000-0800-0000C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87" name="AutoShape 256">
          <a:extLst>
            <a:ext uri="{FF2B5EF4-FFF2-40B4-BE49-F238E27FC236}">
              <a16:creationId xmlns:a16="http://schemas.microsoft.com/office/drawing/2014/main" id="{00000000-0008-0000-0800-0000C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88" name="Rectangle 257">
          <a:extLst>
            <a:ext uri="{FF2B5EF4-FFF2-40B4-BE49-F238E27FC236}">
              <a16:creationId xmlns:a16="http://schemas.microsoft.com/office/drawing/2014/main" id="{00000000-0008-0000-0800-0000C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89" name="Oval 258">
          <a:extLst>
            <a:ext uri="{FF2B5EF4-FFF2-40B4-BE49-F238E27FC236}">
              <a16:creationId xmlns:a16="http://schemas.microsoft.com/office/drawing/2014/main" id="{00000000-0008-0000-0800-0000C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0" name="Oval 259">
          <a:extLst>
            <a:ext uri="{FF2B5EF4-FFF2-40B4-BE49-F238E27FC236}">
              <a16:creationId xmlns:a16="http://schemas.microsoft.com/office/drawing/2014/main" id="{00000000-0008-0000-0800-0000C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1" name="Oval 260">
          <a:extLst>
            <a:ext uri="{FF2B5EF4-FFF2-40B4-BE49-F238E27FC236}">
              <a16:creationId xmlns:a16="http://schemas.microsoft.com/office/drawing/2014/main" id="{00000000-0008-0000-0800-0000C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2" name="Oval 261">
          <a:extLst>
            <a:ext uri="{FF2B5EF4-FFF2-40B4-BE49-F238E27FC236}">
              <a16:creationId xmlns:a16="http://schemas.microsoft.com/office/drawing/2014/main" id="{00000000-0008-0000-0800-0000D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93" name="AutoShape 262">
          <a:extLst>
            <a:ext uri="{FF2B5EF4-FFF2-40B4-BE49-F238E27FC236}">
              <a16:creationId xmlns:a16="http://schemas.microsoft.com/office/drawing/2014/main" id="{00000000-0008-0000-0800-0000D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2994" name="Rectangle 263">
          <a:extLst>
            <a:ext uri="{FF2B5EF4-FFF2-40B4-BE49-F238E27FC236}">
              <a16:creationId xmlns:a16="http://schemas.microsoft.com/office/drawing/2014/main" id="{00000000-0008-0000-0800-0000D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5" name="Oval 264">
          <a:extLst>
            <a:ext uri="{FF2B5EF4-FFF2-40B4-BE49-F238E27FC236}">
              <a16:creationId xmlns:a16="http://schemas.microsoft.com/office/drawing/2014/main" id="{00000000-0008-0000-0800-0000D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6" name="Oval 265">
          <a:extLst>
            <a:ext uri="{FF2B5EF4-FFF2-40B4-BE49-F238E27FC236}">
              <a16:creationId xmlns:a16="http://schemas.microsoft.com/office/drawing/2014/main" id="{00000000-0008-0000-0800-0000D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7" name="Oval 266">
          <a:extLst>
            <a:ext uri="{FF2B5EF4-FFF2-40B4-BE49-F238E27FC236}">
              <a16:creationId xmlns:a16="http://schemas.microsoft.com/office/drawing/2014/main" id="{00000000-0008-0000-0800-0000D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2998" name="Oval 267">
          <a:extLst>
            <a:ext uri="{FF2B5EF4-FFF2-40B4-BE49-F238E27FC236}">
              <a16:creationId xmlns:a16="http://schemas.microsoft.com/office/drawing/2014/main" id="{00000000-0008-0000-0800-0000D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2999" name="AutoShape 268">
          <a:extLst>
            <a:ext uri="{FF2B5EF4-FFF2-40B4-BE49-F238E27FC236}">
              <a16:creationId xmlns:a16="http://schemas.microsoft.com/office/drawing/2014/main" id="{00000000-0008-0000-0800-0000D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3000" name="Rectangle 269">
          <a:extLst>
            <a:ext uri="{FF2B5EF4-FFF2-40B4-BE49-F238E27FC236}">
              <a16:creationId xmlns:a16="http://schemas.microsoft.com/office/drawing/2014/main" id="{00000000-0008-0000-0800-0000D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1" name="Oval 270">
          <a:extLst>
            <a:ext uri="{FF2B5EF4-FFF2-40B4-BE49-F238E27FC236}">
              <a16:creationId xmlns:a16="http://schemas.microsoft.com/office/drawing/2014/main" id="{00000000-0008-0000-0800-0000D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2" name="Oval 271">
          <a:extLst>
            <a:ext uri="{FF2B5EF4-FFF2-40B4-BE49-F238E27FC236}">
              <a16:creationId xmlns:a16="http://schemas.microsoft.com/office/drawing/2014/main" id="{00000000-0008-0000-0800-0000D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3" name="Oval 272">
          <a:extLst>
            <a:ext uri="{FF2B5EF4-FFF2-40B4-BE49-F238E27FC236}">
              <a16:creationId xmlns:a16="http://schemas.microsoft.com/office/drawing/2014/main" id="{00000000-0008-0000-0800-0000D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4" name="Oval 273">
          <a:extLst>
            <a:ext uri="{FF2B5EF4-FFF2-40B4-BE49-F238E27FC236}">
              <a16:creationId xmlns:a16="http://schemas.microsoft.com/office/drawing/2014/main" id="{00000000-0008-0000-0800-0000D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3005" name="Rectangle 274">
          <a:extLst>
            <a:ext uri="{FF2B5EF4-FFF2-40B4-BE49-F238E27FC236}">
              <a16:creationId xmlns:a16="http://schemas.microsoft.com/office/drawing/2014/main" id="{00000000-0008-0000-0800-0000D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6" name="Oval 275">
          <a:extLst>
            <a:ext uri="{FF2B5EF4-FFF2-40B4-BE49-F238E27FC236}">
              <a16:creationId xmlns:a16="http://schemas.microsoft.com/office/drawing/2014/main" id="{00000000-0008-0000-0800-0000D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7" name="Oval 276">
          <a:extLst>
            <a:ext uri="{FF2B5EF4-FFF2-40B4-BE49-F238E27FC236}">
              <a16:creationId xmlns:a16="http://schemas.microsoft.com/office/drawing/2014/main" id="{00000000-0008-0000-0800-0000D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8" name="Oval 277">
          <a:extLst>
            <a:ext uri="{FF2B5EF4-FFF2-40B4-BE49-F238E27FC236}">
              <a16:creationId xmlns:a16="http://schemas.microsoft.com/office/drawing/2014/main" id="{00000000-0008-0000-0800-0000E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09" name="Oval 278">
          <a:extLst>
            <a:ext uri="{FF2B5EF4-FFF2-40B4-BE49-F238E27FC236}">
              <a16:creationId xmlns:a16="http://schemas.microsoft.com/office/drawing/2014/main" id="{00000000-0008-0000-0800-0000E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3010" name="Rectangle 279">
          <a:extLst>
            <a:ext uri="{FF2B5EF4-FFF2-40B4-BE49-F238E27FC236}">
              <a16:creationId xmlns:a16="http://schemas.microsoft.com/office/drawing/2014/main" id="{00000000-0008-0000-0800-0000E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11" name="Oval 280">
          <a:extLst>
            <a:ext uri="{FF2B5EF4-FFF2-40B4-BE49-F238E27FC236}">
              <a16:creationId xmlns:a16="http://schemas.microsoft.com/office/drawing/2014/main" id="{00000000-0008-0000-0800-0000E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12" name="Oval 281">
          <a:extLst>
            <a:ext uri="{FF2B5EF4-FFF2-40B4-BE49-F238E27FC236}">
              <a16:creationId xmlns:a16="http://schemas.microsoft.com/office/drawing/2014/main" id="{00000000-0008-0000-0800-0000E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13" name="Oval 282">
          <a:extLst>
            <a:ext uri="{FF2B5EF4-FFF2-40B4-BE49-F238E27FC236}">
              <a16:creationId xmlns:a16="http://schemas.microsoft.com/office/drawing/2014/main" id="{00000000-0008-0000-0800-0000E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3014" name="Oval 283">
          <a:extLst>
            <a:ext uri="{FF2B5EF4-FFF2-40B4-BE49-F238E27FC236}">
              <a16:creationId xmlns:a16="http://schemas.microsoft.com/office/drawing/2014/main" id="{00000000-0008-0000-0800-0000E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3015" name="Rectangle 285">
          <a:extLst>
            <a:ext uri="{FF2B5EF4-FFF2-40B4-BE49-F238E27FC236}">
              <a16:creationId xmlns:a16="http://schemas.microsoft.com/office/drawing/2014/main" id="{00000000-0008-0000-0800-0000E73B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3016" name="Rectangle 287">
          <a:extLst>
            <a:ext uri="{FF2B5EF4-FFF2-40B4-BE49-F238E27FC236}">
              <a16:creationId xmlns:a16="http://schemas.microsoft.com/office/drawing/2014/main" id="{00000000-0008-0000-0800-0000E83B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3017" name="Rectangle 289">
          <a:extLst>
            <a:ext uri="{FF2B5EF4-FFF2-40B4-BE49-F238E27FC236}">
              <a16:creationId xmlns:a16="http://schemas.microsoft.com/office/drawing/2014/main" id="{00000000-0008-0000-0800-0000E93B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3018" name="Rectangle 291">
          <a:extLst>
            <a:ext uri="{FF2B5EF4-FFF2-40B4-BE49-F238E27FC236}">
              <a16:creationId xmlns:a16="http://schemas.microsoft.com/office/drawing/2014/main" id="{00000000-0008-0000-0800-0000EA3B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3019" name="Rectangle 293">
          <a:extLst>
            <a:ext uri="{FF2B5EF4-FFF2-40B4-BE49-F238E27FC236}">
              <a16:creationId xmlns:a16="http://schemas.microsoft.com/office/drawing/2014/main" id="{00000000-0008-0000-0800-0000EB3B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3020" name="Rectangle 295">
          <a:extLst>
            <a:ext uri="{FF2B5EF4-FFF2-40B4-BE49-F238E27FC236}">
              <a16:creationId xmlns:a16="http://schemas.microsoft.com/office/drawing/2014/main" id="{00000000-0008-0000-0800-0000EC3B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3021" name="Rectangle 297">
          <a:extLst>
            <a:ext uri="{FF2B5EF4-FFF2-40B4-BE49-F238E27FC236}">
              <a16:creationId xmlns:a16="http://schemas.microsoft.com/office/drawing/2014/main" id="{00000000-0008-0000-0800-0000ED3B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3022" name="Rectangle 299">
          <a:extLst>
            <a:ext uri="{FF2B5EF4-FFF2-40B4-BE49-F238E27FC236}">
              <a16:creationId xmlns:a16="http://schemas.microsoft.com/office/drawing/2014/main" id="{00000000-0008-0000-0800-0000EE3B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3023" name="Rectangle 301">
          <a:extLst>
            <a:ext uri="{FF2B5EF4-FFF2-40B4-BE49-F238E27FC236}">
              <a16:creationId xmlns:a16="http://schemas.microsoft.com/office/drawing/2014/main" id="{00000000-0008-0000-0800-0000EF3B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3024" name="Rectangle 303">
          <a:extLst>
            <a:ext uri="{FF2B5EF4-FFF2-40B4-BE49-F238E27FC236}">
              <a16:creationId xmlns:a16="http://schemas.microsoft.com/office/drawing/2014/main" id="{00000000-0008-0000-0800-0000F03B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3025" name="Rectangle 305">
          <a:extLst>
            <a:ext uri="{FF2B5EF4-FFF2-40B4-BE49-F238E27FC236}">
              <a16:creationId xmlns:a16="http://schemas.microsoft.com/office/drawing/2014/main" id="{00000000-0008-0000-0800-0000F13B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3026" name="Rectangle 307">
          <a:extLst>
            <a:ext uri="{FF2B5EF4-FFF2-40B4-BE49-F238E27FC236}">
              <a16:creationId xmlns:a16="http://schemas.microsoft.com/office/drawing/2014/main" id="{00000000-0008-0000-0800-0000F23B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43027" name="フリーフォーム 311">
          <a:extLst>
            <a:ext uri="{FF2B5EF4-FFF2-40B4-BE49-F238E27FC236}">
              <a16:creationId xmlns:a16="http://schemas.microsoft.com/office/drawing/2014/main" id="{00000000-0008-0000-0800-0000F33B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43028" name="フリーフォーム 312">
          <a:extLst>
            <a:ext uri="{FF2B5EF4-FFF2-40B4-BE49-F238E27FC236}">
              <a16:creationId xmlns:a16="http://schemas.microsoft.com/office/drawing/2014/main" id="{00000000-0008-0000-0800-0000F43B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43029" name="フリーフォーム 313">
          <a:extLst>
            <a:ext uri="{FF2B5EF4-FFF2-40B4-BE49-F238E27FC236}">
              <a16:creationId xmlns:a16="http://schemas.microsoft.com/office/drawing/2014/main" id="{00000000-0008-0000-0800-0000F53B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43030" name="フリーフォーム 314">
          <a:extLst>
            <a:ext uri="{FF2B5EF4-FFF2-40B4-BE49-F238E27FC236}">
              <a16:creationId xmlns:a16="http://schemas.microsoft.com/office/drawing/2014/main" id="{00000000-0008-0000-0800-0000F63B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43031" name="フリーフォーム 315">
          <a:extLst>
            <a:ext uri="{FF2B5EF4-FFF2-40B4-BE49-F238E27FC236}">
              <a16:creationId xmlns:a16="http://schemas.microsoft.com/office/drawing/2014/main" id="{00000000-0008-0000-0800-0000F73B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43032" name="フリーフォーム 316">
          <a:extLst>
            <a:ext uri="{FF2B5EF4-FFF2-40B4-BE49-F238E27FC236}">
              <a16:creationId xmlns:a16="http://schemas.microsoft.com/office/drawing/2014/main" id="{00000000-0008-0000-0800-0000F83B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43033" name="フリーフォーム 317">
          <a:extLst>
            <a:ext uri="{FF2B5EF4-FFF2-40B4-BE49-F238E27FC236}">
              <a16:creationId xmlns:a16="http://schemas.microsoft.com/office/drawing/2014/main" id="{00000000-0008-0000-0800-0000F93B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43034" name="フリーフォーム 319">
          <a:extLst>
            <a:ext uri="{FF2B5EF4-FFF2-40B4-BE49-F238E27FC236}">
              <a16:creationId xmlns:a16="http://schemas.microsoft.com/office/drawing/2014/main" id="{00000000-0008-0000-0800-0000FA3B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43035" name="フリーフォーム 320">
          <a:extLst>
            <a:ext uri="{FF2B5EF4-FFF2-40B4-BE49-F238E27FC236}">
              <a16:creationId xmlns:a16="http://schemas.microsoft.com/office/drawing/2014/main" id="{00000000-0008-0000-0800-0000FB3B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43036" name="フリーフォーム 321">
          <a:extLst>
            <a:ext uri="{FF2B5EF4-FFF2-40B4-BE49-F238E27FC236}">
              <a16:creationId xmlns:a16="http://schemas.microsoft.com/office/drawing/2014/main" id="{00000000-0008-0000-0800-0000FC3B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43037" name="フリーフォーム 322">
          <a:extLst>
            <a:ext uri="{FF2B5EF4-FFF2-40B4-BE49-F238E27FC236}">
              <a16:creationId xmlns:a16="http://schemas.microsoft.com/office/drawing/2014/main" id="{00000000-0008-0000-0800-0000FD3B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3038" name="Rectangle 2">
          <a:extLst>
            <a:ext uri="{FF2B5EF4-FFF2-40B4-BE49-F238E27FC236}">
              <a16:creationId xmlns:a16="http://schemas.microsoft.com/office/drawing/2014/main" id="{00000000-0008-0000-0800-0000FE3B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3039" name="Rectangle 2">
          <a:extLst>
            <a:ext uri="{FF2B5EF4-FFF2-40B4-BE49-F238E27FC236}">
              <a16:creationId xmlns:a16="http://schemas.microsoft.com/office/drawing/2014/main" id="{00000000-0008-0000-0800-0000FF3B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56352" name="Rectangle 2">
          <a:extLst>
            <a:ext uri="{FF2B5EF4-FFF2-40B4-BE49-F238E27FC236}">
              <a16:creationId xmlns:a16="http://schemas.microsoft.com/office/drawing/2014/main" id="{00000000-0008-0000-0800-00000070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56353" name="Rectangle 2">
          <a:extLst>
            <a:ext uri="{FF2B5EF4-FFF2-40B4-BE49-F238E27FC236}">
              <a16:creationId xmlns:a16="http://schemas.microsoft.com/office/drawing/2014/main" id="{00000000-0008-0000-0800-00000170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56354" name="Rectangle 2">
          <a:extLst>
            <a:ext uri="{FF2B5EF4-FFF2-40B4-BE49-F238E27FC236}">
              <a16:creationId xmlns:a16="http://schemas.microsoft.com/office/drawing/2014/main" id="{00000000-0008-0000-0800-00000270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6355" name="Rectangle 293">
          <a:extLst>
            <a:ext uri="{FF2B5EF4-FFF2-40B4-BE49-F238E27FC236}">
              <a16:creationId xmlns:a16="http://schemas.microsoft.com/office/drawing/2014/main" id="{00000000-0008-0000-0800-00000370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56356" name="Rectangle 2">
          <a:extLst>
            <a:ext uri="{FF2B5EF4-FFF2-40B4-BE49-F238E27FC236}">
              <a16:creationId xmlns:a16="http://schemas.microsoft.com/office/drawing/2014/main" id="{00000000-0008-0000-0800-00000470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6357" name="Rectangle 293">
          <a:extLst>
            <a:ext uri="{FF2B5EF4-FFF2-40B4-BE49-F238E27FC236}">
              <a16:creationId xmlns:a16="http://schemas.microsoft.com/office/drawing/2014/main" id="{00000000-0008-0000-0800-00000570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56358" name="Rectangle 2">
          <a:extLst>
            <a:ext uri="{FF2B5EF4-FFF2-40B4-BE49-F238E27FC236}">
              <a16:creationId xmlns:a16="http://schemas.microsoft.com/office/drawing/2014/main" id="{00000000-0008-0000-0800-00000670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6359" name="Rectangle 293">
          <a:extLst>
            <a:ext uri="{FF2B5EF4-FFF2-40B4-BE49-F238E27FC236}">
              <a16:creationId xmlns:a16="http://schemas.microsoft.com/office/drawing/2014/main" id="{00000000-0008-0000-0800-00000770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356360" name="フリーフォーム 342">
          <a:extLst>
            <a:ext uri="{FF2B5EF4-FFF2-40B4-BE49-F238E27FC236}">
              <a16:creationId xmlns:a16="http://schemas.microsoft.com/office/drawing/2014/main" id="{00000000-0008-0000-0800-00000870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56361" name="Rectangle 2">
          <a:extLst>
            <a:ext uri="{FF2B5EF4-FFF2-40B4-BE49-F238E27FC236}">
              <a16:creationId xmlns:a16="http://schemas.microsoft.com/office/drawing/2014/main" id="{00000000-0008-0000-0800-00000970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6362" name="Rectangle 293">
          <a:extLst>
            <a:ext uri="{FF2B5EF4-FFF2-40B4-BE49-F238E27FC236}">
              <a16:creationId xmlns:a16="http://schemas.microsoft.com/office/drawing/2014/main" id="{00000000-0008-0000-0800-00000A70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56363" name="Rectangle 2">
          <a:extLst>
            <a:ext uri="{FF2B5EF4-FFF2-40B4-BE49-F238E27FC236}">
              <a16:creationId xmlns:a16="http://schemas.microsoft.com/office/drawing/2014/main" id="{00000000-0008-0000-0800-00000B70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6364" name="Rectangle 293">
          <a:extLst>
            <a:ext uri="{FF2B5EF4-FFF2-40B4-BE49-F238E27FC236}">
              <a16:creationId xmlns:a16="http://schemas.microsoft.com/office/drawing/2014/main" id="{00000000-0008-0000-0800-00000C70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56365" name="フリーフォーム 350">
          <a:extLst>
            <a:ext uri="{FF2B5EF4-FFF2-40B4-BE49-F238E27FC236}">
              <a16:creationId xmlns:a16="http://schemas.microsoft.com/office/drawing/2014/main" id="{00000000-0008-0000-0800-00000D70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56366" name="Rectangle 2">
          <a:extLst>
            <a:ext uri="{FF2B5EF4-FFF2-40B4-BE49-F238E27FC236}">
              <a16:creationId xmlns:a16="http://schemas.microsoft.com/office/drawing/2014/main" id="{00000000-0008-0000-0800-00000E70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6367" name="Rectangle 293">
          <a:extLst>
            <a:ext uri="{FF2B5EF4-FFF2-40B4-BE49-F238E27FC236}">
              <a16:creationId xmlns:a16="http://schemas.microsoft.com/office/drawing/2014/main" id="{00000000-0008-0000-0800-00000F70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56368" name="フリーフォーム 354">
          <a:extLst>
            <a:ext uri="{FF2B5EF4-FFF2-40B4-BE49-F238E27FC236}">
              <a16:creationId xmlns:a16="http://schemas.microsoft.com/office/drawing/2014/main" id="{00000000-0008-0000-0800-00001070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56369" name="Rectangle 2">
          <a:extLst>
            <a:ext uri="{FF2B5EF4-FFF2-40B4-BE49-F238E27FC236}">
              <a16:creationId xmlns:a16="http://schemas.microsoft.com/office/drawing/2014/main" id="{00000000-0008-0000-0800-00001170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6370" name="Rectangle 293">
          <a:extLst>
            <a:ext uri="{FF2B5EF4-FFF2-40B4-BE49-F238E27FC236}">
              <a16:creationId xmlns:a16="http://schemas.microsoft.com/office/drawing/2014/main" id="{00000000-0008-0000-0800-00001270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56371" name="Rectangle 2">
          <a:extLst>
            <a:ext uri="{FF2B5EF4-FFF2-40B4-BE49-F238E27FC236}">
              <a16:creationId xmlns:a16="http://schemas.microsoft.com/office/drawing/2014/main" id="{00000000-0008-0000-0800-00001370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6372" name="Rectangle 285">
          <a:extLst>
            <a:ext uri="{FF2B5EF4-FFF2-40B4-BE49-F238E27FC236}">
              <a16:creationId xmlns:a16="http://schemas.microsoft.com/office/drawing/2014/main" id="{00000000-0008-0000-0800-0000147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56373" name="フリーフォーム 362">
          <a:extLst>
            <a:ext uri="{FF2B5EF4-FFF2-40B4-BE49-F238E27FC236}">
              <a16:creationId xmlns:a16="http://schemas.microsoft.com/office/drawing/2014/main" id="{00000000-0008-0000-0800-00001570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56374" name="Rectangle 2">
          <a:extLst>
            <a:ext uri="{FF2B5EF4-FFF2-40B4-BE49-F238E27FC236}">
              <a16:creationId xmlns:a16="http://schemas.microsoft.com/office/drawing/2014/main" id="{00000000-0008-0000-0800-0000167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356375" name="Oval 18">
          <a:extLst>
            <a:ext uri="{FF2B5EF4-FFF2-40B4-BE49-F238E27FC236}">
              <a16:creationId xmlns:a16="http://schemas.microsoft.com/office/drawing/2014/main" id="{00000000-0008-0000-0800-00001770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56376" name="Oval 51">
          <a:extLst>
            <a:ext uri="{FF2B5EF4-FFF2-40B4-BE49-F238E27FC236}">
              <a16:creationId xmlns:a16="http://schemas.microsoft.com/office/drawing/2014/main" id="{00000000-0008-0000-0800-00001870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356377" name="Oval 18">
          <a:extLst>
            <a:ext uri="{FF2B5EF4-FFF2-40B4-BE49-F238E27FC236}">
              <a16:creationId xmlns:a16="http://schemas.microsoft.com/office/drawing/2014/main" id="{00000000-0008-0000-0800-0000197005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159026</xdr:colOff>
      <xdr:row>12</xdr:row>
      <xdr:rowOff>19879</xdr:rowOff>
    </xdr:from>
    <xdr:to>
      <xdr:col>16</xdr:col>
      <xdr:colOff>7776</xdr:colOff>
      <xdr:row>12</xdr:row>
      <xdr:rowOff>26430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3EB84F8-92C4-44ED-A461-01DC6B474BA5}"/>
            </a:ext>
          </a:extLst>
        </xdr:cNvPr>
        <xdr:cNvCxnSpPr/>
      </xdr:nvCxnSpPr>
      <xdr:spPr bwMode="auto">
        <a:xfrm>
          <a:off x="2312504" y="1577009"/>
          <a:ext cx="961933" cy="655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17A18217-B10D-4E40-B3D7-414857F351A3}"/>
            </a:ext>
          </a:extLst>
        </xdr:cNvPr>
        <xdr:cNvSpPr>
          <a:spLocks noChangeArrowheads="1"/>
        </xdr:cNvSpPr>
      </xdr:nvSpPr>
      <xdr:spPr bwMode="auto">
        <a:xfrm>
          <a:off x="172278" y="2746347"/>
          <a:ext cx="358140" cy="371393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5447" name="Rectangle 2">
          <a:extLst>
            <a:ext uri="{FF2B5EF4-FFF2-40B4-BE49-F238E27FC236}">
              <a16:creationId xmlns:a16="http://schemas.microsoft.com/office/drawing/2014/main" id="{00000000-0008-0000-0900-00006745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5448" name="Oval 3">
          <a:extLst>
            <a:ext uri="{FF2B5EF4-FFF2-40B4-BE49-F238E27FC236}">
              <a16:creationId xmlns:a16="http://schemas.microsoft.com/office/drawing/2014/main" id="{00000000-0008-0000-0900-00006845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5449" name="Oval 8">
          <a:extLst>
            <a:ext uri="{FF2B5EF4-FFF2-40B4-BE49-F238E27FC236}">
              <a16:creationId xmlns:a16="http://schemas.microsoft.com/office/drawing/2014/main" id="{00000000-0008-0000-0900-00006945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5450" name="Oval 9">
          <a:extLst>
            <a:ext uri="{FF2B5EF4-FFF2-40B4-BE49-F238E27FC236}">
              <a16:creationId xmlns:a16="http://schemas.microsoft.com/office/drawing/2014/main" id="{00000000-0008-0000-0900-00006A45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5451" name="Oval 10">
          <a:extLst>
            <a:ext uri="{FF2B5EF4-FFF2-40B4-BE49-F238E27FC236}">
              <a16:creationId xmlns:a16="http://schemas.microsoft.com/office/drawing/2014/main" id="{00000000-0008-0000-0900-00006B45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5452" name="Oval 12">
          <a:extLst>
            <a:ext uri="{FF2B5EF4-FFF2-40B4-BE49-F238E27FC236}">
              <a16:creationId xmlns:a16="http://schemas.microsoft.com/office/drawing/2014/main" id="{00000000-0008-0000-0900-00006C45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5453" name="Oval 13">
          <a:extLst>
            <a:ext uri="{FF2B5EF4-FFF2-40B4-BE49-F238E27FC236}">
              <a16:creationId xmlns:a16="http://schemas.microsoft.com/office/drawing/2014/main" id="{00000000-0008-0000-0900-00006D45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5454" name="Oval 14">
          <a:extLst>
            <a:ext uri="{FF2B5EF4-FFF2-40B4-BE49-F238E27FC236}">
              <a16:creationId xmlns:a16="http://schemas.microsoft.com/office/drawing/2014/main" id="{00000000-0008-0000-0900-00006E45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5455" name="Oval 15">
          <a:extLst>
            <a:ext uri="{FF2B5EF4-FFF2-40B4-BE49-F238E27FC236}">
              <a16:creationId xmlns:a16="http://schemas.microsoft.com/office/drawing/2014/main" id="{00000000-0008-0000-0900-00006F45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5456" name="Rectangle 16">
          <a:extLst>
            <a:ext uri="{FF2B5EF4-FFF2-40B4-BE49-F238E27FC236}">
              <a16:creationId xmlns:a16="http://schemas.microsoft.com/office/drawing/2014/main" id="{00000000-0008-0000-0900-00007045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5457" name="Oval 17">
          <a:extLst>
            <a:ext uri="{FF2B5EF4-FFF2-40B4-BE49-F238E27FC236}">
              <a16:creationId xmlns:a16="http://schemas.microsoft.com/office/drawing/2014/main" id="{00000000-0008-0000-0900-00007145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45458" name="Oval 18">
          <a:extLst>
            <a:ext uri="{FF2B5EF4-FFF2-40B4-BE49-F238E27FC236}">
              <a16:creationId xmlns:a16="http://schemas.microsoft.com/office/drawing/2014/main" id="{00000000-0008-0000-0900-00007245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5459" name="Oval 21">
          <a:extLst>
            <a:ext uri="{FF2B5EF4-FFF2-40B4-BE49-F238E27FC236}">
              <a16:creationId xmlns:a16="http://schemas.microsoft.com/office/drawing/2014/main" id="{00000000-0008-0000-0900-00007345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5460" name="Oval 65">
          <a:extLst>
            <a:ext uri="{FF2B5EF4-FFF2-40B4-BE49-F238E27FC236}">
              <a16:creationId xmlns:a16="http://schemas.microsoft.com/office/drawing/2014/main" id="{00000000-0008-0000-0900-00007445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5461" name="Oval 80">
          <a:extLst>
            <a:ext uri="{FF2B5EF4-FFF2-40B4-BE49-F238E27FC236}">
              <a16:creationId xmlns:a16="http://schemas.microsoft.com/office/drawing/2014/main" id="{00000000-0008-0000-0900-00007545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62" name="AutoShape 102">
          <a:extLst>
            <a:ext uri="{FF2B5EF4-FFF2-40B4-BE49-F238E27FC236}">
              <a16:creationId xmlns:a16="http://schemas.microsoft.com/office/drawing/2014/main" id="{00000000-0008-0000-0900-00007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63" name="Rectangle 103">
          <a:extLst>
            <a:ext uri="{FF2B5EF4-FFF2-40B4-BE49-F238E27FC236}">
              <a16:creationId xmlns:a16="http://schemas.microsoft.com/office/drawing/2014/main" id="{00000000-0008-0000-0900-00007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64" name="Oval 104">
          <a:extLst>
            <a:ext uri="{FF2B5EF4-FFF2-40B4-BE49-F238E27FC236}">
              <a16:creationId xmlns:a16="http://schemas.microsoft.com/office/drawing/2014/main" id="{00000000-0008-0000-0900-00007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65" name="AutoShape 105">
          <a:extLst>
            <a:ext uri="{FF2B5EF4-FFF2-40B4-BE49-F238E27FC236}">
              <a16:creationId xmlns:a16="http://schemas.microsoft.com/office/drawing/2014/main" id="{00000000-0008-0000-0900-000079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66" name="Rectangle 106">
          <a:extLst>
            <a:ext uri="{FF2B5EF4-FFF2-40B4-BE49-F238E27FC236}">
              <a16:creationId xmlns:a16="http://schemas.microsoft.com/office/drawing/2014/main" id="{00000000-0008-0000-0900-00007A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67" name="Oval 107">
          <a:extLst>
            <a:ext uri="{FF2B5EF4-FFF2-40B4-BE49-F238E27FC236}">
              <a16:creationId xmlns:a16="http://schemas.microsoft.com/office/drawing/2014/main" id="{00000000-0008-0000-0900-00007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68" name="AutoShape 108">
          <a:extLst>
            <a:ext uri="{FF2B5EF4-FFF2-40B4-BE49-F238E27FC236}">
              <a16:creationId xmlns:a16="http://schemas.microsoft.com/office/drawing/2014/main" id="{00000000-0008-0000-0900-00007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69" name="Rectangle 109">
          <a:extLst>
            <a:ext uri="{FF2B5EF4-FFF2-40B4-BE49-F238E27FC236}">
              <a16:creationId xmlns:a16="http://schemas.microsoft.com/office/drawing/2014/main" id="{00000000-0008-0000-0900-00007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70" name="Oval 110">
          <a:extLst>
            <a:ext uri="{FF2B5EF4-FFF2-40B4-BE49-F238E27FC236}">
              <a16:creationId xmlns:a16="http://schemas.microsoft.com/office/drawing/2014/main" id="{00000000-0008-0000-0900-00007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71" name="AutoShape 111">
          <a:extLst>
            <a:ext uri="{FF2B5EF4-FFF2-40B4-BE49-F238E27FC236}">
              <a16:creationId xmlns:a16="http://schemas.microsoft.com/office/drawing/2014/main" id="{00000000-0008-0000-0900-00007F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72" name="Rectangle 112">
          <a:extLst>
            <a:ext uri="{FF2B5EF4-FFF2-40B4-BE49-F238E27FC236}">
              <a16:creationId xmlns:a16="http://schemas.microsoft.com/office/drawing/2014/main" id="{00000000-0008-0000-0900-000080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73" name="Oval 113">
          <a:extLst>
            <a:ext uri="{FF2B5EF4-FFF2-40B4-BE49-F238E27FC236}">
              <a16:creationId xmlns:a16="http://schemas.microsoft.com/office/drawing/2014/main" id="{00000000-0008-0000-0900-00008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74" name="AutoShape 114">
          <a:extLst>
            <a:ext uri="{FF2B5EF4-FFF2-40B4-BE49-F238E27FC236}">
              <a16:creationId xmlns:a16="http://schemas.microsoft.com/office/drawing/2014/main" id="{00000000-0008-0000-0900-00008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75" name="Rectangle 115">
          <a:extLst>
            <a:ext uri="{FF2B5EF4-FFF2-40B4-BE49-F238E27FC236}">
              <a16:creationId xmlns:a16="http://schemas.microsoft.com/office/drawing/2014/main" id="{00000000-0008-0000-0900-00008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76" name="Oval 116">
          <a:extLst>
            <a:ext uri="{FF2B5EF4-FFF2-40B4-BE49-F238E27FC236}">
              <a16:creationId xmlns:a16="http://schemas.microsoft.com/office/drawing/2014/main" id="{00000000-0008-0000-0900-00008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77" name="AutoShape 117">
          <a:extLst>
            <a:ext uri="{FF2B5EF4-FFF2-40B4-BE49-F238E27FC236}">
              <a16:creationId xmlns:a16="http://schemas.microsoft.com/office/drawing/2014/main" id="{00000000-0008-0000-0900-000085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78" name="Rectangle 118">
          <a:extLst>
            <a:ext uri="{FF2B5EF4-FFF2-40B4-BE49-F238E27FC236}">
              <a16:creationId xmlns:a16="http://schemas.microsoft.com/office/drawing/2014/main" id="{00000000-0008-0000-0900-000086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79" name="Oval 119">
          <a:extLst>
            <a:ext uri="{FF2B5EF4-FFF2-40B4-BE49-F238E27FC236}">
              <a16:creationId xmlns:a16="http://schemas.microsoft.com/office/drawing/2014/main" id="{00000000-0008-0000-0900-00008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80" name="AutoShape 120">
          <a:extLst>
            <a:ext uri="{FF2B5EF4-FFF2-40B4-BE49-F238E27FC236}">
              <a16:creationId xmlns:a16="http://schemas.microsoft.com/office/drawing/2014/main" id="{00000000-0008-0000-0900-00008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81" name="Rectangle 121">
          <a:extLst>
            <a:ext uri="{FF2B5EF4-FFF2-40B4-BE49-F238E27FC236}">
              <a16:creationId xmlns:a16="http://schemas.microsoft.com/office/drawing/2014/main" id="{00000000-0008-0000-0900-00008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82" name="Oval 122">
          <a:extLst>
            <a:ext uri="{FF2B5EF4-FFF2-40B4-BE49-F238E27FC236}">
              <a16:creationId xmlns:a16="http://schemas.microsoft.com/office/drawing/2014/main" id="{00000000-0008-0000-0900-00008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83" name="AutoShape 123">
          <a:extLst>
            <a:ext uri="{FF2B5EF4-FFF2-40B4-BE49-F238E27FC236}">
              <a16:creationId xmlns:a16="http://schemas.microsoft.com/office/drawing/2014/main" id="{00000000-0008-0000-0900-00008B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84" name="Rectangle 124">
          <a:extLst>
            <a:ext uri="{FF2B5EF4-FFF2-40B4-BE49-F238E27FC236}">
              <a16:creationId xmlns:a16="http://schemas.microsoft.com/office/drawing/2014/main" id="{00000000-0008-0000-0900-00008C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85" name="Oval 125">
          <a:extLst>
            <a:ext uri="{FF2B5EF4-FFF2-40B4-BE49-F238E27FC236}">
              <a16:creationId xmlns:a16="http://schemas.microsoft.com/office/drawing/2014/main" id="{00000000-0008-0000-0900-00008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86" name="AutoShape 126">
          <a:extLst>
            <a:ext uri="{FF2B5EF4-FFF2-40B4-BE49-F238E27FC236}">
              <a16:creationId xmlns:a16="http://schemas.microsoft.com/office/drawing/2014/main" id="{00000000-0008-0000-0900-00008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87" name="Rectangle 127">
          <a:extLst>
            <a:ext uri="{FF2B5EF4-FFF2-40B4-BE49-F238E27FC236}">
              <a16:creationId xmlns:a16="http://schemas.microsoft.com/office/drawing/2014/main" id="{00000000-0008-0000-0900-00008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88" name="Oval 128">
          <a:extLst>
            <a:ext uri="{FF2B5EF4-FFF2-40B4-BE49-F238E27FC236}">
              <a16:creationId xmlns:a16="http://schemas.microsoft.com/office/drawing/2014/main" id="{00000000-0008-0000-0900-00009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89" name="AutoShape 129">
          <a:extLst>
            <a:ext uri="{FF2B5EF4-FFF2-40B4-BE49-F238E27FC236}">
              <a16:creationId xmlns:a16="http://schemas.microsoft.com/office/drawing/2014/main" id="{00000000-0008-0000-0900-000091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90" name="Rectangle 130">
          <a:extLst>
            <a:ext uri="{FF2B5EF4-FFF2-40B4-BE49-F238E27FC236}">
              <a16:creationId xmlns:a16="http://schemas.microsoft.com/office/drawing/2014/main" id="{00000000-0008-0000-0900-000092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91" name="Oval 131">
          <a:extLst>
            <a:ext uri="{FF2B5EF4-FFF2-40B4-BE49-F238E27FC236}">
              <a16:creationId xmlns:a16="http://schemas.microsoft.com/office/drawing/2014/main" id="{00000000-0008-0000-0900-00009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92" name="AutoShape 132">
          <a:extLst>
            <a:ext uri="{FF2B5EF4-FFF2-40B4-BE49-F238E27FC236}">
              <a16:creationId xmlns:a16="http://schemas.microsoft.com/office/drawing/2014/main" id="{00000000-0008-0000-0900-00009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93" name="Rectangle 133">
          <a:extLst>
            <a:ext uri="{FF2B5EF4-FFF2-40B4-BE49-F238E27FC236}">
              <a16:creationId xmlns:a16="http://schemas.microsoft.com/office/drawing/2014/main" id="{00000000-0008-0000-0900-00009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94" name="Oval 134">
          <a:extLst>
            <a:ext uri="{FF2B5EF4-FFF2-40B4-BE49-F238E27FC236}">
              <a16:creationId xmlns:a16="http://schemas.microsoft.com/office/drawing/2014/main" id="{00000000-0008-0000-0900-00009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95" name="AutoShape 135">
          <a:extLst>
            <a:ext uri="{FF2B5EF4-FFF2-40B4-BE49-F238E27FC236}">
              <a16:creationId xmlns:a16="http://schemas.microsoft.com/office/drawing/2014/main" id="{00000000-0008-0000-0900-000097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96" name="Rectangle 136">
          <a:extLst>
            <a:ext uri="{FF2B5EF4-FFF2-40B4-BE49-F238E27FC236}">
              <a16:creationId xmlns:a16="http://schemas.microsoft.com/office/drawing/2014/main" id="{00000000-0008-0000-0900-000098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497" name="Oval 137">
          <a:extLst>
            <a:ext uri="{FF2B5EF4-FFF2-40B4-BE49-F238E27FC236}">
              <a16:creationId xmlns:a16="http://schemas.microsoft.com/office/drawing/2014/main" id="{00000000-0008-0000-0900-00009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498" name="AutoShape 138">
          <a:extLst>
            <a:ext uri="{FF2B5EF4-FFF2-40B4-BE49-F238E27FC236}">
              <a16:creationId xmlns:a16="http://schemas.microsoft.com/office/drawing/2014/main" id="{00000000-0008-0000-0900-00009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499" name="Rectangle 139">
          <a:extLst>
            <a:ext uri="{FF2B5EF4-FFF2-40B4-BE49-F238E27FC236}">
              <a16:creationId xmlns:a16="http://schemas.microsoft.com/office/drawing/2014/main" id="{00000000-0008-0000-0900-00009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00" name="Oval 140">
          <a:extLst>
            <a:ext uri="{FF2B5EF4-FFF2-40B4-BE49-F238E27FC236}">
              <a16:creationId xmlns:a16="http://schemas.microsoft.com/office/drawing/2014/main" id="{00000000-0008-0000-0900-00009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01" name="Rectangle 141">
          <a:extLst>
            <a:ext uri="{FF2B5EF4-FFF2-40B4-BE49-F238E27FC236}">
              <a16:creationId xmlns:a16="http://schemas.microsoft.com/office/drawing/2014/main" id="{00000000-0008-0000-0900-00009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02" name="AutoShape 142">
          <a:extLst>
            <a:ext uri="{FF2B5EF4-FFF2-40B4-BE49-F238E27FC236}">
              <a16:creationId xmlns:a16="http://schemas.microsoft.com/office/drawing/2014/main" id="{00000000-0008-0000-0900-00009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03" name="Rectangle 143">
          <a:extLst>
            <a:ext uri="{FF2B5EF4-FFF2-40B4-BE49-F238E27FC236}">
              <a16:creationId xmlns:a16="http://schemas.microsoft.com/office/drawing/2014/main" id="{00000000-0008-0000-0900-00009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04" name="Oval 144">
          <a:extLst>
            <a:ext uri="{FF2B5EF4-FFF2-40B4-BE49-F238E27FC236}">
              <a16:creationId xmlns:a16="http://schemas.microsoft.com/office/drawing/2014/main" id="{00000000-0008-0000-0900-0000A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05" name="AutoShape 145">
          <a:extLst>
            <a:ext uri="{FF2B5EF4-FFF2-40B4-BE49-F238E27FC236}">
              <a16:creationId xmlns:a16="http://schemas.microsoft.com/office/drawing/2014/main" id="{00000000-0008-0000-0900-0000A1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06" name="Rectangle 146">
          <a:extLst>
            <a:ext uri="{FF2B5EF4-FFF2-40B4-BE49-F238E27FC236}">
              <a16:creationId xmlns:a16="http://schemas.microsoft.com/office/drawing/2014/main" id="{00000000-0008-0000-0900-0000A2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07" name="Oval 147">
          <a:extLst>
            <a:ext uri="{FF2B5EF4-FFF2-40B4-BE49-F238E27FC236}">
              <a16:creationId xmlns:a16="http://schemas.microsoft.com/office/drawing/2014/main" id="{00000000-0008-0000-0900-0000A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08" name="AutoShape 148">
          <a:extLst>
            <a:ext uri="{FF2B5EF4-FFF2-40B4-BE49-F238E27FC236}">
              <a16:creationId xmlns:a16="http://schemas.microsoft.com/office/drawing/2014/main" id="{00000000-0008-0000-0900-0000A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09" name="Rectangle 149">
          <a:extLst>
            <a:ext uri="{FF2B5EF4-FFF2-40B4-BE49-F238E27FC236}">
              <a16:creationId xmlns:a16="http://schemas.microsoft.com/office/drawing/2014/main" id="{00000000-0008-0000-0900-0000A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0" name="Oval 150">
          <a:extLst>
            <a:ext uri="{FF2B5EF4-FFF2-40B4-BE49-F238E27FC236}">
              <a16:creationId xmlns:a16="http://schemas.microsoft.com/office/drawing/2014/main" id="{00000000-0008-0000-0900-0000A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1" name="Oval 151">
          <a:extLst>
            <a:ext uri="{FF2B5EF4-FFF2-40B4-BE49-F238E27FC236}">
              <a16:creationId xmlns:a16="http://schemas.microsoft.com/office/drawing/2014/main" id="{00000000-0008-0000-0900-0000A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2" name="Oval 152">
          <a:extLst>
            <a:ext uri="{FF2B5EF4-FFF2-40B4-BE49-F238E27FC236}">
              <a16:creationId xmlns:a16="http://schemas.microsoft.com/office/drawing/2014/main" id="{00000000-0008-0000-0900-0000A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3" name="Oval 153">
          <a:extLst>
            <a:ext uri="{FF2B5EF4-FFF2-40B4-BE49-F238E27FC236}">
              <a16:creationId xmlns:a16="http://schemas.microsoft.com/office/drawing/2014/main" id="{00000000-0008-0000-0900-0000A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14" name="AutoShape 154">
          <a:extLst>
            <a:ext uri="{FF2B5EF4-FFF2-40B4-BE49-F238E27FC236}">
              <a16:creationId xmlns:a16="http://schemas.microsoft.com/office/drawing/2014/main" id="{00000000-0008-0000-0900-0000A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15" name="Rectangle 155">
          <a:extLst>
            <a:ext uri="{FF2B5EF4-FFF2-40B4-BE49-F238E27FC236}">
              <a16:creationId xmlns:a16="http://schemas.microsoft.com/office/drawing/2014/main" id="{00000000-0008-0000-0900-0000A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6" name="Oval 156">
          <a:extLst>
            <a:ext uri="{FF2B5EF4-FFF2-40B4-BE49-F238E27FC236}">
              <a16:creationId xmlns:a16="http://schemas.microsoft.com/office/drawing/2014/main" id="{00000000-0008-0000-0900-0000A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7" name="Oval 157">
          <a:extLst>
            <a:ext uri="{FF2B5EF4-FFF2-40B4-BE49-F238E27FC236}">
              <a16:creationId xmlns:a16="http://schemas.microsoft.com/office/drawing/2014/main" id="{00000000-0008-0000-0900-0000A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8" name="Oval 158">
          <a:extLst>
            <a:ext uri="{FF2B5EF4-FFF2-40B4-BE49-F238E27FC236}">
              <a16:creationId xmlns:a16="http://schemas.microsoft.com/office/drawing/2014/main" id="{00000000-0008-0000-0900-0000A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19" name="Oval 159">
          <a:extLst>
            <a:ext uri="{FF2B5EF4-FFF2-40B4-BE49-F238E27FC236}">
              <a16:creationId xmlns:a16="http://schemas.microsoft.com/office/drawing/2014/main" id="{00000000-0008-0000-0900-0000A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20" name="AutoShape 160">
          <a:extLst>
            <a:ext uri="{FF2B5EF4-FFF2-40B4-BE49-F238E27FC236}">
              <a16:creationId xmlns:a16="http://schemas.microsoft.com/office/drawing/2014/main" id="{00000000-0008-0000-0900-0000B0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21" name="Rectangle 161">
          <a:extLst>
            <a:ext uri="{FF2B5EF4-FFF2-40B4-BE49-F238E27FC236}">
              <a16:creationId xmlns:a16="http://schemas.microsoft.com/office/drawing/2014/main" id="{00000000-0008-0000-0900-0000B1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2" name="Oval 162">
          <a:extLst>
            <a:ext uri="{FF2B5EF4-FFF2-40B4-BE49-F238E27FC236}">
              <a16:creationId xmlns:a16="http://schemas.microsoft.com/office/drawing/2014/main" id="{00000000-0008-0000-0900-0000B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3" name="Oval 163">
          <a:extLst>
            <a:ext uri="{FF2B5EF4-FFF2-40B4-BE49-F238E27FC236}">
              <a16:creationId xmlns:a16="http://schemas.microsoft.com/office/drawing/2014/main" id="{00000000-0008-0000-0900-0000B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4" name="Oval 164">
          <a:extLst>
            <a:ext uri="{FF2B5EF4-FFF2-40B4-BE49-F238E27FC236}">
              <a16:creationId xmlns:a16="http://schemas.microsoft.com/office/drawing/2014/main" id="{00000000-0008-0000-0900-0000B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5" name="Oval 165">
          <a:extLst>
            <a:ext uri="{FF2B5EF4-FFF2-40B4-BE49-F238E27FC236}">
              <a16:creationId xmlns:a16="http://schemas.microsoft.com/office/drawing/2014/main" id="{00000000-0008-0000-0900-0000B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26" name="AutoShape 166">
          <a:extLst>
            <a:ext uri="{FF2B5EF4-FFF2-40B4-BE49-F238E27FC236}">
              <a16:creationId xmlns:a16="http://schemas.microsoft.com/office/drawing/2014/main" id="{00000000-0008-0000-0900-0000B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27" name="Rectangle 167">
          <a:extLst>
            <a:ext uri="{FF2B5EF4-FFF2-40B4-BE49-F238E27FC236}">
              <a16:creationId xmlns:a16="http://schemas.microsoft.com/office/drawing/2014/main" id="{00000000-0008-0000-0900-0000B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8" name="Oval 168">
          <a:extLst>
            <a:ext uri="{FF2B5EF4-FFF2-40B4-BE49-F238E27FC236}">
              <a16:creationId xmlns:a16="http://schemas.microsoft.com/office/drawing/2014/main" id="{00000000-0008-0000-0900-0000B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29" name="Oval 169">
          <a:extLst>
            <a:ext uri="{FF2B5EF4-FFF2-40B4-BE49-F238E27FC236}">
              <a16:creationId xmlns:a16="http://schemas.microsoft.com/office/drawing/2014/main" id="{00000000-0008-0000-0900-0000B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0" name="Oval 170">
          <a:extLst>
            <a:ext uri="{FF2B5EF4-FFF2-40B4-BE49-F238E27FC236}">
              <a16:creationId xmlns:a16="http://schemas.microsoft.com/office/drawing/2014/main" id="{00000000-0008-0000-0900-0000B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1" name="Oval 171">
          <a:extLst>
            <a:ext uri="{FF2B5EF4-FFF2-40B4-BE49-F238E27FC236}">
              <a16:creationId xmlns:a16="http://schemas.microsoft.com/office/drawing/2014/main" id="{00000000-0008-0000-0900-0000B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32" name="AutoShape 172">
          <a:extLst>
            <a:ext uri="{FF2B5EF4-FFF2-40B4-BE49-F238E27FC236}">
              <a16:creationId xmlns:a16="http://schemas.microsoft.com/office/drawing/2014/main" id="{00000000-0008-0000-0900-0000B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33" name="Rectangle 173">
          <a:extLst>
            <a:ext uri="{FF2B5EF4-FFF2-40B4-BE49-F238E27FC236}">
              <a16:creationId xmlns:a16="http://schemas.microsoft.com/office/drawing/2014/main" id="{00000000-0008-0000-0900-0000B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4" name="Oval 174">
          <a:extLst>
            <a:ext uri="{FF2B5EF4-FFF2-40B4-BE49-F238E27FC236}">
              <a16:creationId xmlns:a16="http://schemas.microsoft.com/office/drawing/2014/main" id="{00000000-0008-0000-0900-0000B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5" name="Oval 175">
          <a:extLst>
            <a:ext uri="{FF2B5EF4-FFF2-40B4-BE49-F238E27FC236}">
              <a16:creationId xmlns:a16="http://schemas.microsoft.com/office/drawing/2014/main" id="{00000000-0008-0000-0900-0000B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6" name="Oval 176">
          <a:extLst>
            <a:ext uri="{FF2B5EF4-FFF2-40B4-BE49-F238E27FC236}">
              <a16:creationId xmlns:a16="http://schemas.microsoft.com/office/drawing/2014/main" id="{00000000-0008-0000-0900-0000C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37" name="Oval 177">
          <a:extLst>
            <a:ext uri="{FF2B5EF4-FFF2-40B4-BE49-F238E27FC236}">
              <a16:creationId xmlns:a16="http://schemas.microsoft.com/office/drawing/2014/main" id="{00000000-0008-0000-0900-0000C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38" name="AutoShape 178">
          <a:extLst>
            <a:ext uri="{FF2B5EF4-FFF2-40B4-BE49-F238E27FC236}">
              <a16:creationId xmlns:a16="http://schemas.microsoft.com/office/drawing/2014/main" id="{00000000-0008-0000-0900-0000C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39" name="Rectangle 179">
          <a:extLst>
            <a:ext uri="{FF2B5EF4-FFF2-40B4-BE49-F238E27FC236}">
              <a16:creationId xmlns:a16="http://schemas.microsoft.com/office/drawing/2014/main" id="{00000000-0008-0000-0900-0000C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0" name="Oval 180">
          <a:extLst>
            <a:ext uri="{FF2B5EF4-FFF2-40B4-BE49-F238E27FC236}">
              <a16:creationId xmlns:a16="http://schemas.microsoft.com/office/drawing/2014/main" id="{00000000-0008-0000-0900-0000C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1" name="Oval 181">
          <a:extLst>
            <a:ext uri="{FF2B5EF4-FFF2-40B4-BE49-F238E27FC236}">
              <a16:creationId xmlns:a16="http://schemas.microsoft.com/office/drawing/2014/main" id="{00000000-0008-0000-0900-0000C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2" name="Oval 182">
          <a:extLst>
            <a:ext uri="{FF2B5EF4-FFF2-40B4-BE49-F238E27FC236}">
              <a16:creationId xmlns:a16="http://schemas.microsoft.com/office/drawing/2014/main" id="{00000000-0008-0000-0900-0000C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3" name="Oval 183">
          <a:extLst>
            <a:ext uri="{FF2B5EF4-FFF2-40B4-BE49-F238E27FC236}">
              <a16:creationId xmlns:a16="http://schemas.microsoft.com/office/drawing/2014/main" id="{00000000-0008-0000-0900-0000C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44" name="AutoShape 184">
          <a:extLst>
            <a:ext uri="{FF2B5EF4-FFF2-40B4-BE49-F238E27FC236}">
              <a16:creationId xmlns:a16="http://schemas.microsoft.com/office/drawing/2014/main" id="{00000000-0008-0000-0900-0000C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45" name="Rectangle 185">
          <a:extLst>
            <a:ext uri="{FF2B5EF4-FFF2-40B4-BE49-F238E27FC236}">
              <a16:creationId xmlns:a16="http://schemas.microsoft.com/office/drawing/2014/main" id="{00000000-0008-0000-0900-0000C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6" name="Oval 186">
          <a:extLst>
            <a:ext uri="{FF2B5EF4-FFF2-40B4-BE49-F238E27FC236}">
              <a16:creationId xmlns:a16="http://schemas.microsoft.com/office/drawing/2014/main" id="{00000000-0008-0000-0900-0000C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7" name="Oval 187">
          <a:extLst>
            <a:ext uri="{FF2B5EF4-FFF2-40B4-BE49-F238E27FC236}">
              <a16:creationId xmlns:a16="http://schemas.microsoft.com/office/drawing/2014/main" id="{00000000-0008-0000-0900-0000C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8" name="Oval 188">
          <a:extLst>
            <a:ext uri="{FF2B5EF4-FFF2-40B4-BE49-F238E27FC236}">
              <a16:creationId xmlns:a16="http://schemas.microsoft.com/office/drawing/2014/main" id="{00000000-0008-0000-0900-0000C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49" name="Oval 189">
          <a:extLst>
            <a:ext uri="{FF2B5EF4-FFF2-40B4-BE49-F238E27FC236}">
              <a16:creationId xmlns:a16="http://schemas.microsoft.com/office/drawing/2014/main" id="{00000000-0008-0000-0900-0000C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50" name="AutoShape 190">
          <a:extLst>
            <a:ext uri="{FF2B5EF4-FFF2-40B4-BE49-F238E27FC236}">
              <a16:creationId xmlns:a16="http://schemas.microsoft.com/office/drawing/2014/main" id="{00000000-0008-0000-0900-0000C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51" name="Rectangle 191">
          <a:extLst>
            <a:ext uri="{FF2B5EF4-FFF2-40B4-BE49-F238E27FC236}">
              <a16:creationId xmlns:a16="http://schemas.microsoft.com/office/drawing/2014/main" id="{00000000-0008-0000-0900-0000C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2" name="Oval 192">
          <a:extLst>
            <a:ext uri="{FF2B5EF4-FFF2-40B4-BE49-F238E27FC236}">
              <a16:creationId xmlns:a16="http://schemas.microsoft.com/office/drawing/2014/main" id="{00000000-0008-0000-0900-0000D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3" name="Oval 193">
          <a:extLst>
            <a:ext uri="{FF2B5EF4-FFF2-40B4-BE49-F238E27FC236}">
              <a16:creationId xmlns:a16="http://schemas.microsoft.com/office/drawing/2014/main" id="{00000000-0008-0000-0900-0000D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4" name="Oval 194">
          <a:extLst>
            <a:ext uri="{FF2B5EF4-FFF2-40B4-BE49-F238E27FC236}">
              <a16:creationId xmlns:a16="http://schemas.microsoft.com/office/drawing/2014/main" id="{00000000-0008-0000-0900-0000D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5" name="Oval 195">
          <a:extLst>
            <a:ext uri="{FF2B5EF4-FFF2-40B4-BE49-F238E27FC236}">
              <a16:creationId xmlns:a16="http://schemas.microsoft.com/office/drawing/2014/main" id="{00000000-0008-0000-0900-0000D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56" name="AutoShape 196">
          <a:extLst>
            <a:ext uri="{FF2B5EF4-FFF2-40B4-BE49-F238E27FC236}">
              <a16:creationId xmlns:a16="http://schemas.microsoft.com/office/drawing/2014/main" id="{00000000-0008-0000-0900-0000D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57" name="Rectangle 197">
          <a:extLst>
            <a:ext uri="{FF2B5EF4-FFF2-40B4-BE49-F238E27FC236}">
              <a16:creationId xmlns:a16="http://schemas.microsoft.com/office/drawing/2014/main" id="{00000000-0008-0000-0900-0000D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8" name="Oval 198">
          <a:extLst>
            <a:ext uri="{FF2B5EF4-FFF2-40B4-BE49-F238E27FC236}">
              <a16:creationId xmlns:a16="http://schemas.microsoft.com/office/drawing/2014/main" id="{00000000-0008-0000-0900-0000D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59" name="Oval 199">
          <a:extLst>
            <a:ext uri="{FF2B5EF4-FFF2-40B4-BE49-F238E27FC236}">
              <a16:creationId xmlns:a16="http://schemas.microsoft.com/office/drawing/2014/main" id="{00000000-0008-0000-0900-0000D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0" name="Oval 200">
          <a:extLst>
            <a:ext uri="{FF2B5EF4-FFF2-40B4-BE49-F238E27FC236}">
              <a16:creationId xmlns:a16="http://schemas.microsoft.com/office/drawing/2014/main" id="{00000000-0008-0000-0900-0000D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1" name="Oval 201">
          <a:extLst>
            <a:ext uri="{FF2B5EF4-FFF2-40B4-BE49-F238E27FC236}">
              <a16:creationId xmlns:a16="http://schemas.microsoft.com/office/drawing/2014/main" id="{00000000-0008-0000-0900-0000D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62" name="AutoShape 202">
          <a:extLst>
            <a:ext uri="{FF2B5EF4-FFF2-40B4-BE49-F238E27FC236}">
              <a16:creationId xmlns:a16="http://schemas.microsoft.com/office/drawing/2014/main" id="{00000000-0008-0000-0900-0000D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63" name="Rectangle 203">
          <a:extLst>
            <a:ext uri="{FF2B5EF4-FFF2-40B4-BE49-F238E27FC236}">
              <a16:creationId xmlns:a16="http://schemas.microsoft.com/office/drawing/2014/main" id="{00000000-0008-0000-0900-0000D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4" name="Oval 204">
          <a:extLst>
            <a:ext uri="{FF2B5EF4-FFF2-40B4-BE49-F238E27FC236}">
              <a16:creationId xmlns:a16="http://schemas.microsoft.com/office/drawing/2014/main" id="{00000000-0008-0000-0900-0000D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5" name="Oval 205">
          <a:extLst>
            <a:ext uri="{FF2B5EF4-FFF2-40B4-BE49-F238E27FC236}">
              <a16:creationId xmlns:a16="http://schemas.microsoft.com/office/drawing/2014/main" id="{00000000-0008-0000-0900-0000D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6" name="Oval 206">
          <a:extLst>
            <a:ext uri="{FF2B5EF4-FFF2-40B4-BE49-F238E27FC236}">
              <a16:creationId xmlns:a16="http://schemas.microsoft.com/office/drawing/2014/main" id="{00000000-0008-0000-0900-0000D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67" name="Oval 207">
          <a:extLst>
            <a:ext uri="{FF2B5EF4-FFF2-40B4-BE49-F238E27FC236}">
              <a16:creationId xmlns:a16="http://schemas.microsoft.com/office/drawing/2014/main" id="{00000000-0008-0000-0900-0000D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68" name="AutoShape 208">
          <a:extLst>
            <a:ext uri="{FF2B5EF4-FFF2-40B4-BE49-F238E27FC236}">
              <a16:creationId xmlns:a16="http://schemas.microsoft.com/office/drawing/2014/main" id="{00000000-0008-0000-0900-0000E0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69" name="Rectangle 209">
          <a:extLst>
            <a:ext uri="{FF2B5EF4-FFF2-40B4-BE49-F238E27FC236}">
              <a16:creationId xmlns:a16="http://schemas.microsoft.com/office/drawing/2014/main" id="{00000000-0008-0000-0900-0000E1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0" name="Oval 210">
          <a:extLst>
            <a:ext uri="{FF2B5EF4-FFF2-40B4-BE49-F238E27FC236}">
              <a16:creationId xmlns:a16="http://schemas.microsoft.com/office/drawing/2014/main" id="{00000000-0008-0000-0900-0000E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1" name="Oval 211">
          <a:extLst>
            <a:ext uri="{FF2B5EF4-FFF2-40B4-BE49-F238E27FC236}">
              <a16:creationId xmlns:a16="http://schemas.microsoft.com/office/drawing/2014/main" id="{00000000-0008-0000-0900-0000E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2" name="Oval 212">
          <a:extLst>
            <a:ext uri="{FF2B5EF4-FFF2-40B4-BE49-F238E27FC236}">
              <a16:creationId xmlns:a16="http://schemas.microsoft.com/office/drawing/2014/main" id="{00000000-0008-0000-0900-0000E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3" name="Oval 213">
          <a:extLst>
            <a:ext uri="{FF2B5EF4-FFF2-40B4-BE49-F238E27FC236}">
              <a16:creationId xmlns:a16="http://schemas.microsoft.com/office/drawing/2014/main" id="{00000000-0008-0000-0900-0000E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74" name="AutoShape 214">
          <a:extLst>
            <a:ext uri="{FF2B5EF4-FFF2-40B4-BE49-F238E27FC236}">
              <a16:creationId xmlns:a16="http://schemas.microsoft.com/office/drawing/2014/main" id="{00000000-0008-0000-0900-0000E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75" name="Rectangle 215">
          <a:extLst>
            <a:ext uri="{FF2B5EF4-FFF2-40B4-BE49-F238E27FC236}">
              <a16:creationId xmlns:a16="http://schemas.microsoft.com/office/drawing/2014/main" id="{00000000-0008-0000-0900-0000E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6" name="Oval 216">
          <a:extLst>
            <a:ext uri="{FF2B5EF4-FFF2-40B4-BE49-F238E27FC236}">
              <a16:creationId xmlns:a16="http://schemas.microsoft.com/office/drawing/2014/main" id="{00000000-0008-0000-0900-0000E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7" name="Oval 217">
          <a:extLst>
            <a:ext uri="{FF2B5EF4-FFF2-40B4-BE49-F238E27FC236}">
              <a16:creationId xmlns:a16="http://schemas.microsoft.com/office/drawing/2014/main" id="{00000000-0008-0000-0900-0000E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8" name="Oval 218">
          <a:extLst>
            <a:ext uri="{FF2B5EF4-FFF2-40B4-BE49-F238E27FC236}">
              <a16:creationId xmlns:a16="http://schemas.microsoft.com/office/drawing/2014/main" id="{00000000-0008-0000-0900-0000E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79" name="Oval 219">
          <a:extLst>
            <a:ext uri="{FF2B5EF4-FFF2-40B4-BE49-F238E27FC236}">
              <a16:creationId xmlns:a16="http://schemas.microsoft.com/office/drawing/2014/main" id="{00000000-0008-0000-0900-0000E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80" name="AutoShape 220">
          <a:extLst>
            <a:ext uri="{FF2B5EF4-FFF2-40B4-BE49-F238E27FC236}">
              <a16:creationId xmlns:a16="http://schemas.microsoft.com/office/drawing/2014/main" id="{00000000-0008-0000-0900-0000E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81" name="Rectangle 221">
          <a:extLst>
            <a:ext uri="{FF2B5EF4-FFF2-40B4-BE49-F238E27FC236}">
              <a16:creationId xmlns:a16="http://schemas.microsoft.com/office/drawing/2014/main" id="{00000000-0008-0000-0900-0000E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2" name="Oval 222">
          <a:extLst>
            <a:ext uri="{FF2B5EF4-FFF2-40B4-BE49-F238E27FC236}">
              <a16:creationId xmlns:a16="http://schemas.microsoft.com/office/drawing/2014/main" id="{00000000-0008-0000-0900-0000E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3" name="Oval 223">
          <a:extLst>
            <a:ext uri="{FF2B5EF4-FFF2-40B4-BE49-F238E27FC236}">
              <a16:creationId xmlns:a16="http://schemas.microsoft.com/office/drawing/2014/main" id="{00000000-0008-0000-0900-0000E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4" name="Oval 224">
          <a:extLst>
            <a:ext uri="{FF2B5EF4-FFF2-40B4-BE49-F238E27FC236}">
              <a16:creationId xmlns:a16="http://schemas.microsoft.com/office/drawing/2014/main" id="{00000000-0008-0000-0900-0000F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5" name="Oval 225">
          <a:extLst>
            <a:ext uri="{FF2B5EF4-FFF2-40B4-BE49-F238E27FC236}">
              <a16:creationId xmlns:a16="http://schemas.microsoft.com/office/drawing/2014/main" id="{00000000-0008-0000-0900-0000F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86" name="AutoShape 226">
          <a:extLst>
            <a:ext uri="{FF2B5EF4-FFF2-40B4-BE49-F238E27FC236}">
              <a16:creationId xmlns:a16="http://schemas.microsoft.com/office/drawing/2014/main" id="{00000000-0008-0000-0900-0000F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87" name="Rectangle 227">
          <a:extLst>
            <a:ext uri="{FF2B5EF4-FFF2-40B4-BE49-F238E27FC236}">
              <a16:creationId xmlns:a16="http://schemas.microsoft.com/office/drawing/2014/main" id="{00000000-0008-0000-0900-0000F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8" name="Oval 228">
          <a:extLst>
            <a:ext uri="{FF2B5EF4-FFF2-40B4-BE49-F238E27FC236}">
              <a16:creationId xmlns:a16="http://schemas.microsoft.com/office/drawing/2014/main" id="{00000000-0008-0000-0900-0000F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89" name="Oval 229">
          <a:extLst>
            <a:ext uri="{FF2B5EF4-FFF2-40B4-BE49-F238E27FC236}">
              <a16:creationId xmlns:a16="http://schemas.microsoft.com/office/drawing/2014/main" id="{00000000-0008-0000-0900-0000F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0" name="Oval 230">
          <a:extLst>
            <a:ext uri="{FF2B5EF4-FFF2-40B4-BE49-F238E27FC236}">
              <a16:creationId xmlns:a16="http://schemas.microsoft.com/office/drawing/2014/main" id="{00000000-0008-0000-0900-0000F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1" name="Oval 231">
          <a:extLst>
            <a:ext uri="{FF2B5EF4-FFF2-40B4-BE49-F238E27FC236}">
              <a16:creationId xmlns:a16="http://schemas.microsoft.com/office/drawing/2014/main" id="{00000000-0008-0000-0900-0000F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92" name="AutoShape 232">
          <a:extLst>
            <a:ext uri="{FF2B5EF4-FFF2-40B4-BE49-F238E27FC236}">
              <a16:creationId xmlns:a16="http://schemas.microsoft.com/office/drawing/2014/main" id="{00000000-0008-0000-0900-0000F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93" name="Rectangle 233">
          <a:extLst>
            <a:ext uri="{FF2B5EF4-FFF2-40B4-BE49-F238E27FC236}">
              <a16:creationId xmlns:a16="http://schemas.microsoft.com/office/drawing/2014/main" id="{00000000-0008-0000-0900-0000F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4" name="Oval 234">
          <a:extLst>
            <a:ext uri="{FF2B5EF4-FFF2-40B4-BE49-F238E27FC236}">
              <a16:creationId xmlns:a16="http://schemas.microsoft.com/office/drawing/2014/main" id="{00000000-0008-0000-0900-0000F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5" name="Oval 235">
          <a:extLst>
            <a:ext uri="{FF2B5EF4-FFF2-40B4-BE49-F238E27FC236}">
              <a16:creationId xmlns:a16="http://schemas.microsoft.com/office/drawing/2014/main" id="{00000000-0008-0000-0900-0000F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6" name="Oval 236">
          <a:extLst>
            <a:ext uri="{FF2B5EF4-FFF2-40B4-BE49-F238E27FC236}">
              <a16:creationId xmlns:a16="http://schemas.microsoft.com/office/drawing/2014/main" id="{00000000-0008-0000-0900-0000F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597" name="Oval 237">
          <a:extLst>
            <a:ext uri="{FF2B5EF4-FFF2-40B4-BE49-F238E27FC236}">
              <a16:creationId xmlns:a16="http://schemas.microsoft.com/office/drawing/2014/main" id="{00000000-0008-0000-0900-0000F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598" name="AutoShape 238">
          <a:extLst>
            <a:ext uri="{FF2B5EF4-FFF2-40B4-BE49-F238E27FC236}">
              <a16:creationId xmlns:a16="http://schemas.microsoft.com/office/drawing/2014/main" id="{00000000-0008-0000-0900-0000F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599" name="Rectangle 239">
          <a:extLst>
            <a:ext uri="{FF2B5EF4-FFF2-40B4-BE49-F238E27FC236}">
              <a16:creationId xmlns:a16="http://schemas.microsoft.com/office/drawing/2014/main" id="{00000000-0008-0000-0900-0000F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0" name="Oval 240">
          <a:extLst>
            <a:ext uri="{FF2B5EF4-FFF2-40B4-BE49-F238E27FC236}">
              <a16:creationId xmlns:a16="http://schemas.microsoft.com/office/drawing/2014/main" id="{00000000-0008-0000-0900-000000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1" name="Oval 241">
          <a:extLst>
            <a:ext uri="{FF2B5EF4-FFF2-40B4-BE49-F238E27FC236}">
              <a16:creationId xmlns:a16="http://schemas.microsoft.com/office/drawing/2014/main" id="{00000000-0008-0000-0900-000001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2" name="Oval 242">
          <a:extLst>
            <a:ext uri="{FF2B5EF4-FFF2-40B4-BE49-F238E27FC236}">
              <a16:creationId xmlns:a16="http://schemas.microsoft.com/office/drawing/2014/main" id="{00000000-0008-0000-0900-000002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3" name="Oval 243">
          <a:extLst>
            <a:ext uri="{FF2B5EF4-FFF2-40B4-BE49-F238E27FC236}">
              <a16:creationId xmlns:a16="http://schemas.microsoft.com/office/drawing/2014/main" id="{00000000-0008-0000-0900-00000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604" name="AutoShape 244">
          <a:extLst>
            <a:ext uri="{FF2B5EF4-FFF2-40B4-BE49-F238E27FC236}">
              <a16:creationId xmlns:a16="http://schemas.microsoft.com/office/drawing/2014/main" id="{00000000-0008-0000-0900-000004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05" name="Rectangle 245">
          <a:extLst>
            <a:ext uri="{FF2B5EF4-FFF2-40B4-BE49-F238E27FC236}">
              <a16:creationId xmlns:a16="http://schemas.microsoft.com/office/drawing/2014/main" id="{00000000-0008-0000-0900-000005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6" name="Oval 246">
          <a:extLst>
            <a:ext uri="{FF2B5EF4-FFF2-40B4-BE49-F238E27FC236}">
              <a16:creationId xmlns:a16="http://schemas.microsoft.com/office/drawing/2014/main" id="{00000000-0008-0000-0900-000006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7" name="Oval 247">
          <a:extLst>
            <a:ext uri="{FF2B5EF4-FFF2-40B4-BE49-F238E27FC236}">
              <a16:creationId xmlns:a16="http://schemas.microsoft.com/office/drawing/2014/main" id="{00000000-0008-0000-0900-000007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8" name="Oval 248">
          <a:extLst>
            <a:ext uri="{FF2B5EF4-FFF2-40B4-BE49-F238E27FC236}">
              <a16:creationId xmlns:a16="http://schemas.microsoft.com/office/drawing/2014/main" id="{00000000-0008-0000-0900-00000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09" name="Oval 249">
          <a:extLst>
            <a:ext uri="{FF2B5EF4-FFF2-40B4-BE49-F238E27FC236}">
              <a16:creationId xmlns:a16="http://schemas.microsoft.com/office/drawing/2014/main" id="{00000000-0008-0000-0900-00000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610" name="AutoShape 250">
          <a:extLst>
            <a:ext uri="{FF2B5EF4-FFF2-40B4-BE49-F238E27FC236}">
              <a16:creationId xmlns:a16="http://schemas.microsoft.com/office/drawing/2014/main" id="{00000000-0008-0000-0900-00000A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11" name="Rectangle 251">
          <a:extLst>
            <a:ext uri="{FF2B5EF4-FFF2-40B4-BE49-F238E27FC236}">
              <a16:creationId xmlns:a16="http://schemas.microsoft.com/office/drawing/2014/main" id="{00000000-0008-0000-0900-00000B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2" name="Oval 252">
          <a:extLst>
            <a:ext uri="{FF2B5EF4-FFF2-40B4-BE49-F238E27FC236}">
              <a16:creationId xmlns:a16="http://schemas.microsoft.com/office/drawing/2014/main" id="{00000000-0008-0000-0900-00000C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3" name="Oval 253">
          <a:extLst>
            <a:ext uri="{FF2B5EF4-FFF2-40B4-BE49-F238E27FC236}">
              <a16:creationId xmlns:a16="http://schemas.microsoft.com/office/drawing/2014/main" id="{00000000-0008-0000-0900-00000D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4" name="Oval 254">
          <a:extLst>
            <a:ext uri="{FF2B5EF4-FFF2-40B4-BE49-F238E27FC236}">
              <a16:creationId xmlns:a16="http://schemas.microsoft.com/office/drawing/2014/main" id="{00000000-0008-0000-0900-00000E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5" name="Oval 255">
          <a:extLst>
            <a:ext uri="{FF2B5EF4-FFF2-40B4-BE49-F238E27FC236}">
              <a16:creationId xmlns:a16="http://schemas.microsoft.com/office/drawing/2014/main" id="{00000000-0008-0000-0900-00000F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616" name="AutoShape 256">
          <a:extLst>
            <a:ext uri="{FF2B5EF4-FFF2-40B4-BE49-F238E27FC236}">
              <a16:creationId xmlns:a16="http://schemas.microsoft.com/office/drawing/2014/main" id="{00000000-0008-0000-0900-000010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17" name="Rectangle 257">
          <a:extLst>
            <a:ext uri="{FF2B5EF4-FFF2-40B4-BE49-F238E27FC236}">
              <a16:creationId xmlns:a16="http://schemas.microsoft.com/office/drawing/2014/main" id="{00000000-0008-0000-0900-000011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8" name="Oval 258">
          <a:extLst>
            <a:ext uri="{FF2B5EF4-FFF2-40B4-BE49-F238E27FC236}">
              <a16:creationId xmlns:a16="http://schemas.microsoft.com/office/drawing/2014/main" id="{00000000-0008-0000-0900-000012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19" name="Oval 259">
          <a:extLst>
            <a:ext uri="{FF2B5EF4-FFF2-40B4-BE49-F238E27FC236}">
              <a16:creationId xmlns:a16="http://schemas.microsoft.com/office/drawing/2014/main" id="{00000000-0008-0000-0900-00001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0" name="Oval 260">
          <a:extLst>
            <a:ext uri="{FF2B5EF4-FFF2-40B4-BE49-F238E27FC236}">
              <a16:creationId xmlns:a16="http://schemas.microsoft.com/office/drawing/2014/main" id="{00000000-0008-0000-0900-000014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1" name="Oval 261">
          <a:extLst>
            <a:ext uri="{FF2B5EF4-FFF2-40B4-BE49-F238E27FC236}">
              <a16:creationId xmlns:a16="http://schemas.microsoft.com/office/drawing/2014/main" id="{00000000-0008-0000-0900-000015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622" name="AutoShape 262">
          <a:extLst>
            <a:ext uri="{FF2B5EF4-FFF2-40B4-BE49-F238E27FC236}">
              <a16:creationId xmlns:a16="http://schemas.microsoft.com/office/drawing/2014/main" id="{00000000-0008-0000-0900-000016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23" name="Rectangle 263">
          <a:extLst>
            <a:ext uri="{FF2B5EF4-FFF2-40B4-BE49-F238E27FC236}">
              <a16:creationId xmlns:a16="http://schemas.microsoft.com/office/drawing/2014/main" id="{00000000-0008-0000-0900-000017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4" name="Oval 264">
          <a:extLst>
            <a:ext uri="{FF2B5EF4-FFF2-40B4-BE49-F238E27FC236}">
              <a16:creationId xmlns:a16="http://schemas.microsoft.com/office/drawing/2014/main" id="{00000000-0008-0000-0900-00001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5" name="Oval 265">
          <a:extLst>
            <a:ext uri="{FF2B5EF4-FFF2-40B4-BE49-F238E27FC236}">
              <a16:creationId xmlns:a16="http://schemas.microsoft.com/office/drawing/2014/main" id="{00000000-0008-0000-0900-00001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6" name="Oval 266">
          <a:extLst>
            <a:ext uri="{FF2B5EF4-FFF2-40B4-BE49-F238E27FC236}">
              <a16:creationId xmlns:a16="http://schemas.microsoft.com/office/drawing/2014/main" id="{00000000-0008-0000-0900-00001A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27" name="Oval 267">
          <a:extLst>
            <a:ext uri="{FF2B5EF4-FFF2-40B4-BE49-F238E27FC236}">
              <a16:creationId xmlns:a16="http://schemas.microsoft.com/office/drawing/2014/main" id="{00000000-0008-0000-0900-00001B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5628" name="AutoShape 268">
          <a:extLst>
            <a:ext uri="{FF2B5EF4-FFF2-40B4-BE49-F238E27FC236}">
              <a16:creationId xmlns:a16="http://schemas.microsoft.com/office/drawing/2014/main" id="{00000000-0008-0000-0900-00001C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29" name="Rectangle 269">
          <a:extLst>
            <a:ext uri="{FF2B5EF4-FFF2-40B4-BE49-F238E27FC236}">
              <a16:creationId xmlns:a16="http://schemas.microsoft.com/office/drawing/2014/main" id="{00000000-0008-0000-0900-00001D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0" name="Oval 270">
          <a:extLst>
            <a:ext uri="{FF2B5EF4-FFF2-40B4-BE49-F238E27FC236}">
              <a16:creationId xmlns:a16="http://schemas.microsoft.com/office/drawing/2014/main" id="{00000000-0008-0000-0900-00001E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1" name="Oval 271">
          <a:extLst>
            <a:ext uri="{FF2B5EF4-FFF2-40B4-BE49-F238E27FC236}">
              <a16:creationId xmlns:a16="http://schemas.microsoft.com/office/drawing/2014/main" id="{00000000-0008-0000-0900-00001F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2" name="Oval 272">
          <a:extLst>
            <a:ext uri="{FF2B5EF4-FFF2-40B4-BE49-F238E27FC236}">
              <a16:creationId xmlns:a16="http://schemas.microsoft.com/office/drawing/2014/main" id="{00000000-0008-0000-0900-000020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3" name="Oval 273">
          <a:extLst>
            <a:ext uri="{FF2B5EF4-FFF2-40B4-BE49-F238E27FC236}">
              <a16:creationId xmlns:a16="http://schemas.microsoft.com/office/drawing/2014/main" id="{00000000-0008-0000-0900-000021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34" name="Rectangle 274">
          <a:extLst>
            <a:ext uri="{FF2B5EF4-FFF2-40B4-BE49-F238E27FC236}">
              <a16:creationId xmlns:a16="http://schemas.microsoft.com/office/drawing/2014/main" id="{00000000-0008-0000-0900-000022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5" name="Oval 275">
          <a:extLst>
            <a:ext uri="{FF2B5EF4-FFF2-40B4-BE49-F238E27FC236}">
              <a16:creationId xmlns:a16="http://schemas.microsoft.com/office/drawing/2014/main" id="{00000000-0008-0000-0900-00002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6" name="Oval 276">
          <a:extLst>
            <a:ext uri="{FF2B5EF4-FFF2-40B4-BE49-F238E27FC236}">
              <a16:creationId xmlns:a16="http://schemas.microsoft.com/office/drawing/2014/main" id="{00000000-0008-0000-0900-000024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7" name="Oval 277">
          <a:extLst>
            <a:ext uri="{FF2B5EF4-FFF2-40B4-BE49-F238E27FC236}">
              <a16:creationId xmlns:a16="http://schemas.microsoft.com/office/drawing/2014/main" id="{00000000-0008-0000-0900-000025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38" name="Oval 278">
          <a:extLst>
            <a:ext uri="{FF2B5EF4-FFF2-40B4-BE49-F238E27FC236}">
              <a16:creationId xmlns:a16="http://schemas.microsoft.com/office/drawing/2014/main" id="{00000000-0008-0000-0900-000026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5639" name="Rectangle 279">
          <a:extLst>
            <a:ext uri="{FF2B5EF4-FFF2-40B4-BE49-F238E27FC236}">
              <a16:creationId xmlns:a16="http://schemas.microsoft.com/office/drawing/2014/main" id="{00000000-0008-0000-0900-000027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40" name="Oval 280">
          <a:extLst>
            <a:ext uri="{FF2B5EF4-FFF2-40B4-BE49-F238E27FC236}">
              <a16:creationId xmlns:a16="http://schemas.microsoft.com/office/drawing/2014/main" id="{00000000-0008-0000-0900-00002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41" name="Oval 281">
          <a:extLst>
            <a:ext uri="{FF2B5EF4-FFF2-40B4-BE49-F238E27FC236}">
              <a16:creationId xmlns:a16="http://schemas.microsoft.com/office/drawing/2014/main" id="{00000000-0008-0000-0900-00002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42" name="Oval 282">
          <a:extLst>
            <a:ext uri="{FF2B5EF4-FFF2-40B4-BE49-F238E27FC236}">
              <a16:creationId xmlns:a16="http://schemas.microsoft.com/office/drawing/2014/main" id="{00000000-0008-0000-0900-00002A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5643" name="Oval 283">
          <a:extLst>
            <a:ext uri="{FF2B5EF4-FFF2-40B4-BE49-F238E27FC236}">
              <a16:creationId xmlns:a16="http://schemas.microsoft.com/office/drawing/2014/main" id="{00000000-0008-0000-0900-00002B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5644" name="Rectangle 285">
          <a:extLst>
            <a:ext uri="{FF2B5EF4-FFF2-40B4-BE49-F238E27FC236}">
              <a16:creationId xmlns:a16="http://schemas.microsoft.com/office/drawing/2014/main" id="{00000000-0008-0000-0900-00002C46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5645" name="Rectangle 287">
          <a:extLst>
            <a:ext uri="{FF2B5EF4-FFF2-40B4-BE49-F238E27FC236}">
              <a16:creationId xmlns:a16="http://schemas.microsoft.com/office/drawing/2014/main" id="{00000000-0008-0000-0900-00002D46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5646" name="Rectangle 289">
          <a:extLst>
            <a:ext uri="{FF2B5EF4-FFF2-40B4-BE49-F238E27FC236}">
              <a16:creationId xmlns:a16="http://schemas.microsoft.com/office/drawing/2014/main" id="{00000000-0008-0000-0900-00002E46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5647" name="Rectangle 291">
          <a:extLst>
            <a:ext uri="{FF2B5EF4-FFF2-40B4-BE49-F238E27FC236}">
              <a16:creationId xmlns:a16="http://schemas.microsoft.com/office/drawing/2014/main" id="{00000000-0008-0000-0900-00002F46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5648" name="Rectangle 293">
          <a:extLst>
            <a:ext uri="{FF2B5EF4-FFF2-40B4-BE49-F238E27FC236}">
              <a16:creationId xmlns:a16="http://schemas.microsoft.com/office/drawing/2014/main" id="{00000000-0008-0000-0900-00003046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5649" name="Rectangle 295">
          <a:extLst>
            <a:ext uri="{FF2B5EF4-FFF2-40B4-BE49-F238E27FC236}">
              <a16:creationId xmlns:a16="http://schemas.microsoft.com/office/drawing/2014/main" id="{00000000-0008-0000-0900-000031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5650" name="Rectangle 297">
          <a:extLst>
            <a:ext uri="{FF2B5EF4-FFF2-40B4-BE49-F238E27FC236}">
              <a16:creationId xmlns:a16="http://schemas.microsoft.com/office/drawing/2014/main" id="{00000000-0008-0000-0900-000032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5651" name="Rectangle 299">
          <a:extLst>
            <a:ext uri="{FF2B5EF4-FFF2-40B4-BE49-F238E27FC236}">
              <a16:creationId xmlns:a16="http://schemas.microsoft.com/office/drawing/2014/main" id="{00000000-0008-0000-0900-000033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5652" name="Rectangle 301">
          <a:extLst>
            <a:ext uri="{FF2B5EF4-FFF2-40B4-BE49-F238E27FC236}">
              <a16:creationId xmlns:a16="http://schemas.microsoft.com/office/drawing/2014/main" id="{00000000-0008-0000-0900-000034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5653" name="Rectangle 303">
          <a:extLst>
            <a:ext uri="{FF2B5EF4-FFF2-40B4-BE49-F238E27FC236}">
              <a16:creationId xmlns:a16="http://schemas.microsoft.com/office/drawing/2014/main" id="{00000000-0008-0000-0900-000035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5654" name="Rectangle 305">
          <a:extLst>
            <a:ext uri="{FF2B5EF4-FFF2-40B4-BE49-F238E27FC236}">
              <a16:creationId xmlns:a16="http://schemas.microsoft.com/office/drawing/2014/main" id="{00000000-0008-0000-0900-000036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5655" name="Rectangle 307">
          <a:extLst>
            <a:ext uri="{FF2B5EF4-FFF2-40B4-BE49-F238E27FC236}">
              <a16:creationId xmlns:a16="http://schemas.microsoft.com/office/drawing/2014/main" id="{00000000-0008-0000-0900-000037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345656" name="フリーフォーム 311">
          <a:extLst>
            <a:ext uri="{FF2B5EF4-FFF2-40B4-BE49-F238E27FC236}">
              <a16:creationId xmlns:a16="http://schemas.microsoft.com/office/drawing/2014/main" id="{00000000-0008-0000-0900-00003846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345657" name="フリーフォーム 312">
          <a:extLst>
            <a:ext uri="{FF2B5EF4-FFF2-40B4-BE49-F238E27FC236}">
              <a16:creationId xmlns:a16="http://schemas.microsoft.com/office/drawing/2014/main" id="{00000000-0008-0000-0900-00003946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345658" name="フリーフォーム 313">
          <a:extLst>
            <a:ext uri="{FF2B5EF4-FFF2-40B4-BE49-F238E27FC236}">
              <a16:creationId xmlns:a16="http://schemas.microsoft.com/office/drawing/2014/main" id="{00000000-0008-0000-0900-00003A46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345659" name="フリーフォーム 314">
          <a:extLst>
            <a:ext uri="{FF2B5EF4-FFF2-40B4-BE49-F238E27FC236}">
              <a16:creationId xmlns:a16="http://schemas.microsoft.com/office/drawing/2014/main" id="{00000000-0008-0000-0900-00003B46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345660" name="フリーフォーム 315">
          <a:extLst>
            <a:ext uri="{FF2B5EF4-FFF2-40B4-BE49-F238E27FC236}">
              <a16:creationId xmlns:a16="http://schemas.microsoft.com/office/drawing/2014/main" id="{00000000-0008-0000-0900-00003C46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345661" name="フリーフォーム 316">
          <a:extLst>
            <a:ext uri="{FF2B5EF4-FFF2-40B4-BE49-F238E27FC236}">
              <a16:creationId xmlns:a16="http://schemas.microsoft.com/office/drawing/2014/main" id="{00000000-0008-0000-0900-00003D46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345662" name="フリーフォーム 317">
          <a:extLst>
            <a:ext uri="{FF2B5EF4-FFF2-40B4-BE49-F238E27FC236}">
              <a16:creationId xmlns:a16="http://schemas.microsoft.com/office/drawing/2014/main" id="{00000000-0008-0000-0900-00003E46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345663" name="フリーフォーム 319">
          <a:extLst>
            <a:ext uri="{FF2B5EF4-FFF2-40B4-BE49-F238E27FC236}">
              <a16:creationId xmlns:a16="http://schemas.microsoft.com/office/drawing/2014/main" id="{00000000-0008-0000-0900-00003F46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345664" name="フリーフォーム 320">
          <a:extLst>
            <a:ext uri="{FF2B5EF4-FFF2-40B4-BE49-F238E27FC236}">
              <a16:creationId xmlns:a16="http://schemas.microsoft.com/office/drawing/2014/main" id="{00000000-0008-0000-0900-00004046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45665" name="フリーフォーム 321">
          <a:extLst>
            <a:ext uri="{FF2B5EF4-FFF2-40B4-BE49-F238E27FC236}">
              <a16:creationId xmlns:a16="http://schemas.microsoft.com/office/drawing/2014/main" id="{00000000-0008-0000-0900-00004146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345666" name="フリーフォーム 322">
          <a:extLst>
            <a:ext uri="{FF2B5EF4-FFF2-40B4-BE49-F238E27FC236}">
              <a16:creationId xmlns:a16="http://schemas.microsoft.com/office/drawing/2014/main" id="{00000000-0008-0000-0900-00004246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5667" name="Rectangle 2">
          <a:extLst>
            <a:ext uri="{FF2B5EF4-FFF2-40B4-BE49-F238E27FC236}">
              <a16:creationId xmlns:a16="http://schemas.microsoft.com/office/drawing/2014/main" id="{00000000-0008-0000-0900-00004346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5668" name="Rectangle 2">
          <a:extLst>
            <a:ext uri="{FF2B5EF4-FFF2-40B4-BE49-F238E27FC236}">
              <a16:creationId xmlns:a16="http://schemas.microsoft.com/office/drawing/2014/main" id="{00000000-0008-0000-0900-00004446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5669" name="Rectangle 2">
          <a:extLst>
            <a:ext uri="{FF2B5EF4-FFF2-40B4-BE49-F238E27FC236}">
              <a16:creationId xmlns:a16="http://schemas.microsoft.com/office/drawing/2014/main" id="{00000000-0008-0000-0900-00004546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5670" name="Rectangle 2">
          <a:extLst>
            <a:ext uri="{FF2B5EF4-FFF2-40B4-BE49-F238E27FC236}">
              <a16:creationId xmlns:a16="http://schemas.microsoft.com/office/drawing/2014/main" id="{00000000-0008-0000-0900-00004646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5671" name="Rectangle 2">
          <a:extLst>
            <a:ext uri="{FF2B5EF4-FFF2-40B4-BE49-F238E27FC236}">
              <a16:creationId xmlns:a16="http://schemas.microsoft.com/office/drawing/2014/main" id="{00000000-0008-0000-0900-00004746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5672" name="Rectangle 293">
          <a:extLst>
            <a:ext uri="{FF2B5EF4-FFF2-40B4-BE49-F238E27FC236}">
              <a16:creationId xmlns:a16="http://schemas.microsoft.com/office/drawing/2014/main" id="{00000000-0008-0000-0900-000048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5673" name="Rectangle 2">
          <a:extLst>
            <a:ext uri="{FF2B5EF4-FFF2-40B4-BE49-F238E27FC236}">
              <a16:creationId xmlns:a16="http://schemas.microsoft.com/office/drawing/2014/main" id="{00000000-0008-0000-0900-000049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5674" name="Rectangle 293">
          <a:extLst>
            <a:ext uri="{FF2B5EF4-FFF2-40B4-BE49-F238E27FC236}">
              <a16:creationId xmlns:a16="http://schemas.microsoft.com/office/drawing/2014/main" id="{00000000-0008-0000-0900-00004A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5675" name="Rectangle 2">
          <a:extLst>
            <a:ext uri="{FF2B5EF4-FFF2-40B4-BE49-F238E27FC236}">
              <a16:creationId xmlns:a16="http://schemas.microsoft.com/office/drawing/2014/main" id="{00000000-0008-0000-0900-00004B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5676" name="Rectangle 293">
          <a:extLst>
            <a:ext uri="{FF2B5EF4-FFF2-40B4-BE49-F238E27FC236}">
              <a16:creationId xmlns:a16="http://schemas.microsoft.com/office/drawing/2014/main" id="{00000000-0008-0000-0900-00004C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3</xdr:col>
      <xdr:colOff>180975</xdr:colOff>
      <xdr:row>78</xdr:row>
      <xdr:rowOff>28575</xdr:rowOff>
    </xdr:to>
    <xdr:sp macro="" textlink="">
      <xdr:nvSpPr>
        <xdr:cNvPr id="345677" name="フリーフォーム 342">
          <a:extLst>
            <a:ext uri="{FF2B5EF4-FFF2-40B4-BE49-F238E27FC236}">
              <a16:creationId xmlns:a16="http://schemas.microsoft.com/office/drawing/2014/main" id="{00000000-0008-0000-0900-00004D46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5678" name="Rectangle 2">
          <a:extLst>
            <a:ext uri="{FF2B5EF4-FFF2-40B4-BE49-F238E27FC236}">
              <a16:creationId xmlns:a16="http://schemas.microsoft.com/office/drawing/2014/main" id="{00000000-0008-0000-0900-00004E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5679" name="Rectangle 293">
          <a:extLst>
            <a:ext uri="{FF2B5EF4-FFF2-40B4-BE49-F238E27FC236}">
              <a16:creationId xmlns:a16="http://schemas.microsoft.com/office/drawing/2014/main" id="{00000000-0008-0000-0900-00004F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5680" name="Rectangle 2">
          <a:extLst>
            <a:ext uri="{FF2B5EF4-FFF2-40B4-BE49-F238E27FC236}">
              <a16:creationId xmlns:a16="http://schemas.microsoft.com/office/drawing/2014/main" id="{00000000-0008-0000-0900-000050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5681" name="Rectangle 293">
          <a:extLst>
            <a:ext uri="{FF2B5EF4-FFF2-40B4-BE49-F238E27FC236}">
              <a16:creationId xmlns:a16="http://schemas.microsoft.com/office/drawing/2014/main" id="{00000000-0008-0000-0900-000051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345682" name="フリーフォーム 350">
          <a:extLst>
            <a:ext uri="{FF2B5EF4-FFF2-40B4-BE49-F238E27FC236}">
              <a16:creationId xmlns:a16="http://schemas.microsoft.com/office/drawing/2014/main" id="{00000000-0008-0000-0900-00005246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5683" name="Rectangle 2">
          <a:extLst>
            <a:ext uri="{FF2B5EF4-FFF2-40B4-BE49-F238E27FC236}">
              <a16:creationId xmlns:a16="http://schemas.microsoft.com/office/drawing/2014/main" id="{00000000-0008-0000-0900-000053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5684" name="Rectangle 293">
          <a:extLst>
            <a:ext uri="{FF2B5EF4-FFF2-40B4-BE49-F238E27FC236}">
              <a16:creationId xmlns:a16="http://schemas.microsoft.com/office/drawing/2014/main" id="{00000000-0008-0000-0900-000054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345685" name="フリーフォーム 354">
          <a:extLst>
            <a:ext uri="{FF2B5EF4-FFF2-40B4-BE49-F238E27FC236}">
              <a16:creationId xmlns:a16="http://schemas.microsoft.com/office/drawing/2014/main" id="{00000000-0008-0000-0900-00005546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5686" name="Rectangle 2">
          <a:extLst>
            <a:ext uri="{FF2B5EF4-FFF2-40B4-BE49-F238E27FC236}">
              <a16:creationId xmlns:a16="http://schemas.microsoft.com/office/drawing/2014/main" id="{00000000-0008-0000-0900-000056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5687" name="Rectangle 293">
          <a:extLst>
            <a:ext uri="{FF2B5EF4-FFF2-40B4-BE49-F238E27FC236}">
              <a16:creationId xmlns:a16="http://schemas.microsoft.com/office/drawing/2014/main" id="{00000000-0008-0000-0900-000057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5688" name="Rectangle 2">
          <a:extLst>
            <a:ext uri="{FF2B5EF4-FFF2-40B4-BE49-F238E27FC236}">
              <a16:creationId xmlns:a16="http://schemas.microsoft.com/office/drawing/2014/main" id="{00000000-0008-0000-0900-000058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5689" name="Rectangle 285">
          <a:extLst>
            <a:ext uri="{FF2B5EF4-FFF2-40B4-BE49-F238E27FC236}">
              <a16:creationId xmlns:a16="http://schemas.microsoft.com/office/drawing/2014/main" id="{00000000-0008-0000-0900-00005946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345690" name="フリーフォーム 362">
          <a:extLst>
            <a:ext uri="{FF2B5EF4-FFF2-40B4-BE49-F238E27FC236}">
              <a16:creationId xmlns:a16="http://schemas.microsoft.com/office/drawing/2014/main" id="{00000000-0008-0000-0900-00005A46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5691" name="Rectangle 2">
          <a:extLst>
            <a:ext uri="{FF2B5EF4-FFF2-40B4-BE49-F238E27FC236}">
              <a16:creationId xmlns:a16="http://schemas.microsoft.com/office/drawing/2014/main" id="{00000000-0008-0000-0900-00005B46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10" name="Oval 30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11" name="Oval 34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12" name="Oval 5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" name="AutoShape 102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" name="Oval 104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" name="AutoShape 105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" name="Oval 107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1" name="Rectangle 109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2" name="Oval 110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3" name="AutoShape 11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4" name="Rectangle 112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6" name="AutoShape 114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27" name="Rectangle 115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28" name="Oval 116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29" name="AutoShape 117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0" name="Rectangle 118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1" name="Oval 119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2" name="AutoShape 120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3" name="Rectangle 121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" name="Oval 122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5" name="AutoShape 123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6" name="Rectangle 124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7" name="Oval 125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8" name="AutoShape 126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9" name="Rectangle 127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0" name="Oval 128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1" name="AutoShape 129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2" name="Rectangle 130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3" name="Oval 131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4" name="AutoShape 132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5" name="Rectangle 133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6" name="Oval 134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47" name="AutoShape 135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48" name="Rectangle 136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49" name="Oval 137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0" name="AutoShape 138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1" name="Rectangle 139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2" name="Oval 140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3" name="Rectangle 141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4" name="AutoShape 142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6" name="Oval 144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57" name="AutoShape 145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58" name="Rectangle 146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59" name="Oval 147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0" name="AutoShape 148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1" name="Rectangle 149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2" name="Oval 150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3" name="Oval 151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4" name="Oval 152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5" name="Oval 153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66" name="AutoShape 154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67" name="Rectangle 155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8" name="Oval 156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69" name="Oval 157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0" name="Oval 158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1" name="Oval 159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2" name="AutoShape 160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3" name="Rectangle 161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4" name="Oval 162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5" name="Oval 163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6" name="Oval 164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77" name="Oval 165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78" name="AutoShape 166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0" name="Oval 168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1" name="Oval 169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2" name="Oval 170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3" name="Oval 171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84" name="AutoShape 172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85" name="Rectangle 173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6" name="Oval 174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7" name="Oval 175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8" name="Oval 176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89" name="Oval 177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0" name="AutoShape 178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1" name="Rectangle 179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2" name="Oval 180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3" name="Oval 181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4" name="Oval 182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5" name="Oval 183"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96" name="AutoShape 184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97" name="Rectangle 185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8" name="Oval 186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99" name="Oval 187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0" name="Oval 188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1" name="Oval 189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2" name="AutoShape 190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3" name="Rectangle 191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4" name="Oval 192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5" name="Oval 193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6" name="Oval 194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07" name="Oval 195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08" name="AutoShape 196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09" name="Rectangle 197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0" name="Oval 198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1" name="Oval 199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2" name="Oval 200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3" name="Oval 201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14" name="AutoShape 202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15" name="Rectangle 203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6" name="Oval 204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7" name="Oval 205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8" name="Oval 206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19" name="Oval 207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0" name="AutoShape 208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1" name="Rectangle 209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2" name="Oval 210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3" name="Oval 211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4" name="Oval 212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5" name="Oval 213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26" name="AutoShape 214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27" name="Rectangle 215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8" name="Oval 216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29" name="Oval 217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0" name="Oval 218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1" name="Oval 219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2" name="AutoShape 220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3" name="Rectangle 221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4" name="Oval 222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5" name="Oval 223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6" name="Oval 224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37" name="Oval 225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38" name="AutoShape 226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39" name="Rectangle 227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0" name="Oval 228">
          <a:extLst>
            <a:ext uri="{FF2B5EF4-FFF2-40B4-BE49-F238E27FC236}">
              <a16:creationId xmlns:a16="http://schemas.microsoft.com/office/drawing/2014/main" id="{00000000-0008-0000-0A00-00008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1" name="Oval 229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2" name="Oval 230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3" name="Oval 231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44" name="AutoShape 232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45" name="Rectangle 233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6" name="Oval 234">
          <a:extLst>
            <a:ext uri="{FF2B5EF4-FFF2-40B4-BE49-F238E27FC236}">
              <a16:creationId xmlns:a16="http://schemas.microsoft.com/office/drawing/2014/main" id="{00000000-0008-0000-0A00-00009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7" name="Oval 235">
          <a:extLst>
            <a:ext uri="{FF2B5EF4-FFF2-40B4-BE49-F238E27FC236}">
              <a16:creationId xmlns:a16="http://schemas.microsoft.com/office/drawing/2014/main" id="{00000000-0008-0000-0A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8" name="Oval 236">
          <a:extLst>
            <a:ext uri="{FF2B5EF4-FFF2-40B4-BE49-F238E27FC236}">
              <a16:creationId xmlns:a16="http://schemas.microsoft.com/office/drawing/2014/main" id="{00000000-0008-0000-0A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49" name="Oval 237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0" name="AutoShape 238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1" name="Rectangle 239">
          <a:extLst>
            <a:ext uri="{FF2B5EF4-FFF2-40B4-BE49-F238E27FC236}">
              <a16:creationId xmlns:a16="http://schemas.microsoft.com/office/drawing/2014/main" id="{00000000-0008-0000-0A00-00009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2" name="Oval 240">
          <a:extLst>
            <a:ext uri="{FF2B5EF4-FFF2-40B4-BE49-F238E27FC236}">
              <a16:creationId xmlns:a16="http://schemas.microsoft.com/office/drawing/2014/main" id="{00000000-0008-0000-0A00-00009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3" name="Oval 241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4" name="Oval 242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5" name="Oval 243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56" name="AutoShape 244">
          <a:extLst>
            <a:ext uri="{FF2B5EF4-FFF2-40B4-BE49-F238E27FC236}">
              <a16:creationId xmlns:a16="http://schemas.microsoft.com/office/drawing/2014/main" id="{00000000-0008-0000-0A00-00009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57" name="Rectangle 245">
          <a:extLst>
            <a:ext uri="{FF2B5EF4-FFF2-40B4-BE49-F238E27FC236}">
              <a16:creationId xmlns:a16="http://schemas.microsoft.com/office/drawing/2014/main" id="{00000000-0008-0000-0A00-00009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8" name="Oval 246"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59" name="Oval 247">
          <a:extLst>
            <a:ext uri="{FF2B5EF4-FFF2-40B4-BE49-F238E27FC236}">
              <a16:creationId xmlns:a16="http://schemas.microsoft.com/office/drawing/2014/main" id="{00000000-0008-0000-0A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0" name="Oval 248"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1" name="Oval 249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2" name="AutoShape 250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3" name="Rectangle 251">
          <a:extLst>
            <a:ext uri="{FF2B5EF4-FFF2-40B4-BE49-F238E27FC236}">
              <a16:creationId xmlns:a16="http://schemas.microsoft.com/office/drawing/2014/main" id="{00000000-0008-0000-0A00-0000A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4" name="Oval 252">
          <a:extLst>
            <a:ext uri="{FF2B5EF4-FFF2-40B4-BE49-F238E27FC236}">
              <a16:creationId xmlns:a16="http://schemas.microsoft.com/office/drawing/2014/main" id="{00000000-0008-0000-0A00-0000A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5" name="Oval 253">
          <a:extLst>
            <a:ext uri="{FF2B5EF4-FFF2-40B4-BE49-F238E27FC236}">
              <a16:creationId xmlns:a16="http://schemas.microsoft.com/office/drawing/2014/main" id="{00000000-0008-0000-0A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6" name="Oval 254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67" name="Oval 255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68" name="AutoShape 256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0" name="Oval 258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1" name="Oval 259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2" name="Oval 260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3" name="Oval 261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74" name="AutoShape 262">
          <a:extLst>
            <a:ext uri="{FF2B5EF4-FFF2-40B4-BE49-F238E27FC236}">
              <a16:creationId xmlns:a16="http://schemas.microsoft.com/office/drawing/2014/main" id="{00000000-0008-0000-0A00-0000A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75" name="Rectangle 263">
          <a:extLst>
            <a:ext uri="{FF2B5EF4-FFF2-40B4-BE49-F238E27FC236}">
              <a16:creationId xmlns:a16="http://schemas.microsoft.com/office/drawing/2014/main" id="{00000000-0008-0000-0A00-0000A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6" name="Oval 264">
          <a:extLst>
            <a:ext uri="{FF2B5EF4-FFF2-40B4-BE49-F238E27FC236}">
              <a16:creationId xmlns:a16="http://schemas.microsoft.com/office/drawing/2014/main" id="{00000000-0008-0000-0A00-0000B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7" name="Oval 265">
          <a:extLst>
            <a:ext uri="{FF2B5EF4-FFF2-40B4-BE49-F238E27FC236}">
              <a16:creationId xmlns:a16="http://schemas.microsoft.com/office/drawing/2014/main" id="{00000000-0008-0000-0A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8" name="Oval 266">
          <a:extLst>
            <a:ext uri="{FF2B5EF4-FFF2-40B4-BE49-F238E27FC236}">
              <a16:creationId xmlns:a16="http://schemas.microsoft.com/office/drawing/2014/main" id="{00000000-0008-0000-0A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79" name="Oval 267">
          <a:extLst>
            <a:ext uri="{FF2B5EF4-FFF2-40B4-BE49-F238E27FC236}">
              <a16:creationId xmlns:a16="http://schemas.microsoft.com/office/drawing/2014/main" id="{00000000-0008-0000-0A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180" name="AutoShape 268"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1" name="Rectangle 269">
          <a:extLst>
            <a:ext uri="{FF2B5EF4-FFF2-40B4-BE49-F238E27FC236}">
              <a16:creationId xmlns:a16="http://schemas.microsoft.com/office/drawing/2014/main" id="{00000000-0008-0000-0A00-0000B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2" name="Oval 270"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3" name="Oval 271"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4" name="Oval 272"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5" name="Oval 273">
          <a:extLst>
            <a:ext uri="{FF2B5EF4-FFF2-40B4-BE49-F238E27FC236}">
              <a16:creationId xmlns:a16="http://schemas.microsoft.com/office/drawing/2014/main" id="{00000000-0008-0000-0A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86" name="Rectangle 274">
          <a:extLst>
            <a:ext uri="{FF2B5EF4-FFF2-40B4-BE49-F238E27FC236}">
              <a16:creationId xmlns:a16="http://schemas.microsoft.com/office/drawing/2014/main" id="{00000000-0008-0000-0A00-0000B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7" name="Oval 275"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8" name="Oval 276"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89" name="Oval 277"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0" name="Oval 278"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191" name="Rectangle 279"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2" name="Oval 280">
          <a:extLst>
            <a:ext uri="{FF2B5EF4-FFF2-40B4-BE49-F238E27FC236}">
              <a16:creationId xmlns:a16="http://schemas.microsoft.com/office/drawing/2014/main" id="{00000000-0008-0000-0A00-0000C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3" name="Oval 281">
          <a:extLst>
            <a:ext uri="{FF2B5EF4-FFF2-40B4-BE49-F238E27FC236}">
              <a16:creationId xmlns:a16="http://schemas.microsoft.com/office/drawing/2014/main" id="{00000000-0008-0000-0A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4" name="Oval 282">
          <a:extLst>
            <a:ext uri="{FF2B5EF4-FFF2-40B4-BE49-F238E27FC236}">
              <a16:creationId xmlns:a16="http://schemas.microsoft.com/office/drawing/2014/main" id="{00000000-0008-0000-0A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195" name="Oval 283">
          <a:extLst>
            <a:ext uri="{FF2B5EF4-FFF2-40B4-BE49-F238E27FC236}">
              <a16:creationId xmlns:a16="http://schemas.microsoft.com/office/drawing/2014/main" id="{00000000-0008-0000-0A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196" name="Rectangle 285">
          <a:extLst>
            <a:ext uri="{FF2B5EF4-FFF2-40B4-BE49-F238E27FC236}">
              <a16:creationId xmlns:a16="http://schemas.microsoft.com/office/drawing/2014/main" id="{00000000-0008-0000-0A00-0000C4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197" name="Rectangle 287">
          <a:extLst>
            <a:ext uri="{FF2B5EF4-FFF2-40B4-BE49-F238E27FC236}">
              <a16:creationId xmlns:a16="http://schemas.microsoft.com/office/drawing/2014/main" id="{00000000-0008-0000-0A00-0000C5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198" name="Rectangle 289">
          <a:extLst>
            <a:ext uri="{FF2B5EF4-FFF2-40B4-BE49-F238E27FC236}">
              <a16:creationId xmlns:a16="http://schemas.microsoft.com/office/drawing/2014/main" id="{00000000-0008-0000-0A00-0000C6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199" name="Rectangle 291">
          <a:extLst>
            <a:ext uri="{FF2B5EF4-FFF2-40B4-BE49-F238E27FC236}">
              <a16:creationId xmlns:a16="http://schemas.microsoft.com/office/drawing/2014/main" id="{00000000-0008-0000-0A00-0000C7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00" name="Rectangle 293">
          <a:extLst>
            <a:ext uri="{FF2B5EF4-FFF2-40B4-BE49-F238E27FC236}">
              <a16:creationId xmlns:a16="http://schemas.microsoft.com/office/drawing/2014/main" id="{00000000-0008-0000-0A00-0000C8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01" name="Rectangle 295">
          <a:extLst>
            <a:ext uri="{FF2B5EF4-FFF2-40B4-BE49-F238E27FC236}">
              <a16:creationId xmlns:a16="http://schemas.microsoft.com/office/drawing/2014/main" id="{00000000-0008-0000-0A00-0000C9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02" name="Rectangle 297">
          <a:extLst>
            <a:ext uri="{FF2B5EF4-FFF2-40B4-BE49-F238E27FC236}">
              <a16:creationId xmlns:a16="http://schemas.microsoft.com/office/drawing/2014/main" id="{00000000-0008-0000-0A00-0000CA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03" name="Rectangle 299">
          <a:extLst>
            <a:ext uri="{FF2B5EF4-FFF2-40B4-BE49-F238E27FC236}">
              <a16:creationId xmlns:a16="http://schemas.microsoft.com/office/drawing/2014/main" id="{00000000-0008-0000-0A00-0000CB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04" name="Rectangle 301">
          <a:extLst>
            <a:ext uri="{FF2B5EF4-FFF2-40B4-BE49-F238E27FC236}">
              <a16:creationId xmlns:a16="http://schemas.microsoft.com/office/drawing/2014/main" id="{00000000-0008-0000-0A00-0000CC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05" name="Rectangle 303">
          <a:extLst>
            <a:ext uri="{FF2B5EF4-FFF2-40B4-BE49-F238E27FC236}">
              <a16:creationId xmlns:a16="http://schemas.microsoft.com/office/drawing/2014/main" id="{00000000-0008-0000-0A00-0000CD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06" name="Rectangle 305">
          <a:extLst>
            <a:ext uri="{FF2B5EF4-FFF2-40B4-BE49-F238E27FC236}">
              <a16:creationId xmlns:a16="http://schemas.microsoft.com/office/drawing/2014/main" id="{00000000-0008-0000-0A00-0000CE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07" name="Rectangle 307">
          <a:extLst>
            <a:ext uri="{FF2B5EF4-FFF2-40B4-BE49-F238E27FC236}">
              <a16:creationId xmlns:a16="http://schemas.microsoft.com/office/drawing/2014/main" id="{00000000-0008-0000-0A00-0000CF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macro=""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00000000-0008-0000-0A00-0000D0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macro=""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00000000-0008-0000-0A00-0000D1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macro=""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00000000-0008-0000-0A00-0000D2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macro=""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00000000-0008-0000-0A00-0000D3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macro=""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00000000-0008-0000-0A00-0000D4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macro=""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00000000-0008-0000-0A00-0000D5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macro=""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00000000-0008-0000-0A00-0000D6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macro=""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00000000-0008-0000-0A00-0000D7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macro=""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00000000-0008-0000-0A00-0000D8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00000000-0008-0000-0A00-0000D9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macro="" textlink="">
      <xdr:nvSpPr>
        <xdr:cNvPr id="218" name="フリーフォーム 322">
          <a:extLst>
            <a:ext uri="{FF2B5EF4-FFF2-40B4-BE49-F238E27FC236}">
              <a16:creationId xmlns:a16="http://schemas.microsoft.com/office/drawing/2014/main" id="{00000000-0008-0000-0A00-0000DA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219" name="Rectangle 2">
          <a:extLst>
            <a:ext uri="{FF2B5EF4-FFF2-40B4-BE49-F238E27FC236}">
              <a16:creationId xmlns:a16="http://schemas.microsoft.com/office/drawing/2014/main" id="{00000000-0008-0000-0A00-0000DB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A00-0000DC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A00-0000DD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A00-0000DE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A00-0000DF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4" name="Rectangle 293">
          <a:extLst>
            <a:ext uri="{FF2B5EF4-FFF2-40B4-BE49-F238E27FC236}">
              <a16:creationId xmlns:a16="http://schemas.microsoft.com/office/drawing/2014/main" id="{00000000-0008-0000-0A00-0000E0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A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6" name="Rectangle 293">
          <a:extLst>
            <a:ext uri="{FF2B5EF4-FFF2-40B4-BE49-F238E27FC236}">
              <a16:creationId xmlns:a16="http://schemas.microsoft.com/office/drawing/2014/main" id="{00000000-0008-0000-0A00-0000E2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227" name="Rectangle 2">
          <a:extLst>
            <a:ext uri="{FF2B5EF4-FFF2-40B4-BE49-F238E27FC236}">
              <a16:creationId xmlns:a16="http://schemas.microsoft.com/office/drawing/2014/main" id="{00000000-0008-0000-0A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28" name="Rectangle 293">
          <a:extLst>
            <a:ext uri="{FF2B5EF4-FFF2-40B4-BE49-F238E27FC236}">
              <a16:creationId xmlns:a16="http://schemas.microsoft.com/office/drawing/2014/main" id="{00000000-0008-0000-0A00-0000E4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macro=""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00000000-0008-0000-0A00-0000E5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A00-0000E6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A00-0000E7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232" name="Rectangle 2">
          <a:extLst>
            <a:ext uri="{FF2B5EF4-FFF2-40B4-BE49-F238E27FC236}">
              <a16:creationId xmlns:a16="http://schemas.microsoft.com/office/drawing/2014/main" id="{00000000-0008-0000-0A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3" name="Rectangle 293">
          <a:extLst>
            <a:ext uri="{FF2B5EF4-FFF2-40B4-BE49-F238E27FC236}">
              <a16:creationId xmlns:a16="http://schemas.microsoft.com/office/drawing/2014/main" id="{00000000-0008-0000-0A00-0000E9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macro=""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00000000-0008-0000-0A00-0000EA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A00-0000EB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A00-0000EC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macro=""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00000000-0008-0000-0A00-0000ED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A00-0000EE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39" name="Rectangle 293">
          <a:extLst>
            <a:ext uri="{FF2B5EF4-FFF2-40B4-BE49-F238E27FC236}">
              <a16:creationId xmlns:a16="http://schemas.microsoft.com/office/drawing/2014/main" id="{00000000-0008-0000-0A00-0000EF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240" name="Rectangle 2">
          <a:extLst>
            <a:ext uri="{FF2B5EF4-FFF2-40B4-BE49-F238E27FC236}">
              <a16:creationId xmlns:a16="http://schemas.microsoft.com/office/drawing/2014/main" id="{00000000-0008-0000-0A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1" name="Rectangle 285">
          <a:extLst>
            <a:ext uri="{FF2B5EF4-FFF2-40B4-BE49-F238E27FC236}">
              <a16:creationId xmlns:a16="http://schemas.microsoft.com/office/drawing/2014/main" id="{00000000-0008-0000-0A00-0000F1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macro=""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00000000-0008-0000-0A00-0000F2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A00-0000F3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macro="" textlink="">
      <xdr:nvSpPr>
        <xdr:cNvPr id="244" name="Oval 18">
          <a:extLst>
            <a:ext uri="{FF2B5EF4-FFF2-40B4-BE49-F238E27FC236}">
              <a16:creationId xmlns:a16="http://schemas.microsoft.com/office/drawing/2014/main" id="{00000000-0008-0000-0A00-0000F4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245" name="Oval 51">
          <a:extLst>
            <a:ext uri="{FF2B5EF4-FFF2-40B4-BE49-F238E27FC236}">
              <a16:creationId xmlns:a16="http://schemas.microsoft.com/office/drawing/2014/main" id="{00000000-0008-0000-0A00-0000F5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macro="" textlink="">
      <xdr:nvSpPr>
        <xdr:cNvPr id="246" name="Oval 18">
          <a:extLst>
            <a:ext uri="{FF2B5EF4-FFF2-40B4-BE49-F238E27FC236}">
              <a16:creationId xmlns:a16="http://schemas.microsoft.com/office/drawing/2014/main" id="{00000000-0008-0000-0A00-0000F60000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9</xdr:row>
      <xdr:rowOff>104775</xdr:rowOff>
    </xdr:from>
    <xdr:to>
      <xdr:col>4</xdr:col>
      <xdr:colOff>9525</xdr:colOff>
      <xdr:row>14</xdr:row>
      <xdr:rowOff>85725</xdr:rowOff>
    </xdr:to>
    <xdr:sp macro="" textlink="">
      <xdr:nvSpPr>
        <xdr:cNvPr id="347521" name="AutoShape 1">
          <a:extLst>
            <a:ext uri="{FF2B5EF4-FFF2-40B4-BE49-F238E27FC236}">
              <a16:creationId xmlns:a16="http://schemas.microsoft.com/office/drawing/2014/main" id="{00000000-0008-0000-0B00-0000814D0500}"/>
            </a:ext>
          </a:extLst>
        </xdr:cNvPr>
        <xdr:cNvSpPr>
          <a:spLocks noChangeArrowheads="1"/>
        </xdr:cNvSpPr>
      </xdr:nvSpPr>
      <xdr:spPr bwMode="auto">
        <a:xfrm>
          <a:off x="676275" y="1400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7522" name="Rectangle 2">
          <a:extLst>
            <a:ext uri="{FF2B5EF4-FFF2-40B4-BE49-F238E27FC236}">
              <a16:creationId xmlns:a16="http://schemas.microsoft.com/office/drawing/2014/main" id="{00000000-0008-0000-0B00-0000824D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7523" name="Oval 3">
          <a:extLst>
            <a:ext uri="{FF2B5EF4-FFF2-40B4-BE49-F238E27FC236}">
              <a16:creationId xmlns:a16="http://schemas.microsoft.com/office/drawing/2014/main" id="{00000000-0008-0000-0B00-0000834D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7524" name="Oval 4">
          <a:extLst>
            <a:ext uri="{FF2B5EF4-FFF2-40B4-BE49-F238E27FC236}">
              <a16:creationId xmlns:a16="http://schemas.microsoft.com/office/drawing/2014/main" id="{00000000-0008-0000-0B00-000084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25" name="Oval 5">
          <a:extLst>
            <a:ext uri="{FF2B5EF4-FFF2-40B4-BE49-F238E27FC236}">
              <a16:creationId xmlns:a16="http://schemas.microsoft.com/office/drawing/2014/main" id="{00000000-0008-0000-0B00-000085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26" name="Oval 6">
          <a:extLst>
            <a:ext uri="{FF2B5EF4-FFF2-40B4-BE49-F238E27FC236}">
              <a16:creationId xmlns:a16="http://schemas.microsoft.com/office/drawing/2014/main" id="{00000000-0008-0000-0B00-000086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27" name="Oval 7">
          <a:extLst>
            <a:ext uri="{FF2B5EF4-FFF2-40B4-BE49-F238E27FC236}">
              <a16:creationId xmlns:a16="http://schemas.microsoft.com/office/drawing/2014/main" id="{00000000-0008-0000-0B00-000087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28" name="Oval 8">
          <a:extLst>
            <a:ext uri="{FF2B5EF4-FFF2-40B4-BE49-F238E27FC236}">
              <a16:creationId xmlns:a16="http://schemas.microsoft.com/office/drawing/2014/main" id="{00000000-0008-0000-0B00-000088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29" name="Oval 9">
          <a:extLst>
            <a:ext uri="{FF2B5EF4-FFF2-40B4-BE49-F238E27FC236}">
              <a16:creationId xmlns:a16="http://schemas.microsoft.com/office/drawing/2014/main" id="{00000000-0008-0000-0B00-000089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30" name="Oval 10">
          <a:extLst>
            <a:ext uri="{FF2B5EF4-FFF2-40B4-BE49-F238E27FC236}">
              <a16:creationId xmlns:a16="http://schemas.microsoft.com/office/drawing/2014/main" id="{00000000-0008-0000-0B00-00008A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31" name="Oval 11">
          <a:extLst>
            <a:ext uri="{FF2B5EF4-FFF2-40B4-BE49-F238E27FC236}">
              <a16:creationId xmlns:a16="http://schemas.microsoft.com/office/drawing/2014/main" id="{00000000-0008-0000-0B00-00008B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532" name="Oval 12">
          <a:extLst>
            <a:ext uri="{FF2B5EF4-FFF2-40B4-BE49-F238E27FC236}">
              <a16:creationId xmlns:a16="http://schemas.microsoft.com/office/drawing/2014/main" id="{00000000-0008-0000-0B00-00008C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533" name="Oval 13">
          <a:extLst>
            <a:ext uri="{FF2B5EF4-FFF2-40B4-BE49-F238E27FC236}">
              <a16:creationId xmlns:a16="http://schemas.microsoft.com/office/drawing/2014/main" id="{00000000-0008-0000-0B00-00008D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534" name="Oval 14">
          <a:extLst>
            <a:ext uri="{FF2B5EF4-FFF2-40B4-BE49-F238E27FC236}">
              <a16:creationId xmlns:a16="http://schemas.microsoft.com/office/drawing/2014/main" id="{00000000-0008-0000-0B00-00008E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535" name="Oval 15">
          <a:extLst>
            <a:ext uri="{FF2B5EF4-FFF2-40B4-BE49-F238E27FC236}">
              <a16:creationId xmlns:a16="http://schemas.microsoft.com/office/drawing/2014/main" id="{00000000-0008-0000-0B00-00008F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7536" name="Rectangle 16">
          <a:extLst>
            <a:ext uri="{FF2B5EF4-FFF2-40B4-BE49-F238E27FC236}">
              <a16:creationId xmlns:a16="http://schemas.microsoft.com/office/drawing/2014/main" id="{00000000-0008-0000-0B00-0000904D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537" name="Oval 17">
          <a:extLst>
            <a:ext uri="{FF2B5EF4-FFF2-40B4-BE49-F238E27FC236}">
              <a16:creationId xmlns:a16="http://schemas.microsoft.com/office/drawing/2014/main" id="{00000000-0008-0000-0B00-000091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47538" name="Oval 18">
          <a:extLst>
            <a:ext uri="{FF2B5EF4-FFF2-40B4-BE49-F238E27FC236}">
              <a16:creationId xmlns:a16="http://schemas.microsoft.com/office/drawing/2014/main" id="{00000000-0008-0000-0B00-0000924D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7539" name="Oval 19">
          <a:extLst>
            <a:ext uri="{FF2B5EF4-FFF2-40B4-BE49-F238E27FC236}">
              <a16:creationId xmlns:a16="http://schemas.microsoft.com/office/drawing/2014/main" id="{00000000-0008-0000-0B00-000093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7540" name="Oval 20">
          <a:extLst>
            <a:ext uri="{FF2B5EF4-FFF2-40B4-BE49-F238E27FC236}">
              <a16:creationId xmlns:a16="http://schemas.microsoft.com/office/drawing/2014/main" id="{00000000-0008-0000-0B00-000094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7541" name="Oval 21">
          <a:extLst>
            <a:ext uri="{FF2B5EF4-FFF2-40B4-BE49-F238E27FC236}">
              <a16:creationId xmlns:a16="http://schemas.microsoft.com/office/drawing/2014/main" id="{00000000-0008-0000-0B00-000095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42" name="Oval 22">
          <a:extLst>
            <a:ext uri="{FF2B5EF4-FFF2-40B4-BE49-F238E27FC236}">
              <a16:creationId xmlns:a16="http://schemas.microsoft.com/office/drawing/2014/main" id="{00000000-0008-0000-0B00-000096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43" name="Oval 23">
          <a:extLst>
            <a:ext uri="{FF2B5EF4-FFF2-40B4-BE49-F238E27FC236}">
              <a16:creationId xmlns:a16="http://schemas.microsoft.com/office/drawing/2014/main" id="{00000000-0008-0000-0B00-000097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44" name="Oval 24">
          <a:extLst>
            <a:ext uri="{FF2B5EF4-FFF2-40B4-BE49-F238E27FC236}">
              <a16:creationId xmlns:a16="http://schemas.microsoft.com/office/drawing/2014/main" id="{00000000-0008-0000-0B00-000098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45" name="Oval 25">
          <a:extLst>
            <a:ext uri="{FF2B5EF4-FFF2-40B4-BE49-F238E27FC236}">
              <a16:creationId xmlns:a16="http://schemas.microsoft.com/office/drawing/2014/main" id="{00000000-0008-0000-0B00-000099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46" name="Oval 26">
          <a:extLst>
            <a:ext uri="{FF2B5EF4-FFF2-40B4-BE49-F238E27FC236}">
              <a16:creationId xmlns:a16="http://schemas.microsoft.com/office/drawing/2014/main" id="{00000000-0008-0000-0B00-00009A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47" name="Oval 27">
          <a:extLst>
            <a:ext uri="{FF2B5EF4-FFF2-40B4-BE49-F238E27FC236}">
              <a16:creationId xmlns:a16="http://schemas.microsoft.com/office/drawing/2014/main" id="{00000000-0008-0000-0B00-00009B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48" name="Oval 28">
          <a:extLst>
            <a:ext uri="{FF2B5EF4-FFF2-40B4-BE49-F238E27FC236}">
              <a16:creationId xmlns:a16="http://schemas.microsoft.com/office/drawing/2014/main" id="{00000000-0008-0000-0B00-00009C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49" name="Oval 29">
          <a:extLst>
            <a:ext uri="{FF2B5EF4-FFF2-40B4-BE49-F238E27FC236}">
              <a16:creationId xmlns:a16="http://schemas.microsoft.com/office/drawing/2014/main" id="{00000000-0008-0000-0B00-00009D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50" name="Oval 30">
          <a:extLst>
            <a:ext uri="{FF2B5EF4-FFF2-40B4-BE49-F238E27FC236}">
              <a16:creationId xmlns:a16="http://schemas.microsoft.com/office/drawing/2014/main" id="{00000000-0008-0000-0B00-00009E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51" name="Oval 31">
          <a:extLst>
            <a:ext uri="{FF2B5EF4-FFF2-40B4-BE49-F238E27FC236}">
              <a16:creationId xmlns:a16="http://schemas.microsoft.com/office/drawing/2014/main" id="{00000000-0008-0000-0B00-00009F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52" name="Oval 32">
          <a:extLst>
            <a:ext uri="{FF2B5EF4-FFF2-40B4-BE49-F238E27FC236}">
              <a16:creationId xmlns:a16="http://schemas.microsoft.com/office/drawing/2014/main" id="{00000000-0008-0000-0B00-0000A0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53" name="Oval 33">
          <a:extLst>
            <a:ext uri="{FF2B5EF4-FFF2-40B4-BE49-F238E27FC236}">
              <a16:creationId xmlns:a16="http://schemas.microsoft.com/office/drawing/2014/main" id="{00000000-0008-0000-0B00-0000A1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54" name="Oval 34">
          <a:extLst>
            <a:ext uri="{FF2B5EF4-FFF2-40B4-BE49-F238E27FC236}">
              <a16:creationId xmlns:a16="http://schemas.microsoft.com/office/drawing/2014/main" id="{00000000-0008-0000-0B00-0000A2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55" name="Oval 35">
          <a:extLst>
            <a:ext uri="{FF2B5EF4-FFF2-40B4-BE49-F238E27FC236}">
              <a16:creationId xmlns:a16="http://schemas.microsoft.com/office/drawing/2014/main" id="{00000000-0008-0000-0B00-0000A3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56" name="Oval 36">
          <a:extLst>
            <a:ext uri="{FF2B5EF4-FFF2-40B4-BE49-F238E27FC236}">
              <a16:creationId xmlns:a16="http://schemas.microsoft.com/office/drawing/2014/main" id="{00000000-0008-0000-0B00-0000A4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57" name="Oval 37">
          <a:extLst>
            <a:ext uri="{FF2B5EF4-FFF2-40B4-BE49-F238E27FC236}">
              <a16:creationId xmlns:a16="http://schemas.microsoft.com/office/drawing/2014/main" id="{00000000-0008-0000-0B00-0000A5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58" name="Oval 38">
          <a:extLst>
            <a:ext uri="{FF2B5EF4-FFF2-40B4-BE49-F238E27FC236}">
              <a16:creationId xmlns:a16="http://schemas.microsoft.com/office/drawing/2014/main" id="{00000000-0008-0000-0B00-0000A6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59" name="Oval 39">
          <a:extLst>
            <a:ext uri="{FF2B5EF4-FFF2-40B4-BE49-F238E27FC236}">
              <a16:creationId xmlns:a16="http://schemas.microsoft.com/office/drawing/2014/main" id="{00000000-0008-0000-0B00-0000A7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60" name="Oval 40">
          <a:extLst>
            <a:ext uri="{FF2B5EF4-FFF2-40B4-BE49-F238E27FC236}">
              <a16:creationId xmlns:a16="http://schemas.microsoft.com/office/drawing/2014/main" id="{00000000-0008-0000-0B00-0000A8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61" name="Oval 41">
          <a:extLst>
            <a:ext uri="{FF2B5EF4-FFF2-40B4-BE49-F238E27FC236}">
              <a16:creationId xmlns:a16="http://schemas.microsoft.com/office/drawing/2014/main" id="{00000000-0008-0000-0B00-0000A9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562" name="Oval 42">
          <a:extLst>
            <a:ext uri="{FF2B5EF4-FFF2-40B4-BE49-F238E27FC236}">
              <a16:creationId xmlns:a16="http://schemas.microsoft.com/office/drawing/2014/main" id="{00000000-0008-0000-0B00-0000AA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563" name="Oval 43">
          <a:extLst>
            <a:ext uri="{FF2B5EF4-FFF2-40B4-BE49-F238E27FC236}">
              <a16:creationId xmlns:a16="http://schemas.microsoft.com/office/drawing/2014/main" id="{00000000-0008-0000-0B00-0000AB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564" name="Oval 44">
          <a:extLst>
            <a:ext uri="{FF2B5EF4-FFF2-40B4-BE49-F238E27FC236}">
              <a16:creationId xmlns:a16="http://schemas.microsoft.com/office/drawing/2014/main" id="{00000000-0008-0000-0B00-0000AC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565" name="Oval 45">
          <a:extLst>
            <a:ext uri="{FF2B5EF4-FFF2-40B4-BE49-F238E27FC236}">
              <a16:creationId xmlns:a16="http://schemas.microsoft.com/office/drawing/2014/main" id="{00000000-0008-0000-0B00-0000AD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566" name="Oval 46">
          <a:extLst>
            <a:ext uri="{FF2B5EF4-FFF2-40B4-BE49-F238E27FC236}">
              <a16:creationId xmlns:a16="http://schemas.microsoft.com/office/drawing/2014/main" id="{00000000-0008-0000-0B00-0000AE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567" name="Oval 47">
          <a:extLst>
            <a:ext uri="{FF2B5EF4-FFF2-40B4-BE49-F238E27FC236}">
              <a16:creationId xmlns:a16="http://schemas.microsoft.com/office/drawing/2014/main" id="{00000000-0008-0000-0B00-0000AF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568" name="Oval 48">
          <a:extLst>
            <a:ext uri="{FF2B5EF4-FFF2-40B4-BE49-F238E27FC236}">
              <a16:creationId xmlns:a16="http://schemas.microsoft.com/office/drawing/2014/main" id="{00000000-0008-0000-0B00-0000B0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569" name="Oval 49">
          <a:extLst>
            <a:ext uri="{FF2B5EF4-FFF2-40B4-BE49-F238E27FC236}">
              <a16:creationId xmlns:a16="http://schemas.microsoft.com/office/drawing/2014/main" id="{00000000-0008-0000-0B00-0000B1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570" name="Oval 50">
          <a:extLst>
            <a:ext uri="{FF2B5EF4-FFF2-40B4-BE49-F238E27FC236}">
              <a16:creationId xmlns:a16="http://schemas.microsoft.com/office/drawing/2014/main" id="{00000000-0008-0000-0B00-0000B2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571" name="Oval 51">
          <a:extLst>
            <a:ext uri="{FF2B5EF4-FFF2-40B4-BE49-F238E27FC236}">
              <a16:creationId xmlns:a16="http://schemas.microsoft.com/office/drawing/2014/main" id="{00000000-0008-0000-0B00-0000B3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572" name="Oval 52">
          <a:extLst>
            <a:ext uri="{FF2B5EF4-FFF2-40B4-BE49-F238E27FC236}">
              <a16:creationId xmlns:a16="http://schemas.microsoft.com/office/drawing/2014/main" id="{00000000-0008-0000-0B00-0000B4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573" name="Oval 53">
          <a:extLst>
            <a:ext uri="{FF2B5EF4-FFF2-40B4-BE49-F238E27FC236}">
              <a16:creationId xmlns:a16="http://schemas.microsoft.com/office/drawing/2014/main" id="{00000000-0008-0000-0B00-0000B5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574" name="Oval 54">
          <a:extLst>
            <a:ext uri="{FF2B5EF4-FFF2-40B4-BE49-F238E27FC236}">
              <a16:creationId xmlns:a16="http://schemas.microsoft.com/office/drawing/2014/main" id="{00000000-0008-0000-0B00-0000B6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575" name="Oval 55">
          <a:extLst>
            <a:ext uri="{FF2B5EF4-FFF2-40B4-BE49-F238E27FC236}">
              <a16:creationId xmlns:a16="http://schemas.microsoft.com/office/drawing/2014/main" id="{00000000-0008-0000-0B00-0000B7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576" name="Oval 56">
          <a:extLst>
            <a:ext uri="{FF2B5EF4-FFF2-40B4-BE49-F238E27FC236}">
              <a16:creationId xmlns:a16="http://schemas.microsoft.com/office/drawing/2014/main" id="{00000000-0008-0000-0B00-0000B8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577" name="Oval 57">
          <a:extLst>
            <a:ext uri="{FF2B5EF4-FFF2-40B4-BE49-F238E27FC236}">
              <a16:creationId xmlns:a16="http://schemas.microsoft.com/office/drawing/2014/main" id="{00000000-0008-0000-0B00-0000B9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578" name="Oval 58">
          <a:extLst>
            <a:ext uri="{FF2B5EF4-FFF2-40B4-BE49-F238E27FC236}">
              <a16:creationId xmlns:a16="http://schemas.microsoft.com/office/drawing/2014/main" id="{00000000-0008-0000-0B00-0000BA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579" name="Oval 59">
          <a:extLst>
            <a:ext uri="{FF2B5EF4-FFF2-40B4-BE49-F238E27FC236}">
              <a16:creationId xmlns:a16="http://schemas.microsoft.com/office/drawing/2014/main" id="{00000000-0008-0000-0B00-0000BB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580" name="Oval 60">
          <a:extLst>
            <a:ext uri="{FF2B5EF4-FFF2-40B4-BE49-F238E27FC236}">
              <a16:creationId xmlns:a16="http://schemas.microsoft.com/office/drawing/2014/main" id="{00000000-0008-0000-0B00-0000BC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581" name="Oval 61">
          <a:extLst>
            <a:ext uri="{FF2B5EF4-FFF2-40B4-BE49-F238E27FC236}">
              <a16:creationId xmlns:a16="http://schemas.microsoft.com/office/drawing/2014/main" id="{00000000-0008-0000-0B00-0000BD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82" name="Oval 62">
          <a:extLst>
            <a:ext uri="{FF2B5EF4-FFF2-40B4-BE49-F238E27FC236}">
              <a16:creationId xmlns:a16="http://schemas.microsoft.com/office/drawing/2014/main" id="{00000000-0008-0000-0B00-0000BE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83" name="Oval 63">
          <a:extLst>
            <a:ext uri="{FF2B5EF4-FFF2-40B4-BE49-F238E27FC236}">
              <a16:creationId xmlns:a16="http://schemas.microsoft.com/office/drawing/2014/main" id="{00000000-0008-0000-0B00-0000BF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84" name="Oval 64">
          <a:extLst>
            <a:ext uri="{FF2B5EF4-FFF2-40B4-BE49-F238E27FC236}">
              <a16:creationId xmlns:a16="http://schemas.microsoft.com/office/drawing/2014/main" id="{00000000-0008-0000-0B00-0000C0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7585" name="Oval 65">
          <a:extLst>
            <a:ext uri="{FF2B5EF4-FFF2-40B4-BE49-F238E27FC236}">
              <a16:creationId xmlns:a16="http://schemas.microsoft.com/office/drawing/2014/main" id="{00000000-0008-0000-0B00-0000C1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86" name="Oval 66">
          <a:extLst>
            <a:ext uri="{FF2B5EF4-FFF2-40B4-BE49-F238E27FC236}">
              <a16:creationId xmlns:a16="http://schemas.microsoft.com/office/drawing/2014/main" id="{00000000-0008-0000-0B00-0000C2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87" name="Oval 67">
          <a:extLst>
            <a:ext uri="{FF2B5EF4-FFF2-40B4-BE49-F238E27FC236}">
              <a16:creationId xmlns:a16="http://schemas.microsoft.com/office/drawing/2014/main" id="{00000000-0008-0000-0B00-0000C3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88" name="Oval 68">
          <a:extLst>
            <a:ext uri="{FF2B5EF4-FFF2-40B4-BE49-F238E27FC236}">
              <a16:creationId xmlns:a16="http://schemas.microsoft.com/office/drawing/2014/main" id="{00000000-0008-0000-0B00-0000C4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7589" name="Oval 69">
          <a:extLst>
            <a:ext uri="{FF2B5EF4-FFF2-40B4-BE49-F238E27FC236}">
              <a16:creationId xmlns:a16="http://schemas.microsoft.com/office/drawing/2014/main" id="{00000000-0008-0000-0B00-0000C5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90" name="Oval 70">
          <a:extLst>
            <a:ext uri="{FF2B5EF4-FFF2-40B4-BE49-F238E27FC236}">
              <a16:creationId xmlns:a16="http://schemas.microsoft.com/office/drawing/2014/main" id="{00000000-0008-0000-0B00-0000C6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91" name="Oval 71">
          <a:extLst>
            <a:ext uri="{FF2B5EF4-FFF2-40B4-BE49-F238E27FC236}">
              <a16:creationId xmlns:a16="http://schemas.microsoft.com/office/drawing/2014/main" id="{00000000-0008-0000-0B00-0000C7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92" name="Oval 72">
          <a:extLst>
            <a:ext uri="{FF2B5EF4-FFF2-40B4-BE49-F238E27FC236}">
              <a16:creationId xmlns:a16="http://schemas.microsoft.com/office/drawing/2014/main" id="{00000000-0008-0000-0B00-0000C8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7593" name="Oval 73">
          <a:extLst>
            <a:ext uri="{FF2B5EF4-FFF2-40B4-BE49-F238E27FC236}">
              <a16:creationId xmlns:a16="http://schemas.microsoft.com/office/drawing/2014/main" id="{00000000-0008-0000-0B00-0000C9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94" name="Oval 74">
          <a:extLst>
            <a:ext uri="{FF2B5EF4-FFF2-40B4-BE49-F238E27FC236}">
              <a16:creationId xmlns:a16="http://schemas.microsoft.com/office/drawing/2014/main" id="{00000000-0008-0000-0B00-0000CA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95" name="Oval 75">
          <a:extLst>
            <a:ext uri="{FF2B5EF4-FFF2-40B4-BE49-F238E27FC236}">
              <a16:creationId xmlns:a16="http://schemas.microsoft.com/office/drawing/2014/main" id="{00000000-0008-0000-0B00-0000CB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96" name="Oval 76">
          <a:extLst>
            <a:ext uri="{FF2B5EF4-FFF2-40B4-BE49-F238E27FC236}">
              <a16:creationId xmlns:a16="http://schemas.microsoft.com/office/drawing/2014/main" id="{00000000-0008-0000-0B00-0000CC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7597" name="Oval 77">
          <a:extLst>
            <a:ext uri="{FF2B5EF4-FFF2-40B4-BE49-F238E27FC236}">
              <a16:creationId xmlns:a16="http://schemas.microsoft.com/office/drawing/2014/main" id="{00000000-0008-0000-0B00-0000CD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98" name="Oval 78">
          <a:extLst>
            <a:ext uri="{FF2B5EF4-FFF2-40B4-BE49-F238E27FC236}">
              <a16:creationId xmlns:a16="http://schemas.microsoft.com/office/drawing/2014/main" id="{00000000-0008-0000-0B00-0000CE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599" name="Oval 79">
          <a:extLst>
            <a:ext uri="{FF2B5EF4-FFF2-40B4-BE49-F238E27FC236}">
              <a16:creationId xmlns:a16="http://schemas.microsoft.com/office/drawing/2014/main" id="{00000000-0008-0000-0B00-0000CF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600" name="Oval 80">
          <a:extLst>
            <a:ext uri="{FF2B5EF4-FFF2-40B4-BE49-F238E27FC236}">
              <a16:creationId xmlns:a16="http://schemas.microsoft.com/office/drawing/2014/main" id="{00000000-0008-0000-0B00-0000D0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7601" name="Oval 81">
          <a:extLst>
            <a:ext uri="{FF2B5EF4-FFF2-40B4-BE49-F238E27FC236}">
              <a16:creationId xmlns:a16="http://schemas.microsoft.com/office/drawing/2014/main" id="{00000000-0008-0000-0B00-0000D1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602" name="Oval 82">
          <a:extLst>
            <a:ext uri="{FF2B5EF4-FFF2-40B4-BE49-F238E27FC236}">
              <a16:creationId xmlns:a16="http://schemas.microsoft.com/office/drawing/2014/main" id="{00000000-0008-0000-0B00-0000D2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603" name="Oval 83">
          <a:extLst>
            <a:ext uri="{FF2B5EF4-FFF2-40B4-BE49-F238E27FC236}">
              <a16:creationId xmlns:a16="http://schemas.microsoft.com/office/drawing/2014/main" id="{00000000-0008-0000-0B00-0000D3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604" name="Oval 84">
          <a:extLst>
            <a:ext uri="{FF2B5EF4-FFF2-40B4-BE49-F238E27FC236}">
              <a16:creationId xmlns:a16="http://schemas.microsoft.com/office/drawing/2014/main" id="{00000000-0008-0000-0B00-0000D4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7605" name="Oval 85">
          <a:extLst>
            <a:ext uri="{FF2B5EF4-FFF2-40B4-BE49-F238E27FC236}">
              <a16:creationId xmlns:a16="http://schemas.microsoft.com/office/drawing/2014/main" id="{00000000-0008-0000-0B00-0000D5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606" name="Oval 86">
          <a:extLst>
            <a:ext uri="{FF2B5EF4-FFF2-40B4-BE49-F238E27FC236}">
              <a16:creationId xmlns:a16="http://schemas.microsoft.com/office/drawing/2014/main" id="{00000000-0008-0000-0B00-0000D6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607" name="Oval 87">
          <a:extLst>
            <a:ext uri="{FF2B5EF4-FFF2-40B4-BE49-F238E27FC236}">
              <a16:creationId xmlns:a16="http://schemas.microsoft.com/office/drawing/2014/main" id="{00000000-0008-0000-0B00-0000D7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608" name="Oval 88">
          <a:extLst>
            <a:ext uri="{FF2B5EF4-FFF2-40B4-BE49-F238E27FC236}">
              <a16:creationId xmlns:a16="http://schemas.microsoft.com/office/drawing/2014/main" id="{00000000-0008-0000-0B00-0000D8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7609" name="Oval 89">
          <a:extLst>
            <a:ext uri="{FF2B5EF4-FFF2-40B4-BE49-F238E27FC236}">
              <a16:creationId xmlns:a16="http://schemas.microsoft.com/office/drawing/2014/main" id="{00000000-0008-0000-0B00-0000D9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610" name="Oval 90">
          <a:extLst>
            <a:ext uri="{FF2B5EF4-FFF2-40B4-BE49-F238E27FC236}">
              <a16:creationId xmlns:a16="http://schemas.microsoft.com/office/drawing/2014/main" id="{00000000-0008-0000-0B00-0000DA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611" name="Oval 91">
          <a:extLst>
            <a:ext uri="{FF2B5EF4-FFF2-40B4-BE49-F238E27FC236}">
              <a16:creationId xmlns:a16="http://schemas.microsoft.com/office/drawing/2014/main" id="{00000000-0008-0000-0B00-0000DB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612" name="Oval 92">
          <a:extLst>
            <a:ext uri="{FF2B5EF4-FFF2-40B4-BE49-F238E27FC236}">
              <a16:creationId xmlns:a16="http://schemas.microsoft.com/office/drawing/2014/main" id="{00000000-0008-0000-0B00-0000DC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7613" name="Oval 93">
          <a:extLst>
            <a:ext uri="{FF2B5EF4-FFF2-40B4-BE49-F238E27FC236}">
              <a16:creationId xmlns:a16="http://schemas.microsoft.com/office/drawing/2014/main" id="{00000000-0008-0000-0B00-0000DD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614" name="Oval 94">
          <a:extLst>
            <a:ext uri="{FF2B5EF4-FFF2-40B4-BE49-F238E27FC236}">
              <a16:creationId xmlns:a16="http://schemas.microsoft.com/office/drawing/2014/main" id="{00000000-0008-0000-0B00-0000DE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615" name="Oval 95">
          <a:extLst>
            <a:ext uri="{FF2B5EF4-FFF2-40B4-BE49-F238E27FC236}">
              <a16:creationId xmlns:a16="http://schemas.microsoft.com/office/drawing/2014/main" id="{00000000-0008-0000-0B00-0000DF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616" name="Oval 96">
          <a:extLst>
            <a:ext uri="{FF2B5EF4-FFF2-40B4-BE49-F238E27FC236}">
              <a16:creationId xmlns:a16="http://schemas.microsoft.com/office/drawing/2014/main" id="{00000000-0008-0000-0B00-0000E0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7617" name="Oval 97">
          <a:extLst>
            <a:ext uri="{FF2B5EF4-FFF2-40B4-BE49-F238E27FC236}">
              <a16:creationId xmlns:a16="http://schemas.microsoft.com/office/drawing/2014/main" id="{00000000-0008-0000-0B00-0000E1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618" name="Oval 98">
          <a:extLst>
            <a:ext uri="{FF2B5EF4-FFF2-40B4-BE49-F238E27FC236}">
              <a16:creationId xmlns:a16="http://schemas.microsoft.com/office/drawing/2014/main" id="{00000000-0008-0000-0B00-0000E2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619" name="Oval 99">
          <a:extLst>
            <a:ext uri="{FF2B5EF4-FFF2-40B4-BE49-F238E27FC236}">
              <a16:creationId xmlns:a16="http://schemas.microsoft.com/office/drawing/2014/main" id="{00000000-0008-0000-0B00-0000E3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620" name="Oval 100">
          <a:extLst>
            <a:ext uri="{FF2B5EF4-FFF2-40B4-BE49-F238E27FC236}">
              <a16:creationId xmlns:a16="http://schemas.microsoft.com/office/drawing/2014/main" id="{00000000-0008-0000-0B00-0000E4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7621" name="Oval 101">
          <a:extLst>
            <a:ext uri="{FF2B5EF4-FFF2-40B4-BE49-F238E27FC236}">
              <a16:creationId xmlns:a16="http://schemas.microsoft.com/office/drawing/2014/main" id="{00000000-0008-0000-0B00-0000E5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22" name="AutoShape 102">
          <a:extLst>
            <a:ext uri="{FF2B5EF4-FFF2-40B4-BE49-F238E27FC236}">
              <a16:creationId xmlns:a16="http://schemas.microsoft.com/office/drawing/2014/main" id="{00000000-0008-0000-0B00-0000E6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23" name="Rectangle 103">
          <a:extLst>
            <a:ext uri="{FF2B5EF4-FFF2-40B4-BE49-F238E27FC236}">
              <a16:creationId xmlns:a16="http://schemas.microsoft.com/office/drawing/2014/main" id="{00000000-0008-0000-0B00-0000E7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24" name="Oval 104">
          <a:extLst>
            <a:ext uri="{FF2B5EF4-FFF2-40B4-BE49-F238E27FC236}">
              <a16:creationId xmlns:a16="http://schemas.microsoft.com/office/drawing/2014/main" id="{00000000-0008-0000-0B00-0000E8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25" name="AutoShape 105">
          <a:extLst>
            <a:ext uri="{FF2B5EF4-FFF2-40B4-BE49-F238E27FC236}">
              <a16:creationId xmlns:a16="http://schemas.microsoft.com/office/drawing/2014/main" id="{00000000-0008-0000-0B00-0000E9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26" name="Rectangle 106">
          <a:extLst>
            <a:ext uri="{FF2B5EF4-FFF2-40B4-BE49-F238E27FC236}">
              <a16:creationId xmlns:a16="http://schemas.microsoft.com/office/drawing/2014/main" id="{00000000-0008-0000-0B00-0000EA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27" name="Oval 107">
          <a:extLst>
            <a:ext uri="{FF2B5EF4-FFF2-40B4-BE49-F238E27FC236}">
              <a16:creationId xmlns:a16="http://schemas.microsoft.com/office/drawing/2014/main" id="{00000000-0008-0000-0B00-0000EB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28" name="AutoShape 108">
          <a:extLst>
            <a:ext uri="{FF2B5EF4-FFF2-40B4-BE49-F238E27FC236}">
              <a16:creationId xmlns:a16="http://schemas.microsoft.com/office/drawing/2014/main" id="{00000000-0008-0000-0B00-0000EC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29" name="Rectangle 109">
          <a:extLst>
            <a:ext uri="{FF2B5EF4-FFF2-40B4-BE49-F238E27FC236}">
              <a16:creationId xmlns:a16="http://schemas.microsoft.com/office/drawing/2014/main" id="{00000000-0008-0000-0B00-0000ED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30" name="Oval 110">
          <a:extLst>
            <a:ext uri="{FF2B5EF4-FFF2-40B4-BE49-F238E27FC236}">
              <a16:creationId xmlns:a16="http://schemas.microsoft.com/office/drawing/2014/main" id="{00000000-0008-0000-0B00-0000EE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31" name="AutoShape 111">
          <a:extLst>
            <a:ext uri="{FF2B5EF4-FFF2-40B4-BE49-F238E27FC236}">
              <a16:creationId xmlns:a16="http://schemas.microsoft.com/office/drawing/2014/main" id="{00000000-0008-0000-0B00-0000EF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32" name="Rectangle 112">
          <a:extLst>
            <a:ext uri="{FF2B5EF4-FFF2-40B4-BE49-F238E27FC236}">
              <a16:creationId xmlns:a16="http://schemas.microsoft.com/office/drawing/2014/main" id="{00000000-0008-0000-0B00-0000F0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33" name="Oval 113">
          <a:extLst>
            <a:ext uri="{FF2B5EF4-FFF2-40B4-BE49-F238E27FC236}">
              <a16:creationId xmlns:a16="http://schemas.microsoft.com/office/drawing/2014/main" id="{00000000-0008-0000-0B00-0000F1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34" name="AutoShape 114">
          <a:extLst>
            <a:ext uri="{FF2B5EF4-FFF2-40B4-BE49-F238E27FC236}">
              <a16:creationId xmlns:a16="http://schemas.microsoft.com/office/drawing/2014/main" id="{00000000-0008-0000-0B00-0000F2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35" name="Rectangle 115">
          <a:extLst>
            <a:ext uri="{FF2B5EF4-FFF2-40B4-BE49-F238E27FC236}">
              <a16:creationId xmlns:a16="http://schemas.microsoft.com/office/drawing/2014/main" id="{00000000-0008-0000-0B00-0000F3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36" name="Oval 116">
          <a:extLst>
            <a:ext uri="{FF2B5EF4-FFF2-40B4-BE49-F238E27FC236}">
              <a16:creationId xmlns:a16="http://schemas.microsoft.com/office/drawing/2014/main" id="{00000000-0008-0000-0B00-0000F4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37" name="AutoShape 117">
          <a:extLst>
            <a:ext uri="{FF2B5EF4-FFF2-40B4-BE49-F238E27FC236}">
              <a16:creationId xmlns:a16="http://schemas.microsoft.com/office/drawing/2014/main" id="{00000000-0008-0000-0B00-0000F5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38" name="Rectangle 118">
          <a:extLst>
            <a:ext uri="{FF2B5EF4-FFF2-40B4-BE49-F238E27FC236}">
              <a16:creationId xmlns:a16="http://schemas.microsoft.com/office/drawing/2014/main" id="{00000000-0008-0000-0B00-0000F6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39" name="Oval 119">
          <a:extLst>
            <a:ext uri="{FF2B5EF4-FFF2-40B4-BE49-F238E27FC236}">
              <a16:creationId xmlns:a16="http://schemas.microsoft.com/office/drawing/2014/main" id="{00000000-0008-0000-0B00-0000F7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40" name="AutoShape 120">
          <a:extLst>
            <a:ext uri="{FF2B5EF4-FFF2-40B4-BE49-F238E27FC236}">
              <a16:creationId xmlns:a16="http://schemas.microsoft.com/office/drawing/2014/main" id="{00000000-0008-0000-0B00-0000F8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41" name="Rectangle 121">
          <a:extLst>
            <a:ext uri="{FF2B5EF4-FFF2-40B4-BE49-F238E27FC236}">
              <a16:creationId xmlns:a16="http://schemas.microsoft.com/office/drawing/2014/main" id="{00000000-0008-0000-0B00-0000F9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42" name="Oval 122">
          <a:extLst>
            <a:ext uri="{FF2B5EF4-FFF2-40B4-BE49-F238E27FC236}">
              <a16:creationId xmlns:a16="http://schemas.microsoft.com/office/drawing/2014/main" id="{00000000-0008-0000-0B00-0000FA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43" name="AutoShape 123">
          <a:extLst>
            <a:ext uri="{FF2B5EF4-FFF2-40B4-BE49-F238E27FC236}">
              <a16:creationId xmlns:a16="http://schemas.microsoft.com/office/drawing/2014/main" id="{00000000-0008-0000-0B00-0000FB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44" name="Rectangle 124">
          <a:extLst>
            <a:ext uri="{FF2B5EF4-FFF2-40B4-BE49-F238E27FC236}">
              <a16:creationId xmlns:a16="http://schemas.microsoft.com/office/drawing/2014/main" id="{00000000-0008-0000-0B00-0000FC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45" name="Oval 125">
          <a:extLst>
            <a:ext uri="{FF2B5EF4-FFF2-40B4-BE49-F238E27FC236}">
              <a16:creationId xmlns:a16="http://schemas.microsoft.com/office/drawing/2014/main" id="{00000000-0008-0000-0B00-0000FD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46" name="AutoShape 126">
          <a:extLst>
            <a:ext uri="{FF2B5EF4-FFF2-40B4-BE49-F238E27FC236}">
              <a16:creationId xmlns:a16="http://schemas.microsoft.com/office/drawing/2014/main" id="{00000000-0008-0000-0B00-0000FE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47" name="Rectangle 127">
          <a:extLst>
            <a:ext uri="{FF2B5EF4-FFF2-40B4-BE49-F238E27FC236}">
              <a16:creationId xmlns:a16="http://schemas.microsoft.com/office/drawing/2014/main" id="{00000000-0008-0000-0B00-0000FF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48" name="Oval 128">
          <a:extLst>
            <a:ext uri="{FF2B5EF4-FFF2-40B4-BE49-F238E27FC236}">
              <a16:creationId xmlns:a16="http://schemas.microsoft.com/office/drawing/2014/main" id="{00000000-0008-0000-0B00-00000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49" name="AutoShape 129">
          <a:extLst>
            <a:ext uri="{FF2B5EF4-FFF2-40B4-BE49-F238E27FC236}">
              <a16:creationId xmlns:a16="http://schemas.microsoft.com/office/drawing/2014/main" id="{00000000-0008-0000-0B00-000001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50" name="Rectangle 130">
          <a:extLst>
            <a:ext uri="{FF2B5EF4-FFF2-40B4-BE49-F238E27FC236}">
              <a16:creationId xmlns:a16="http://schemas.microsoft.com/office/drawing/2014/main" id="{00000000-0008-0000-0B00-00000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51" name="Oval 131">
          <a:extLst>
            <a:ext uri="{FF2B5EF4-FFF2-40B4-BE49-F238E27FC236}">
              <a16:creationId xmlns:a16="http://schemas.microsoft.com/office/drawing/2014/main" id="{00000000-0008-0000-0B00-00000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52" name="AutoShape 132">
          <a:extLst>
            <a:ext uri="{FF2B5EF4-FFF2-40B4-BE49-F238E27FC236}">
              <a16:creationId xmlns:a16="http://schemas.microsoft.com/office/drawing/2014/main" id="{00000000-0008-0000-0B00-00000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53" name="Rectangle 133">
          <a:extLst>
            <a:ext uri="{FF2B5EF4-FFF2-40B4-BE49-F238E27FC236}">
              <a16:creationId xmlns:a16="http://schemas.microsoft.com/office/drawing/2014/main" id="{00000000-0008-0000-0B00-00000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54" name="Oval 134">
          <a:extLst>
            <a:ext uri="{FF2B5EF4-FFF2-40B4-BE49-F238E27FC236}">
              <a16:creationId xmlns:a16="http://schemas.microsoft.com/office/drawing/2014/main" id="{00000000-0008-0000-0B00-00000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55" name="AutoShape 135">
          <a:extLst>
            <a:ext uri="{FF2B5EF4-FFF2-40B4-BE49-F238E27FC236}">
              <a16:creationId xmlns:a16="http://schemas.microsoft.com/office/drawing/2014/main" id="{00000000-0008-0000-0B00-000007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56" name="Rectangle 136">
          <a:extLst>
            <a:ext uri="{FF2B5EF4-FFF2-40B4-BE49-F238E27FC236}">
              <a16:creationId xmlns:a16="http://schemas.microsoft.com/office/drawing/2014/main" id="{00000000-0008-0000-0B00-000008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57" name="Oval 137">
          <a:extLst>
            <a:ext uri="{FF2B5EF4-FFF2-40B4-BE49-F238E27FC236}">
              <a16:creationId xmlns:a16="http://schemas.microsoft.com/office/drawing/2014/main" id="{00000000-0008-0000-0B00-00000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58" name="AutoShape 138">
          <a:extLst>
            <a:ext uri="{FF2B5EF4-FFF2-40B4-BE49-F238E27FC236}">
              <a16:creationId xmlns:a16="http://schemas.microsoft.com/office/drawing/2014/main" id="{00000000-0008-0000-0B00-00000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59" name="Rectangle 139">
          <a:extLst>
            <a:ext uri="{FF2B5EF4-FFF2-40B4-BE49-F238E27FC236}">
              <a16:creationId xmlns:a16="http://schemas.microsoft.com/office/drawing/2014/main" id="{00000000-0008-0000-0B00-00000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60" name="Oval 140">
          <a:extLst>
            <a:ext uri="{FF2B5EF4-FFF2-40B4-BE49-F238E27FC236}">
              <a16:creationId xmlns:a16="http://schemas.microsoft.com/office/drawing/2014/main" id="{00000000-0008-0000-0B00-00000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61" name="Rectangle 141">
          <a:extLst>
            <a:ext uri="{FF2B5EF4-FFF2-40B4-BE49-F238E27FC236}">
              <a16:creationId xmlns:a16="http://schemas.microsoft.com/office/drawing/2014/main" id="{00000000-0008-0000-0B00-00000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62" name="AutoShape 142">
          <a:extLst>
            <a:ext uri="{FF2B5EF4-FFF2-40B4-BE49-F238E27FC236}">
              <a16:creationId xmlns:a16="http://schemas.microsoft.com/office/drawing/2014/main" id="{00000000-0008-0000-0B00-00000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63" name="Rectangle 143">
          <a:extLst>
            <a:ext uri="{FF2B5EF4-FFF2-40B4-BE49-F238E27FC236}">
              <a16:creationId xmlns:a16="http://schemas.microsoft.com/office/drawing/2014/main" id="{00000000-0008-0000-0B00-00000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64" name="Oval 144">
          <a:extLst>
            <a:ext uri="{FF2B5EF4-FFF2-40B4-BE49-F238E27FC236}">
              <a16:creationId xmlns:a16="http://schemas.microsoft.com/office/drawing/2014/main" id="{00000000-0008-0000-0B00-00001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65" name="AutoShape 145">
          <a:extLst>
            <a:ext uri="{FF2B5EF4-FFF2-40B4-BE49-F238E27FC236}">
              <a16:creationId xmlns:a16="http://schemas.microsoft.com/office/drawing/2014/main" id="{00000000-0008-0000-0B00-000011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66" name="Rectangle 146">
          <a:extLst>
            <a:ext uri="{FF2B5EF4-FFF2-40B4-BE49-F238E27FC236}">
              <a16:creationId xmlns:a16="http://schemas.microsoft.com/office/drawing/2014/main" id="{00000000-0008-0000-0B00-00001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67" name="Oval 147">
          <a:extLst>
            <a:ext uri="{FF2B5EF4-FFF2-40B4-BE49-F238E27FC236}">
              <a16:creationId xmlns:a16="http://schemas.microsoft.com/office/drawing/2014/main" id="{00000000-0008-0000-0B00-00001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68" name="AutoShape 148">
          <a:extLst>
            <a:ext uri="{FF2B5EF4-FFF2-40B4-BE49-F238E27FC236}">
              <a16:creationId xmlns:a16="http://schemas.microsoft.com/office/drawing/2014/main" id="{00000000-0008-0000-0B00-00001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69" name="Rectangle 149">
          <a:extLst>
            <a:ext uri="{FF2B5EF4-FFF2-40B4-BE49-F238E27FC236}">
              <a16:creationId xmlns:a16="http://schemas.microsoft.com/office/drawing/2014/main" id="{00000000-0008-0000-0B00-00001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0" name="Oval 150">
          <a:extLst>
            <a:ext uri="{FF2B5EF4-FFF2-40B4-BE49-F238E27FC236}">
              <a16:creationId xmlns:a16="http://schemas.microsoft.com/office/drawing/2014/main" id="{00000000-0008-0000-0B00-00001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1" name="Oval 151">
          <a:extLst>
            <a:ext uri="{FF2B5EF4-FFF2-40B4-BE49-F238E27FC236}">
              <a16:creationId xmlns:a16="http://schemas.microsoft.com/office/drawing/2014/main" id="{00000000-0008-0000-0B00-00001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2" name="Oval 152">
          <a:extLst>
            <a:ext uri="{FF2B5EF4-FFF2-40B4-BE49-F238E27FC236}">
              <a16:creationId xmlns:a16="http://schemas.microsoft.com/office/drawing/2014/main" id="{00000000-0008-0000-0B00-00001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3" name="Oval 153">
          <a:extLst>
            <a:ext uri="{FF2B5EF4-FFF2-40B4-BE49-F238E27FC236}">
              <a16:creationId xmlns:a16="http://schemas.microsoft.com/office/drawing/2014/main" id="{00000000-0008-0000-0B00-00001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74" name="AutoShape 154">
          <a:extLst>
            <a:ext uri="{FF2B5EF4-FFF2-40B4-BE49-F238E27FC236}">
              <a16:creationId xmlns:a16="http://schemas.microsoft.com/office/drawing/2014/main" id="{00000000-0008-0000-0B00-00001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75" name="Rectangle 155">
          <a:extLst>
            <a:ext uri="{FF2B5EF4-FFF2-40B4-BE49-F238E27FC236}">
              <a16:creationId xmlns:a16="http://schemas.microsoft.com/office/drawing/2014/main" id="{00000000-0008-0000-0B00-00001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6" name="Oval 156">
          <a:extLst>
            <a:ext uri="{FF2B5EF4-FFF2-40B4-BE49-F238E27FC236}">
              <a16:creationId xmlns:a16="http://schemas.microsoft.com/office/drawing/2014/main" id="{00000000-0008-0000-0B00-00001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7" name="Oval 157">
          <a:extLst>
            <a:ext uri="{FF2B5EF4-FFF2-40B4-BE49-F238E27FC236}">
              <a16:creationId xmlns:a16="http://schemas.microsoft.com/office/drawing/2014/main" id="{00000000-0008-0000-0B00-00001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8" name="Oval 158">
          <a:extLst>
            <a:ext uri="{FF2B5EF4-FFF2-40B4-BE49-F238E27FC236}">
              <a16:creationId xmlns:a16="http://schemas.microsoft.com/office/drawing/2014/main" id="{00000000-0008-0000-0B00-00001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79" name="Oval 159">
          <a:extLst>
            <a:ext uri="{FF2B5EF4-FFF2-40B4-BE49-F238E27FC236}">
              <a16:creationId xmlns:a16="http://schemas.microsoft.com/office/drawing/2014/main" id="{00000000-0008-0000-0B00-00001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80" name="AutoShape 160">
          <a:extLst>
            <a:ext uri="{FF2B5EF4-FFF2-40B4-BE49-F238E27FC236}">
              <a16:creationId xmlns:a16="http://schemas.microsoft.com/office/drawing/2014/main" id="{00000000-0008-0000-0B00-00002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81" name="Rectangle 161">
          <a:extLst>
            <a:ext uri="{FF2B5EF4-FFF2-40B4-BE49-F238E27FC236}">
              <a16:creationId xmlns:a16="http://schemas.microsoft.com/office/drawing/2014/main" id="{00000000-0008-0000-0B00-00002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2" name="Oval 162">
          <a:extLst>
            <a:ext uri="{FF2B5EF4-FFF2-40B4-BE49-F238E27FC236}">
              <a16:creationId xmlns:a16="http://schemas.microsoft.com/office/drawing/2014/main" id="{00000000-0008-0000-0B00-00002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3" name="Oval 163">
          <a:extLst>
            <a:ext uri="{FF2B5EF4-FFF2-40B4-BE49-F238E27FC236}">
              <a16:creationId xmlns:a16="http://schemas.microsoft.com/office/drawing/2014/main" id="{00000000-0008-0000-0B00-00002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4" name="Oval 164">
          <a:extLst>
            <a:ext uri="{FF2B5EF4-FFF2-40B4-BE49-F238E27FC236}">
              <a16:creationId xmlns:a16="http://schemas.microsoft.com/office/drawing/2014/main" id="{00000000-0008-0000-0B00-00002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5" name="Oval 165">
          <a:extLst>
            <a:ext uri="{FF2B5EF4-FFF2-40B4-BE49-F238E27FC236}">
              <a16:creationId xmlns:a16="http://schemas.microsoft.com/office/drawing/2014/main" id="{00000000-0008-0000-0B00-00002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86" name="AutoShape 166">
          <a:extLst>
            <a:ext uri="{FF2B5EF4-FFF2-40B4-BE49-F238E27FC236}">
              <a16:creationId xmlns:a16="http://schemas.microsoft.com/office/drawing/2014/main" id="{00000000-0008-0000-0B00-00002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87" name="Rectangle 167">
          <a:extLst>
            <a:ext uri="{FF2B5EF4-FFF2-40B4-BE49-F238E27FC236}">
              <a16:creationId xmlns:a16="http://schemas.microsoft.com/office/drawing/2014/main" id="{00000000-0008-0000-0B00-00002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8" name="Oval 168">
          <a:extLst>
            <a:ext uri="{FF2B5EF4-FFF2-40B4-BE49-F238E27FC236}">
              <a16:creationId xmlns:a16="http://schemas.microsoft.com/office/drawing/2014/main" id="{00000000-0008-0000-0B00-00002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89" name="Oval 169">
          <a:extLst>
            <a:ext uri="{FF2B5EF4-FFF2-40B4-BE49-F238E27FC236}">
              <a16:creationId xmlns:a16="http://schemas.microsoft.com/office/drawing/2014/main" id="{00000000-0008-0000-0B00-00002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0" name="Oval 170">
          <a:extLst>
            <a:ext uri="{FF2B5EF4-FFF2-40B4-BE49-F238E27FC236}">
              <a16:creationId xmlns:a16="http://schemas.microsoft.com/office/drawing/2014/main" id="{00000000-0008-0000-0B00-00002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1" name="Oval 171">
          <a:extLst>
            <a:ext uri="{FF2B5EF4-FFF2-40B4-BE49-F238E27FC236}">
              <a16:creationId xmlns:a16="http://schemas.microsoft.com/office/drawing/2014/main" id="{00000000-0008-0000-0B00-00002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92" name="AutoShape 172">
          <a:extLst>
            <a:ext uri="{FF2B5EF4-FFF2-40B4-BE49-F238E27FC236}">
              <a16:creationId xmlns:a16="http://schemas.microsoft.com/office/drawing/2014/main" id="{00000000-0008-0000-0B00-00002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93" name="Rectangle 173">
          <a:extLst>
            <a:ext uri="{FF2B5EF4-FFF2-40B4-BE49-F238E27FC236}">
              <a16:creationId xmlns:a16="http://schemas.microsoft.com/office/drawing/2014/main" id="{00000000-0008-0000-0B00-00002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4" name="Oval 174">
          <a:extLst>
            <a:ext uri="{FF2B5EF4-FFF2-40B4-BE49-F238E27FC236}">
              <a16:creationId xmlns:a16="http://schemas.microsoft.com/office/drawing/2014/main" id="{00000000-0008-0000-0B00-00002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5" name="Oval 175">
          <a:extLst>
            <a:ext uri="{FF2B5EF4-FFF2-40B4-BE49-F238E27FC236}">
              <a16:creationId xmlns:a16="http://schemas.microsoft.com/office/drawing/2014/main" id="{00000000-0008-0000-0B00-00002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6" name="Oval 176">
          <a:extLst>
            <a:ext uri="{FF2B5EF4-FFF2-40B4-BE49-F238E27FC236}">
              <a16:creationId xmlns:a16="http://schemas.microsoft.com/office/drawing/2014/main" id="{00000000-0008-0000-0B00-00003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697" name="Oval 177">
          <a:extLst>
            <a:ext uri="{FF2B5EF4-FFF2-40B4-BE49-F238E27FC236}">
              <a16:creationId xmlns:a16="http://schemas.microsoft.com/office/drawing/2014/main" id="{00000000-0008-0000-0B00-00003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698" name="AutoShape 178">
          <a:extLst>
            <a:ext uri="{FF2B5EF4-FFF2-40B4-BE49-F238E27FC236}">
              <a16:creationId xmlns:a16="http://schemas.microsoft.com/office/drawing/2014/main" id="{00000000-0008-0000-0B00-000032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699" name="Rectangle 179">
          <a:extLst>
            <a:ext uri="{FF2B5EF4-FFF2-40B4-BE49-F238E27FC236}">
              <a16:creationId xmlns:a16="http://schemas.microsoft.com/office/drawing/2014/main" id="{00000000-0008-0000-0B00-000033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0" name="Oval 180">
          <a:extLst>
            <a:ext uri="{FF2B5EF4-FFF2-40B4-BE49-F238E27FC236}">
              <a16:creationId xmlns:a16="http://schemas.microsoft.com/office/drawing/2014/main" id="{00000000-0008-0000-0B00-00003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1" name="Oval 181">
          <a:extLst>
            <a:ext uri="{FF2B5EF4-FFF2-40B4-BE49-F238E27FC236}">
              <a16:creationId xmlns:a16="http://schemas.microsoft.com/office/drawing/2014/main" id="{00000000-0008-0000-0B00-00003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2" name="Oval 182">
          <a:extLst>
            <a:ext uri="{FF2B5EF4-FFF2-40B4-BE49-F238E27FC236}">
              <a16:creationId xmlns:a16="http://schemas.microsoft.com/office/drawing/2014/main" id="{00000000-0008-0000-0B00-00003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3" name="Oval 183">
          <a:extLst>
            <a:ext uri="{FF2B5EF4-FFF2-40B4-BE49-F238E27FC236}">
              <a16:creationId xmlns:a16="http://schemas.microsoft.com/office/drawing/2014/main" id="{00000000-0008-0000-0B00-00003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04" name="AutoShape 184">
          <a:extLst>
            <a:ext uri="{FF2B5EF4-FFF2-40B4-BE49-F238E27FC236}">
              <a16:creationId xmlns:a16="http://schemas.microsoft.com/office/drawing/2014/main" id="{00000000-0008-0000-0B00-000038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05" name="Rectangle 185">
          <a:extLst>
            <a:ext uri="{FF2B5EF4-FFF2-40B4-BE49-F238E27FC236}">
              <a16:creationId xmlns:a16="http://schemas.microsoft.com/office/drawing/2014/main" id="{00000000-0008-0000-0B00-000039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6" name="Oval 186">
          <a:extLst>
            <a:ext uri="{FF2B5EF4-FFF2-40B4-BE49-F238E27FC236}">
              <a16:creationId xmlns:a16="http://schemas.microsoft.com/office/drawing/2014/main" id="{00000000-0008-0000-0B00-00003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7" name="Oval 187">
          <a:extLst>
            <a:ext uri="{FF2B5EF4-FFF2-40B4-BE49-F238E27FC236}">
              <a16:creationId xmlns:a16="http://schemas.microsoft.com/office/drawing/2014/main" id="{00000000-0008-0000-0B00-00003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8" name="Oval 188">
          <a:extLst>
            <a:ext uri="{FF2B5EF4-FFF2-40B4-BE49-F238E27FC236}">
              <a16:creationId xmlns:a16="http://schemas.microsoft.com/office/drawing/2014/main" id="{00000000-0008-0000-0B00-00003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09" name="Oval 189">
          <a:extLst>
            <a:ext uri="{FF2B5EF4-FFF2-40B4-BE49-F238E27FC236}">
              <a16:creationId xmlns:a16="http://schemas.microsoft.com/office/drawing/2014/main" id="{00000000-0008-0000-0B00-00003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10" name="AutoShape 190">
          <a:extLst>
            <a:ext uri="{FF2B5EF4-FFF2-40B4-BE49-F238E27FC236}">
              <a16:creationId xmlns:a16="http://schemas.microsoft.com/office/drawing/2014/main" id="{00000000-0008-0000-0B00-00003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11" name="Rectangle 191">
          <a:extLst>
            <a:ext uri="{FF2B5EF4-FFF2-40B4-BE49-F238E27FC236}">
              <a16:creationId xmlns:a16="http://schemas.microsoft.com/office/drawing/2014/main" id="{00000000-0008-0000-0B00-00003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2" name="Oval 192">
          <a:extLst>
            <a:ext uri="{FF2B5EF4-FFF2-40B4-BE49-F238E27FC236}">
              <a16:creationId xmlns:a16="http://schemas.microsoft.com/office/drawing/2014/main" id="{00000000-0008-0000-0B00-00004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3" name="Oval 193">
          <a:extLst>
            <a:ext uri="{FF2B5EF4-FFF2-40B4-BE49-F238E27FC236}">
              <a16:creationId xmlns:a16="http://schemas.microsoft.com/office/drawing/2014/main" id="{00000000-0008-0000-0B00-00004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4" name="Oval 194">
          <a:extLst>
            <a:ext uri="{FF2B5EF4-FFF2-40B4-BE49-F238E27FC236}">
              <a16:creationId xmlns:a16="http://schemas.microsoft.com/office/drawing/2014/main" id="{00000000-0008-0000-0B00-00004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5" name="Oval 195">
          <a:extLst>
            <a:ext uri="{FF2B5EF4-FFF2-40B4-BE49-F238E27FC236}">
              <a16:creationId xmlns:a16="http://schemas.microsoft.com/office/drawing/2014/main" id="{00000000-0008-0000-0B00-00004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16" name="AutoShape 196">
          <a:extLst>
            <a:ext uri="{FF2B5EF4-FFF2-40B4-BE49-F238E27FC236}">
              <a16:creationId xmlns:a16="http://schemas.microsoft.com/office/drawing/2014/main" id="{00000000-0008-0000-0B00-00004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17" name="Rectangle 197">
          <a:extLst>
            <a:ext uri="{FF2B5EF4-FFF2-40B4-BE49-F238E27FC236}">
              <a16:creationId xmlns:a16="http://schemas.microsoft.com/office/drawing/2014/main" id="{00000000-0008-0000-0B00-00004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8" name="Oval 198">
          <a:extLst>
            <a:ext uri="{FF2B5EF4-FFF2-40B4-BE49-F238E27FC236}">
              <a16:creationId xmlns:a16="http://schemas.microsoft.com/office/drawing/2014/main" id="{00000000-0008-0000-0B00-00004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19" name="Oval 199">
          <a:extLst>
            <a:ext uri="{FF2B5EF4-FFF2-40B4-BE49-F238E27FC236}">
              <a16:creationId xmlns:a16="http://schemas.microsoft.com/office/drawing/2014/main" id="{00000000-0008-0000-0B00-00004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0" name="Oval 200">
          <a:extLst>
            <a:ext uri="{FF2B5EF4-FFF2-40B4-BE49-F238E27FC236}">
              <a16:creationId xmlns:a16="http://schemas.microsoft.com/office/drawing/2014/main" id="{00000000-0008-0000-0B00-00004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1" name="Oval 201">
          <a:extLst>
            <a:ext uri="{FF2B5EF4-FFF2-40B4-BE49-F238E27FC236}">
              <a16:creationId xmlns:a16="http://schemas.microsoft.com/office/drawing/2014/main" id="{00000000-0008-0000-0B00-00004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22" name="AutoShape 202">
          <a:extLst>
            <a:ext uri="{FF2B5EF4-FFF2-40B4-BE49-F238E27FC236}">
              <a16:creationId xmlns:a16="http://schemas.microsoft.com/office/drawing/2014/main" id="{00000000-0008-0000-0B00-00004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23" name="Rectangle 203">
          <a:extLst>
            <a:ext uri="{FF2B5EF4-FFF2-40B4-BE49-F238E27FC236}">
              <a16:creationId xmlns:a16="http://schemas.microsoft.com/office/drawing/2014/main" id="{00000000-0008-0000-0B00-00004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4" name="Oval 204">
          <a:extLst>
            <a:ext uri="{FF2B5EF4-FFF2-40B4-BE49-F238E27FC236}">
              <a16:creationId xmlns:a16="http://schemas.microsoft.com/office/drawing/2014/main" id="{00000000-0008-0000-0B00-00004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5" name="Oval 205">
          <a:extLst>
            <a:ext uri="{FF2B5EF4-FFF2-40B4-BE49-F238E27FC236}">
              <a16:creationId xmlns:a16="http://schemas.microsoft.com/office/drawing/2014/main" id="{00000000-0008-0000-0B00-00004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6" name="Oval 206">
          <a:extLst>
            <a:ext uri="{FF2B5EF4-FFF2-40B4-BE49-F238E27FC236}">
              <a16:creationId xmlns:a16="http://schemas.microsoft.com/office/drawing/2014/main" id="{00000000-0008-0000-0B00-00004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27" name="Oval 207">
          <a:extLst>
            <a:ext uri="{FF2B5EF4-FFF2-40B4-BE49-F238E27FC236}">
              <a16:creationId xmlns:a16="http://schemas.microsoft.com/office/drawing/2014/main" id="{00000000-0008-0000-0B00-00004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28" name="AutoShape 208">
          <a:extLst>
            <a:ext uri="{FF2B5EF4-FFF2-40B4-BE49-F238E27FC236}">
              <a16:creationId xmlns:a16="http://schemas.microsoft.com/office/drawing/2014/main" id="{00000000-0008-0000-0B00-00005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29" name="Rectangle 209">
          <a:extLst>
            <a:ext uri="{FF2B5EF4-FFF2-40B4-BE49-F238E27FC236}">
              <a16:creationId xmlns:a16="http://schemas.microsoft.com/office/drawing/2014/main" id="{00000000-0008-0000-0B00-00005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0" name="Oval 210">
          <a:extLst>
            <a:ext uri="{FF2B5EF4-FFF2-40B4-BE49-F238E27FC236}">
              <a16:creationId xmlns:a16="http://schemas.microsoft.com/office/drawing/2014/main" id="{00000000-0008-0000-0B00-00005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1" name="Oval 211">
          <a:extLst>
            <a:ext uri="{FF2B5EF4-FFF2-40B4-BE49-F238E27FC236}">
              <a16:creationId xmlns:a16="http://schemas.microsoft.com/office/drawing/2014/main" id="{00000000-0008-0000-0B00-00005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2" name="Oval 212">
          <a:extLst>
            <a:ext uri="{FF2B5EF4-FFF2-40B4-BE49-F238E27FC236}">
              <a16:creationId xmlns:a16="http://schemas.microsoft.com/office/drawing/2014/main" id="{00000000-0008-0000-0B00-00005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3" name="Oval 213">
          <a:extLst>
            <a:ext uri="{FF2B5EF4-FFF2-40B4-BE49-F238E27FC236}">
              <a16:creationId xmlns:a16="http://schemas.microsoft.com/office/drawing/2014/main" id="{00000000-0008-0000-0B00-00005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34" name="AutoShape 214">
          <a:extLst>
            <a:ext uri="{FF2B5EF4-FFF2-40B4-BE49-F238E27FC236}">
              <a16:creationId xmlns:a16="http://schemas.microsoft.com/office/drawing/2014/main" id="{00000000-0008-0000-0B00-00005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35" name="Rectangle 215">
          <a:extLst>
            <a:ext uri="{FF2B5EF4-FFF2-40B4-BE49-F238E27FC236}">
              <a16:creationId xmlns:a16="http://schemas.microsoft.com/office/drawing/2014/main" id="{00000000-0008-0000-0B00-00005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6" name="Oval 216">
          <a:extLst>
            <a:ext uri="{FF2B5EF4-FFF2-40B4-BE49-F238E27FC236}">
              <a16:creationId xmlns:a16="http://schemas.microsoft.com/office/drawing/2014/main" id="{00000000-0008-0000-0B00-00005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7" name="Oval 217">
          <a:extLst>
            <a:ext uri="{FF2B5EF4-FFF2-40B4-BE49-F238E27FC236}">
              <a16:creationId xmlns:a16="http://schemas.microsoft.com/office/drawing/2014/main" id="{00000000-0008-0000-0B00-00005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8" name="Oval 218">
          <a:extLst>
            <a:ext uri="{FF2B5EF4-FFF2-40B4-BE49-F238E27FC236}">
              <a16:creationId xmlns:a16="http://schemas.microsoft.com/office/drawing/2014/main" id="{00000000-0008-0000-0B00-00005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39" name="Oval 219">
          <a:extLst>
            <a:ext uri="{FF2B5EF4-FFF2-40B4-BE49-F238E27FC236}">
              <a16:creationId xmlns:a16="http://schemas.microsoft.com/office/drawing/2014/main" id="{00000000-0008-0000-0B00-00005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40" name="AutoShape 220">
          <a:extLst>
            <a:ext uri="{FF2B5EF4-FFF2-40B4-BE49-F238E27FC236}">
              <a16:creationId xmlns:a16="http://schemas.microsoft.com/office/drawing/2014/main" id="{00000000-0008-0000-0B00-00005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41" name="Rectangle 221">
          <a:extLst>
            <a:ext uri="{FF2B5EF4-FFF2-40B4-BE49-F238E27FC236}">
              <a16:creationId xmlns:a16="http://schemas.microsoft.com/office/drawing/2014/main" id="{00000000-0008-0000-0B00-00005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2" name="Oval 222">
          <a:extLst>
            <a:ext uri="{FF2B5EF4-FFF2-40B4-BE49-F238E27FC236}">
              <a16:creationId xmlns:a16="http://schemas.microsoft.com/office/drawing/2014/main" id="{00000000-0008-0000-0B00-00005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3" name="Oval 223">
          <a:extLst>
            <a:ext uri="{FF2B5EF4-FFF2-40B4-BE49-F238E27FC236}">
              <a16:creationId xmlns:a16="http://schemas.microsoft.com/office/drawing/2014/main" id="{00000000-0008-0000-0B00-00005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4" name="Oval 224">
          <a:extLst>
            <a:ext uri="{FF2B5EF4-FFF2-40B4-BE49-F238E27FC236}">
              <a16:creationId xmlns:a16="http://schemas.microsoft.com/office/drawing/2014/main" id="{00000000-0008-0000-0B00-00006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5" name="Oval 225">
          <a:extLst>
            <a:ext uri="{FF2B5EF4-FFF2-40B4-BE49-F238E27FC236}">
              <a16:creationId xmlns:a16="http://schemas.microsoft.com/office/drawing/2014/main" id="{00000000-0008-0000-0B00-00006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46" name="AutoShape 226">
          <a:extLst>
            <a:ext uri="{FF2B5EF4-FFF2-40B4-BE49-F238E27FC236}">
              <a16:creationId xmlns:a16="http://schemas.microsoft.com/office/drawing/2014/main" id="{00000000-0008-0000-0B00-000062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47" name="Rectangle 227">
          <a:extLst>
            <a:ext uri="{FF2B5EF4-FFF2-40B4-BE49-F238E27FC236}">
              <a16:creationId xmlns:a16="http://schemas.microsoft.com/office/drawing/2014/main" id="{00000000-0008-0000-0B00-000063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8" name="Oval 228">
          <a:extLst>
            <a:ext uri="{FF2B5EF4-FFF2-40B4-BE49-F238E27FC236}">
              <a16:creationId xmlns:a16="http://schemas.microsoft.com/office/drawing/2014/main" id="{00000000-0008-0000-0B00-00006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49" name="Oval 229">
          <a:extLst>
            <a:ext uri="{FF2B5EF4-FFF2-40B4-BE49-F238E27FC236}">
              <a16:creationId xmlns:a16="http://schemas.microsoft.com/office/drawing/2014/main" id="{00000000-0008-0000-0B00-00006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0" name="Oval 230">
          <a:extLst>
            <a:ext uri="{FF2B5EF4-FFF2-40B4-BE49-F238E27FC236}">
              <a16:creationId xmlns:a16="http://schemas.microsoft.com/office/drawing/2014/main" id="{00000000-0008-0000-0B00-00006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1" name="Oval 231">
          <a:extLst>
            <a:ext uri="{FF2B5EF4-FFF2-40B4-BE49-F238E27FC236}">
              <a16:creationId xmlns:a16="http://schemas.microsoft.com/office/drawing/2014/main" id="{00000000-0008-0000-0B00-00006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52" name="AutoShape 232">
          <a:extLst>
            <a:ext uri="{FF2B5EF4-FFF2-40B4-BE49-F238E27FC236}">
              <a16:creationId xmlns:a16="http://schemas.microsoft.com/office/drawing/2014/main" id="{00000000-0008-0000-0B00-000068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53" name="Rectangle 233">
          <a:extLst>
            <a:ext uri="{FF2B5EF4-FFF2-40B4-BE49-F238E27FC236}">
              <a16:creationId xmlns:a16="http://schemas.microsoft.com/office/drawing/2014/main" id="{00000000-0008-0000-0B00-000069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4" name="Oval 234">
          <a:extLst>
            <a:ext uri="{FF2B5EF4-FFF2-40B4-BE49-F238E27FC236}">
              <a16:creationId xmlns:a16="http://schemas.microsoft.com/office/drawing/2014/main" id="{00000000-0008-0000-0B00-00006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5" name="Oval 235">
          <a:extLst>
            <a:ext uri="{FF2B5EF4-FFF2-40B4-BE49-F238E27FC236}">
              <a16:creationId xmlns:a16="http://schemas.microsoft.com/office/drawing/2014/main" id="{00000000-0008-0000-0B00-00006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6" name="Oval 236">
          <a:extLst>
            <a:ext uri="{FF2B5EF4-FFF2-40B4-BE49-F238E27FC236}">
              <a16:creationId xmlns:a16="http://schemas.microsoft.com/office/drawing/2014/main" id="{00000000-0008-0000-0B00-00006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57" name="Oval 237">
          <a:extLst>
            <a:ext uri="{FF2B5EF4-FFF2-40B4-BE49-F238E27FC236}">
              <a16:creationId xmlns:a16="http://schemas.microsoft.com/office/drawing/2014/main" id="{00000000-0008-0000-0B00-00006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58" name="AutoShape 238">
          <a:extLst>
            <a:ext uri="{FF2B5EF4-FFF2-40B4-BE49-F238E27FC236}">
              <a16:creationId xmlns:a16="http://schemas.microsoft.com/office/drawing/2014/main" id="{00000000-0008-0000-0B00-00006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59" name="Rectangle 239">
          <a:extLst>
            <a:ext uri="{FF2B5EF4-FFF2-40B4-BE49-F238E27FC236}">
              <a16:creationId xmlns:a16="http://schemas.microsoft.com/office/drawing/2014/main" id="{00000000-0008-0000-0B00-00006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0" name="Oval 240">
          <a:extLst>
            <a:ext uri="{FF2B5EF4-FFF2-40B4-BE49-F238E27FC236}">
              <a16:creationId xmlns:a16="http://schemas.microsoft.com/office/drawing/2014/main" id="{00000000-0008-0000-0B00-00007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1" name="Oval 241">
          <a:extLst>
            <a:ext uri="{FF2B5EF4-FFF2-40B4-BE49-F238E27FC236}">
              <a16:creationId xmlns:a16="http://schemas.microsoft.com/office/drawing/2014/main" id="{00000000-0008-0000-0B00-00007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2" name="Oval 242">
          <a:extLst>
            <a:ext uri="{FF2B5EF4-FFF2-40B4-BE49-F238E27FC236}">
              <a16:creationId xmlns:a16="http://schemas.microsoft.com/office/drawing/2014/main" id="{00000000-0008-0000-0B00-00007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3" name="Oval 243">
          <a:extLst>
            <a:ext uri="{FF2B5EF4-FFF2-40B4-BE49-F238E27FC236}">
              <a16:creationId xmlns:a16="http://schemas.microsoft.com/office/drawing/2014/main" id="{00000000-0008-0000-0B00-00007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64" name="AutoShape 244">
          <a:extLst>
            <a:ext uri="{FF2B5EF4-FFF2-40B4-BE49-F238E27FC236}">
              <a16:creationId xmlns:a16="http://schemas.microsoft.com/office/drawing/2014/main" id="{00000000-0008-0000-0B00-00007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65" name="Rectangle 245">
          <a:extLst>
            <a:ext uri="{FF2B5EF4-FFF2-40B4-BE49-F238E27FC236}">
              <a16:creationId xmlns:a16="http://schemas.microsoft.com/office/drawing/2014/main" id="{00000000-0008-0000-0B00-00007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6" name="Oval 246">
          <a:extLst>
            <a:ext uri="{FF2B5EF4-FFF2-40B4-BE49-F238E27FC236}">
              <a16:creationId xmlns:a16="http://schemas.microsoft.com/office/drawing/2014/main" id="{00000000-0008-0000-0B00-00007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7" name="Oval 247">
          <a:extLst>
            <a:ext uri="{FF2B5EF4-FFF2-40B4-BE49-F238E27FC236}">
              <a16:creationId xmlns:a16="http://schemas.microsoft.com/office/drawing/2014/main" id="{00000000-0008-0000-0B00-00007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8" name="Oval 248">
          <a:extLst>
            <a:ext uri="{FF2B5EF4-FFF2-40B4-BE49-F238E27FC236}">
              <a16:creationId xmlns:a16="http://schemas.microsoft.com/office/drawing/2014/main" id="{00000000-0008-0000-0B00-00007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69" name="Oval 249">
          <a:extLst>
            <a:ext uri="{FF2B5EF4-FFF2-40B4-BE49-F238E27FC236}">
              <a16:creationId xmlns:a16="http://schemas.microsoft.com/office/drawing/2014/main" id="{00000000-0008-0000-0B00-00007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70" name="AutoShape 250">
          <a:extLst>
            <a:ext uri="{FF2B5EF4-FFF2-40B4-BE49-F238E27FC236}">
              <a16:creationId xmlns:a16="http://schemas.microsoft.com/office/drawing/2014/main" id="{00000000-0008-0000-0B00-00007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71" name="Rectangle 251">
          <a:extLst>
            <a:ext uri="{FF2B5EF4-FFF2-40B4-BE49-F238E27FC236}">
              <a16:creationId xmlns:a16="http://schemas.microsoft.com/office/drawing/2014/main" id="{00000000-0008-0000-0B00-00007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2" name="Oval 252">
          <a:extLst>
            <a:ext uri="{FF2B5EF4-FFF2-40B4-BE49-F238E27FC236}">
              <a16:creationId xmlns:a16="http://schemas.microsoft.com/office/drawing/2014/main" id="{00000000-0008-0000-0B00-00007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3" name="Oval 253">
          <a:extLst>
            <a:ext uri="{FF2B5EF4-FFF2-40B4-BE49-F238E27FC236}">
              <a16:creationId xmlns:a16="http://schemas.microsoft.com/office/drawing/2014/main" id="{00000000-0008-0000-0B00-00007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4" name="Oval 254">
          <a:extLst>
            <a:ext uri="{FF2B5EF4-FFF2-40B4-BE49-F238E27FC236}">
              <a16:creationId xmlns:a16="http://schemas.microsoft.com/office/drawing/2014/main" id="{00000000-0008-0000-0B00-00007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5" name="Oval 255">
          <a:extLst>
            <a:ext uri="{FF2B5EF4-FFF2-40B4-BE49-F238E27FC236}">
              <a16:creationId xmlns:a16="http://schemas.microsoft.com/office/drawing/2014/main" id="{00000000-0008-0000-0B00-00007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76" name="AutoShape 256">
          <a:extLst>
            <a:ext uri="{FF2B5EF4-FFF2-40B4-BE49-F238E27FC236}">
              <a16:creationId xmlns:a16="http://schemas.microsoft.com/office/drawing/2014/main" id="{00000000-0008-0000-0B00-00008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77" name="Rectangle 257">
          <a:extLst>
            <a:ext uri="{FF2B5EF4-FFF2-40B4-BE49-F238E27FC236}">
              <a16:creationId xmlns:a16="http://schemas.microsoft.com/office/drawing/2014/main" id="{00000000-0008-0000-0B00-00008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8" name="Oval 258">
          <a:extLst>
            <a:ext uri="{FF2B5EF4-FFF2-40B4-BE49-F238E27FC236}">
              <a16:creationId xmlns:a16="http://schemas.microsoft.com/office/drawing/2014/main" id="{00000000-0008-0000-0B00-00008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79" name="Oval 259">
          <a:extLst>
            <a:ext uri="{FF2B5EF4-FFF2-40B4-BE49-F238E27FC236}">
              <a16:creationId xmlns:a16="http://schemas.microsoft.com/office/drawing/2014/main" id="{00000000-0008-0000-0B00-00008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0" name="Oval 260">
          <a:extLst>
            <a:ext uri="{FF2B5EF4-FFF2-40B4-BE49-F238E27FC236}">
              <a16:creationId xmlns:a16="http://schemas.microsoft.com/office/drawing/2014/main" id="{00000000-0008-0000-0B00-00008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1" name="Oval 261">
          <a:extLst>
            <a:ext uri="{FF2B5EF4-FFF2-40B4-BE49-F238E27FC236}">
              <a16:creationId xmlns:a16="http://schemas.microsoft.com/office/drawing/2014/main" id="{00000000-0008-0000-0B00-00008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82" name="AutoShape 262">
          <a:extLst>
            <a:ext uri="{FF2B5EF4-FFF2-40B4-BE49-F238E27FC236}">
              <a16:creationId xmlns:a16="http://schemas.microsoft.com/office/drawing/2014/main" id="{00000000-0008-0000-0B00-00008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83" name="Rectangle 263">
          <a:extLst>
            <a:ext uri="{FF2B5EF4-FFF2-40B4-BE49-F238E27FC236}">
              <a16:creationId xmlns:a16="http://schemas.microsoft.com/office/drawing/2014/main" id="{00000000-0008-0000-0B00-00008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4" name="Oval 264">
          <a:extLst>
            <a:ext uri="{FF2B5EF4-FFF2-40B4-BE49-F238E27FC236}">
              <a16:creationId xmlns:a16="http://schemas.microsoft.com/office/drawing/2014/main" id="{00000000-0008-0000-0B00-00008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5" name="Oval 265">
          <a:extLst>
            <a:ext uri="{FF2B5EF4-FFF2-40B4-BE49-F238E27FC236}">
              <a16:creationId xmlns:a16="http://schemas.microsoft.com/office/drawing/2014/main" id="{00000000-0008-0000-0B00-00008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6" name="Oval 266">
          <a:extLst>
            <a:ext uri="{FF2B5EF4-FFF2-40B4-BE49-F238E27FC236}">
              <a16:creationId xmlns:a16="http://schemas.microsoft.com/office/drawing/2014/main" id="{00000000-0008-0000-0B00-00008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87" name="Oval 267">
          <a:extLst>
            <a:ext uri="{FF2B5EF4-FFF2-40B4-BE49-F238E27FC236}">
              <a16:creationId xmlns:a16="http://schemas.microsoft.com/office/drawing/2014/main" id="{00000000-0008-0000-0B00-00008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7788" name="AutoShape 268">
          <a:extLst>
            <a:ext uri="{FF2B5EF4-FFF2-40B4-BE49-F238E27FC236}">
              <a16:creationId xmlns:a16="http://schemas.microsoft.com/office/drawing/2014/main" id="{00000000-0008-0000-0B00-00008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89" name="Rectangle 269">
          <a:extLst>
            <a:ext uri="{FF2B5EF4-FFF2-40B4-BE49-F238E27FC236}">
              <a16:creationId xmlns:a16="http://schemas.microsoft.com/office/drawing/2014/main" id="{00000000-0008-0000-0B00-00008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0" name="Oval 270">
          <a:extLst>
            <a:ext uri="{FF2B5EF4-FFF2-40B4-BE49-F238E27FC236}">
              <a16:creationId xmlns:a16="http://schemas.microsoft.com/office/drawing/2014/main" id="{00000000-0008-0000-0B00-00008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1" name="Oval 271">
          <a:extLst>
            <a:ext uri="{FF2B5EF4-FFF2-40B4-BE49-F238E27FC236}">
              <a16:creationId xmlns:a16="http://schemas.microsoft.com/office/drawing/2014/main" id="{00000000-0008-0000-0B00-00008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2" name="Oval 272">
          <a:extLst>
            <a:ext uri="{FF2B5EF4-FFF2-40B4-BE49-F238E27FC236}">
              <a16:creationId xmlns:a16="http://schemas.microsoft.com/office/drawing/2014/main" id="{00000000-0008-0000-0B00-00009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3" name="Oval 273">
          <a:extLst>
            <a:ext uri="{FF2B5EF4-FFF2-40B4-BE49-F238E27FC236}">
              <a16:creationId xmlns:a16="http://schemas.microsoft.com/office/drawing/2014/main" id="{00000000-0008-0000-0B00-00009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94" name="Rectangle 274">
          <a:extLst>
            <a:ext uri="{FF2B5EF4-FFF2-40B4-BE49-F238E27FC236}">
              <a16:creationId xmlns:a16="http://schemas.microsoft.com/office/drawing/2014/main" id="{00000000-0008-0000-0B00-00009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5" name="Oval 275">
          <a:extLst>
            <a:ext uri="{FF2B5EF4-FFF2-40B4-BE49-F238E27FC236}">
              <a16:creationId xmlns:a16="http://schemas.microsoft.com/office/drawing/2014/main" id="{00000000-0008-0000-0B00-00009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6" name="Oval 276">
          <a:extLst>
            <a:ext uri="{FF2B5EF4-FFF2-40B4-BE49-F238E27FC236}">
              <a16:creationId xmlns:a16="http://schemas.microsoft.com/office/drawing/2014/main" id="{00000000-0008-0000-0B00-00009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7" name="Oval 277">
          <a:extLst>
            <a:ext uri="{FF2B5EF4-FFF2-40B4-BE49-F238E27FC236}">
              <a16:creationId xmlns:a16="http://schemas.microsoft.com/office/drawing/2014/main" id="{00000000-0008-0000-0B00-00009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798" name="Oval 278">
          <a:extLst>
            <a:ext uri="{FF2B5EF4-FFF2-40B4-BE49-F238E27FC236}">
              <a16:creationId xmlns:a16="http://schemas.microsoft.com/office/drawing/2014/main" id="{00000000-0008-0000-0B00-00009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7799" name="Rectangle 279">
          <a:extLst>
            <a:ext uri="{FF2B5EF4-FFF2-40B4-BE49-F238E27FC236}">
              <a16:creationId xmlns:a16="http://schemas.microsoft.com/office/drawing/2014/main" id="{00000000-0008-0000-0B00-00009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800" name="Oval 280">
          <a:extLst>
            <a:ext uri="{FF2B5EF4-FFF2-40B4-BE49-F238E27FC236}">
              <a16:creationId xmlns:a16="http://schemas.microsoft.com/office/drawing/2014/main" id="{00000000-0008-0000-0B00-00009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801" name="Oval 281">
          <a:extLst>
            <a:ext uri="{FF2B5EF4-FFF2-40B4-BE49-F238E27FC236}">
              <a16:creationId xmlns:a16="http://schemas.microsoft.com/office/drawing/2014/main" id="{00000000-0008-0000-0B00-00009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802" name="Oval 282">
          <a:extLst>
            <a:ext uri="{FF2B5EF4-FFF2-40B4-BE49-F238E27FC236}">
              <a16:creationId xmlns:a16="http://schemas.microsoft.com/office/drawing/2014/main" id="{00000000-0008-0000-0B00-00009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7803" name="Oval 283">
          <a:extLst>
            <a:ext uri="{FF2B5EF4-FFF2-40B4-BE49-F238E27FC236}">
              <a16:creationId xmlns:a16="http://schemas.microsoft.com/office/drawing/2014/main" id="{00000000-0008-0000-0B00-00009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17</xdr:row>
      <xdr:rowOff>104775</xdr:rowOff>
    </xdr:from>
    <xdr:to>
      <xdr:col>4</xdr:col>
      <xdr:colOff>9525</xdr:colOff>
      <xdr:row>22</xdr:row>
      <xdr:rowOff>85725</xdr:rowOff>
    </xdr:to>
    <xdr:sp macro="" textlink="">
      <xdr:nvSpPr>
        <xdr:cNvPr id="347804" name="AutoShape 284">
          <a:extLst>
            <a:ext uri="{FF2B5EF4-FFF2-40B4-BE49-F238E27FC236}">
              <a16:creationId xmlns:a16="http://schemas.microsoft.com/office/drawing/2014/main" id="{00000000-0008-0000-0B00-00009C4E0500}"/>
            </a:ext>
          </a:extLst>
        </xdr:cNvPr>
        <xdr:cNvSpPr>
          <a:spLocks noChangeArrowheads="1"/>
        </xdr:cNvSpPr>
      </xdr:nvSpPr>
      <xdr:spPr bwMode="auto">
        <a:xfrm>
          <a:off x="676275" y="2085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7805" name="Rectangle 285">
          <a:extLst>
            <a:ext uri="{FF2B5EF4-FFF2-40B4-BE49-F238E27FC236}">
              <a16:creationId xmlns:a16="http://schemas.microsoft.com/office/drawing/2014/main" id="{00000000-0008-0000-0B00-00009D4E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25</xdr:row>
      <xdr:rowOff>104775</xdr:rowOff>
    </xdr:from>
    <xdr:to>
      <xdr:col>4</xdr:col>
      <xdr:colOff>9525</xdr:colOff>
      <xdr:row>30</xdr:row>
      <xdr:rowOff>85725</xdr:rowOff>
    </xdr:to>
    <xdr:sp macro="" textlink="">
      <xdr:nvSpPr>
        <xdr:cNvPr id="347806" name="AutoShape 286">
          <a:extLst>
            <a:ext uri="{FF2B5EF4-FFF2-40B4-BE49-F238E27FC236}">
              <a16:creationId xmlns:a16="http://schemas.microsoft.com/office/drawing/2014/main" id="{00000000-0008-0000-0B00-00009E4E0500}"/>
            </a:ext>
          </a:extLst>
        </xdr:cNvPr>
        <xdr:cNvSpPr>
          <a:spLocks noChangeArrowheads="1"/>
        </xdr:cNvSpPr>
      </xdr:nvSpPr>
      <xdr:spPr bwMode="auto">
        <a:xfrm>
          <a:off x="676275" y="2771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7807" name="Rectangle 287">
          <a:extLst>
            <a:ext uri="{FF2B5EF4-FFF2-40B4-BE49-F238E27FC236}">
              <a16:creationId xmlns:a16="http://schemas.microsoft.com/office/drawing/2014/main" id="{00000000-0008-0000-0B00-00009F4E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33</xdr:row>
      <xdr:rowOff>104775</xdr:rowOff>
    </xdr:from>
    <xdr:to>
      <xdr:col>4</xdr:col>
      <xdr:colOff>9525</xdr:colOff>
      <xdr:row>38</xdr:row>
      <xdr:rowOff>85725</xdr:rowOff>
    </xdr:to>
    <xdr:sp macro="" textlink="">
      <xdr:nvSpPr>
        <xdr:cNvPr id="347808" name="AutoShape 288">
          <a:extLst>
            <a:ext uri="{FF2B5EF4-FFF2-40B4-BE49-F238E27FC236}">
              <a16:creationId xmlns:a16="http://schemas.microsoft.com/office/drawing/2014/main" id="{00000000-0008-0000-0B00-0000A04E0500}"/>
            </a:ext>
          </a:extLst>
        </xdr:cNvPr>
        <xdr:cNvSpPr>
          <a:spLocks noChangeArrowheads="1"/>
        </xdr:cNvSpPr>
      </xdr:nvSpPr>
      <xdr:spPr bwMode="auto">
        <a:xfrm>
          <a:off x="676275" y="3457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7809" name="Rectangle 289">
          <a:extLst>
            <a:ext uri="{FF2B5EF4-FFF2-40B4-BE49-F238E27FC236}">
              <a16:creationId xmlns:a16="http://schemas.microsoft.com/office/drawing/2014/main" id="{00000000-0008-0000-0B00-0000A14E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4</xdr:col>
      <xdr:colOff>9525</xdr:colOff>
      <xdr:row>46</xdr:row>
      <xdr:rowOff>85725</xdr:rowOff>
    </xdr:to>
    <xdr:sp macro="" textlink="">
      <xdr:nvSpPr>
        <xdr:cNvPr id="347810" name="AutoShape 290">
          <a:extLst>
            <a:ext uri="{FF2B5EF4-FFF2-40B4-BE49-F238E27FC236}">
              <a16:creationId xmlns:a16="http://schemas.microsoft.com/office/drawing/2014/main" id="{00000000-0008-0000-0B00-0000A24E0500}"/>
            </a:ext>
          </a:extLst>
        </xdr:cNvPr>
        <xdr:cNvSpPr>
          <a:spLocks noChangeArrowheads="1"/>
        </xdr:cNvSpPr>
      </xdr:nvSpPr>
      <xdr:spPr bwMode="auto">
        <a:xfrm>
          <a:off x="676275" y="4143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7811" name="Rectangle 291">
          <a:extLst>
            <a:ext uri="{FF2B5EF4-FFF2-40B4-BE49-F238E27FC236}">
              <a16:creationId xmlns:a16="http://schemas.microsoft.com/office/drawing/2014/main" id="{00000000-0008-0000-0B00-0000A34E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49</xdr:row>
      <xdr:rowOff>104775</xdr:rowOff>
    </xdr:from>
    <xdr:to>
      <xdr:col>4</xdr:col>
      <xdr:colOff>9525</xdr:colOff>
      <xdr:row>54</xdr:row>
      <xdr:rowOff>85725</xdr:rowOff>
    </xdr:to>
    <xdr:sp macro="" textlink="">
      <xdr:nvSpPr>
        <xdr:cNvPr id="347812" name="AutoShape 292">
          <a:extLst>
            <a:ext uri="{FF2B5EF4-FFF2-40B4-BE49-F238E27FC236}">
              <a16:creationId xmlns:a16="http://schemas.microsoft.com/office/drawing/2014/main" id="{00000000-0008-0000-0B00-0000A44E0500}"/>
            </a:ext>
          </a:extLst>
        </xdr:cNvPr>
        <xdr:cNvSpPr>
          <a:spLocks noChangeArrowheads="1"/>
        </xdr:cNvSpPr>
      </xdr:nvSpPr>
      <xdr:spPr bwMode="auto">
        <a:xfrm>
          <a:off x="676275" y="4829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7813" name="Rectangle 293">
          <a:extLst>
            <a:ext uri="{FF2B5EF4-FFF2-40B4-BE49-F238E27FC236}">
              <a16:creationId xmlns:a16="http://schemas.microsoft.com/office/drawing/2014/main" id="{00000000-0008-0000-0B00-0000A54E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57</xdr:row>
      <xdr:rowOff>104775</xdr:rowOff>
    </xdr:from>
    <xdr:to>
      <xdr:col>4</xdr:col>
      <xdr:colOff>9525</xdr:colOff>
      <xdr:row>62</xdr:row>
      <xdr:rowOff>85725</xdr:rowOff>
    </xdr:to>
    <xdr:sp macro="" textlink="">
      <xdr:nvSpPr>
        <xdr:cNvPr id="347814" name="AutoShape 294">
          <a:extLst>
            <a:ext uri="{FF2B5EF4-FFF2-40B4-BE49-F238E27FC236}">
              <a16:creationId xmlns:a16="http://schemas.microsoft.com/office/drawing/2014/main" id="{00000000-0008-0000-0B00-0000A64E0500}"/>
            </a:ext>
          </a:extLst>
        </xdr:cNvPr>
        <xdr:cNvSpPr>
          <a:spLocks noChangeArrowheads="1"/>
        </xdr:cNvSpPr>
      </xdr:nvSpPr>
      <xdr:spPr bwMode="auto">
        <a:xfrm>
          <a:off x="676275" y="5514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7815" name="Rectangle 295">
          <a:extLst>
            <a:ext uri="{FF2B5EF4-FFF2-40B4-BE49-F238E27FC236}">
              <a16:creationId xmlns:a16="http://schemas.microsoft.com/office/drawing/2014/main" id="{00000000-0008-0000-0B00-0000A74E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65</xdr:row>
      <xdr:rowOff>104775</xdr:rowOff>
    </xdr:from>
    <xdr:to>
      <xdr:col>4</xdr:col>
      <xdr:colOff>9525</xdr:colOff>
      <xdr:row>70</xdr:row>
      <xdr:rowOff>85725</xdr:rowOff>
    </xdr:to>
    <xdr:sp macro="" textlink="">
      <xdr:nvSpPr>
        <xdr:cNvPr id="347816" name="AutoShape 296">
          <a:extLst>
            <a:ext uri="{FF2B5EF4-FFF2-40B4-BE49-F238E27FC236}">
              <a16:creationId xmlns:a16="http://schemas.microsoft.com/office/drawing/2014/main" id="{00000000-0008-0000-0B00-0000A84E0500}"/>
            </a:ext>
          </a:extLst>
        </xdr:cNvPr>
        <xdr:cNvSpPr>
          <a:spLocks noChangeArrowheads="1"/>
        </xdr:cNvSpPr>
      </xdr:nvSpPr>
      <xdr:spPr bwMode="auto">
        <a:xfrm>
          <a:off x="676275" y="6200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7817" name="Rectangle 297">
          <a:extLst>
            <a:ext uri="{FF2B5EF4-FFF2-40B4-BE49-F238E27FC236}">
              <a16:creationId xmlns:a16="http://schemas.microsoft.com/office/drawing/2014/main" id="{00000000-0008-0000-0B00-0000A94E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73</xdr:row>
      <xdr:rowOff>104775</xdr:rowOff>
    </xdr:from>
    <xdr:to>
      <xdr:col>4</xdr:col>
      <xdr:colOff>9525</xdr:colOff>
      <xdr:row>78</xdr:row>
      <xdr:rowOff>85725</xdr:rowOff>
    </xdr:to>
    <xdr:sp macro="" textlink="">
      <xdr:nvSpPr>
        <xdr:cNvPr id="347818" name="AutoShape 298">
          <a:extLst>
            <a:ext uri="{FF2B5EF4-FFF2-40B4-BE49-F238E27FC236}">
              <a16:creationId xmlns:a16="http://schemas.microsoft.com/office/drawing/2014/main" id="{00000000-0008-0000-0B00-0000AA4E0500}"/>
            </a:ext>
          </a:extLst>
        </xdr:cNvPr>
        <xdr:cNvSpPr>
          <a:spLocks noChangeArrowheads="1"/>
        </xdr:cNvSpPr>
      </xdr:nvSpPr>
      <xdr:spPr bwMode="auto">
        <a:xfrm>
          <a:off x="676275" y="6886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7819" name="Rectangle 299">
          <a:extLst>
            <a:ext uri="{FF2B5EF4-FFF2-40B4-BE49-F238E27FC236}">
              <a16:creationId xmlns:a16="http://schemas.microsoft.com/office/drawing/2014/main" id="{00000000-0008-0000-0B00-0000AB4E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81</xdr:row>
      <xdr:rowOff>104775</xdr:rowOff>
    </xdr:from>
    <xdr:to>
      <xdr:col>4</xdr:col>
      <xdr:colOff>9525</xdr:colOff>
      <xdr:row>86</xdr:row>
      <xdr:rowOff>85725</xdr:rowOff>
    </xdr:to>
    <xdr:sp macro="" textlink="">
      <xdr:nvSpPr>
        <xdr:cNvPr id="347820" name="AutoShape 300">
          <a:extLst>
            <a:ext uri="{FF2B5EF4-FFF2-40B4-BE49-F238E27FC236}">
              <a16:creationId xmlns:a16="http://schemas.microsoft.com/office/drawing/2014/main" id="{00000000-0008-0000-0B00-0000AC4E0500}"/>
            </a:ext>
          </a:extLst>
        </xdr:cNvPr>
        <xdr:cNvSpPr>
          <a:spLocks noChangeArrowheads="1"/>
        </xdr:cNvSpPr>
      </xdr:nvSpPr>
      <xdr:spPr bwMode="auto">
        <a:xfrm>
          <a:off x="676275" y="7572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7821" name="Rectangle 301">
          <a:extLst>
            <a:ext uri="{FF2B5EF4-FFF2-40B4-BE49-F238E27FC236}">
              <a16:creationId xmlns:a16="http://schemas.microsoft.com/office/drawing/2014/main" id="{00000000-0008-0000-0B00-0000AD4E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89</xdr:row>
      <xdr:rowOff>104775</xdr:rowOff>
    </xdr:from>
    <xdr:to>
      <xdr:col>4</xdr:col>
      <xdr:colOff>9525</xdr:colOff>
      <xdr:row>94</xdr:row>
      <xdr:rowOff>85725</xdr:rowOff>
    </xdr:to>
    <xdr:sp macro="" textlink="">
      <xdr:nvSpPr>
        <xdr:cNvPr id="347822" name="AutoShape 302">
          <a:extLst>
            <a:ext uri="{FF2B5EF4-FFF2-40B4-BE49-F238E27FC236}">
              <a16:creationId xmlns:a16="http://schemas.microsoft.com/office/drawing/2014/main" id="{00000000-0008-0000-0B00-0000AE4E0500}"/>
            </a:ext>
          </a:extLst>
        </xdr:cNvPr>
        <xdr:cNvSpPr>
          <a:spLocks noChangeArrowheads="1"/>
        </xdr:cNvSpPr>
      </xdr:nvSpPr>
      <xdr:spPr bwMode="auto">
        <a:xfrm>
          <a:off x="676275" y="8258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7823" name="Rectangle 303">
          <a:extLst>
            <a:ext uri="{FF2B5EF4-FFF2-40B4-BE49-F238E27FC236}">
              <a16:creationId xmlns:a16="http://schemas.microsoft.com/office/drawing/2014/main" id="{00000000-0008-0000-0B00-0000AF4E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97</xdr:row>
      <xdr:rowOff>104775</xdr:rowOff>
    </xdr:from>
    <xdr:to>
      <xdr:col>4</xdr:col>
      <xdr:colOff>9525</xdr:colOff>
      <xdr:row>102</xdr:row>
      <xdr:rowOff>85725</xdr:rowOff>
    </xdr:to>
    <xdr:sp macro="" textlink="">
      <xdr:nvSpPr>
        <xdr:cNvPr id="347824" name="AutoShape 304">
          <a:extLst>
            <a:ext uri="{FF2B5EF4-FFF2-40B4-BE49-F238E27FC236}">
              <a16:creationId xmlns:a16="http://schemas.microsoft.com/office/drawing/2014/main" id="{00000000-0008-0000-0B00-0000B04E0500}"/>
            </a:ext>
          </a:extLst>
        </xdr:cNvPr>
        <xdr:cNvSpPr>
          <a:spLocks noChangeArrowheads="1"/>
        </xdr:cNvSpPr>
      </xdr:nvSpPr>
      <xdr:spPr bwMode="auto">
        <a:xfrm>
          <a:off x="676275" y="8943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7825" name="Rectangle 305">
          <a:extLst>
            <a:ext uri="{FF2B5EF4-FFF2-40B4-BE49-F238E27FC236}">
              <a16:creationId xmlns:a16="http://schemas.microsoft.com/office/drawing/2014/main" id="{00000000-0008-0000-0B00-0000B14E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105</xdr:row>
      <xdr:rowOff>104775</xdr:rowOff>
    </xdr:from>
    <xdr:to>
      <xdr:col>4</xdr:col>
      <xdr:colOff>9525</xdr:colOff>
      <xdr:row>110</xdr:row>
      <xdr:rowOff>85725</xdr:rowOff>
    </xdr:to>
    <xdr:sp macro="" textlink="">
      <xdr:nvSpPr>
        <xdr:cNvPr id="347826" name="AutoShape 306">
          <a:extLst>
            <a:ext uri="{FF2B5EF4-FFF2-40B4-BE49-F238E27FC236}">
              <a16:creationId xmlns:a16="http://schemas.microsoft.com/office/drawing/2014/main" id="{00000000-0008-0000-0B00-0000B24E0500}"/>
            </a:ext>
          </a:extLst>
        </xdr:cNvPr>
        <xdr:cNvSpPr>
          <a:spLocks noChangeArrowheads="1"/>
        </xdr:cNvSpPr>
      </xdr:nvSpPr>
      <xdr:spPr bwMode="auto">
        <a:xfrm>
          <a:off x="676275" y="9629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7827" name="Rectangle 307">
          <a:extLst>
            <a:ext uri="{FF2B5EF4-FFF2-40B4-BE49-F238E27FC236}">
              <a16:creationId xmlns:a16="http://schemas.microsoft.com/office/drawing/2014/main" id="{00000000-0008-0000-0B00-0000B34E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9</xdr:row>
      <xdr:rowOff>104775</xdr:rowOff>
    </xdr:from>
    <xdr:to>
      <xdr:col>4</xdr:col>
      <xdr:colOff>9525</xdr:colOff>
      <xdr:row>14</xdr:row>
      <xdr:rowOff>85725</xdr:rowOff>
    </xdr:to>
    <xdr:sp macro="" textlink="">
      <xdr:nvSpPr>
        <xdr:cNvPr id="348545" name="AutoShape 1">
          <a:extLst>
            <a:ext uri="{FF2B5EF4-FFF2-40B4-BE49-F238E27FC236}">
              <a16:creationId xmlns:a16="http://schemas.microsoft.com/office/drawing/2014/main" id="{00000000-0008-0000-0C00-000081510500}"/>
            </a:ext>
          </a:extLst>
        </xdr:cNvPr>
        <xdr:cNvSpPr>
          <a:spLocks noChangeArrowheads="1"/>
        </xdr:cNvSpPr>
      </xdr:nvSpPr>
      <xdr:spPr bwMode="auto">
        <a:xfrm>
          <a:off x="676275" y="1400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macro="" textlink="">
      <xdr:nvSpPr>
        <xdr:cNvPr id="348546" name="Rectangle 2">
          <a:extLst>
            <a:ext uri="{FF2B5EF4-FFF2-40B4-BE49-F238E27FC236}">
              <a16:creationId xmlns:a16="http://schemas.microsoft.com/office/drawing/2014/main" id="{00000000-0008-0000-0C00-0000825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macro="" textlink="">
      <xdr:nvSpPr>
        <xdr:cNvPr id="348547" name="Oval 3">
          <a:extLst>
            <a:ext uri="{FF2B5EF4-FFF2-40B4-BE49-F238E27FC236}">
              <a16:creationId xmlns:a16="http://schemas.microsoft.com/office/drawing/2014/main" id="{00000000-0008-0000-0C00-00008351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8548" name="Oval 4">
          <a:extLst>
            <a:ext uri="{FF2B5EF4-FFF2-40B4-BE49-F238E27FC236}">
              <a16:creationId xmlns:a16="http://schemas.microsoft.com/office/drawing/2014/main" id="{00000000-0008-0000-0C00-000084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49" name="Oval 5">
          <a:extLst>
            <a:ext uri="{FF2B5EF4-FFF2-40B4-BE49-F238E27FC236}">
              <a16:creationId xmlns:a16="http://schemas.microsoft.com/office/drawing/2014/main" id="{00000000-0008-0000-0C00-000085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50" name="Oval 6">
          <a:extLst>
            <a:ext uri="{FF2B5EF4-FFF2-40B4-BE49-F238E27FC236}">
              <a16:creationId xmlns:a16="http://schemas.microsoft.com/office/drawing/2014/main" id="{00000000-0008-0000-0C00-000086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51" name="Oval 7">
          <a:extLst>
            <a:ext uri="{FF2B5EF4-FFF2-40B4-BE49-F238E27FC236}">
              <a16:creationId xmlns:a16="http://schemas.microsoft.com/office/drawing/2014/main" id="{00000000-0008-0000-0C00-000087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552" name="Oval 8">
          <a:extLst>
            <a:ext uri="{FF2B5EF4-FFF2-40B4-BE49-F238E27FC236}">
              <a16:creationId xmlns:a16="http://schemas.microsoft.com/office/drawing/2014/main" id="{00000000-0008-0000-0C00-000088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553" name="Oval 9">
          <a:extLst>
            <a:ext uri="{FF2B5EF4-FFF2-40B4-BE49-F238E27FC236}">
              <a16:creationId xmlns:a16="http://schemas.microsoft.com/office/drawing/2014/main" id="{00000000-0008-0000-0C00-000089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554" name="Oval 10">
          <a:extLst>
            <a:ext uri="{FF2B5EF4-FFF2-40B4-BE49-F238E27FC236}">
              <a16:creationId xmlns:a16="http://schemas.microsoft.com/office/drawing/2014/main" id="{00000000-0008-0000-0C00-00008A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555" name="Oval 11">
          <a:extLst>
            <a:ext uri="{FF2B5EF4-FFF2-40B4-BE49-F238E27FC236}">
              <a16:creationId xmlns:a16="http://schemas.microsoft.com/office/drawing/2014/main" id="{00000000-0008-0000-0C00-00008B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556" name="Oval 12">
          <a:extLst>
            <a:ext uri="{FF2B5EF4-FFF2-40B4-BE49-F238E27FC236}">
              <a16:creationId xmlns:a16="http://schemas.microsoft.com/office/drawing/2014/main" id="{00000000-0008-0000-0C00-00008C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557" name="Oval 13">
          <a:extLst>
            <a:ext uri="{FF2B5EF4-FFF2-40B4-BE49-F238E27FC236}">
              <a16:creationId xmlns:a16="http://schemas.microsoft.com/office/drawing/2014/main" id="{00000000-0008-0000-0C00-00008D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558" name="Oval 14">
          <a:extLst>
            <a:ext uri="{FF2B5EF4-FFF2-40B4-BE49-F238E27FC236}">
              <a16:creationId xmlns:a16="http://schemas.microsoft.com/office/drawing/2014/main" id="{00000000-0008-0000-0C00-00008E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559" name="Oval 15">
          <a:extLst>
            <a:ext uri="{FF2B5EF4-FFF2-40B4-BE49-F238E27FC236}">
              <a16:creationId xmlns:a16="http://schemas.microsoft.com/office/drawing/2014/main" id="{00000000-0008-0000-0C00-00008F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macro="" textlink="">
      <xdr:nvSpPr>
        <xdr:cNvPr id="348560" name="Rectangle 16">
          <a:extLst>
            <a:ext uri="{FF2B5EF4-FFF2-40B4-BE49-F238E27FC236}">
              <a16:creationId xmlns:a16="http://schemas.microsoft.com/office/drawing/2014/main" id="{00000000-0008-0000-0C00-00009051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561" name="Oval 17">
          <a:extLst>
            <a:ext uri="{FF2B5EF4-FFF2-40B4-BE49-F238E27FC236}">
              <a16:creationId xmlns:a16="http://schemas.microsoft.com/office/drawing/2014/main" id="{00000000-0008-0000-0C00-000091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macro="" textlink="">
      <xdr:nvSpPr>
        <xdr:cNvPr id="348562" name="Oval 18">
          <a:extLst>
            <a:ext uri="{FF2B5EF4-FFF2-40B4-BE49-F238E27FC236}">
              <a16:creationId xmlns:a16="http://schemas.microsoft.com/office/drawing/2014/main" id="{00000000-0008-0000-0C00-00009251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8563" name="Oval 19">
          <a:extLst>
            <a:ext uri="{FF2B5EF4-FFF2-40B4-BE49-F238E27FC236}">
              <a16:creationId xmlns:a16="http://schemas.microsoft.com/office/drawing/2014/main" id="{00000000-0008-0000-0C00-000093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8564" name="Oval 20">
          <a:extLst>
            <a:ext uri="{FF2B5EF4-FFF2-40B4-BE49-F238E27FC236}">
              <a16:creationId xmlns:a16="http://schemas.microsoft.com/office/drawing/2014/main" id="{00000000-0008-0000-0C00-000094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macro="" textlink="">
      <xdr:nvSpPr>
        <xdr:cNvPr id="348565" name="Oval 21">
          <a:extLst>
            <a:ext uri="{FF2B5EF4-FFF2-40B4-BE49-F238E27FC236}">
              <a16:creationId xmlns:a16="http://schemas.microsoft.com/office/drawing/2014/main" id="{00000000-0008-0000-0C00-000095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66" name="Oval 22">
          <a:extLst>
            <a:ext uri="{FF2B5EF4-FFF2-40B4-BE49-F238E27FC236}">
              <a16:creationId xmlns:a16="http://schemas.microsoft.com/office/drawing/2014/main" id="{00000000-0008-0000-0C00-000096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67" name="Oval 23">
          <a:extLst>
            <a:ext uri="{FF2B5EF4-FFF2-40B4-BE49-F238E27FC236}">
              <a16:creationId xmlns:a16="http://schemas.microsoft.com/office/drawing/2014/main" id="{00000000-0008-0000-0C00-000097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68" name="Oval 24">
          <a:extLst>
            <a:ext uri="{FF2B5EF4-FFF2-40B4-BE49-F238E27FC236}">
              <a16:creationId xmlns:a16="http://schemas.microsoft.com/office/drawing/2014/main" id="{00000000-0008-0000-0C00-000098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569" name="Oval 25">
          <a:extLst>
            <a:ext uri="{FF2B5EF4-FFF2-40B4-BE49-F238E27FC236}">
              <a16:creationId xmlns:a16="http://schemas.microsoft.com/office/drawing/2014/main" id="{00000000-0008-0000-0C00-000099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570" name="Oval 26">
          <a:extLst>
            <a:ext uri="{FF2B5EF4-FFF2-40B4-BE49-F238E27FC236}">
              <a16:creationId xmlns:a16="http://schemas.microsoft.com/office/drawing/2014/main" id="{00000000-0008-0000-0C00-00009A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571" name="Oval 27">
          <a:extLst>
            <a:ext uri="{FF2B5EF4-FFF2-40B4-BE49-F238E27FC236}">
              <a16:creationId xmlns:a16="http://schemas.microsoft.com/office/drawing/2014/main" id="{00000000-0008-0000-0C00-00009B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572" name="Oval 28">
          <a:extLst>
            <a:ext uri="{FF2B5EF4-FFF2-40B4-BE49-F238E27FC236}">
              <a16:creationId xmlns:a16="http://schemas.microsoft.com/office/drawing/2014/main" id="{00000000-0008-0000-0C00-00009C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573" name="Oval 29">
          <a:extLst>
            <a:ext uri="{FF2B5EF4-FFF2-40B4-BE49-F238E27FC236}">
              <a16:creationId xmlns:a16="http://schemas.microsoft.com/office/drawing/2014/main" id="{00000000-0008-0000-0C00-00009D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574" name="Oval 30">
          <a:extLst>
            <a:ext uri="{FF2B5EF4-FFF2-40B4-BE49-F238E27FC236}">
              <a16:creationId xmlns:a16="http://schemas.microsoft.com/office/drawing/2014/main" id="{00000000-0008-0000-0C00-00009E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575" name="Oval 31">
          <a:extLst>
            <a:ext uri="{FF2B5EF4-FFF2-40B4-BE49-F238E27FC236}">
              <a16:creationId xmlns:a16="http://schemas.microsoft.com/office/drawing/2014/main" id="{00000000-0008-0000-0C00-00009F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576" name="Oval 32">
          <a:extLst>
            <a:ext uri="{FF2B5EF4-FFF2-40B4-BE49-F238E27FC236}">
              <a16:creationId xmlns:a16="http://schemas.microsoft.com/office/drawing/2014/main" id="{00000000-0008-0000-0C00-0000A0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577" name="Oval 33">
          <a:extLst>
            <a:ext uri="{FF2B5EF4-FFF2-40B4-BE49-F238E27FC236}">
              <a16:creationId xmlns:a16="http://schemas.microsoft.com/office/drawing/2014/main" id="{00000000-0008-0000-0C00-0000A1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578" name="Oval 34">
          <a:extLst>
            <a:ext uri="{FF2B5EF4-FFF2-40B4-BE49-F238E27FC236}">
              <a16:creationId xmlns:a16="http://schemas.microsoft.com/office/drawing/2014/main" id="{00000000-0008-0000-0C00-0000A2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579" name="Oval 35">
          <a:extLst>
            <a:ext uri="{FF2B5EF4-FFF2-40B4-BE49-F238E27FC236}">
              <a16:creationId xmlns:a16="http://schemas.microsoft.com/office/drawing/2014/main" id="{00000000-0008-0000-0C00-0000A3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580" name="Oval 36">
          <a:extLst>
            <a:ext uri="{FF2B5EF4-FFF2-40B4-BE49-F238E27FC236}">
              <a16:creationId xmlns:a16="http://schemas.microsoft.com/office/drawing/2014/main" id="{00000000-0008-0000-0C00-0000A4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581" name="Oval 37">
          <a:extLst>
            <a:ext uri="{FF2B5EF4-FFF2-40B4-BE49-F238E27FC236}">
              <a16:creationId xmlns:a16="http://schemas.microsoft.com/office/drawing/2014/main" id="{00000000-0008-0000-0C00-0000A5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582" name="Oval 38">
          <a:extLst>
            <a:ext uri="{FF2B5EF4-FFF2-40B4-BE49-F238E27FC236}">
              <a16:creationId xmlns:a16="http://schemas.microsoft.com/office/drawing/2014/main" id="{00000000-0008-0000-0C00-0000A6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583" name="Oval 39">
          <a:extLst>
            <a:ext uri="{FF2B5EF4-FFF2-40B4-BE49-F238E27FC236}">
              <a16:creationId xmlns:a16="http://schemas.microsoft.com/office/drawing/2014/main" id="{00000000-0008-0000-0C00-0000A7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584" name="Oval 40">
          <a:extLst>
            <a:ext uri="{FF2B5EF4-FFF2-40B4-BE49-F238E27FC236}">
              <a16:creationId xmlns:a16="http://schemas.microsoft.com/office/drawing/2014/main" id="{00000000-0008-0000-0C00-0000A8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585" name="Oval 41">
          <a:extLst>
            <a:ext uri="{FF2B5EF4-FFF2-40B4-BE49-F238E27FC236}">
              <a16:creationId xmlns:a16="http://schemas.microsoft.com/office/drawing/2014/main" id="{00000000-0008-0000-0C00-0000A9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586" name="Oval 42">
          <a:extLst>
            <a:ext uri="{FF2B5EF4-FFF2-40B4-BE49-F238E27FC236}">
              <a16:creationId xmlns:a16="http://schemas.microsoft.com/office/drawing/2014/main" id="{00000000-0008-0000-0C00-0000AA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587" name="Oval 43">
          <a:extLst>
            <a:ext uri="{FF2B5EF4-FFF2-40B4-BE49-F238E27FC236}">
              <a16:creationId xmlns:a16="http://schemas.microsoft.com/office/drawing/2014/main" id="{00000000-0008-0000-0C00-0000AB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588" name="Oval 44">
          <a:extLst>
            <a:ext uri="{FF2B5EF4-FFF2-40B4-BE49-F238E27FC236}">
              <a16:creationId xmlns:a16="http://schemas.microsoft.com/office/drawing/2014/main" id="{00000000-0008-0000-0C00-0000AC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589" name="Oval 45">
          <a:extLst>
            <a:ext uri="{FF2B5EF4-FFF2-40B4-BE49-F238E27FC236}">
              <a16:creationId xmlns:a16="http://schemas.microsoft.com/office/drawing/2014/main" id="{00000000-0008-0000-0C00-0000AD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590" name="Oval 46">
          <a:extLst>
            <a:ext uri="{FF2B5EF4-FFF2-40B4-BE49-F238E27FC236}">
              <a16:creationId xmlns:a16="http://schemas.microsoft.com/office/drawing/2014/main" id="{00000000-0008-0000-0C00-0000AE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591" name="Oval 47">
          <a:extLst>
            <a:ext uri="{FF2B5EF4-FFF2-40B4-BE49-F238E27FC236}">
              <a16:creationId xmlns:a16="http://schemas.microsoft.com/office/drawing/2014/main" id="{00000000-0008-0000-0C00-0000AF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592" name="Oval 48">
          <a:extLst>
            <a:ext uri="{FF2B5EF4-FFF2-40B4-BE49-F238E27FC236}">
              <a16:creationId xmlns:a16="http://schemas.microsoft.com/office/drawing/2014/main" id="{00000000-0008-0000-0C00-0000B0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593" name="Oval 49">
          <a:extLst>
            <a:ext uri="{FF2B5EF4-FFF2-40B4-BE49-F238E27FC236}">
              <a16:creationId xmlns:a16="http://schemas.microsoft.com/office/drawing/2014/main" id="{00000000-0008-0000-0C00-0000B1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594" name="Oval 50">
          <a:extLst>
            <a:ext uri="{FF2B5EF4-FFF2-40B4-BE49-F238E27FC236}">
              <a16:creationId xmlns:a16="http://schemas.microsoft.com/office/drawing/2014/main" id="{00000000-0008-0000-0C00-0000B2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595" name="Oval 51">
          <a:extLst>
            <a:ext uri="{FF2B5EF4-FFF2-40B4-BE49-F238E27FC236}">
              <a16:creationId xmlns:a16="http://schemas.microsoft.com/office/drawing/2014/main" id="{00000000-0008-0000-0C00-0000B3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596" name="Oval 52">
          <a:extLst>
            <a:ext uri="{FF2B5EF4-FFF2-40B4-BE49-F238E27FC236}">
              <a16:creationId xmlns:a16="http://schemas.microsoft.com/office/drawing/2014/main" id="{00000000-0008-0000-0C00-0000B4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597" name="Oval 53">
          <a:extLst>
            <a:ext uri="{FF2B5EF4-FFF2-40B4-BE49-F238E27FC236}">
              <a16:creationId xmlns:a16="http://schemas.microsoft.com/office/drawing/2014/main" id="{00000000-0008-0000-0C00-0000B5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598" name="Oval 54">
          <a:extLst>
            <a:ext uri="{FF2B5EF4-FFF2-40B4-BE49-F238E27FC236}">
              <a16:creationId xmlns:a16="http://schemas.microsoft.com/office/drawing/2014/main" id="{00000000-0008-0000-0C00-0000B6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599" name="Oval 55">
          <a:extLst>
            <a:ext uri="{FF2B5EF4-FFF2-40B4-BE49-F238E27FC236}">
              <a16:creationId xmlns:a16="http://schemas.microsoft.com/office/drawing/2014/main" id="{00000000-0008-0000-0C00-0000B7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00" name="Oval 56">
          <a:extLst>
            <a:ext uri="{FF2B5EF4-FFF2-40B4-BE49-F238E27FC236}">
              <a16:creationId xmlns:a16="http://schemas.microsoft.com/office/drawing/2014/main" id="{00000000-0008-0000-0C00-0000B8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01" name="Oval 57">
          <a:extLst>
            <a:ext uri="{FF2B5EF4-FFF2-40B4-BE49-F238E27FC236}">
              <a16:creationId xmlns:a16="http://schemas.microsoft.com/office/drawing/2014/main" id="{00000000-0008-0000-0C00-0000B9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02" name="Oval 58">
          <a:extLst>
            <a:ext uri="{FF2B5EF4-FFF2-40B4-BE49-F238E27FC236}">
              <a16:creationId xmlns:a16="http://schemas.microsoft.com/office/drawing/2014/main" id="{00000000-0008-0000-0C00-0000BA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03" name="Oval 59">
          <a:extLst>
            <a:ext uri="{FF2B5EF4-FFF2-40B4-BE49-F238E27FC236}">
              <a16:creationId xmlns:a16="http://schemas.microsoft.com/office/drawing/2014/main" id="{00000000-0008-0000-0C00-0000BB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04" name="Oval 60">
          <a:extLst>
            <a:ext uri="{FF2B5EF4-FFF2-40B4-BE49-F238E27FC236}">
              <a16:creationId xmlns:a16="http://schemas.microsoft.com/office/drawing/2014/main" id="{00000000-0008-0000-0C00-0000BC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05" name="Oval 61">
          <a:extLst>
            <a:ext uri="{FF2B5EF4-FFF2-40B4-BE49-F238E27FC236}">
              <a16:creationId xmlns:a16="http://schemas.microsoft.com/office/drawing/2014/main" id="{00000000-0008-0000-0C00-0000BD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606" name="Oval 62">
          <a:extLst>
            <a:ext uri="{FF2B5EF4-FFF2-40B4-BE49-F238E27FC236}">
              <a16:creationId xmlns:a16="http://schemas.microsoft.com/office/drawing/2014/main" id="{00000000-0008-0000-0C00-0000BE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607" name="Oval 63">
          <a:extLst>
            <a:ext uri="{FF2B5EF4-FFF2-40B4-BE49-F238E27FC236}">
              <a16:creationId xmlns:a16="http://schemas.microsoft.com/office/drawing/2014/main" id="{00000000-0008-0000-0C00-0000BF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608" name="Oval 64">
          <a:extLst>
            <a:ext uri="{FF2B5EF4-FFF2-40B4-BE49-F238E27FC236}">
              <a16:creationId xmlns:a16="http://schemas.microsoft.com/office/drawing/2014/main" id="{00000000-0008-0000-0C00-0000C0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macro="" textlink="">
      <xdr:nvSpPr>
        <xdr:cNvPr id="348609" name="Oval 65">
          <a:extLst>
            <a:ext uri="{FF2B5EF4-FFF2-40B4-BE49-F238E27FC236}">
              <a16:creationId xmlns:a16="http://schemas.microsoft.com/office/drawing/2014/main" id="{00000000-0008-0000-0C00-0000C1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610" name="Oval 66">
          <a:extLst>
            <a:ext uri="{FF2B5EF4-FFF2-40B4-BE49-F238E27FC236}">
              <a16:creationId xmlns:a16="http://schemas.microsoft.com/office/drawing/2014/main" id="{00000000-0008-0000-0C00-0000C2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611" name="Oval 67">
          <a:extLst>
            <a:ext uri="{FF2B5EF4-FFF2-40B4-BE49-F238E27FC236}">
              <a16:creationId xmlns:a16="http://schemas.microsoft.com/office/drawing/2014/main" id="{00000000-0008-0000-0C00-0000C3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612" name="Oval 68">
          <a:extLst>
            <a:ext uri="{FF2B5EF4-FFF2-40B4-BE49-F238E27FC236}">
              <a16:creationId xmlns:a16="http://schemas.microsoft.com/office/drawing/2014/main" id="{00000000-0008-0000-0C00-0000C4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macro="" textlink="">
      <xdr:nvSpPr>
        <xdr:cNvPr id="348613" name="Oval 69">
          <a:extLst>
            <a:ext uri="{FF2B5EF4-FFF2-40B4-BE49-F238E27FC236}">
              <a16:creationId xmlns:a16="http://schemas.microsoft.com/office/drawing/2014/main" id="{00000000-0008-0000-0C00-0000C5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614" name="Oval 70">
          <a:extLst>
            <a:ext uri="{FF2B5EF4-FFF2-40B4-BE49-F238E27FC236}">
              <a16:creationId xmlns:a16="http://schemas.microsoft.com/office/drawing/2014/main" id="{00000000-0008-0000-0C00-0000C6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615" name="Oval 71">
          <a:extLst>
            <a:ext uri="{FF2B5EF4-FFF2-40B4-BE49-F238E27FC236}">
              <a16:creationId xmlns:a16="http://schemas.microsoft.com/office/drawing/2014/main" id="{00000000-0008-0000-0C00-0000C7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616" name="Oval 72">
          <a:extLst>
            <a:ext uri="{FF2B5EF4-FFF2-40B4-BE49-F238E27FC236}">
              <a16:creationId xmlns:a16="http://schemas.microsoft.com/office/drawing/2014/main" id="{00000000-0008-0000-0C00-0000C8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macro="" textlink="">
      <xdr:nvSpPr>
        <xdr:cNvPr id="348617" name="Oval 73">
          <a:extLst>
            <a:ext uri="{FF2B5EF4-FFF2-40B4-BE49-F238E27FC236}">
              <a16:creationId xmlns:a16="http://schemas.microsoft.com/office/drawing/2014/main" id="{00000000-0008-0000-0C00-0000C9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618" name="Oval 74">
          <a:extLst>
            <a:ext uri="{FF2B5EF4-FFF2-40B4-BE49-F238E27FC236}">
              <a16:creationId xmlns:a16="http://schemas.microsoft.com/office/drawing/2014/main" id="{00000000-0008-0000-0C00-0000CA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619" name="Oval 75">
          <a:extLst>
            <a:ext uri="{FF2B5EF4-FFF2-40B4-BE49-F238E27FC236}">
              <a16:creationId xmlns:a16="http://schemas.microsoft.com/office/drawing/2014/main" id="{00000000-0008-0000-0C00-0000CB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620" name="Oval 76">
          <a:extLst>
            <a:ext uri="{FF2B5EF4-FFF2-40B4-BE49-F238E27FC236}">
              <a16:creationId xmlns:a16="http://schemas.microsoft.com/office/drawing/2014/main" id="{00000000-0008-0000-0C00-0000CC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macro="" textlink="">
      <xdr:nvSpPr>
        <xdr:cNvPr id="348621" name="Oval 77">
          <a:extLst>
            <a:ext uri="{FF2B5EF4-FFF2-40B4-BE49-F238E27FC236}">
              <a16:creationId xmlns:a16="http://schemas.microsoft.com/office/drawing/2014/main" id="{00000000-0008-0000-0C00-0000CD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622" name="Oval 78">
          <a:extLst>
            <a:ext uri="{FF2B5EF4-FFF2-40B4-BE49-F238E27FC236}">
              <a16:creationId xmlns:a16="http://schemas.microsoft.com/office/drawing/2014/main" id="{00000000-0008-0000-0C00-0000CE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623" name="Oval 79">
          <a:extLst>
            <a:ext uri="{FF2B5EF4-FFF2-40B4-BE49-F238E27FC236}">
              <a16:creationId xmlns:a16="http://schemas.microsoft.com/office/drawing/2014/main" id="{00000000-0008-0000-0C00-0000CF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624" name="Oval 80">
          <a:extLst>
            <a:ext uri="{FF2B5EF4-FFF2-40B4-BE49-F238E27FC236}">
              <a16:creationId xmlns:a16="http://schemas.microsoft.com/office/drawing/2014/main" id="{00000000-0008-0000-0C00-0000D0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macro="" textlink="">
      <xdr:nvSpPr>
        <xdr:cNvPr id="348625" name="Oval 81">
          <a:extLst>
            <a:ext uri="{FF2B5EF4-FFF2-40B4-BE49-F238E27FC236}">
              <a16:creationId xmlns:a16="http://schemas.microsoft.com/office/drawing/2014/main" id="{00000000-0008-0000-0C00-0000D1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626" name="Oval 82">
          <a:extLst>
            <a:ext uri="{FF2B5EF4-FFF2-40B4-BE49-F238E27FC236}">
              <a16:creationId xmlns:a16="http://schemas.microsoft.com/office/drawing/2014/main" id="{00000000-0008-0000-0C00-0000D2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627" name="Oval 83">
          <a:extLst>
            <a:ext uri="{FF2B5EF4-FFF2-40B4-BE49-F238E27FC236}">
              <a16:creationId xmlns:a16="http://schemas.microsoft.com/office/drawing/2014/main" id="{00000000-0008-0000-0C00-0000D3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628" name="Oval 84">
          <a:extLst>
            <a:ext uri="{FF2B5EF4-FFF2-40B4-BE49-F238E27FC236}">
              <a16:creationId xmlns:a16="http://schemas.microsoft.com/office/drawing/2014/main" id="{00000000-0008-0000-0C00-0000D4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macro="" textlink="">
      <xdr:nvSpPr>
        <xdr:cNvPr id="348629" name="Oval 85">
          <a:extLst>
            <a:ext uri="{FF2B5EF4-FFF2-40B4-BE49-F238E27FC236}">
              <a16:creationId xmlns:a16="http://schemas.microsoft.com/office/drawing/2014/main" id="{00000000-0008-0000-0C00-0000D5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630" name="Oval 86">
          <a:extLst>
            <a:ext uri="{FF2B5EF4-FFF2-40B4-BE49-F238E27FC236}">
              <a16:creationId xmlns:a16="http://schemas.microsoft.com/office/drawing/2014/main" id="{00000000-0008-0000-0C00-0000D6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631" name="Oval 87">
          <a:extLst>
            <a:ext uri="{FF2B5EF4-FFF2-40B4-BE49-F238E27FC236}">
              <a16:creationId xmlns:a16="http://schemas.microsoft.com/office/drawing/2014/main" id="{00000000-0008-0000-0C00-0000D7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632" name="Oval 88">
          <a:extLst>
            <a:ext uri="{FF2B5EF4-FFF2-40B4-BE49-F238E27FC236}">
              <a16:creationId xmlns:a16="http://schemas.microsoft.com/office/drawing/2014/main" id="{00000000-0008-0000-0C00-0000D8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macro="" textlink="">
      <xdr:nvSpPr>
        <xdr:cNvPr id="348633" name="Oval 89">
          <a:extLst>
            <a:ext uri="{FF2B5EF4-FFF2-40B4-BE49-F238E27FC236}">
              <a16:creationId xmlns:a16="http://schemas.microsoft.com/office/drawing/2014/main" id="{00000000-0008-0000-0C00-0000D9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634" name="Oval 90">
          <a:extLst>
            <a:ext uri="{FF2B5EF4-FFF2-40B4-BE49-F238E27FC236}">
              <a16:creationId xmlns:a16="http://schemas.microsoft.com/office/drawing/2014/main" id="{00000000-0008-0000-0C00-0000DA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635" name="Oval 91">
          <a:extLst>
            <a:ext uri="{FF2B5EF4-FFF2-40B4-BE49-F238E27FC236}">
              <a16:creationId xmlns:a16="http://schemas.microsoft.com/office/drawing/2014/main" id="{00000000-0008-0000-0C00-0000DB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636" name="Oval 92">
          <a:extLst>
            <a:ext uri="{FF2B5EF4-FFF2-40B4-BE49-F238E27FC236}">
              <a16:creationId xmlns:a16="http://schemas.microsoft.com/office/drawing/2014/main" id="{00000000-0008-0000-0C00-0000DC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macro="" textlink="">
      <xdr:nvSpPr>
        <xdr:cNvPr id="348637" name="Oval 93">
          <a:extLst>
            <a:ext uri="{FF2B5EF4-FFF2-40B4-BE49-F238E27FC236}">
              <a16:creationId xmlns:a16="http://schemas.microsoft.com/office/drawing/2014/main" id="{00000000-0008-0000-0C00-0000DD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38" name="Oval 94">
          <a:extLst>
            <a:ext uri="{FF2B5EF4-FFF2-40B4-BE49-F238E27FC236}">
              <a16:creationId xmlns:a16="http://schemas.microsoft.com/office/drawing/2014/main" id="{00000000-0008-0000-0C00-0000DE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39" name="Oval 95">
          <a:extLst>
            <a:ext uri="{FF2B5EF4-FFF2-40B4-BE49-F238E27FC236}">
              <a16:creationId xmlns:a16="http://schemas.microsoft.com/office/drawing/2014/main" id="{00000000-0008-0000-0C00-0000DF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40" name="Oval 96">
          <a:extLst>
            <a:ext uri="{FF2B5EF4-FFF2-40B4-BE49-F238E27FC236}">
              <a16:creationId xmlns:a16="http://schemas.microsoft.com/office/drawing/2014/main" id="{00000000-0008-0000-0C00-0000E0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macro="" textlink="">
      <xdr:nvSpPr>
        <xdr:cNvPr id="348641" name="Oval 97">
          <a:extLst>
            <a:ext uri="{FF2B5EF4-FFF2-40B4-BE49-F238E27FC236}">
              <a16:creationId xmlns:a16="http://schemas.microsoft.com/office/drawing/2014/main" id="{00000000-0008-0000-0C00-0000E1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42" name="Oval 98">
          <a:extLst>
            <a:ext uri="{FF2B5EF4-FFF2-40B4-BE49-F238E27FC236}">
              <a16:creationId xmlns:a16="http://schemas.microsoft.com/office/drawing/2014/main" id="{00000000-0008-0000-0C00-0000E2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43" name="Oval 99">
          <a:extLst>
            <a:ext uri="{FF2B5EF4-FFF2-40B4-BE49-F238E27FC236}">
              <a16:creationId xmlns:a16="http://schemas.microsoft.com/office/drawing/2014/main" id="{00000000-0008-0000-0C00-0000E3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44" name="Oval 100">
          <a:extLst>
            <a:ext uri="{FF2B5EF4-FFF2-40B4-BE49-F238E27FC236}">
              <a16:creationId xmlns:a16="http://schemas.microsoft.com/office/drawing/2014/main" id="{00000000-0008-0000-0C00-0000E4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macro="" textlink="">
      <xdr:nvSpPr>
        <xdr:cNvPr id="348645" name="Oval 101">
          <a:extLst>
            <a:ext uri="{FF2B5EF4-FFF2-40B4-BE49-F238E27FC236}">
              <a16:creationId xmlns:a16="http://schemas.microsoft.com/office/drawing/2014/main" id="{00000000-0008-0000-0C00-0000E5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46" name="AutoShape 102">
          <a:extLst>
            <a:ext uri="{FF2B5EF4-FFF2-40B4-BE49-F238E27FC236}">
              <a16:creationId xmlns:a16="http://schemas.microsoft.com/office/drawing/2014/main" id="{00000000-0008-0000-0C00-0000E6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47" name="Rectangle 103">
          <a:extLst>
            <a:ext uri="{FF2B5EF4-FFF2-40B4-BE49-F238E27FC236}">
              <a16:creationId xmlns:a16="http://schemas.microsoft.com/office/drawing/2014/main" id="{00000000-0008-0000-0C00-0000E7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48" name="Oval 104">
          <a:extLst>
            <a:ext uri="{FF2B5EF4-FFF2-40B4-BE49-F238E27FC236}">
              <a16:creationId xmlns:a16="http://schemas.microsoft.com/office/drawing/2014/main" id="{00000000-0008-0000-0C00-0000E8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49" name="AutoShape 105">
          <a:extLst>
            <a:ext uri="{FF2B5EF4-FFF2-40B4-BE49-F238E27FC236}">
              <a16:creationId xmlns:a16="http://schemas.microsoft.com/office/drawing/2014/main" id="{00000000-0008-0000-0C00-0000E9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50" name="Rectangle 106">
          <a:extLst>
            <a:ext uri="{FF2B5EF4-FFF2-40B4-BE49-F238E27FC236}">
              <a16:creationId xmlns:a16="http://schemas.microsoft.com/office/drawing/2014/main" id="{00000000-0008-0000-0C00-0000EA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51" name="Oval 107">
          <a:extLst>
            <a:ext uri="{FF2B5EF4-FFF2-40B4-BE49-F238E27FC236}">
              <a16:creationId xmlns:a16="http://schemas.microsoft.com/office/drawing/2014/main" id="{00000000-0008-0000-0C00-0000EB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52" name="AutoShape 108">
          <a:extLst>
            <a:ext uri="{FF2B5EF4-FFF2-40B4-BE49-F238E27FC236}">
              <a16:creationId xmlns:a16="http://schemas.microsoft.com/office/drawing/2014/main" id="{00000000-0008-0000-0C00-0000EC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53" name="Rectangle 109">
          <a:extLst>
            <a:ext uri="{FF2B5EF4-FFF2-40B4-BE49-F238E27FC236}">
              <a16:creationId xmlns:a16="http://schemas.microsoft.com/office/drawing/2014/main" id="{00000000-0008-0000-0C00-0000ED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54" name="Oval 110">
          <a:extLst>
            <a:ext uri="{FF2B5EF4-FFF2-40B4-BE49-F238E27FC236}">
              <a16:creationId xmlns:a16="http://schemas.microsoft.com/office/drawing/2014/main" id="{00000000-0008-0000-0C00-0000EE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55" name="AutoShape 111">
          <a:extLst>
            <a:ext uri="{FF2B5EF4-FFF2-40B4-BE49-F238E27FC236}">
              <a16:creationId xmlns:a16="http://schemas.microsoft.com/office/drawing/2014/main" id="{00000000-0008-0000-0C00-0000EF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56" name="Rectangle 112">
          <a:extLst>
            <a:ext uri="{FF2B5EF4-FFF2-40B4-BE49-F238E27FC236}">
              <a16:creationId xmlns:a16="http://schemas.microsoft.com/office/drawing/2014/main" id="{00000000-0008-0000-0C00-0000F0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57" name="Oval 113">
          <a:extLst>
            <a:ext uri="{FF2B5EF4-FFF2-40B4-BE49-F238E27FC236}">
              <a16:creationId xmlns:a16="http://schemas.microsoft.com/office/drawing/2014/main" id="{00000000-0008-0000-0C00-0000F1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58" name="AutoShape 114">
          <a:extLst>
            <a:ext uri="{FF2B5EF4-FFF2-40B4-BE49-F238E27FC236}">
              <a16:creationId xmlns:a16="http://schemas.microsoft.com/office/drawing/2014/main" id="{00000000-0008-0000-0C00-0000F2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59" name="Rectangle 115">
          <a:extLst>
            <a:ext uri="{FF2B5EF4-FFF2-40B4-BE49-F238E27FC236}">
              <a16:creationId xmlns:a16="http://schemas.microsoft.com/office/drawing/2014/main" id="{00000000-0008-0000-0C00-0000F3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60" name="Oval 116">
          <a:extLst>
            <a:ext uri="{FF2B5EF4-FFF2-40B4-BE49-F238E27FC236}">
              <a16:creationId xmlns:a16="http://schemas.microsoft.com/office/drawing/2014/main" id="{00000000-0008-0000-0C00-0000F4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61" name="AutoShape 117">
          <a:extLst>
            <a:ext uri="{FF2B5EF4-FFF2-40B4-BE49-F238E27FC236}">
              <a16:creationId xmlns:a16="http://schemas.microsoft.com/office/drawing/2014/main" id="{00000000-0008-0000-0C00-0000F5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62" name="Rectangle 118">
          <a:extLst>
            <a:ext uri="{FF2B5EF4-FFF2-40B4-BE49-F238E27FC236}">
              <a16:creationId xmlns:a16="http://schemas.microsoft.com/office/drawing/2014/main" id="{00000000-0008-0000-0C00-0000F6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63" name="Oval 119">
          <a:extLst>
            <a:ext uri="{FF2B5EF4-FFF2-40B4-BE49-F238E27FC236}">
              <a16:creationId xmlns:a16="http://schemas.microsoft.com/office/drawing/2014/main" id="{00000000-0008-0000-0C00-0000F7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64" name="AutoShape 120">
          <a:extLst>
            <a:ext uri="{FF2B5EF4-FFF2-40B4-BE49-F238E27FC236}">
              <a16:creationId xmlns:a16="http://schemas.microsoft.com/office/drawing/2014/main" id="{00000000-0008-0000-0C00-0000F8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65" name="Rectangle 121">
          <a:extLst>
            <a:ext uri="{FF2B5EF4-FFF2-40B4-BE49-F238E27FC236}">
              <a16:creationId xmlns:a16="http://schemas.microsoft.com/office/drawing/2014/main" id="{00000000-0008-0000-0C00-0000F9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66" name="Oval 122">
          <a:extLst>
            <a:ext uri="{FF2B5EF4-FFF2-40B4-BE49-F238E27FC236}">
              <a16:creationId xmlns:a16="http://schemas.microsoft.com/office/drawing/2014/main" id="{00000000-0008-0000-0C00-0000FA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67" name="AutoShape 123">
          <a:extLst>
            <a:ext uri="{FF2B5EF4-FFF2-40B4-BE49-F238E27FC236}">
              <a16:creationId xmlns:a16="http://schemas.microsoft.com/office/drawing/2014/main" id="{00000000-0008-0000-0C00-0000FB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68" name="Rectangle 124">
          <a:extLst>
            <a:ext uri="{FF2B5EF4-FFF2-40B4-BE49-F238E27FC236}">
              <a16:creationId xmlns:a16="http://schemas.microsoft.com/office/drawing/2014/main" id="{00000000-0008-0000-0C00-0000FC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69" name="Oval 125">
          <a:extLst>
            <a:ext uri="{FF2B5EF4-FFF2-40B4-BE49-F238E27FC236}">
              <a16:creationId xmlns:a16="http://schemas.microsoft.com/office/drawing/2014/main" id="{00000000-0008-0000-0C00-0000FD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70" name="AutoShape 126">
          <a:extLst>
            <a:ext uri="{FF2B5EF4-FFF2-40B4-BE49-F238E27FC236}">
              <a16:creationId xmlns:a16="http://schemas.microsoft.com/office/drawing/2014/main" id="{00000000-0008-0000-0C00-0000FE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71" name="Rectangle 127">
          <a:extLst>
            <a:ext uri="{FF2B5EF4-FFF2-40B4-BE49-F238E27FC236}">
              <a16:creationId xmlns:a16="http://schemas.microsoft.com/office/drawing/2014/main" id="{00000000-0008-0000-0C00-0000FF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72" name="Oval 128">
          <a:extLst>
            <a:ext uri="{FF2B5EF4-FFF2-40B4-BE49-F238E27FC236}">
              <a16:creationId xmlns:a16="http://schemas.microsoft.com/office/drawing/2014/main" id="{00000000-0008-0000-0C00-00000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73" name="AutoShape 129">
          <a:extLst>
            <a:ext uri="{FF2B5EF4-FFF2-40B4-BE49-F238E27FC236}">
              <a16:creationId xmlns:a16="http://schemas.microsoft.com/office/drawing/2014/main" id="{00000000-0008-0000-0C00-000001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74" name="Rectangle 130">
          <a:extLst>
            <a:ext uri="{FF2B5EF4-FFF2-40B4-BE49-F238E27FC236}">
              <a16:creationId xmlns:a16="http://schemas.microsoft.com/office/drawing/2014/main" id="{00000000-0008-0000-0C00-00000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75" name="Oval 131">
          <a:extLst>
            <a:ext uri="{FF2B5EF4-FFF2-40B4-BE49-F238E27FC236}">
              <a16:creationId xmlns:a16="http://schemas.microsoft.com/office/drawing/2014/main" id="{00000000-0008-0000-0C00-00000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76" name="AutoShape 132">
          <a:extLst>
            <a:ext uri="{FF2B5EF4-FFF2-40B4-BE49-F238E27FC236}">
              <a16:creationId xmlns:a16="http://schemas.microsoft.com/office/drawing/2014/main" id="{00000000-0008-0000-0C00-00000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77" name="Rectangle 133">
          <a:extLst>
            <a:ext uri="{FF2B5EF4-FFF2-40B4-BE49-F238E27FC236}">
              <a16:creationId xmlns:a16="http://schemas.microsoft.com/office/drawing/2014/main" id="{00000000-0008-0000-0C00-00000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78" name="Oval 134">
          <a:extLst>
            <a:ext uri="{FF2B5EF4-FFF2-40B4-BE49-F238E27FC236}">
              <a16:creationId xmlns:a16="http://schemas.microsoft.com/office/drawing/2014/main" id="{00000000-0008-0000-0C00-00000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79" name="AutoShape 135">
          <a:extLst>
            <a:ext uri="{FF2B5EF4-FFF2-40B4-BE49-F238E27FC236}">
              <a16:creationId xmlns:a16="http://schemas.microsoft.com/office/drawing/2014/main" id="{00000000-0008-0000-0C00-000007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80" name="Rectangle 136">
          <a:extLst>
            <a:ext uri="{FF2B5EF4-FFF2-40B4-BE49-F238E27FC236}">
              <a16:creationId xmlns:a16="http://schemas.microsoft.com/office/drawing/2014/main" id="{00000000-0008-0000-0C00-000008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81" name="Oval 137">
          <a:extLst>
            <a:ext uri="{FF2B5EF4-FFF2-40B4-BE49-F238E27FC236}">
              <a16:creationId xmlns:a16="http://schemas.microsoft.com/office/drawing/2014/main" id="{00000000-0008-0000-0C00-00000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82" name="AutoShape 138">
          <a:extLst>
            <a:ext uri="{FF2B5EF4-FFF2-40B4-BE49-F238E27FC236}">
              <a16:creationId xmlns:a16="http://schemas.microsoft.com/office/drawing/2014/main" id="{00000000-0008-0000-0C00-00000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83" name="Rectangle 139">
          <a:extLst>
            <a:ext uri="{FF2B5EF4-FFF2-40B4-BE49-F238E27FC236}">
              <a16:creationId xmlns:a16="http://schemas.microsoft.com/office/drawing/2014/main" id="{00000000-0008-0000-0C00-00000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84" name="Oval 140">
          <a:extLst>
            <a:ext uri="{FF2B5EF4-FFF2-40B4-BE49-F238E27FC236}">
              <a16:creationId xmlns:a16="http://schemas.microsoft.com/office/drawing/2014/main" id="{00000000-0008-0000-0C00-00000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85" name="Rectangle 141">
          <a:extLst>
            <a:ext uri="{FF2B5EF4-FFF2-40B4-BE49-F238E27FC236}">
              <a16:creationId xmlns:a16="http://schemas.microsoft.com/office/drawing/2014/main" id="{00000000-0008-0000-0C00-00000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86" name="AutoShape 142">
          <a:extLst>
            <a:ext uri="{FF2B5EF4-FFF2-40B4-BE49-F238E27FC236}">
              <a16:creationId xmlns:a16="http://schemas.microsoft.com/office/drawing/2014/main" id="{00000000-0008-0000-0C00-00000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87" name="Rectangle 143">
          <a:extLst>
            <a:ext uri="{FF2B5EF4-FFF2-40B4-BE49-F238E27FC236}">
              <a16:creationId xmlns:a16="http://schemas.microsoft.com/office/drawing/2014/main" id="{00000000-0008-0000-0C00-00000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88" name="Oval 144">
          <a:extLst>
            <a:ext uri="{FF2B5EF4-FFF2-40B4-BE49-F238E27FC236}">
              <a16:creationId xmlns:a16="http://schemas.microsoft.com/office/drawing/2014/main" id="{00000000-0008-0000-0C00-00001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89" name="AutoShape 145">
          <a:extLst>
            <a:ext uri="{FF2B5EF4-FFF2-40B4-BE49-F238E27FC236}">
              <a16:creationId xmlns:a16="http://schemas.microsoft.com/office/drawing/2014/main" id="{00000000-0008-0000-0C00-000011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90" name="Rectangle 146">
          <a:extLst>
            <a:ext uri="{FF2B5EF4-FFF2-40B4-BE49-F238E27FC236}">
              <a16:creationId xmlns:a16="http://schemas.microsoft.com/office/drawing/2014/main" id="{00000000-0008-0000-0C00-00001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91" name="Oval 147">
          <a:extLst>
            <a:ext uri="{FF2B5EF4-FFF2-40B4-BE49-F238E27FC236}">
              <a16:creationId xmlns:a16="http://schemas.microsoft.com/office/drawing/2014/main" id="{00000000-0008-0000-0C00-00001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92" name="AutoShape 148">
          <a:extLst>
            <a:ext uri="{FF2B5EF4-FFF2-40B4-BE49-F238E27FC236}">
              <a16:creationId xmlns:a16="http://schemas.microsoft.com/office/drawing/2014/main" id="{00000000-0008-0000-0C00-00001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93" name="Rectangle 149">
          <a:extLst>
            <a:ext uri="{FF2B5EF4-FFF2-40B4-BE49-F238E27FC236}">
              <a16:creationId xmlns:a16="http://schemas.microsoft.com/office/drawing/2014/main" id="{00000000-0008-0000-0C00-00001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94" name="Oval 150">
          <a:extLst>
            <a:ext uri="{FF2B5EF4-FFF2-40B4-BE49-F238E27FC236}">
              <a16:creationId xmlns:a16="http://schemas.microsoft.com/office/drawing/2014/main" id="{00000000-0008-0000-0C00-00001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95" name="Oval 151">
          <a:extLst>
            <a:ext uri="{FF2B5EF4-FFF2-40B4-BE49-F238E27FC236}">
              <a16:creationId xmlns:a16="http://schemas.microsoft.com/office/drawing/2014/main" id="{00000000-0008-0000-0C00-00001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96" name="Oval 152">
          <a:extLst>
            <a:ext uri="{FF2B5EF4-FFF2-40B4-BE49-F238E27FC236}">
              <a16:creationId xmlns:a16="http://schemas.microsoft.com/office/drawing/2014/main" id="{00000000-0008-0000-0C00-00001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697" name="Oval 153">
          <a:extLst>
            <a:ext uri="{FF2B5EF4-FFF2-40B4-BE49-F238E27FC236}">
              <a16:creationId xmlns:a16="http://schemas.microsoft.com/office/drawing/2014/main" id="{00000000-0008-0000-0C00-00001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698" name="AutoShape 154">
          <a:extLst>
            <a:ext uri="{FF2B5EF4-FFF2-40B4-BE49-F238E27FC236}">
              <a16:creationId xmlns:a16="http://schemas.microsoft.com/office/drawing/2014/main" id="{00000000-0008-0000-0C00-00001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699" name="Rectangle 155">
          <a:extLst>
            <a:ext uri="{FF2B5EF4-FFF2-40B4-BE49-F238E27FC236}">
              <a16:creationId xmlns:a16="http://schemas.microsoft.com/office/drawing/2014/main" id="{00000000-0008-0000-0C00-00001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0" name="Oval 156">
          <a:extLst>
            <a:ext uri="{FF2B5EF4-FFF2-40B4-BE49-F238E27FC236}">
              <a16:creationId xmlns:a16="http://schemas.microsoft.com/office/drawing/2014/main" id="{00000000-0008-0000-0C00-00001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1" name="Oval 157">
          <a:extLst>
            <a:ext uri="{FF2B5EF4-FFF2-40B4-BE49-F238E27FC236}">
              <a16:creationId xmlns:a16="http://schemas.microsoft.com/office/drawing/2014/main" id="{00000000-0008-0000-0C00-00001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2" name="Oval 158">
          <a:extLst>
            <a:ext uri="{FF2B5EF4-FFF2-40B4-BE49-F238E27FC236}">
              <a16:creationId xmlns:a16="http://schemas.microsoft.com/office/drawing/2014/main" id="{00000000-0008-0000-0C00-00001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3" name="Oval 159">
          <a:extLst>
            <a:ext uri="{FF2B5EF4-FFF2-40B4-BE49-F238E27FC236}">
              <a16:creationId xmlns:a16="http://schemas.microsoft.com/office/drawing/2014/main" id="{00000000-0008-0000-0C00-00001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04" name="AutoShape 160">
          <a:extLst>
            <a:ext uri="{FF2B5EF4-FFF2-40B4-BE49-F238E27FC236}">
              <a16:creationId xmlns:a16="http://schemas.microsoft.com/office/drawing/2014/main" id="{00000000-0008-0000-0C00-00002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05" name="Rectangle 161">
          <a:extLst>
            <a:ext uri="{FF2B5EF4-FFF2-40B4-BE49-F238E27FC236}">
              <a16:creationId xmlns:a16="http://schemas.microsoft.com/office/drawing/2014/main" id="{00000000-0008-0000-0C00-00002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6" name="Oval 162">
          <a:extLst>
            <a:ext uri="{FF2B5EF4-FFF2-40B4-BE49-F238E27FC236}">
              <a16:creationId xmlns:a16="http://schemas.microsoft.com/office/drawing/2014/main" id="{00000000-0008-0000-0C00-00002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7" name="Oval 163">
          <a:extLst>
            <a:ext uri="{FF2B5EF4-FFF2-40B4-BE49-F238E27FC236}">
              <a16:creationId xmlns:a16="http://schemas.microsoft.com/office/drawing/2014/main" id="{00000000-0008-0000-0C00-00002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8" name="Oval 164">
          <a:extLst>
            <a:ext uri="{FF2B5EF4-FFF2-40B4-BE49-F238E27FC236}">
              <a16:creationId xmlns:a16="http://schemas.microsoft.com/office/drawing/2014/main" id="{00000000-0008-0000-0C00-00002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09" name="Oval 165">
          <a:extLst>
            <a:ext uri="{FF2B5EF4-FFF2-40B4-BE49-F238E27FC236}">
              <a16:creationId xmlns:a16="http://schemas.microsoft.com/office/drawing/2014/main" id="{00000000-0008-0000-0C00-00002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10" name="AutoShape 166">
          <a:extLst>
            <a:ext uri="{FF2B5EF4-FFF2-40B4-BE49-F238E27FC236}">
              <a16:creationId xmlns:a16="http://schemas.microsoft.com/office/drawing/2014/main" id="{00000000-0008-0000-0C00-00002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11" name="Rectangle 167">
          <a:extLst>
            <a:ext uri="{FF2B5EF4-FFF2-40B4-BE49-F238E27FC236}">
              <a16:creationId xmlns:a16="http://schemas.microsoft.com/office/drawing/2014/main" id="{00000000-0008-0000-0C00-00002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2" name="Oval 168">
          <a:extLst>
            <a:ext uri="{FF2B5EF4-FFF2-40B4-BE49-F238E27FC236}">
              <a16:creationId xmlns:a16="http://schemas.microsoft.com/office/drawing/2014/main" id="{00000000-0008-0000-0C00-00002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3" name="Oval 169">
          <a:extLst>
            <a:ext uri="{FF2B5EF4-FFF2-40B4-BE49-F238E27FC236}">
              <a16:creationId xmlns:a16="http://schemas.microsoft.com/office/drawing/2014/main" id="{00000000-0008-0000-0C00-00002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4" name="Oval 170">
          <a:extLst>
            <a:ext uri="{FF2B5EF4-FFF2-40B4-BE49-F238E27FC236}">
              <a16:creationId xmlns:a16="http://schemas.microsoft.com/office/drawing/2014/main" id="{00000000-0008-0000-0C00-00002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5" name="Oval 171">
          <a:extLst>
            <a:ext uri="{FF2B5EF4-FFF2-40B4-BE49-F238E27FC236}">
              <a16:creationId xmlns:a16="http://schemas.microsoft.com/office/drawing/2014/main" id="{00000000-0008-0000-0C00-00002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16" name="AutoShape 172">
          <a:extLst>
            <a:ext uri="{FF2B5EF4-FFF2-40B4-BE49-F238E27FC236}">
              <a16:creationId xmlns:a16="http://schemas.microsoft.com/office/drawing/2014/main" id="{00000000-0008-0000-0C00-00002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17" name="Rectangle 173">
          <a:extLst>
            <a:ext uri="{FF2B5EF4-FFF2-40B4-BE49-F238E27FC236}">
              <a16:creationId xmlns:a16="http://schemas.microsoft.com/office/drawing/2014/main" id="{00000000-0008-0000-0C00-00002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8" name="Oval 174">
          <a:extLst>
            <a:ext uri="{FF2B5EF4-FFF2-40B4-BE49-F238E27FC236}">
              <a16:creationId xmlns:a16="http://schemas.microsoft.com/office/drawing/2014/main" id="{00000000-0008-0000-0C00-00002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19" name="Oval 175">
          <a:extLst>
            <a:ext uri="{FF2B5EF4-FFF2-40B4-BE49-F238E27FC236}">
              <a16:creationId xmlns:a16="http://schemas.microsoft.com/office/drawing/2014/main" id="{00000000-0008-0000-0C00-00002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0" name="Oval 176">
          <a:extLst>
            <a:ext uri="{FF2B5EF4-FFF2-40B4-BE49-F238E27FC236}">
              <a16:creationId xmlns:a16="http://schemas.microsoft.com/office/drawing/2014/main" id="{00000000-0008-0000-0C00-00003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1" name="Oval 177">
          <a:extLst>
            <a:ext uri="{FF2B5EF4-FFF2-40B4-BE49-F238E27FC236}">
              <a16:creationId xmlns:a16="http://schemas.microsoft.com/office/drawing/2014/main" id="{00000000-0008-0000-0C00-00003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22" name="AutoShape 178">
          <a:extLst>
            <a:ext uri="{FF2B5EF4-FFF2-40B4-BE49-F238E27FC236}">
              <a16:creationId xmlns:a16="http://schemas.microsoft.com/office/drawing/2014/main" id="{00000000-0008-0000-0C00-000032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23" name="Rectangle 179">
          <a:extLst>
            <a:ext uri="{FF2B5EF4-FFF2-40B4-BE49-F238E27FC236}">
              <a16:creationId xmlns:a16="http://schemas.microsoft.com/office/drawing/2014/main" id="{00000000-0008-0000-0C00-000033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4" name="Oval 180">
          <a:extLst>
            <a:ext uri="{FF2B5EF4-FFF2-40B4-BE49-F238E27FC236}">
              <a16:creationId xmlns:a16="http://schemas.microsoft.com/office/drawing/2014/main" id="{00000000-0008-0000-0C00-00003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5" name="Oval 181">
          <a:extLst>
            <a:ext uri="{FF2B5EF4-FFF2-40B4-BE49-F238E27FC236}">
              <a16:creationId xmlns:a16="http://schemas.microsoft.com/office/drawing/2014/main" id="{00000000-0008-0000-0C00-00003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6" name="Oval 182">
          <a:extLst>
            <a:ext uri="{FF2B5EF4-FFF2-40B4-BE49-F238E27FC236}">
              <a16:creationId xmlns:a16="http://schemas.microsoft.com/office/drawing/2014/main" id="{00000000-0008-0000-0C00-00003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27" name="Oval 183">
          <a:extLst>
            <a:ext uri="{FF2B5EF4-FFF2-40B4-BE49-F238E27FC236}">
              <a16:creationId xmlns:a16="http://schemas.microsoft.com/office/drawing/2014/main" id="{00000000-0008-0000-0C00-00003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28" name="AutoShape 184">
          <a:extLst>
            <a:ext uri="{FF2B5EF4-FFF2-40B4-BE49-F238E27FC236}">
              <a16:creationId xmlns:a16="http://schemas.microsoft.com/office/drawing/2014/main" id="{00000000-0008-0000-0C00-000038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29" name="Rectangle 185">
          <a:extLst>
            <a:ext uri="{FF2B5EF4-FFF2-40B4-BE49-F238E27FC236}">
              <a16:creationId xmlns:a16="http://schemas.microsoft.com/office/drawing/2014/main" id="{00000000-0008-0000-0C00-000039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0" name="Oval 186">
          <a:extLst>
            <a:ext uri="{FF2B5EF4-FFF2-40B4-BE49-F238E27FC236}">
              <a16:creationId xmlns:a16="http://schemas.microsoft.com/office/drawing/2014/main" id="{00000000-0008-0000-0C00-00003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1" name="Oval 187">
          <a:extLst>
            <a:ext uri="{FF2B5EF4-FFF2-40B4-BE49-F238E27FC236}">
              <a16:creationId xmlns:a16="http://schemas.microsoft.com/office/drawing/2014/main" id="{00000000-0008-0000-0C00-00003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2" name="Oval 188">
          <a:extLst>
            <a:ext uri="{FF2B5EF4-FFF2-40B4-BE49-F238E27FC236}">
              <a16:creationId xmlns:a16="http://schemas.microsoft.com/office/drawing/2014/main" id="{00000000-0008-0000-0C00-00003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3" name="Oval 189">
          <a:extLst>
            <a:ext uri="{FF2B5EF4-FFF2-40B4-BE49-F238E27FC236}">
              <a16:creationId xmlns:a16="http://schemas.microsoft.com/office/drawing/2014/main" id="{00000000-0008-0000-0C00-00003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34" name="AutoShape 190">
          <a:extLst>
            <a:ext uri="{FF2B5EF4-FFF2-40B4-BE49-F238E27FC236}">
              <a16:creationId xmlns:a16="http://schemas.microsoft.com/office/drawing/2014/main" id="{00000000-0008-0000-0C00-00003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35" name="Rectangle 191">
          <a:extLst>
            <a:ext uri="{FF2B5EF4-FFF2-40B4-BE49-F238E27FC236}">
              <a16:creationId xmlns:a16="http://schemas.microsoft.com/office/drawing/2014/main" id="{00000000-0008-0000-0C00-00003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6" name="Oval 192">
          <a:extLst>
            <a:ext uri="{FF2B5EF4-FFF2-40B4-BE49-F238E27FC236}">
              <a16:creationId xmlns:a16="http://schemas.microsoft.com/office/drawing/2014/main" id="{00000000-0008-0000-0C00-00004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7" name="Oval 193">
          <a:extLst>
            <a:ext uri="{FF2B5EF4-FFF2-40B4-BE49-F238E27FC236}">
              <a16:creationId xmlns:a16="http://schemas.microsoft.com/office/drawing/2014/main" id="{00000000-0008-0000-0C00-00004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8" name="Oval 194">
          <a:extLst>
            <a:ext uri="{FF2B5EF4-FFF2-40B4-BE49-F238E27FC236}">
              <a16:creationId xmlns:a16="http://schemas.microsoft.com/office/drawing/2014/main" id="{00000000-0008-0000-0C00-00004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39" name="Oval 195">
          <a:extLst>
            <a:ext uri="{FF2B5EF4-FFF2-40B4-BE49-F238E27FC236}">
              <a16:creationId xmlns:a16="http://schemas.microsoft.com/office/drawing/2014/main" id="{00000000-0008-0000-0C00-00004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40" name="AutoShape 196">
          <a:extLst>
            <a:ext uri="{FF2B5EF4-FFF2-40B4-BE49-F238E27FC236}">
              <a16:creationId xmlns:a16="http://schemas.microsoft.com/office/drawing/2014/main" id="{00000000-0008-0000-0C00-00004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41" name="Rectangle 197">
          <a:extLst>
            <a:ext uri="{FF2B5EF4-FFF2-40B4-BE49-F238E27FC236}">
              <a16:creationId xmlns:a16="http://schemas.microsoft.com/office/drawing/2014/main" id="{00000000-0008-0000-0C00-00004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2" name="Oval 198">
          <a:extLst>
            <a:ext uri="{FF2B5EF4-FFF2-40B4-BE49-F238E27FC236}">
              <a16:creationId xmlns:a16="http://schemas.microsoft.com/office/drawing/2014/main" id="{00000000-0008-0000-0C00-00004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3" name="Oval 199">
          <a:extLst>
            <a:ext uri="{FF2B5EF4-FFF2-40B4-BE49-F238E27FC236}">
              <a16:creationId xmlns:a16="http://schemas.microsoft.com/office/drawing/2014/main" id="{00000000-0008-0000-0C00-00004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4" name="Oval 200">
          <a:extLst>
            <a:ext uri="{FF2B5EF4-FFF2-40B4-BE49-F238E27FC236}">
              <a16:creationId xmlns:a16="http://schemas.microsoft.com/office/drawing/2014/main" id="{00000000-0008-0000-0C00-00004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5" name="Oval 201">
          <a:extLst>
            <a:ext uri="{FF2B5EF4-FFF2-40B4-BE49-F238E27FC236}">
              <a16:creationId xmlns:a16="http://schemas.microsoft.com/office/drawing/2014/main" id="{00000000-0008-0000-0C00-00004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46" name="AutoShape 202">
          <a:extLst>
            <a:ext uri="{FF2B5EF4-FFF2-40B4-BE49-F238E27FC236}">
              <a16:creationId xmlns:a16="http://schemas.microsoft.com/office/drawing/2014/main" id="{00000000-0008-0000-0C00-00004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47" name="Rectangle 203">
          <a:extLst>
            <a:ext uri="{FF2B5EF4-FFF2-40B4-BE49-F238E27FC236}">
              <a16:creationId xmlns:a16="http://schemas.microsoft.com/office/drawing/2014/main" id="{00000000-0008-0000-0C00-00004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8" name="Oval 204">
          <a:extLst>
            <a:ext uri="{FF2B5EF4-FFF2-40B4-BE49-F238E27FC236}">
              <a16:creationId xmlns:a16="http://schemas.microsoft.com/office/drawing/2014/main" id="{00000000-0008-0000-0C00-00004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49" name="Oval 205">
          <a:extLst>
            <a:ext uri="{FF2B5EF4-FFF2-40B4-BE49-F238E27FC236}">
              <a16:creationId xmlns:a16="http://schemas.microsoft.com/office/drawing/2014/main" id="{00000000-0008-0000-0C00-00004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0" name="Oval 206">
          <a:extLst>
            <a:ext uri="{FF2B5EF4-FFF2-40B4-BE49-F238E27FC236}">
              <a16:creationId xmlns:a16="http://schemas.microsoft.com/office/drawing/2014/main" id="{00000000-0008-0000-0C00-00004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1" name="Oval 207">
          <a:extLst>
            <a:ext uri="{FF2B5EF4-FFF2-40B4-BE49-F238E27FC236}">
              <a16:creationId xmlns:a16="http://schemas.microsoft.com/office/drawing/2014/main" id="{00000000-0008-0000-0C00-00004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52" name="AutoShape 208">
          <a:extLst>
            <a:ext uri="{FF2B5EF4-FFF2-40B4-BE49-F238E27FC236}">
              <a16:creationId xmlns:a16="http://schemas.microsoft.com/office/drawing/2014/main" id="{00000000-0008-0000-0C00-00005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53" name="Rectangle 209">
          <a:extLst>
            <a:ext uri="{FF2B5EF4-FFF2-40B4-BE49-F238E27FC236}">
              <a16:creationId xmlns:a16="http://schemas.microsoft.com/office/drawing/2014/main" id="{00000000-0008-0000-0C00-00005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4" name="Oval 210">
          <a:extLst>
            <a:ext uri="{FF2B5EF4-FFF2-40B4-BE49-F238E27FC236}">
              <a16:creationId xmlns:a16="http://schemas.microsoft.com/office/drawing/2014/main" id="{00000000-0008-0000-0C00-00005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5" name="Oval 211">
          <a:extLst>
            <a:ext uri="{FF2B5EF4-FFF2-40B4-BE49-F238E27FC236}">
              <a16:creationId xmlns:a16="http://schemas.microsoft.com/office/drawing/2014/main" id="{00000000-0008-0000-0C00-00005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6" name="Oval 212">
          <a:extLst>
            <a:ext uri="{FF2B5EF4-FFF2-40B4-BE49-F238E27FC236}">
              <a16:creationId xmlns:a16="http://schemas.microsoft.com/office/drawing/2014/main" id="{00000000-0008-0000-0C00-00005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57" name="Oval 213">
          <a:extLst>
            <a:ext uri="{FF2B5EF4-FFF2-40B4-BE49-F238E27FC236}">
              <a16:creationId xmlns:a16="http://schemas.microsoft.com/office/drawing/2014/main" id="{00000000-0008-0000-0C00-00005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58" name="AutoShape 214">
          <a:extLst>
            <a:ext uri="{FF2B5EF4-FFF2-40B4-BE49-F238E27FC236}">
              <a16:creationId xmlns:a16="http://schemas.microsoft.com/office/drawing/2014/main" id="{00000000-0008-0000-0C00-00005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59" name="Rectangle 215">
          <a:extLst>
            <a:ext uri="{FF2B5EF4-FFF2-40B4-BE49-F238E27FC236}">
              <a16:creationId xmlns:a16="http://schemas.microsoft.com/office/drawing/2014/main" id="{00000000-0008-0000-0C00-00005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0" name="Oval 216">
          <a:extLst>
            <a:ext uri="{FF2B5EF4-FFF2-40B4-BE49-F238E27FC236}">
              <a16:creationId xmlns:a16="http://schemas.microsoft.com/office/drawing/2014/main" id="{00000000-0008-0000-0C00-00005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1" name="Oval 217">
          <a:extLst>
            <a:ext uri="{FF2B5EF4-FFF2-40B4-BE49-F238E27FC236}">
              <a16:creationId xmlns:a16="http://schemas.microsoft.com/office/drawing/2014/main" id="{00000000-0008-0000-0C00-00005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2" name="Oval 218">
          <a:extLst>
            <a:ext uri="{FF2B5EF4-FFF2-40B4-BE49-F238E27FC236}">
              <a16:creationId xmlns:a16="http://schemas.microsoft.com/office/drawing/2014/main" id="{00000000-0008-0000-0C00-00005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3" name="Oval 219">
          <a:extLst>
            <a:ext uri="{FF2B5EF4-FFF2-40B4-BE49-F238E27FC236}">
              <a16:creationId xmlns:a16="http://schemas.microsoft.com/office/drawing/2014/main" id="{00000000-0008-0000-0C00-00005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64" name="AutoShape 220">
          <a:extLst>
            <a:ext uri="{FF2B5EF4-FFF2-40B4-BE49-F238E27FC236}">
              <a16:creationId xmlns:a16="http://schemas.microsoft.com/office/drawing/2014/main" id="{00000000-0008-0000-0C00-00005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65" name="Rectangle 221">
          <a:extLst>
            <a:ext uri="{FF2B5EF4-FFF2-40B4-BE49-F238E27FC236}">
              <a16:creationId xmlns:a16="http://schemas.microsoft.com/office/drawing/2014/main" id="{00000000-0008-0000-0C00-00005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6" name="Oval 222">
          <a:extLst>
            <a:ext uri="{FF2B5EF4-FFF2-40B4-BE49-F238E27FC236}">
              <a16:creationId xmlns:a16="http://schemas.microsoft.com/office/drawing/2014/main" id="{00000000-0008-0000-0C00-00005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7" name="Oval 223">
          <a:extLst>
            <a:ext uri="{FF2B5EF4-FFF2-40B4-BE49-F238E27FC236}">
              <a16:creationId xmlns:a16="http://schemas.microsoft.com/office/drawing/2014/main" id="{00000000-0008-0000-0C00-00005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8" name="Oval 224">
          <a:extLst>
            <a:ext uri="{FF2B5EF4-FFF2-40B4-BE49-F238E27FC236}">
              <a16:creationId xmlns:a16="http://schemas.microsoft.com/office/drawing/2014/main" id="{00000000-0008-0000-0C00-00006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69" name="Oval 225">
          <a:extLst>
            <a:ext uri="{FF2B5EF4-FFF2-40B4-BE49-F238E27FC236}">
              <a16:creationId xmlns:a16="http://schemas.microsoft.com/office/drawing/2014/main" id="{00000000-0008-0000-0C00-00006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70" name="AutoShape 226">
          <a:extLst>
            <a:ext uri="{FF2B5EF4-FFF2-40B4-BE49-F238E27FC236}">
              <a16:creationId xmlns:a16="http://schemas.microsoft.com/office/drawing/2014/main" id="{00000000-0008-0000-0C00-000062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71" name="Rectangle 227">
          <a:extLst>
            <a:ext uri="{FF2B5EF4-FFF2-40B4-BE49-F238E27FC236}">
              <a16:creationId xmlns:a16="http://schemas.microsoft.com/office/drawing/2014/main" id="{00000000-0008-0000-0C00-000063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2" name="Oval 228">
          <a:extLst>
            <a:ext uri="{FF2B5EF4-FFF2-40B4-BE49-F238E27FC236}">
              <a16:creationId xmlns:a16="http://schemas.microsoft.com/office/drawing/2014/main" id="{00000000-0008-0000-0C00-00006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3" name="Oval 229">
          <a:extLst>
            <a:ext uri="{FF2B5EF4-FFF2-40B4-BE49-F238E27FC236}">
              <a16:creationId xmlns:a16="http://schemas.microsoft.com/office/drawing/2014/main" id="{00000000-0008-0000-0C00-00006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4" name="Oval 230">
          <a:extLst>
            <a:ext uri="{FF2B5EF4-FFF2-40B4-BE49-F238E27FC236}">
              <a16:creationId xmlns:a16="http://schemas.microsoft.com/office/drawing/2014/main" id="{00000000-0008-0000-0C00-00006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5" name="Oval 231">
          <a:extLst>
            <a:ext uri="{FF2B5EF4-FFF2-40B4-BE49-F238E27FC236}">
              <a16:creationId xmlns:a16="http://schemas.microsoft.com/office/drawing/2014/main" id="{00000000-0008-0000-0C00-00006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76" name="AutoShape 232">
          <a:extLst>
            <a:ext uri="{FF2B5EF4-FFF2-40B4-BE49-F238E27FC236}">
              <a16:creationId xmlns:a16="http://schemas.microsoft.com/office/drawing/2014/main" id="{00000000-0008-0000-0C00-000068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77" name="Rectangle 233">
          <a:extLst>
            <a:ext uri="{FF2B5EF4-FFF2-40B4-BE49-F238E27FC236}">
              <a16:creationId xmlns:a16="http://schemas.microsoft.com/office/drawing/2014/main" id="{00000000-0008-0000-0C00-000069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8" name="Oval 234">
          <a:extLst>
            <a:ext uri="{FF2B5EF4-FFF2-40B4-BE49-F238E27FC236}">
              <a16:creationId xmlns:a16="http://schemas.microsoft.com/office/drawing/2014/main" id="{00000000-0008-0000-0C00-00006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79" name="Oval 235">
          <a:extLst>
            <a:ext uri="{FF2B5EF4-FFF2-40B4-BE49-F238E27FC236}">
              <a16:creationId xmlns:a16="http://schemas.microsoft.com/office/drawing/2014/main" id="{00000000-0008-0000-0C00-00006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0" name="Oval 236">
          <a:extLst>
            <a:ext uri="{FF2B5EF4-FFF2-40B4-BE49-F238E27FC236}">
              <a16:creationId xmlns:a16="http://schemas.microsoft.com/office/drawing/2014/main" id="{00000000-0008-0000-0C00-00006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1" name="Oval 237">
          <a:extLst>
            <a:ext uri="{FF2B5EF4-FFF2-40B4-BE49-F238E27FC236}">
              <a16:creationId xmlns:a16="http://schemas.microsoft.com/office/drawing/2014/main" id="{00000000-0008-0000-0C00-00006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82" name="AutoShape 238">
          <a:extLst>
            <a:ext uri="{FF2B5EF4-FFF2-40B4-BE49-F238E27FC236}">
              <a16:creationId xmlns:a16="http://schemas.microsoft.com/office/drawing/2014/main" id="{00000000-0008-0000-0C00-00006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83" name="Rectangle 239">
          <a:extLst>
            <a:ext uri="{FF2B5EF4-FFF2-40B4-BE49-F238E27FC236}">
              <a16:creationId xmlns:a16="http://schemas.microsoft.com/office/drawing/2014/main" id="{00000000-0008-0000-0C00-00006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4" name="Oval 240">
          <a:extLst>
            <a:ext uri="{FF2B5EF4-FFF2-40B4-BE49-F238E27FC236}">
              <a16:creationId xmlns:a16="http://schemas.microsoft.com/office/drawing/2014/main" id="{00000000-0008-0000-0C00-00007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5" name="Oval 241">
          <a:extLst>
            <a:ext uri="{FF2B5EF4-FFF2-40B4-BE49-F238E27FC236}">
              <a16:creationId xmlns:a16="http://schemas.microsoft.com/office/drawing/2014/main" id="{00000000-0008-0000-0C00-00007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6" name="Oval 242">
          <a:extLst>
            <a:ext uri="{FF2B5EF4-FFF2-40B4-BE49-F238E27FC236}">
              <a16:creationId xmlns:a16="http://schemas.microsoft.com/office/drawing/2014/main" id="{00000000-0008-0000-0C00-00007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87" name="Oval 243">
          <a:extLst>
            <a:ext uri="{FF2B5EF4-FFF2-40B4-BE49-F238E27FC236}">
              <a16:creationId xmlns:a16="http://schemas.microsoft.com/office/drawing/2014/main" id="{00000000-0008-0000-0C00-00007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88" name="AutoShape 244">
          <a:extLst>
            <a:ext uri="{FF2B5EF4-FFF2-40B4-BE49-F238E27FC236}">
              <a16:creationId xmlns:a16="http://schemas.microsoft.com/office/drawing/2014/main" id="{00000000-0008-0000-0C00-00007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89" name="Rectangle 245">
          <a:extLst>
            <a:ext uri="{FF2B5EF4-FFF2-40B4-BE49-F238E27FC236}">
              <a16:creationId xmlns:a16="http://schemas.microsoft.com/office/drawing/2014/main" id="{00000000-0008-0000-0C00-00007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0" name="Oval 246">
          <a:extLst>
            <a:ext uri="{FF2B5EF4-FFF2-40B4-BE49-F238E27FC236}">
              <a16:creationId xmlns:a16="http://schemas.microsoft.com/office/drawing/2014/main" id="{00000000-0008-0000-0C00-00007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1" name="Oval 247">
          <a:extLst>
            <a:ext uri="{FF2B5EF4-FFF2-40B4-BE49-F238E27FC236}">
              <a16:creationId xmlns:a16="http://schemas.microsoft.com/office/drawing/2014/main" id="{00000000-0008-0000-0C00-00007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2" name="Oval 248">
          <a:extLst>
            <a:ext uri="{FF2B5EF4-FFF2-40B4-BE49-F238E27FC236}">
              <a16:creationId xmlns:a16="http://schemas.microsoft.com/office/drawing/2014/main" id="{00000000-0008-0000-0C00-00007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3" name="Oval 249">
          <a:extLst>
            <a:ext uri="{FF2B5EF4-FFF2-40B4-BE49-F238E27FC236}">
              <a16:creationId xmlns:a16="http://schemas.microsoft.com/office/drawing/2014/main" id="{00000000-0008-0000-0C00-00007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794" name="AutoShape 250">
          <a:extLst>
            <a:ext uri="{FF2B5EF4-FFF2-40B4-BE49-F238E27FC236}">
              <a16:creationId xmlns:a16="http://schemas.microsoft.com/office/drawing/2014/main" id="{00000000-0008-0000-0C00-00007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795" name="Rectangle 251">
          <a:extLst>
            <a:ext uri="{FF2B5EF4-FFF2-40B4-BE49-F238E27FC236}">
              <a16:creationId xmlns:a16="http://schemas.microsoft.com/office/drawing/2014/main" id="{00000000-0008-0000-0C00-00007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6" name="Oval 252">
          <a:extLst>
            <a:ext uri="{FF2B5EF4-FFF2-40B4-BE49-F238E27FC236}">
              <a16:creationId xmlns:a16="http://schemas.microsoft.com/office/drawing/2014/main" id="{00000000-0008-0000-0C00-00007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7" name="Oval 253">
          <a:extLst>
            <a:ext uri="{FF2B5EF4-FFF2-40B4-BE49-F238E27FC236}">
              <a16:creationId xmlns:a16="http://schemas.microsoft.com/office/drawing/2014/main" id="{00000000-0008-0000-0C00-00007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8" name="Oval 254">
          <a:extLst>
            <a:ext uri="{FF2B5EF4-FFF2-40B4-BE49-F238E27FC236}">
              <a16:creationId xmlns:a16="http://schemas.microsoft.com/office/drawing/2014/main" id="{00000000-0008-0000-0C00-00007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799" name="Oval 255">
          <a:extLst>
            <a:ext uri="{FF2B5EF4-FFF2-40B4-BE49-F238E27FC236}">
              <a16:creationId xmlns:a16="http://schemas.microsoft.com/office/drawing/2014/main" id="{00000000-0008-0000-0C00-00007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800" name="AutoShape 256">
          <a:extLst>
            <a:ext uri="{FF2B5EF4-FFF2-40B4-BE49-F238E27FC236}">
              <a16:creationId xmlns:a16="http://schemas.microsoft.com/office/drawing/2014/main" id="{00000000-0008-0000-0C00-00008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801" name="Rectangle 257">
          <a:extLst>
            <a:ext uri="{FF2B5EF4-FFF2-40B4-BE49-F238E27FC236}">
              <a16:creationId xmlns:a16="http://schemas.microsoft.com/office/drawing/2014/main" id="{00000000-0008-0000-0C00-00008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2" name="Oval 258">
          <a:extLst>
            <a:ext uri="{FF2B5EF4-FFF2-40B4-BE49-F238E27FC236}">
              <a16:creationId xmlns:a16="http://schemas.microsoft.com/office/drawing/2014/main" id="{00000000-0008-0000-0C00-00008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3" name="Oval 259">
          <a:extLst>
            <a:ext uri="{FF2B5EF4-FFF2-40B4-BE49-F238E27FC236}">
              <a16:creationId xmlns:a16="http://schemas.microsoft.com/office/drawing/2014/main" id="{00000000-0008-0000-0C00-00008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4" name="Oval 260">
          <a:extLst>
            <a:ext uri="{FF2B5EF4-FFF2-40B4-BE49-F238E27FC236}">
              <a16:creationId xmlns:a16="http://schemas.microsoft.com/office/drawing/2014/main" id="{00000000-0008-0000-0C00-00008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5" name="Oval 261">
          <a:extLst>
            <a:ext uri="{FF2B5EF4-FFF2-40B4-BE49-F238E27FC236}">
              <a16:creationId xmlns:a16="http://schemas.microsoft.com/office/drawing/2014/main" id="{00000000-0008-0000-0C00-00008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806" name="AutoShape 262">
          <a:extLst>
            <a:ext uri="{FF2B5EF4-FFF2-40B4-BE49-F238E27FC236}">
              <a16:creationId xmlns:a16="http://schemas.microsoft.com/office/drawing/2014/main" id="{00000000-0008-0000-0C00-00008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807" name="Rectangle 263">
          <a:extLst>
            <a:ext uri="{FF2B5EF4-FFF2-40B4-BE49-F238E27FC236}">
              <a16:creationId xmlns:a16="http://schemas.microsoft.com/office/drawing/2014/main" id="{00000000-0008-0000-0C00-00008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8" name="Oval 264">
          <a:extLst>
            <a:ext uri="{FF2B5EF4-FFF2-40B4-BE49-F238E27FC236}">
              <a16:creationId xmlns:a16="http://schemas.microsoft.com/office/drawing/2014/main" id="{00000000-0008-0000-0C00-00008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09" name="Oval 265">
          <a:extLst>
            <a:ext uri="{FF2B5EF4-FFF2-40B4-BE49-F238E27FC236}">
              <a16:creationId xmlns:a16="http://schemas.microsoft.com/office/drawing/2014/main" id="{00000000-0008-0000-0C00-00008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0" name="Oval 266">
          <a:extLst>
            <a:ext uri="{FF2B5EF4-FFF2-40B4-BE49-F238E27FC236}">
              <a16:creationId xmlns:a16="http://schemas.microsoft.com/office/drawing/2014/main" id="{00000000-0008-0000-0C00-00008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1" name="Oval 267">
          <a:extLst>
            <a:ext uri="{FF2B5EF4-FFF2-40B4-BE49-F238E27FC236}">
              <a16:creationId xmlns:a16="http://schemas.microsoft.com/office/drawing/2014/main" id="{00000000-0008-0000-0C00-00008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macro="" textlink="">
      <xdr:nvSpPr>
        <xdr:cNvPr id="348812" name="AutoShape 268">
          <a:extLst>
            <a:ext uri="{FF2B5EF4-FFF2-40B4-BE49-F238E27FC236}">
              <a16:creationId xmlns:a16="http://schemas.microsoft.com/office/drawing/2014/main" id="{00000000-0008-0000-0C00-00008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813" name="Rectangle 269">
          <a:extLst>
            <a:ext uri="{FF2B5EF4-FFF2-40B4-BE49-F238E27FC236}">
              <a16:creationId xmlns:a16="http://schemas.microsoft.com/office/drawing/2014/main" id="{00000000-0008-0000-0C00-00008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4" name="Oval 270">
          <a:extLst>
            <a:ext uri="{FF2B5EF4-FFF2-40B4-BE49-F238E27FC236}">
              <a16:creationId xmlns:a16="http://schemas.microsoft.com/office/drawing/2014/main" id="{00000000-0008-0000-0C00-00008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5" name="Oval 271">
          <a:extLst>
            <a:ext uri="{FF2B5EF4-FFF2-40B4-BE49-F238E27FC236}">
              <a16:creationId xmlns:a16="http://schemas.microsoft.com/office/drawing/2014/main" id="{00000000-0008-0000-0C00-00008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6" name="Oval 272">
          <a:extLst>
            <a:ext uri="{FF2B5EF4-FFF2-40B4-BE49-F238E27FC236}">
              <a16:creationId xmlns:a16="http://schemas.microsoft.com/office/drawing/2014/main" id="{00000000-0008-0000-0C00-00009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7" name="Oval 273">
          <a:extLst>
            <a:ext uri="{FF2B5EF4-FFF2-40B4-BE49-F238E27FC236}">
              <a16:creationId xmlns:a16="http://schemas.microsoft.com/office/drawing/2014/main" id="{00000000-0008-0000-0C00-00009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818" name="Rectangle 274">
          <a:extLst>
            <a:ext uri="{FF2B5EF4-FFF2-40B4-BE49-F238E27FC236}">
              <a16:creationId xmlns:a16="http://schemas.microsoft.com/office/drawing/2014/main" id="{00000000-0008-0000-0C00-00009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19" name="Oval 275">
          <a:extLst>
            <a:ext uri="{FF2B5EF4-FFF2-40B4-BE49-F238E27FC236}">
              <a16:creationId xmlns:a16="http://schemas.microsoft.com/office/drawing/2014/main" id="{00000000-0008-0000-0C00-00009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0" name="Oval 276">
          <a:extLst>
            <a:ext uri="{FF2B5EF4-FFF2-40B4-BE49-F238E27FC236}">
              <a16:creationId xmlns:a16="http://schemas.microsoft.com/office/drawing/2014/main" id="{00000000-0008-0000-0C00-00009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1" name="Oval 277">
          <a:extLst>
            <a:ext uri="{FF2B5EF4-FFF2-40B4-BE49-F238E27FC236}">
              <a16:creationId xmlns:a16="http://schemas.microsoft.com/office/drawing/2014/main" id="{00000000-0008-0000-0C00-00009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2" name="Oval 278">
          <a:extLst>
            <a:ext uri="{FF2B5EF4-FFF2-40B4-BE49-F238E27FC236}">
              <a16:creationId xmlns:a16="http://schemas.microsoft.com/office/drawing/2014/main" id="{00000000-0008-0000-0C00-00009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macro="" textlink="">
      <xdr:nvSpPr>
        <xdr:cNvPr id="348823" name="Rectangle 279">
          <a:extLst>
            <a:ext uri="{FF2B5EF4-FFF2-40B4-BE49-F238E27FC236}">
              <a16:creationId xmlns:a16="http://schemas.microsoft.com/office/drawing/2014/main" id="{00000000-0008-0000-0C00-00009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4" name="Oval 280">
          <a:extLst>
            <a:ext uri="{FF2B5EF4-FFF2-40B4-BE49-F238E27FC236}">
              <a16:creationId xmlns:a16="http://schemas.microsoft.com/office/drawing/2014/main" id="{00000000-0008-0000-0C00-00009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5" name="Oval 281">
          <a:extLst>
            <a:ext uri="{FF2B5EF4-FFF2-40B4-BE49-F238E27FC236}">
              <a16:creationId xmlns:a16="http://schemas.microsoft.com/office/drawing/2014/main" id="{00000000-0008-0000-0C00-00009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6" name="Oval 282">
          <a:extLst>
            <a:ext uri="{FF2B5EF4-FFF2-40B4-BE49-F238E27FC236}">
              <a16:creationId xmlns:a16="http://schemas.microsoft.com/office/drawing/2014/main" id="{00000000-0008-0000-0C00-00009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macro="" textlink="">
      <xdr:nvSpPr>
        <xdr:cNvPr id="348827" name="Oval 283">
          <a:extLst>
            <a:ext uri="{FF2B5EF4-FFF2-40B4-BE49-F238E27FC236}">
              <a16:creationId xmlns:a16="http://schemas.microsoft.com/office/drawing/2014/main" id="{00000000-0008-0000-0C00-00009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17</xdr:row>
      <xdr:rowOff>104775</xdr:rowOff>
    </xdr:from>
    <xdr:to>
      <xdr:col>4</xdr:col>
      <xdr:colOff>9525</xdr:colOff>
      <xdr:row>22</xdr:row>
      <xdr:rowOff>85725</xdr:rowOff>
    </xdr:to>
    <xdr:sp macro="" textlink="">
      <xdr:nvSpPr>
        <xdr:cNvPr id="348828" name="AutoShape 284">
          <a:extLst>
            <a:ext uri="{FF2B5EF4-FFF2-40B4-BE49-F238E27FC236}">
              <a16:creationId xmlns:a16="http://schemas.microsoft.com/office/drawing/2014/main" id="{00000000-0008-0000-0C00-00009C520500}"/>
            </a:ext>
          </a:extLst>
        </xdr:cNvPr>
        <xdr:cNvSpPr>
          <a:spLocks noChangeArrowheads="1"/>
        </xdr:cNvSpPr>
      </xdr:nvSpPr>
      <xdr:spPr bwMode="auto">
        <a:xfrm>
          <a:off x="676275" y="2085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macro="" textlink="">
      <xdr:nvSpPr>
        <xdr:cNvPr id="348829" name="Rectangle 285">
          <a:extLst>
            <a:ext uri="{FF2B5EF4-FFF2-40B4-BE49-F238E27FC236}">
              <a16:creationId xmlns:a16="http://schemas.microsoft.com/office/drawing/2014/main" id="{00000000-0008-0000-0C00-00009D52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25</xdr:row>
      <xdr:rowOff>104775</xdr:rowOff>
    </xdr:from>
    <xdr:to>
      <xdr:col>4</xdr:col>
      <xdr:colOff>9525</xdr:colOff>
      <xdr:row>30</xdr:row>
      <xdr:rowOff>85725</xdr:rowOff>
    </xdr:to>
    <xdr:sp macro="" textlink="">
      <xdr:nvSpPr>
        <xdr:cNvPr id="348830" name="AutoShape 286">
          <a:extLst>
            <a:ext uri="{FF2B5EF4-FFF2-40B4-BE49-F238E27FC236}">
              <a16:creationId xmlns:a16="http://schemas.microsoft.com/office/drawing/2014/main" id="{00000000-0008-0000-0C00-00009E520500}"/>
            </a:ext>
          </a:extLst>
        </xdr:cNvPr>
        <xdr:cNvSpPr>
          <a:spLocks noChangeArrowheads="1"/>
        </xdr:cNvSpPr>
      </xdr:nvSpPr>
      <xdr:spPr bwMode="auto">
        <a:xfrm>
          <a:off x="676275" y="2771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macro="" textlink="">
      <xdr:nvSpPr>
        <xdr:cNvPr id="348831" name="Rectangle 287">
          <a:extLst>
            <a:ext uri="{FF2B5EF4-FFF2-40B4-BE49-F238E27FC236}">
              <a16:creationId xmlns:a16="http://schemas.microsoft.com/office/drawing/2014/main" id="{00000000-0008-0000-0C00-00009F52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33</xdr:row>
      <xdr:rowOff>104775</xdr:rowOff>
    </xdr:from>
    <xdr:to>
      <xdr:col>4</xdr:col>
      <xdr:colOff>9525</xdr:colOff>
      <xdr:row>38</xdr:row>
      <xdr:rowOff>85725</xdr:rowOff>
    </xdr:to>
    <xdr:sp macro="" textlink="">
      <xdr:nvSpPr>
        <xdr:cNvPr id="348832" name="AutoShape 288">
          <a:extLst>
            <a:ext uri="{FF2B5EF4-FFF2-40B4-BE49-F238E27FC236}">
              <a16:creationId xmlns:a16="http://schemas.microsoft.com/office/drawing/2014/main" id="{00000000-0008-0000-0C00-0000A0520500}"/>
            </a:ext>
          </a:extLst>
        </xdr:cNvPr>
        <xdr:cNvSpPr>
          <a:spLocks noChangeArrowheads="1"/>
        </xdr:cNvSpPr>
      </xdr:nvSpPr>
      <xdr:spPr bwMode="auto">
        <a:xfrm>
          <a:off x="676275" y="3457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macro="" textlink="">
      <xdr:nvSpPr>
        <xdr:cNvPr id="348833" name="Rectangle 289">
          <a:extLst>
            <a:ext uri="{FF2B5EF4-FFF2-40B4-BE49-F238E27FC236}">
              <a16:creationId xmlns:a16="http://schemas.microsoft.com/office/drawing/2014/main" id="{00000000-0008-0000-0C00-0000A152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4</xdr:col>
      <xdr:colOff>9525</xdr:colOff>
      <xdr:row>46</xdr:row>
      <xdr:rowOff>85725</xdr:rowOff>
    </xdr:to>
    <xdr:sp macro="" textlink="">
      <xdr:nvSpPr>
        <xdr:cNvPr id="348834" name="AutoShape 290">
          <a:extLst>
            <a:ext uri="{FF2B5EF4-FFF2-40B4-BE49-F238E27FC236}">
              <a16:creationId xmlns:a16="http://schemas.microsoft.com/office/drawing/2014/main" id="{00000000-0008-0000-0C00-0000A2520500}"/>
            </a:ext>
          </a:extLst>
        </xdr:cNvPr>
        <xdr:cNvSpPr>
          <a:spLocks noChangeArrowheads="1"/>
        </xdr:cNvSpPr>
      </xdr:nvSpPr>
      <xdr:spPr bwMode="auto">
        <a:xfrm>
          <a:off x="676275" y="4143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macro="" textlink="">
      <xdr:nvSpPr>
        <xdr:cNvPr id="348835" name="Rectangle 291">
          <a:extLst>
            <a:ext uri="{FF2B5EF4-FFF2-40B4-BE49-F238E27FC236}">
              <a16:creationId xmlns:a16="http://schemas.microsoft.com/office/drawing/2014/main" id="{00000000-0008-0000-0C00-0000A352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49</xdr:row>
      <xdr:rowOff>104775</xdr:rowOff>
    </xdr:from>
    <xdr:to>
      <xdr:col>4</xdr:col>
      <xdr:colOff>9525</xdr:colOff>
      <xdr:row>54</xdr:row>
      <xdr:rowOff>85725</xdr:rowOff>
    </xdr:to>
    <xdr:sp macro="" textlink="">
      <xdr:nvSpPr>
        <xdr:cNvPr id="348836" name="AutoShape 292">
          <a:extLst>
            <a:ext uri="{FF2B5EF4-FFF2-40B4-BE49-F238E27FC236}">
              <a16:creationId xmlns:a16="http://schemas.microsoft.com/office/drawing/2014/main" id="{00000000-0008-0000-0C00-0000A4520500}"/>
            </a:ext>
          </a:extLst>
        </xdr:cNvPr>
        <xdr:cNvSpPr>
          <a:spLocks noChangeArrowheads="1"/>
        </xdr:cNvSpPr>
      </xdr:nvSpPr>
      <xdr:spPr bwMode="auto">
        <a:xfrm>
          <a:off x="676275" y="4829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macro="" textlink="">
      <xdr:nvSpPr>
        <xdr:cNvPr id="348837" name="Rectangle 293">
          <a:extLst>
            <a:ext uri="{FF2B5EF4-FFF2-40B4-BE49-F238E27FC236}">
              <a16:creationId xmlns:a16="http://schemas.microsoft.com/office/drawing/2014/main" id="{00000000-0008-0000-0C00-0000A552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57</xdr:row>
      <xdr:rowOff>104775</xdr:rowOff>
    </xdr:from>
    <xdr:to>
      <xdr:col>4</xdr:col>
      <xdr:colOff>9525</xdr:colOff>
      <xdr:row>62</xdr:row>
      <xdr:rowOff>85725</xdr:rowOff>
    </xdr:to>
    <xdr:sp macro="" textlink="">
      <xdr:nvSpPr>
        <xdr:cNvPr id="348838" name="AutoShape 294">
          <a:extLst>
            <a:ext uri="{FF2B5EF4-FFF2-40B4-BE49-F238E27FC236}">
              <a16:creationId xmlns:a16="http://schemas.microsoft.com/office/drawing/2014/main" id="{00000000-0008-0000-0C00-0000A6520500}"/>
            </a:ext>
          </a:extLst>
        </xdr:cNvPr>
        <xdr:cNvSpPr>
          <a:spLocks noChangeArrowheads="1"/>
        </xdr:cNvSpPr>
      </xdr:nvSpPr>
      <xdr:spPr bwMode="auto">
        <a:xfrm>
          <a:off x="676275" y="5514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macro="" textlink="">
      <xdr:nvSpPr>
        <xdr:cNvPr id="348839" name="Rectangle 295">
          <a:extLst>
            <a:ext uri="{FF2B5EF4-FFF2-40B4-BE49-F238E27FC236}">
              <a16:creationId xmlns:a16="http://schemas.microsoft.com/office/drawing/2014/main" id="{00000000-0008-0000-0C00-0000A752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65</xdr:row>
      <xdr:rowOff>104775</xdr:rowOff>
    </xdr:from>
    <xdr:to>
      <xdr:col>4</xdr:col>
      <xdr:colOff>9525</xdr:colOff>
      <xdr:row>70</xdr:row>
      <xdr:rowOff>85725</xdr:rowOff>
    </xdr:to>
    <xdr:sp macro="" textlink="">
      <xdr:nvSpPr>
        <xdr:cNvPr id="348840" name="AutoShape 296">
          <a:extLst>
            <a:ext uri="{FF2B5EF4-FFF2-40B4-BE49-F238E27FC236}">
              <a16:creationId xmlns:a16="http://schemas.microsoft.com/office/drawing/2014/main" id="{00000000-0008-0000-0C00-0000A8520500}"/>
            </a:ext>
          </a:extLst>
        </xdr:cNvPr>
        <xdr:cNvSpPr>
          <a:spLocks noChangeArrowheads="1"/>
        </xdr:cNvSpPr>
      </xdr:nvSpPr>
      <xdr:spPr bwMode="auto">
        <a:xfrm>
          <a:off x="676275" y="6200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macro="" textlink="">
      <xdr:nvSpPr>
        <xdr:cNvPr id="348841" name="Rectangle 297">
          <a:extLst>
            <a:ext uri="{FF2B5EF4-FFF2-40B4-BE49-F238E27FC236}">
              <a16:creationId xmlns:a16="http://schemas.microsoft.com/office/drawing/2014/main" id="{00000000-0008-0000-0C00-0000A952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73</xdr:row>
      <xdr:rowOff>104775</xdr:rowOff>
    </xdr:from>
    <xdr:to>
      <xdr:col>4</xdr:col>
      <xdr:colOff>9525</xdr:colOff>
      <xdr:row>78</xdr:row>
      <xdr:rowOff>85725</xdr:rowOff>
    </xdr:to>
    <xdr:sp macro="" textlink="">
      <xdr:nvSpPr>
        <xdr:cNvPr id="348842" name="AutoShape 298">
          <a:extLst>
            <a:ext uri="{FF2B5EF4-FFF2-40B4-BE49-F238E27FC236}">
              <a16:creationId xmlns:a16="http://schemas.microsoft.com/office/drawing/2014/main" id="{00000000-0008-0000-0C00-0000AA520500}"/>
            </a:ext>
          </a:extLst>
        </xdr:cNvPr>
        <xdr:cNvSpPr>
          <a:spLocks noChangeArrowheads="1"/>
        </xdr:cNvSpPr>
      </xdr:nvSpPr>
      <xdr:spPr bwMode="auto">
        <a:xfrm>
          <a:off x="676275" y="6886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macro="" textlink="">
      <xdr:nvSpPr>
        <xdr:cNvPr id="348843" name="Rectangle 299">
          <a:extLst>
            <a:ext uri="{FF2B5EF4-FFF2-40B4-BE49-F238E27FC236}">
              <a16:creationId xmlns:a16="http://schemas.microsoft.com/office/drawing/2014/main" id="{00000000-0008-0000-0C00-0000AB52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81</xdr:row>
      <xdr:rowOff>104775</xdr:rowOff>
    </xdr:from>
    <xdr:to>
      <xdr:col>4</xdr:col>
      <xdr:colOff>9525</xdr:colOff>
      <xdr:row>86</xdr:row>
      <xdr:rowOff>85725</xdr:rowOff>
    </xdr:to>
    <xdr:sp macro="" textlink="">
      <xdr:nvSpPr>
        <xdr:cNvPr id="348844" name="AutoShape 300">
          <a:extLst>
            <a:ext uri="{FF2B5EF4-FFF2-40B4-BE49-F238E27FC236}">
              <a16:creationId xmlns:a16="http://schemas.microsoft.com/office/drawing/2014/main" id="{00000000-0008-0000-0C00-0000AC520500}"/>
            </a:ext>
          </a:extLst>
        </xdr:cNvPr>
        <xdr:cNvSpPr>
          <a:spLocks noChangeArrowheads="1"/>
        </xdr:cNvSpPr>
      </xdr:nvSpPr>
      <xdr:spPr bwMode="auto">
        <a:xfrm>
          <a:off x="676275" y="7572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macro="" textlink="">
      <xdr:nvSpPr>
        <xdr:cNvPr id="348845" name="Rectangle 301">
          <a:extLst>
            <a:ext uri="{FF2B5EF4-FFF2-40B4-BE49-F238E27FC236}">
              <a16:creationId xmlns:a16="http://schemas.microsoft.com/office/drawing/2014/main" id="{00000000-0008-0000-0C00-0000AD52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89</xdr:row>
      <xdr:rowOff>104775</xdr:rowOff>
    </xdr:from>
    <xdr:to>
      <xdr:col>4</xdr:col>
      <xdr:colOff>9525</xdr:colOff>
      <xdr:row>94</xdr:row>
      <xdr:rowOff>85725</xdr:rowOff>
    </xdr:to>
    <xdr:sp macro="" textlink="">
      <xdr:nvSpPr>
        <xdr:cNvPr id="348846" name="AutoShape 302">
          <a:extLst>
            <a:ext uri="{FF2B5EF4-FFF2-40B4-BE49-F238E27FC236}">
              <a16:creationId xmlns:a16="http://schemas.microsoft.com/office/drawing/2014/main" id="{00000000-0008-0000-0C00-0000AE520500}"/>
            </a:ext>
          </a:extLst>
        </xdr:cNvPr>
        <xdr:cNvSpPr>
          <a:spLocks noChangeArrowheads="1"/>
        </xdr:cNvSpPr>
      </xdr:nvSpPr>
      <xdr:spPr bwMode="auto">
        <a:xfrm>
          <a:off x="676275" y="8258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macro="" textlink="">
      <xdr:nvSpPr>
        <xdr:cNvPr id="348847" name="Rectangle 303">
          <a:extLst>
            <a:ext uri="{FF2B5EF4-FFF2-40B4-BE49-F238E27FC236}">
              <a16:creationId xmlns:a16="http://schemas.microsoft.com/office/drawing/2014/main" id="{00000000-0008-0000-0C00-0000AF52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97</xdr:row>
      <xdr:rowOff>104775</xdr:rowOff>
    </xdr:from>
    <xdr:to>
      <xdr:col>4</xdr:col>
      <xdr:colOff>9525</xdr:colOff>
      <xdr:row>102</xdr:row>
      <xdr:rowOff>85725</xdr:rowOff>
    </xdr:to>
    <xdr:sp macro="" textlink="">
      <xdr:nvSpPr>
        <xdr:cNvPr id="348848" name="AutoShape 304">
          <a:extLst>
            <a:ext uri="{FF2B5EF4-FFF2-40B4-BE49-F238E27FC236}">
              <a16:creationId xmlns:a16="http://schemas.microsoft.com/office/drawing/2014/main" id="{00000000-0008-0000-0C00-0000B0520500}"/>
            </a:ext>
          </a:extLst>
        </xdr:cNvPr>
        <xdr:cNvSpPr>
          <a:spLocks noChangeArrowheads="1"/>
        </xdr:cNvSpPr>
      </xdr:nvSpPr>
      <xdr:spPr bwMode="auto">
        <a:xfrm>
          <a:off x="676275" y="8943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macro="" textlink="">
      <xdr:nvSpPr>
        <xdr:cNvPr id="348849" name="Rectangle 305">
          <a:extLst>
            <a:ext uri="{FF2B5EF4-FFF2-40B4-BE49-F238E27FC236}">
              <a16:creationId xmlns:a16="http://schemas.microsoft.com/office/drawing/2014/main" id="{00000000-0008-0000-0C00-0000B152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105</xdr:row>
      <xdr:rowOff>104775</xdr:rowOff>
    </xdr:from>
    <xdr:to>
      <xdr:col>4</xdr:col>
      <xdr:colOff>9525</xdr:colOff>
      <xdr:row>110</xdr:row>
      <xdr:rowOff>85725</xdr:rowOff>
    </xdr:to>
    <xdr:sp macro="" textlink="">
      <xdr:nvSpPr>
        <xdr:cNvPr id="348850" name="AutoShape 306">
          <a:extLst>
            <a:ext uri="{FF2B5EF4-FFF2-40B4-BE49-F238E27FC236}">
              <a16:creationId xmlns:a16="http://schemas.microsoft.com/office/drawing/2014/main" id="{00000000-0008-0000-0C00-0000B2520500}"/>
            </a:ext>
          </a:extLst>
        </xdr:cNvPr>
        <xdr:cNvSpPr>
          <a:spLocks noChangeArrowheads="1"/>
        </xdr:cNvSpPr>
      </xdr:nvSpPr>
      <xdr:spPr bwMode="auto">
        <a:xfrm>
          <a:off x="676275" y="9629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macro="" textlink="">
      <xdr:nvSpPr>
        <xdr:cNvPr id="348851" name="Rectangle 307">
          <a:extLst>
            <a:ext uri="{FF2B5EF4-FFF2-40B4-BE49-F238E27FC236}">
              <a16:creationId xmlns:a16="http://schemas.microsoft.com/office/drawing/2014/main" id="{00000000-0008-0000-0C00-0000B352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AC114"/>
  <sheetViews>
    <sheetView showGridLines="0" view="pageBreakPreview" zoomScale="130" zoomScaleNormal="123" zoomScaleSheetLayoutView="130" workbookViewId="0">
      <selection activeCell="U8" sqref="U8:X8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15">
      <c r="S2" s="12"/>
      <c r="T2" s="3"/>
      <c r="U2" s="84" t="s">
        <v>23</v>
      </c>
      <c r="V2" s="84"/>
      <c r="W2" s="2"/>
      <c r="X2" s="12"/>
      <c r="Y2" s="84">
        <v>75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86">
        <v>1</v>
      </c>
      <c r="G10" s="86"/>
      <c r="H10" s="14" t="str">
        <f>IF(F10="","",IF(F10=0,"","m"))</f>
        <v>m</v>
      </c>
      <c r="K10" s="13" t="str">
        <f>IF(L10="","",IF(L10=0,"","L="))</f>
        <v>L=</v>
      </c>
      <c r="L10" s="86">
        <v>1</v>
      </c>
      <c r="M10" s="86"/>
      <c r="N10" s="14" t="str">
        <f>IF(L10="","",IF(L10=0,"","m"))</f>
        <v>m</v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1</v>
      </c>
      <c r="T10" s="81" t="str">
        <f>IF(S10="","",IF(S10="入力ｴﾗｰ","","m"))</f>
        <v>m</v>
      </c>
      <c r="U10" s="103">
        <f>IF(B10="","",COUNT(F10,I15,L10,O15)-IF(S10=0,1,0)-V10)</f>
        <v>2</v>
      </c>
      <c r="V10" s="104">
        <v>1</v>
      </c>
      <c r="W10" s="102">
        <v>3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F12" s="2"/>
      <c r="G12" s="3"/>
      <c r="H12" s="2"/>
      <c r="I12" s="3"/>
      <c r="K12" s="3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6"/>
      <c r="K13" s="7"/>
      <c r="L13" s="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>L=</v>
      </c>
      <c r="I15" s="86">
        <v>1</v>
      </c>
      <c r="J15" s="86"/>
      <c r="K15" s="14" t="str">
        <f>IF(I15="","",IF(I15=0,"","m"))</f>
        <v>m</v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F20" s="2"/>
      <c r="G20" s="3"/>
      <c r="H20" s="2"/>
      <c r="I20" s="3"/>
      <c r="K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8"/>
      <c r="K21" s="7"/>
      <c r="L21" s="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G28" s="3"/>
      <c r="H28" s="2"/>
      <c r="I28" s="3"/>
      <c r="K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H36" s="2"/>
      <c r="K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I52" s="3"/>
      <c r="K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6"/>
      <c r="I53" s="7"/>
      <c r="J53" s="6"/>
      <c r="K53" s="7"/>
      <c r="L53" s="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6"/>
      <c r="I61" s="7"/>
      <c r="J61" s="8"/>
      <c r="K61" s="7"/>
      <c r="L61" s="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8"/>
      <c r="G69" s="7"/>
      <c r="H69" s="8"/>
      <c r="I69" s="7"/>
      <c r="J69" s="8"/>
      <c r="K69" s="7"/>
      <c r="L69" s="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8"/>
      <c r="G77" s="7"/>
      <c r="H77" s="8"/>
      <c r="I77" s="7"/>
      <c r="J77" s="8"/>
      <c r="K77" s="7"/>
      <c r="L77" s="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/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6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NS</v>
      </c>
      <c r="H114" s="111">
        <f>Y2</f>
        <v>75</v>
      </c>
      <c r="I114" s="111"/>
      <c r="J114" s="112"/>
      <c r="K114" s="113">
        <f>IF(B10="",0,LARGE(B10:B111,1))</f>
        <v>1</v>
      </c>
      <c r="L114" s="114"/>
      <c r="M114" s="21"/>
      <c r="N114" s="25"/>
      <c r="O114" s="20"/>
      <c r="P114" s="20"/>
      <c r="Q114" s="21"/>
      <c r="R114" s="115">
        <f>SUM(S10:S111)</f>
        <v>1</v>
      </c>
      <c r="S114" s="116"/>
      <c r="T114" s="20"/>
      <c r="U114" s="51">
        <f t="shared" ref="U114:AA114" si="0">SUM(U10:U111)</f>
        <v>2</v>
      </c>
      <c r="V114" s="79">
        <f t="shared" si="0"/>
        <v>1</v>
      </c>
      <c r="W114" s="73">
        <f t="shared" si="0"/>
        <v>3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</mergeCells>
  <phoneticPr fontId="2"/>
  <conditionalFormatting sqref="S10:S15 S18:S23 S26:S31 S34:S39 S42:S47 S50:S55 S58:S63 S66:S71 S74:S79 S82:S87 S90:S95 S98:S103 S106:S111">
    <cfRule type="cellIs" dxfId="25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AC114"/>
  <sheetViews>
    <sheetView showGridLines="0" view="pageBreakPreview" zoomScale="85" zoomScaleNormal="123" zoomScaleSheetLayoutView="85" workbookViewId="0">
      <selection activeCell="AG38" sqref="AG38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">
        <v>41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23</v>
      </c>
      <c r="V2" s="84"/>
      <c r="W2" s="2"/>
      <c r="X2" s="12"/>
      <c r="Y2" s="84">
        <v>150</v>
      </c>
      <c r="Z2" s="84"/>
      <c r="AA2" s="2"/>
      <c r="AC2" s="1">
        <f>IF(AC1=4,0,IF(Y2&lt;=250,5,0))</f>
        <v>5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L11" s="2"/>
      <c r="M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F12" s="2"/>
      <c r="G12" s="3"/>
      <c r="H12" s="2"/>
      <c r="I12" s="3"/>
      <c r="K12" s="3"/>
      <c r="L12" s="2"/>
      <c r="M12" s="3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6"/>
      <c r="K13" s="7"/>
      <c r="L13" s="8"/>
      <c r="M13" s="7"/>
      <c r="N13" s="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L14" s="2"/>
      <c r="M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L19" s="2"/>
      <c r="M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F20" s="2"/>
      <c r="G20" s="3"/>
      <c r="H20" s="2"/>
      <c r="I20" s="3"/>
      <c r="K20" s="3"/>
      <c r="L20" s="2"/>
      <c r="M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6"/>
      <c r="K21" s="7"/>
      <c r="L21" s="8"/>
      <c r="M21" s="7"/>
      <c r="N21" s="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L22" s="2"/>
      <c r="M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/>
      <c r="K26" s="13" t="str">
        <f>IF(L26="","",IF(L26=0,"","L="))</f>
        <v/>
      </c>
      <c r="L26" s="86"/>
      <c r="M26" s="86"/>
      <c r="N26" s="14" t="str">
        <f>IF(L26="","",IF(L26=0,"","m"))</f>
        <v/>
      </c>
      <c r="Q26" s="2"/>
      <c r="R26" s="105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L27" s="2"/>
      <c r="M27" s="3"/>
      <c r="Q27" s="2"/>
      <c r="R27" s="105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G28" s="3"/>
      <c r="H28" s="2"/>
      <c r="K28" s="3"/>
      <c r="L28" s="2"/>
      <c r="M28" s="3"/>
      <c r="Q28" s="2"/>
      <c r="R28" s="105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9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L30" s="2"/>
      <c r="M30" s="3"/>
      <c r="Q30" s="2"/>
      <c r="R30" s="9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/>
      <c r="N31" s="13" t="str">
        <f>IF(O31="","",IF(O31=0,"","L="))</f>
        <v/>
      </c>
      <c r="O31" s="86"/>
      <c r="P31" s="86"/>
      <c r="Q31" s="24" t="str">
        <f>IF(O31="","",IF(O31=0,"","m"))</f>
        <v/>
      </c>
      <c r="R31" s="9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/>
      <c r="K34" s="13" t="str">
        <f>IF(L34="","",IF(L34=0,"","L="))</f>
        <v/>
      </c>
      <c r="L34" s="86"/>
      <c r="M34" s="86"/>
      <c r="N34" s="14" t="str">
        <f>IF(L34="","",IF(L34=0,"","m"))</f>
        <v/>
      </c>
      <c r="Q34" s="2"/>
      <c r="R34" s="105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L35" s="2"/>
      <c r="M35" s="3"/>
      <c r="Q35" s="2"/>
      <c r="R35" s="105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H36" s="2"/>
      <c r="K36" s="3"/>
      <c r="L36" s="2"/>
      <c r="M36" s="3"/>
      <c r="Q36" s="2"/>
      <c r="R36" s="105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9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Q38" s="2"/>
      <c r="R38" s="9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/>
      <c r="N39" s="13" t="str">
        <f>IF(O39="","",IF(O39=0,"","L="))</f>
        <v/>
      </c>
      <c r="O39" s="86"/>
      <c r="P39" s="86"/>
      <c r="Q39" s="24" t="str">
        <f>IF(O39="","",IF(O39=0,"","m"))</f>
        <v/>
      </c>
      <c r="R39" s="9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/>
      <c r="K42" s="13" t="str">
        <f>IF(L42="","",IF(L42=0,"","L="))</f>
        <v/>
      </c>
      <c r="L42" s="86"/>
      <c r="M42" s="86"/>
      <c r="N42" s="14" t="str">
        <f>IF(L42="","",IF(L42=0,"","m"))</f>
        <v/>
      </c>
      <c r="Q42" s="2"/>
      <c r="R42" s="105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Q43" s="2"/>
      <c r="R43" s="105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L44" s="2"/>
      <c r="M44" s="3"/>
      <c r="Q44" s="2"/>
      <c r="R44" s="105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9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Q46" s="2"/>
      <c r="R46" s="9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/>
      <c r="N47" s="13" t="str">
        <f>IF(O47="","",IF(O47=0,"","L="))</f>
        <v/>
      </c>
      <c r="O47" s="86"/>
      <c r="P47" s="86"/>
      <c r="Q47" s="24" t="str">
        <f>IF(O47="","",IF(O47=0,"","m"))</f>
        <v/>
      </c>
      <c r="R47" s="9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/>
      <c r="K50" s="13" t="str">
        <f>IF(L50="","",IF(L50=0,"","L="))</f>
        <v/>
      </c>
      <c r="L50" s="86"/>
      <c r="M50" s="86"/>
      <c r="N50" s="14" t="str">
        <f>IF(L50="","",IF(L50=0,"","m"))</f>
        <v/>
      </c>
      <c r="Q50" s="2"/>
      <c r="R50" s="105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K51" s="3"/>
      <c r="L51" s="2"/>
      <c r="M51" s="3"/>
      <c r="Q51" s="2"/>
      <c r="R51" s="105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H52" s="2"/>
      <c r="J52" s="4"/>
      <c r="K52" s="5"/>
      <c r="L52" s="55"/>
      <c r="M52" s="5"/>
      <c r="N52" s="4"/>
      <c r="Q52" s="2"/>
      <c r="R52" s="105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9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K54" s="3"/>
      <c r="L54" s="2"/>
      <c r="M54" s="3"/>
      <c r="Q54" s="2"/>
      <c r="R54" s="9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/>
      <c r="N55" s="13" t="str">
        <f>IF(O55="","",IF(O55=0,"","L="))</f>
        <v/>
      </c>
      <c r="O55" s="86"/>
      <c r="P55" s="86"/>
      <c r="Q55" s="24" t="str">
        <f>IF(O55="","",IF(O55=0,"","m"))</f>
        <v/>
      </c>
      <c r="R55" s="9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/>
      <c r="K58" s="13" t="str">
        <f>IF(L58="","",IF(L58=0,"","L="))</f>
        <v/>
      </c>
      <c r="L58" s="86"/>
      <c r="M58" s="86"/>
      <c r="N58" s="14" t="str">
        <f>IF(L58="","",IF(L58=0,"","m"))</f>
        <v/>
      </c>
      <c r="Q58" s="2"/>
      <c r="R58" s="105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H59" s="2"/>
      <c r="K59" s="3"/>
      <c r="L59" s="2"/>
      <c r="M59" s="3"/>
      <c r="Q59" s="2"/>
      <c r="R59" s="105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H60" s="2"/>
      <c r="K60" s="3"/>
      <c r="L60" s="55"/>
      <c r="M60" s="5"/>
      <c r="N60" s="4"/>
      <c r="Q60" s="2"/>
      <c r="R60" s="105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9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H62" s="2"/>
      <c r="J62" s="2"/>
      <c r="K62" s="3"/>
      <c r="L62" s="2"/>
      <c r="M62" s="3"/>
      <c r="Q62" s="2"/>
      <c r="R62" s="9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/>
      <c r="N63" s="13" t="str">
        <f>IF(O63="","",IF(O63=0,"","L="))</f>
        <v/>
      </c>
      <c r="O63" s="86"/>
      <c r="P63" s="86"/>
      <c r="Q63" s="24" t="str">
        <f>IF(O63="","",IF(O63=0,"","m"))</f>
        <v/>
      </c>
      <c r="R63" s="9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/>
      <c r="K66" s="13" t="str">
        <f>IF(L66="","",IF(L66=0,"","L="))</f>
        <v/>
      </c>
      <c r="L66" s="86"/>
      <c r="M66" s="86"/>
      <c r="N66" s="14" t="str">
        <f>IF(L66="","",IF(L66=0,"","m"))</f>
        <v/>
      </c>
      <c r="Q66" s="2"/>
      <c r="R66" s="105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Q67" s="2"/>
      <c r="R67" s="105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L68" s="2"/>
      <c r="M68" s="5"/>
      <c r="N68" s="4"/>
      <c r="Q68" s="2"/>
      <c r="R68" s="105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9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L70" s="2"/>
      <c r="M70" s="3"/>
      <c r="Q70" s="2"/>
      <c r="R70" s="9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/>
      <c r="N71" s="13" t="str">
        <f>IF(O71="","",IF(O71=0,"","L="))</f>
        <v/>
      </c>
      <c r="O71" s="86"/>
      <c r="P71" s="86"/>
      <c r="Q71" s="24" t="str">
        <f>IF(O71="","",IF(O71=0,"","m"))</f>
        <v/>
      </c>
      <c r="R71" s="9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/>
      <c r="K74" s="13" t="str">
        <f>IF(L74="","",IF(L74=0,"","L="))</f>
        <v/>
      </c>
      <c r="L74" s="86"/>
      <c r="M74" s="86"/>
      <c r="N74" s="14" t="str">
        <f>IF(L74="","",IF(L74=0,"","m"))</f>
        <v/>
      </c>
      <c r="Q74" s="2"/>
      <c r="R74" s="105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Q75" s="2"/>
      <c r="R75" s="105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L76" s="2"/>
      <c r="M76" s="5"/>
      <c r="N76" s="4"/>
      <c r="Q76" s="2"/>
      <c r="R76" s="105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9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L78" s="2"/>
      <c r="M78" s="3"/>
      <c r="Q78" s="2"/>
      <c r="R78" s="9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/>
      <c r="N79" s="13" t="str">
        <f>IF(O79="","",IF(O79=0,"","L="))</f>
        <v/>
      </c>
      <c r="O79" s="86"/>
      <c r="P79" s="86"/>
      <c r="Q79" s="24" t="str">
        <f>IF(O79="","",IF(O79=0,"","m"))</f>
        <v/>
      </c>
      <c r="R79" s="9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/>
      <c r="K82" s="13" t="str">
        <f>IF(L82="","",IF(L82=0,"","L="))</f>
        <v/>
      </c>
      <c r="L82" s="86"/>
      <c r="M82" s="86"/>
      <c r="N82" s="14" t="str">
        <f>IF(L82="","",IF(L82=0,"","m"))</f>
        <v/>
      </c>
      <c r="Q82" s="2"/>
      <c r="R82" s="105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L83" s="2"/>
      <c r="M83" s="3"/>
      <c r="Q83" s="2"/>
      <c r="R83" s="105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L84" s="2"/>
      <c r="M84" s="5"/>
      <c r="N84" s="4"/>
      <c r="Q84" s="2"/>
      <c r="R84" s="105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9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L86" s="2"/>
      <c r="M86" s="3"/>
      <c r="Q86" s="2"/>
      <c r="R86" s="9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/>
      <c r="N87" s="13" t="str">
        <f>IF(O87="","",IF(O87=0,"","L="))</f>
        <v/>
      </c>
      <c r="O87" s="86"/>
      <c r="P87" s="86"/>
      <c r="Q87" s="24" t="str">
        <f>IF(O87="","",IF(O87=0,"","m"))</f>
        <v/>
      </c>
      <c r="R87" s="9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/>
      <c r="K90" s="13" t="str">
        <f>IF(L90="","",IF(L90=0,"","L="))</f>
        <v/>
      </c>
      <c r="L90" s="86"/>
      <c r="M90" s="86"/>
      <c r="N90" s="14" t="str">
        <f>IF(L90="","",IF(L90=0,"","m"))</f>
        <v/>
      </c>
      <c r="Q90" s="2"/>
      <c r="R90" s="105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Q91" s="2"/>
      <c r="R91" s="105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L92" s="2"/>
      <c r="M92" s="5"/>
      <c r="N92" s="4"/>
      <c r="Q92" s="2"/>
      <c r="R92" s="105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9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L94" s="2"/>
      <c r="M94" s="3"/>
      <c r="Q94" s="2"/>
      <c r="R94" s="9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/>
      <c r="N95" s="13" t="str">
        <f>IF(O95="","",IF(O95=0,"","L="))</f>
        <v/>
      </c>
      <c r="O95" s="86"/>
      <c r="P95" s="86"/>
      <c r="Q95" s="24" t="str">
        <f>IF(O95="","",IF(O95=0,"","m"))</f>
        <v/>
      </c>
      <c r="R95" s="9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/>
      <c r="K98" s="13" t="str">
        <f>IF(L98="","",IF(L98=0,"","L="))</f>
        <v/>
      </c>
      <c r="L98" s="86"/>
      <c r="M98" s="86"/>
      <c r="N98" s="14" t="str">
        <f>IF(L98="","",IF(L98=0,"","m"))</f>
        <v/>
      </c>
      <c r="Q98" s="2"/>
      <c r="R98" s="105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Q99" s="2"/>
      <c r="R99" s="105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L100" s="2"/>
      <c r="M100" s="5"/>
      <c r="N100" s="4"/>
      <c r="Q100" s="2"/>
      <c r="R100" s="105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9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L102" s="2"/>
      <c r="M102" s="3"/>
      <c r="Q102" s="2"/>
      <c r="R102" s="9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/>
      <c r="N103" s="13" t="str">
        <f>IF(O103="","",IF(O103=0,"","L="))</f>
        <v/>
      </c>
      <c r="O103" s="86"/>
      <c r="P103" s="86"/>
      <c r="Q103" s="24" t="str">
        <f>IF(O103="","",IF(O103=0,"","m"))</f>
        <v/>
      </c>
      <c r="R103" s="9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/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Q106" s="2"/>
      <c r="R106" s="105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L107" s="2"/>
      <c r="M107" s="3"/>
      <c r="Q107" s="2"/>
      <c r="R107" s="105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L108" s="2"/>
      <c r="M108" s="5"/>
      <c r="N108" s="4"/>
      <c r="Q108" s="2"/>
      <c r="R108" s="105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9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L110" s="2"/>
      <c r="M110" s="3"/>
      <c r="Q110" s="2"/>
      <c r="R110" s="9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/>
      <c r="N111" s="13" t="str">
        <f>IF(O111="","",IF(O111=0,"","L="))</f>
        <v/>
      </c>
      <c r="O111" s="86"/>
      <c r="P111" s="86"/>
      <c r="Q111" s="24" t="str">
        <f>IF(O111="","",IF(O111=0,"","m"))</f>
        <v/>
      </c>
      <c r="R111" s="9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NS</v>
      </c>
      <c r="H114" s="111">
        <f>Y2</f>
        <v>150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W106:W111"/>
    <mergeCell ref="X106:X111"/>
    <mergeCell ref="I111:J111"/>
    <mergeCell ref="O111:P111"/>
    <mergeCell ref="Y98:Y103"/>
    <mergeCell ref="Z98:Z103"/>
    <mergeCell ref="Y106:Y111"/>
    <mergeCell ref="Z106:Z111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</mergeCells>
  <phoneticPr fontId="2"/>
  <conditionalFormatting sqref="S10:S15 S18:S23 S26:S31 S34:S39 S42:S47 S50:S55 S58:S63 S66:S71 S74:S79 S82:S87 S90:S95 S98:S103 S106:S111">
    <cfRule type="cellIs" dxfId="24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AC114"/>
  <sheetViews>
    <sheetView showGridLines="0" view="pageBreakPreview" zoomScale="123" zoomScaleNormal="123" zoomScaleSheetLayoutView="123" workbookViewId="0">
      <selection activeCell="V24" sqref="V24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23</v>
      </c>
      <c r="V2" s="84"/>
      <c r="W2" s="2"/>
      <c r="X2" s="12"/>
      <c r="Y2" s="84">
        <v>300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86">
        <v>1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5</v>
      </c>
      <c r="T10" s="81" t="str">
        <f>IF(S10="","",IF(S10="入力ｴﾗｰ","","m"))</f>
        <v>m</v>
      </c>
      <c r="U10" s="103">
        <f>IF(B10="","",COUNT(F10,I15,L10,O15)-IF(S10=0,1,0)-V10)</f>
        <v>1</v>
      </c>
      <c r="V10" s="104"/>
      <c r="W10" s="102">
        <v>1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L11" s="2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F12" s="2"/>
      <c r="G12" s="3"/>
      <c r="H12" s="2"/>
      <c r="I12" s="3"/>
      <c r="K12" s="3"/>
      <c r="L12" s="2"/>
      <c r="M12" s="3"/>
      <c r="N12" s="2"/>
      <c r="O12" s="3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H13" s="65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L19" s="2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8"/>
      <c r="G20" s="69"/>
      <c r="H20" s="68"/>
      <c r="I20" s="69"/>
      <c r="J20" s="67"/>
      <c r="K20" s="69"/>
      <c r="L20" s="68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F21" s="2"/>
      <c r="G21" s="3"/>
      <c r="H21" s="2"/>
      <c r="I21" s="3"/>
      <c r="J21" s="2"/>
      <c r="K21" s="3"/>
      <c r="L21" s="2"/>
      <c r="M21" s="3"/>
      <c r="O21" s="3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G28" s="3"/>
      <c r="H28" s="2"/>
      <c r="I28" s="3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5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67"/>
      <c r="K36" s="69"/>
      <c r="L36" s="68"/>
      <c r="M36" s="69"/>
      <c r="N36" s="67"/>
      <c r="O36" s="69"/>
      <c r="P36" s="67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2"/>
      <c r="K37" s="3"/>
      <c r="L37" s="2"/>
      <c r="M37" s="3"/>
      <c r="O37" s="3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6"/>
      <c r="M45" s="64"/>
      <c r="N45" s="66"/>
      <c r="O45" s="64"/>
      <c r="P45" s="6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L51" s="2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7"/>
      <c r="I52" s="69"/>
      <c r="J52" s="67"/>
      <c r="K52" s="69"/>
      <c r="L52" s="68"/>
      <c r="M52" s="67"/>
      <c r="N52" s="67"/>
      <c r="O52" s="69"/>
      <c r="P52" s="67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G53" s="3"/>
      <c r="I53" s="3"/>
      <c r="K53" s="3"/>
      <c r="L53" s="2"/>
      <c r="O53" s="3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L54" s="2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H60" s="67"/>
      <c r="I60" s="69"/>
      <c r="J60" s="68"/>
      <c r="K60" s="69"/>
      <c r="L60" s="68"/>
      <c r="M60" s="69"/>
      <c r="N60" s="67"/>
      <c r="O60" s="69"/>
      <c r="P60" s="67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I61" s="3"/>
      <c r="J61" s="2"/>
      <c r="K61" s="3"/>
      <c r="L61" s="2"/>
      <c r="M61" s="3"/>
      <c r="O61" s="3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69"/>
      <c r="H68" s="68"/>
      <c r="I68" s="67"/>
      <c r="J68" s="67"/>
      <c r="K68" s="69"/>
      <c r="L68" s="68"/>
      <c r="M68" s="69"/>
      <c r="N68" s="67"/>
      <c r="O68" s="69"/>
      <c r="P68" s="67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F69" s="2"/>
      <c r="G69" s="3"/>
      <c r="H69" s="2"/>
      <c r="I69" s="3"/>
      <c r="J69" s="2"/>
      <c r="K69" s="3"/>
      <c r="L69" s="2"/>
      <c r="M69" s="3"/>
      <c r="O69" s="3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I76" s="67"/>
      <c r="J76" s="67"/>
      <c r="K76" s="69"/>
      <c r="L76" s="68"/>
      <c r="M76" s="69"/>
      <c r="N76" s="67"/>
      <c r="O76" s="69"/>
      <c r="P76" s="67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5"/>
      <c r="J77" s="2"/>
      <c r="K77" s="3"/>
      <c r="L77" s="2"/>
      <c r="M77" s="3"/>
      <c r="O77" s="3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E84" s="67"/>
      <c r="F84" s="67"/>
      <c r="G84" s="69"/>
      <c r="H84" s="67"/>
      <c r="I84" s="69"/>
      <c r="J84" s="67"/>
      <c r="K84" s="69"/>
      <c r="L84" s="68"/>
      <c r="M84" s="69"/>
      <c r="N84" s="67"/>
      <c r="O84" s="69"/>
      <c r="P84" s="67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G85" s="3"/>
      <c r="H85" s="2"/>
      <c r="I85" s="3"/>
      <c r="J85" s="2"/>
      <c r="K85" s="3"/>
      <c r="L85" s="2"/>
      <c r="M85" s="3"/>
      <c r="O85" s="3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68"/>
      <c r="I92" s="67"/>
      <c r="J92" s="67"/>
      <c r="K92" s="69"/>
      <c r="L92" s="68"/>
      <c r="M92" s="69"/>
      <c r="N92" s="67"/>
      <c r="O92" s="69"/>
      <c r="P92" s="67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2"/>
      <c r="I93" s="3"/>
      <c r="J93" s="2"/>
      <c r="K93" s="3"/>
      <c r="L93" s="2"/>
      <c r="M93" s="3"/>
      <c r="O93" s="3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E100" s="67"/>
      <c r="F100" s="67"/>
      <c r="G100" s="69"/>
      <c r="H100" s="68"/>
      <c r="I100" s="67"/>
      <c r="J100" s="67"/>
      <c r="K100" s="69"/>
      <c r="L100" s="68"/>
      <c r="M100" s="69"/>
      <c r="N100" s="67"/>
      <c r="O100" s="69"/>
      <c r="P100" s="67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F101" s="2"/>
      <c r="G101" s="3"/>
      <c r="H101" s="2"/>
      <c r="I101" s="3"/>
      <c r="J101" s="2"/>
      <c r="K101" s="3"/>
      <c r="L101" s="2"/>
      <c r="M101" s="3"/>
      <c r="O101" s="3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 t="str">
        <f>IF(S106="","",IF(B98="","",1+B98))</f>
        <v/>
      </c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I107" s="3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E108" s="67"/>
      <c r="F108" s="67"/>
      <c r="G108" s="69"/>
      <c r="H108" s="68"/>
      <c r="I108" s="69"/>
      <c r="J108" s="67"/>
      <c r="K108" s="69"/>
      <c r="L108" s="68"/>
      <c r="M108" s="69"/>
      <c r="N108" s="67"/>
      <c r="O108" s="69"/>
      <c r="P108" s="67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G109" s="3"/>
      <c r="H109" s="2"/>
      <c r="I109" s="3"/>
      <c r="J109" s="2"/>
      <c r="K109" s="3"/>
      <c r="L109" s="2"/>
      <c r="M109" s="3"/>
      <c r="O109" s="3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NS</v>
      </c>
      <c r="H114" s="111">
        <f>Y2</f>
        <v>300</v>
      </c>
      <c r="I114" s="111"/>
      <c r="J114" s="112"/>
      <c r="K114" s="113">
        <f>IF(B10="",0,LARGE(B10:B111,1))</f>
        <v>1</v>
      </c>
      <c r="L114" s="114"/>
      <c r="M114" s="21"/>
      <c r="N114" s="25"/>
      <c r="O114" s="20"/>
      <c r="P114" s="20"/>
      <c r="Q114" s="21"/>
      <c r="R114" s="115">
        <f>SUM(S10:S111)</f>
        <v>5</v>
      </c>
      <c r="S114" s="116"/>
      <c r="T114" s="20"/>
      <c r="U114" s="51">
        <f t="shared" ref="U114:AA114" si="0">SUM(U10:U111)</f>
        <v>1</v>
      </c>
      <c r="V114" s="79">
        <f t="shared" si="0"/>
        <v>0</v>
      </c>
      <c r="W114" s="73">
        <f t="shared" si="0"/>
        <v>1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</mergeCells>
  <phoneticPr fontId="2"/>
  <conditionalFormatting sqref="S10:S15 S18:S23 S26:S31 S34:S39 S42:S47 S50:S55 S58:S63 S66:S71 S74:S79 S82:S87 S98:S103 S106:S111">
    <cfRule type="cellIs" dxfId="23" priority="2" stopIfTrue="1" operator="equal">
      <formula>"入力ｴﾗｰ"</formula>
    </cfRule>
  </conditionalFormatting>
  <conditionalFormatting sqref="S90:S95">
    <cfRule type="cellIs" dxfId="22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B1:AC114"/>
  <sheetViews>
    <sheetView showGridLines="0" view="pageBreakPreview" zoomScale="115" zoomScaleNormal="123" zoomScaleSheetLayoutView="115" workbookViewId="0">
      <selection activeCell="O50" sqref="O50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200</v>
      </c>
      <c r="Z2" s="84"/>
      <c r="AA2" s="2"/>
      <c r="AC2" s="1">
        <f>IF(AC1=4,0,IF(Y2&lt;=250,5,0))</f>
        <v>5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118">
        <v>2.54</v>
      </c>
      <c r="G10" s="118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1.5699999999999998</v>
      </c>
      <c r="T10" s="81" t="str">
        <f>IF(S10="","",IF(S10="入力ｴﾗｰ","","m"))</f>
        <v>m</v>
      </c>
      <c r="U10" s="103">
        <f>IF(B10="","",COUNT(F10,I15,L10,O15)-IF(S10=0,1,0)-V10)</f>
        <v>2</v>
      </c>
      <c r="V10" s="104"/>
      <c r="W10" s="102">
        <v>2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M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5"/>
      <c r="H12" s="55"/>
      <c r="I12" s="5"/>
      <c r="J12" s="4"/>
      <c r="K12" s="5"/>
      <c r="M12" s="3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2"/>
      <c r="K13" s="3"/>
      <c r="L13" s="6"/>
      <c r="M13" s="7"/>
      <c r="N13" s="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J14" s="2"/>
      <c r="K14" s="3"/>
      <c r="M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>L=</v>
      </c>
      <c r="O15" s="118">
        <v>0.89</v>
      </c>
      <c r="P15" s="118"/>
      <c r="Q15" s="24" t="str">
        <f>IF(O15="","",IF(O15=0,"","m"))</f>
        <v>m</v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2</v>
      </c>
      <c r="C18" s="3"/>
      <c r="E18" s="13" t="str">
        <f>IF(F18="","",IF(F18=0,"","L="))</f>
        <v>L=</v>
      </c>
      <c r="F18" s="86">
        <v>2.86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0.75</v>
      </c>
      <c r="T18" s="81" t="str">
        <f>IF(S18="","",IF(S18="入力ｴﾗｰ","","m"))</f>
        <v>m</v>
      </c>
      <c r="U18" s="103">
        <f>IF(B18="","",COUNT(F18,I23,L18,O23)-IF(S18=0,1,0)-V18)</f>
        <v>2</v>
      </c>
      <c r="V18" s="104"/>
      <c r="W18" s="102">
        <v>2</v>
      </c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4"/>
      <c r="G20" s="5"/>
      <c r="H20" s="55"/>
      <c r="I20" s="4"/>
      <c r="J20" s="4"/>
      <c r="K20" s="5"/>
      <c r="L20" s="55"/>
      <c r="M20" s="5"/>
      <c r="N20" s="4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G21" s="3"/>
      <c r="H21" s="2"/>
      <c r="I21" s="3"/>
      <c r="J21" s="2"/>
      <c r="K21" s="3"/>
      <c r="M21" s="3"/>
      <c r="Q21" s="2"/>
      <c r="R21" s="96" t="str">
        <f>IF(R18="甲","",IF(OR(S18=0,S18="")=TRUE,"",IF(S18="入力ｴﾗｰ","","乙")))</f>
        <v>乙</v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M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>L=</v>
      </c>
      <c r="O23" s="86">
        <v>1.39</v>
      </c>
      <c r="P23" s="86"/>
      <c r="Q23" s="24" t="str">
        <f>IF(O23="","",IF(O23=0,"","m"))</f>
        <v>m</v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3</v>
      </c>
      <c r="C26" s="3"/>
      <c r="E26" s="13" t="str">
        <f>IF(F26="","",IF(F26=0,"","L="))</f>
        <v>L=</v>
      </c>
      <c r="F26" s="86">
        <v>3.5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1.5</v>
      </c>
      <c r="T26" s="81" t="str">
        <f>IF(S26="","",IF(S26="入力ｴﾗｰ","","m"))</f>
        <v>m</v>
      </c>
      <c r="U26" s="103">
        <f>IF(B26="","",COUNT(F26,I31,L26,O31)-IF(S26=0,1,0)-V26)</f>
        <v>1</v>
      </c>
      <c r="V26" s="104"/>
      <c r="W26" s="102">
        <v>1</v>
      </c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M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4"/>
      <c r="F28" s="4"/>
      <c r="G28" s="5"/>
      <c r="H28" s="55"/>
      <c r="I28" s="4"/>
      <c r="J28" s="4"/>
      <c r="K28" s="5"/>
      <c r="L28" s="4"/>
      <c r="M28" s="5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G29" s="3"/>
      <c r="H29" s="2"/>
      <c r="I29" s="3"/>
      <c r="J29" s="2"/>
      <c r="K29" s="3"/>
      <c r="L29" s="6"/>
      <c r="M29" s="7"/>
      <c r="N29" s="6"/>
      <c r="R29" s="106" t="str">
        <f>IF(R26="甲","",IF(OR(S26=0,S26="")=TRUE,"",IF(S26="入力ｴﾗｰ","","乙")))</f>
        <v>乙</v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M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117"/>
      <c r="P31" s="117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4</v>
      </c>
      <c r="C34" s="3"/>
      <c r="E34" s="13" t="str">
        <f>IF(F34="","",IF(F34=0,"","L="))</f>
        <v>L=</v>
      </c>
      <c r="F34" s="86">
        <v>1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2.54</v>
      </c>
      <c r="T34" s="81" t="str">
        <f>IF(S34="","",IF(S34="入力ｴﾗｰ","","m"))</f>
        <v>m</v>
      </c>
      <c r="U34" s="103">
        <f>IF(B34="","",COUNT(F34,I39,L34,O39)-IF(S34=0,1,0)-V34)</f>
        <v>2</v>
      </c>
      <c r="V34" s="104"/>
      <c r="W34" s="102">
        <v>2</v>
      </c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M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4"/>
      <c r="F36" s="4"/>
      <c r="G36" s="5"/>
      <c r="H36" s="55"/>
      <c r="I36" s="4"/>
      <c r="J36" s="4"/>
      <c r="K36" s="5"/>
      <c r="L36" s="55"/>
      <c r="M36" s="5"/>
      <c r="N36" s="4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2"/>
      <c r="K37" s="3"/>
      <c r="M37" s="3"/>
      <c r="R37" s="106" t="str">
        <f>IF(R34="甲","",IF(OR(S34=0,S34="")=TRUE,"",IF(S34="入力ｴﾗｰ","","乙")))</f>
        <v>乙</v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M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>L=</v>
      </c>
      <c r="O39" s="86">
        <v>1.46</v>
      </c>
      <c r="P39" s="86"/>
      <c r="Q39" s="14" t="str">
        <f>IF(O39="","",IF(O39=0,"","m"))</f>
        <v>m</v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M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M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6"/>
      <c r="M45" s="7"/>
      <c r="N45" s="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M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M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4"/>
      <c r="F52" s="4"/>
      <c r="G52" s="5"/>
      <c r="H52" s="4"/>
      <c r="I52" s="5"/>
      <c r="J52" s="4"/>
      <c r="K52" s="5"/>
      <c r="L52" s="4"/>
      <c r="M52" s="5"/>
      <c r="N52" s="4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G53" s="3"/>
      <c r="I53" s="3"/>
      <c r="K53" s="3"/>
      <c r="M53" s="3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M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M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M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6"/>
      <c r="I61" s="7"/>
      <c r="J61" s="8"/>
      <c r="K61" s="7"/>
      <c r="L61" s="6"/>
      <c r="M61" s="7"/>
      <c r="N61" s="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M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M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4"/>
      <c r="F68" s="4"/>
      <c r="G68" s="5"/>
      <c r="H68" s="55"/>
      <c r="I68" s="4"/>
      <c r="J68" s="4"/>
      <c r="K68" s="5"/>
      <c r="L68" s="4"/>
      <c r="M68" s="5"/>
      <c r="N68" s="4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F69" s="2"/>
      <c r="G69" s="3"/>
      <c r="H69" s="2"/>
      <c r="I69" s="3"/>
      <c r="J69" s="2"/>
      <c r="K69" s="3"/>
      <c r="M69" s="3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M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M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M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8"/>
      <c r="G77" s="7"/>
      <c r="H77" s="8"/>
      <c r="I77" s="7"/>
      <c r="J77" s="8"/>
      <c r="K77" s="7"/>
      <c r="L77" s="6"/>
      <c r="M77" s="7"/>
      <c r="N77" s="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M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M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E84" s="4"/>
      <c r="F84" s="4"/>
      <c r="G84" s="5"/>
      <c r="H84" s="55"/>
      <c r="I84" s="4"/>
      <c r="J84" s="4"/>
      <c r="K84" s="5"/>
      <c r="L84" s="4"/>
      <c r="M84" s="5"/>
      <c r="N84" s="4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G85" s="3"/>
      <c r="H85" s="2"/>
      <c r="I85" s="3"/>
      <c r="J85" s="2"/>
      <c r="K85" s="3"/>
      <c r="M85" s="3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M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M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M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6"/>
      <c r="M93" s="7"/>
      <c r="N93" s="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M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M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E100" s="4"/>
      <c r="F100" s="4"/>
      <c r="G100" s="5"/>
      <c r="H100" s="55"/>
      <c r="I100" s="4"/>
      <c r="J100" s="4"/>
      <c r="K100" s="5"/>
      <c r="L100" s="4"/>
      <c r="M100" s="5"/>
      <c r="N100" s="4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G101" s="3"/>
      <c r="H101" s="2"/>
      <c r="I101" s="3"/>
      <c r="J101" s="2"/>
      <c r="K101" s="3"/>
      <c r="M101" s="3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M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 t="str">
        <f>IF(S106="","",IF(B98="","",1+B98))</f>
        <v/>
      </c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M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E108" s="4"/>
      <c r="F108" s="4"/>
      <c r="G108" s="5"/>
      <c r="H108" s="55"/>
      <c r="I108" s="4"/>
      <c r="J108" s="4"/>
      <c r="K108" s="5"/>
      <c r="L108" s="4"/>
      <c r="M108" s="5"/>
      <c r="N108" s="4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G109" s="3"/>
      <c r="H109" s="2"/>
      <c r="I109" s="3"/>
      <c r="J109" s="2"/>
      <c r="K109" s="3"/>
      <c r="M109" s="3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M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200</v>
      </c>
      <c r="I114" s="111"/>
      <c r="J114" s="112"/>
      <c r="K114" s="113">
        <f>IF(B10="",0,LARGE(B10:B111,1))</f>
        <v>4</v>
      </c>
      <c r="L114" s="114"/>
      <c r="M114" s="21"/>
      <c r="N114" s="25"/>
      <c r="O114" s="20"/>
      <c r="P114" s="20"/>
      <c r="Q114" s="21"/>
      <c r="R114" s="115">
        <f>SUM(S10:S111)</f>
        <v>6.3599999999999994</v>
      </c>
      <c r="S114" s="116"/>
      <c r="T114" s="20"/>
      <c r="U114" s="51">
        <f t="shared" ref="U114:AA114" si="0">SUM(U10:U111)</f>
        <v>7</v>
      </c>
      <c r="V114" s="79">
        <f t="shared" si="0"/>
        <v>0</v>
      </c>
      <c r="W114" s="73">
        <f t="shared" si="0"/>
        <v>7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U7:V7"/>
    <mergeCell ref="W7:AA7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AA98:AA103"/>
    <mergeCell ref="R101:R103"/>
    <mergeCell ref="AA106:AA111"/>
    <mergeCell ref="R109:R111"/>
    <mergeCell ref="I111:J111"/>
    <mergeCell ref="O111:P111"/>
    <mergeCell ref="Z106:Z111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B98:B103"/>
    <mergeCell ref="F98:G98"/>
  </mergeCells>
  <phoneticPr fontId="2"/>
  <conditionalFormatting sqref="S10:S15 S18:S23 S26:S31 S34:S39 S42:S47 S50:S55 S58:S63 S66:S71 S74:S79 S82:S87 S90:S95 S98:S103 S106:S111">
    <cfRule type="cellIs" dxfId="21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B1:AC114"/>
  <sheetViews>
    <sheetView showGridLines="0" view="pageBreakPreview" topLeftCell="A67" zoomScale="160" zoomScaleNormal="123" zoomScaleSheetLayoutView="160" workbookViewId="0">
      <selection activeCell="AF103" sqref="AF103:AF113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400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86">
        <v>2.5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2.1</v>
      </c>
      <c r="T10" s="81" t="str">
        <f>IF(S10="","",IF(S10="入力ｴﾗｰ","","m"))</f>
        <v>m</v>
      </c>
      <c r="U10" s="103">
        <f>IF(B10="","",COUNT(F10,I15,L10,O15)-IF(S10=0,1,0)-V10)</f>
        <v>2</v>
      </c>
      <c r="V10" s="104"/>
      <c r="W10" s="102">
        <v>2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I11" s="3"/>
      <c r="K11" s="3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>L=</v>
      </c>
      <c r="O15" s="86">
        <v>1.4</v>
      </c>
      <c r="P15" s="86"/>
      <c r="Q15" s="24" t="str">
        <f>IF(O15="","",IF(O15=0,"","m"))</f>
        <v>m</v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2</v>
      </c>
      <c r="C18" s="3"/>
      <c r="E18" s="13" t="str">
        <f>IF(F18="","",IF(F18=0,"","L="))</f>
        <v>L=</v>
      </c>
      <c r="F18" s="86">
        <v>5.6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0.40000000000000036</v>
      </c>
      <c r="T18" s="81" t="str">
        <f>IF(S18="","",IF(S18="入力ｴﾗｰ","","m"))</f>
        <v>m</v>
      </c>
      <c r="U18" s="103">
        <f>IF(B18="","",COUNT(F18,I23,L18,O23)-IF(S18=0,1,0)-V18)</f>
        <v>1</v>
      </c>
      <c r="V18" s="104"/>
      <c r="W18" s="102">
        <v>1</v>
      </c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>乙</v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3</v>
      </c>
      <c r="C26" s="3"/>
      <c r="E26" s="13" t="str">
        <f>IF(F26="","",IF(F26=0,"","L="))</f>
        <v>L=</v>
      </c>
      <c r="F26" s="86">
        <v>5.5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0.5</v>
      </c>
      <c r="T26" s="81" t="str">
        <f>IF(S26="","",IF(S26="入力ｴﾗｰ","","m"))</f>
        <v>m</v>
      </c>
      <c r="U26" s="103">
        <f>IF(B26="","",COUNT(F26,I31,L26,O31)-IF(S26=0,1,0)-V26)</f>
        <v>1</v>
      </c>
      <c r="V26" s="104"/>
      <c r="W26" s="102">
        <v>1</v>
      </c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>乙</v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4</v>
      </c>
      <c r="C34" s="3"/>
      <c r="E34" s="13" t="str">
        <f>IF(F34="","",IF(F34=0,"","L="))</f>
        <v>L=</v>
      </c>
      <c r="F34" s="86">
        <v>1.9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2.5</v>
      </c>
      <c r="T34" s="81" t="str">
        <f>IF(S34="","",IF(S34="入力ｴﾗｰ","","m"))</f>
        <v>m</v>
      </c>
      <c r="U34" s="103">
        <f>IF(B34="","",COUNT(F34,I39,L34,O39)-IF(S34=0,1,0)-V34)</f>
        <v>2</v>
      </c>
      <c r="V34" s="104"/>
      <c r="W34" s="102">
        <v>2</v>
      </c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6" t="str">
        <f>IF(R34="甲","",IF(OR(S34=0,S34="")=TRUE,"",IF(S34="入力ｴﾗｰ","","乙")))</f>
        <v>乙</v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>L=</v>
      </c>
      <c r="O39" s="86">
        <v>1.6</v>
      </c>
      <c r="P39" s="86"/>
      <c r="Q39" s="14" t="str">
        <f>IF(O39="","",IF(O39=0,"","m"))</f>
        <v>m</v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>
        <f>IF(S42="","",IF(B34="","",1+B34))</f>
        <v>5</v>
      </c>
      <c r="C42" s="3"/>
      <c r="E42" s="13" t="str">
        <f>IF(F42="","",IF(F42=0,"","L="))</f>
        <v>L=</v>
      </c>
      <c r="F42" s="86">
        <v>3.6</v>
      </c>
      <c r="G42" s="86"/>
      <c r="H42" s="14" t="str">
        <f>IF(F42="","",IF(F42=0,"","m"))</f>
        <v>m</v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>
        <f>IF((F42+I47+L42+O47)=0,"",IF((F42+I47+L42+O47)&gt;SUM($AC$1:$AC$3),"入力ｴﾗｰ",SUM($AC$1:$AC$3)-(F42+I47+L42+O47)))</f>
        <v>0.79999999999999982</v>
      </c>
      <c r="T42" s="81" t="str">
        <f>IF(S42="","",IF(S42="入力ｴﾗｰ","","m"))</f>
        <v>m</v>
      </c>
      <c r="U42" s="103">
        <f>IF(B42="","",COUNT(F42,I47,L42,O47)-IF(S42=0,1,0)-V42)</f>
        <v>2</v>
      </c>
      <c r="V42" s="104"/>
      <c r="W42" s="102">
        <v>2</v>
      </c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>乙</v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>L=</v>
      </c>
      <c r="O47" s="86">
        <v>1.6</v>
      </c>
      <c r="P47" s="86"/>
      <c r="Q47" s="14" t="str">
        <f>IF(O47="","",IF(O47=0,"","m"))</f>
        <v>m</v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>
        <f>IF(S50="","",IF(B42="","",1+B42))</f>
        <v>6</v>
      </c>
      <c r="C50" s="3"/>
      <c r="E50" s="13" t="str">
        <f>IF(F50="","",IF(F50=0,"","L="))</f>
        <v>L=</v>
      </c>
      <c r="F50" s="86">
        <v>2.8</v>
      </c>
      <c r="G50" s="86"/>
      <c r="H50" s="14" t="str">
        <f>IF(F50="","",IF(F50=0,"","m"))</f>
        <v>m</v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>
        <f>IF((F50+I55+L50+O55)=0,"",IF((F50+I55+L50+O55)&gt;SUM($AC$1:$AC$3),"入力ｴﾗｰ",SUM($AC$1:$AC$3)-(F50+I55+L50+O55)))</f>
        <v>2.1</v>
      </c>
      <c r="T50" s="81" t="str">
        <f>IF(S50="","",IF(S50="入力ｴﾗｰ","","m"))</f>
        <v>m</v>
      </c>
      <c r="U50" s="103">
        <f>IF(B50="","",COUNT(F50,I55,L50,O55)-IF(S50=0,1,0)-V50)</f>
        <v>2</v>
      </c>
      <c r="V50" s="104"/>
      <c r="W50" s="102">
        <v>2</v>
      </c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6" t="str">
        <f>IF(R50="甲","",IF(OR(S50=0,S50="")=TRUE,"",IF(S50="入力ｴﾗｰ","","乙")))</f>
        <v>乙</v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>L=</v>
      </c>
      <c r="O55" s="86">
        <v>1.1000000000000001</v>
      </c>
      <c r="P55" s="86"/>
      <c r="Q55" s="14" t="str">
        <f>IF(O55="","",IF(O55=0,"","m"))</f>
        <v>m</v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>
        <f>IF(S58="","",IF(B50="","",1+B50))</f>
        <v>7</v>
      </c>
      <c r="C58" s="3"/>
      <c r="E58" s="13" t="str">
        <f>IF(F58="","",IF(F58=0,"","L="))</f>
        <v>L=</v>
      </c>
      <c r="F58" s="86">
        <v>3.8</v>
      </c>
      <c r="G58" s="86"/>
      <c r="H58" s="14" t="str">
        <f>IF(F58="","",IF(F58=0,"","m"))</f>
        <v>m</v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>
        <f>IF((F58+I63+L58+O63)=0,"",IF((F58+I63+L58+O63)&gt;SUM($AC$1:$AC$3),"入力ｴﾗｰ",SUM($AC$1:$AC$3)-(F58+I63+L58+O63)))</f>
        <v>0.59999999999999964</v>
      </c>
      <c r="T58" s="81" t="str">
        <f>IF(S58="","",IF(S58="入力ｴﾗｰ","","m"))</f>
        <v>m</v>
      </c>
      <c r="U58" s="103">
        <f>IF(B58="","",COUNT(F58,I63,L58,O63)-IF(S58=0,1,0)-V58)</f>
        <v>2</v>
      </c>
      <c r="V58" s="104"/>
      <c r="W58" s="102">
        <v>2</v>
      </c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E60" s="67"/>
      <c r="F60" s="67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>乙</v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>L=</v>
      </c>
      <c r="O63" s="86">
        <v>1.6</v>
      </c>
      <c r="P63" s="86"/>
      <c r="Q63" s="14" t="str">
        <f>IF(O63="","",IF(O63=0,"","m"))</f>
        <v>m</v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>
        <f>IF(S66="","",IF(B58="","",1+B58))</f>
        <v>8</v>
      </c>
      <c r="C66" s="3"/>
      <c r="E66" s="13" t="str">
        <f>IF(F66="","",IF(F66=0,"","L="))</f>
        <v>L=</v>
      </c>
      <c r="F66" s="86">
        <v>2.2000000000000002</v>
      </c>
      <c r="G66" s="86"/>
      <c r="H66" s="14" t="str">
        <f>IF(F66="","",IF(F66=0,"","m"))</f>
        <v>m</v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>
        <f>IF((F66+I71+L66+O71)=0,"",IF((F66+I71+L66+O71)&gt;SUM($AC$1:$AC$3),"入力ｴﾗｰ",SUM($AC$1:$AC$3)-(F66+I71+L66+O71)))</f>
        <v>2.6999999999999997</v>
      </c>
      <c r="T66" s="81" t="str">
        <f>IF(S66="","",IF(S66="入力ｴﾗｰ","","m"))</f>
        <v>m</v>
      </c>
      <c r="U66" s="103">
        <f>IF(B66="","",COUNT(F66,I71,L66,O71)-IF(S66=0,1,0)-V66)</f>
        <v>2</v>
      </c>
      <c r="V66" s="104"/>
      <c r="W66" s="102">
        <v>2</v>
      </c>
      <c r="X66" s="97"/>
      <c r="Y66" s="97"/>
      <c r="Z66" s="97"/>
      <c r="AA66" s="95"/>
    </row>
    <row r="67" spans="2:29" ht="3" customHeight="1" x14ac:dyDescent="0.15">
      <c r="B67" s="88"/>
      <c r="C67" s="3"/>
      <c r="F67" s="2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>乙</v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>L=</v>
      </c>
      <c r="O71" s="86">
        <v>1.1000000000000001</v>
      </c>
      <c r="P71" s="86"/>
      <c r="Q71" s="14" t="str">
        <f>IF(O71="","",IF(O71=0,"","m"))</f>
        <v>m</v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>
        <f>IF(S74="","",IF(B66="","",1+B66))</f>
        <v>9</v>
      </c>
      <c r="C74" s="3"/>
      <c r="E74" s="13" t="str">
        <f>IF(F74="","",IF(F74=0,"","L="))</f>
        <v>L=</v>
      </c>
      <c r="F74" s="86">
        <v>3.9</v>
      </c>
      <c r="G74" s="86"/>
      <c r="H74" s="14" t="str">
        <f>IF(F74="","",IF(F74=0,"","m"))</f>
        <v>m</v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>
        <f>IF((F74+I79+L74+O79)=0,"",IF((F74+I79+L74+O79)&gt;SUM($AC$1:$AC$3),"入力ｴﾗｰ",SUM($AC$1:$AC$3)-(F74+I79+L74+O79)))</f>
        <v>1</v>
      </c>
      <c r="T74" s="81" t="str">
        <f>IF(S74="","",IF(S74="入力ｴﾗｰ","","m"))</f>
        <v>m</v>
      </c>
      <c r="U74" s="103">
        <f>IF(B74="","",COUNT(F74,I79,L74,O79)-IF(S74=0,1,0)-V74)</f>
        <v>2</v>
      </c>
      <c r="V74" s="104"/>
      <c r="W74" s="102">
        <v>2</v>
      </c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>乙</v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>L=</v>
      </c>
      <c r="O79" s="86">
        <v>1.1000000000000001</v>
      </c>
      <c r="P79" s="86"/>
      <c r="Q79" s="14" t="str">
        <f>IF(O79="","",IF(O79=0,"","m"))</f>
        <v>m</v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>
        <f>IF(S82="","",IF(B74="","",1+B74))</f>
        <v>10</v>
      </c>
      <c r="C82" s="3"/>
      <c r="E82" s="13" t="str">
        <f>IF(F82="","",IF(F82=0,"","L="))</f>
        <v>L=</v>
      </c>
      <c r="F82" s="86">
        <v>2.2999999999999998</v>
      </c>
      <c r="G82" s="86"/>
      <c r="H82" s="14" t="str">
        <f>IF(F82="","",IF(F82=0,"","m"))</f>
        <v>m</v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>
        <f>IF((F82+I87+L82+O87)=0,"",IF((F82+I87+L82+O87)&gt;SUM($AC$1:$AC$3),"入力ｴﾗｰ",SUM($AC$1:$AC$3)-(F82+I87+L82+O87)))</f>
        <v>3.7</v>
      </c>
      <c r="T82" s="81" t="str">
        <f>IF(S82="","",IF(S82="入力ｴﾗｰ","","m"))</f>
        <v>m</v>
      </c>
      <c r="U82" s="103">
        <f>IF(B82="","",COUNT(F82,I87,L82,O87)-IF(S82=0,1,0)-V82)</f>
        <v>1</v>
      </c>
      <c r="V82" s="104"/>
      <c r="W82" s="102">
        <v>1</v>
      </c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>乙</v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>
        <f>IF(S90="","",IF(B82="","",1+B82))</f>
        <v>11</v>
      </c>
      <c r="C90" s="3"/>
      <c r="E90" s="13" t="str">
        <f>IF(F90="","",IF(F90=0,"","L="))</f>
        <v>L=</v>
      </c>
      <c r="F90" s="86">
        <v>3.3</v>
      </c>
      <c r="G90" s="86"/>
      <c r="H90" s="14" t="str">
        <f>IF(F90="","",IF(F90=0,"","m"))</f>
        <v>m</v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>
        <f>IF((F90+I95+L90+O95)=0,"",IF((F90+I95+L90+O95)&gt;SUM($AC$1:$AC$3),"入力ｴﾗｰ",SUM($AC$1:$AC$3)-(F90+I95+L90+O95)))</f>
        <v>2.7</v>
      </c>
      <c r="T90" s="81" t="str">
        <f>IF(S90="","",IF(S90="入力ｴﾗｰ","","m"))</f>
        <v>m</v>
      </c>
      <c r="U90" s="103">
        <f>IF(B90="","",COUNT(F90,I95,L90,O95)-IF(S90=0,1,0)-V90)</f>
        <v>1</v>
      </c>
      <c r="V90" s="104"/>
      <c r="W90" s="102">
        <v>1</v>
      </c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>乙</v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>
        <f>IF(S98="","",IF(B90="","",1+B90))</f>
        <v>12</v>
      </c>
      <c r="C98" s="3"/>
      <c r="E98" s="13" t="str">
        <f>IF(F98="","",IF(F98=0,"","L="))</f>
        <v>L=</v>
      </c>
      <c r="F98" s="86">
        <v>4</v>
      </c>
      <c r="G98" s="86"/>
      <c r="H98" s="14" t="str">
        <f>IF(F98="","",IF(F98=0,"","m"))</f>
        <v>m</v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>
        <f>IF((F98+I103+L98+O103)=0,"",IF((F98+I103+L98+O103)&gt;SUM($AC$1:$AC$3),"入力ｴﾗｰ",SUM($AC$1:$AC$3)-(F98+I103+L98+O103)))</f>
        <v>2</v>
      </c>
      <c r="T98" s="81" t="str">
        <f>IF(S98="","",IF(S98="入力ｴﾗｰ","","m"))</f>
        <v>m</v>
      </c>
      <c r="U98" s="103">
        <f>IF(B98="","",COUNT(F98,I103,L98,O103)-IF(S98=0,1,0)-V98)</f>
        <v>1</v>
      </c>
      <c r="V98" s="104"/>
      <c r="W98" s="102">
        <v>1</v>
      </c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>乙</v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>
        <f>IF(S106="","",IF(B98="","",1+B98))</f>
        <v>13</v>
      </c>
      <c r="C106" s="3"/>
      <c r="E106" s="13" t="str">
        <f>IF(F106="","",IF(F106=0,"","L="))</f>
        <v>L=</v>
      </c>
      <c r="F106" s="86">
        <v>3.7</v>
      </c>
      <c r="G106" s="86"/>
      <c r="H106" s="14" t="str">
        <f>IF(F106="","",IF(F106=0,"","m"))</f>
        <v>m</v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>
        <f>IF((F106+I111+L106+O111)=0,"",IF((F106+I111+L106+O111)&gt;SUM($AC$1:$AC$3),"入力ｴﾗｰ",SUM($AC$1:$AC$3)-(F106+I111+L106+O111)))</f>
        <v>2.2999999999999998</v>
      </c>
      <c r="T106" s="81" t="str">
        <f>IF(S106="","",IF(S106="入力ｴﾗｰ","","m"))</f>
        <v>m</v>
      </c>
      <c r="U106" s="103">
        <f>IF(B106="","",COUNT(F106,I111,L106,O111)-IF(S106=0,1,0)-V106)</f>
        <v>1</v>
      </c>
      <c r="V106" s="104"/>
      <c r="W106" s="102">
        <v>1</v>
      </c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I107" s="3"/>
      <c r="J107" s="2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I108" s="3"/>
      <c r="J108" s="2"/>
      <c r="K108" s="3"/>
      <c r="L108" s="2"/>
      <c r="M108" s="3"/>
      <c r="O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6" t="str">
        <f>IF(R106="甲","",IF(OR(S106=0,S106="")=TRUE,"",IF(S106="入力ｴﾗｰ","","乙")))</f>
        <v>乙</v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I110" s="3"/>
      <c r="J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40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400</v>
      </c>
      <c r="I114" s="111"/>
      <c r="J114" s="112"/>
      <c r="K114" s="113">
        <f>IF(B10="",0,LARGE(B10:B111,1))</f>
        <v>13</v>
      </c>
      <c r="L114" s="114"/>
      <c r="M114" s="21"/>
      <c r="N114" s="25"/>
      <c r="O114" s="20"/>
      <c r="P114" s="20"/>
      <c r="Q114" s="21"/>
      <c r="R114" s="115">
        <f>SUM(S10:S111)</f>
        <v>23.4</v>
      </c>
      <c r="S114" s="116"/>
      <c r="T114" s="20"/>
      <c r="U114" s="51">
        <f t="shared" ref="U114:AA114" si="0">SUM(U10:U111)</f>
        <v>20</v>
      </c>
      <c r="V114" s="79">
        <f t="shared" si="0"/>
        <v>0</v>
      </c>
      <c r="W114" s="73">
        <f t="shared" si="0"/>
        <v>20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AA98:AA103"/>
    <mergeCell ref="R101:R103"/>
    <mergeCell ref="AA106:AA111"/>
    <mergeCell ref="R109:R111"/>
    <mergeCell ref="I111:J111"/>
    <mergeCell ref="O111:P111"/>
    <mergeCell ref="Z106:Z111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</mergeCells>
  <phoneticPr fontId="2"/>
  <conditionalFormatting sqref="S10:S15 S18:S23 S26:S31 S34:S39 S42:S47 S50:S55 S58:S63 S66:S71 S74:S79 S82:S87 S98:S103 S106:S111">
    <cfRule type="cellIs" dxfId="20" priority="2" stopIfTrue="1" operator="equal">
      <formula>"入力ｴﾗｰ"</formula>
    </cfRule>
  </conditionalFormatting>
  <conditionalFormatting sqref="S90:S95">
    <cfRule type="cellIs" dxfId="19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B1:AC114"/>
  <sheetViews>
    <sheetView showGridLines="0" tabSelected="1" view="pageBreakPreview" topLeftCell="A26" zoomScale="160" zoomScaleNormal="123" zoomScaleSheetLayoutView="160" workbookViewId="0">
      <selection activeCell="F43" sqref="F43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400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IF(S10="","",1)+13</f>
        <v>14</v>
      </c>
      <c r="C10" s="3"/>
      <c r="E10" s="13" t="str">
        <f>IF(F10="","",IF(F10=0,"","L="))</f>
        <v>L=</v>
      </c>
      <c r="F10" s="86">
        <v>2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4</v>
      </c>
      <c r="T10" s="81" t="str">
        <f>IF(S10="","",IF(S10="入力ｴﾗｰ","","m"))</f>
        <v>m</v>
      </c>
      <c r="U10" s="103">
        <f>IF(B10="","",COUNT(F10,I15,L10,O15)-IF(S10=0,1,0)-V10)</f>
        <v>1</v>
      </c>
      <c r="V10" s="104"/>
      <c r="W10" s="102">
        <v>1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I11" s="3"/>
      <c r="K11" s="3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15</v>
      </c>
      <c r="C18" s="3"/>
      <c r="E18" s="13" t="str">
        <f>IF(F18="","",IF(F18=0,"","L="))</f>
        <v>L=</v>
      </c>
      <c r="F18" s="86">
        <v>3.3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2.7</v>
      </c>
      <c r="T18" s="81" t="str">
        <f>IF(S18="","",IF(S18="入力ｴﾗｰ","","m"))</f>
        <v>m</v>
      </c>
      <c r="U18" s="103">
        <f>IF(B18="","",COUNT(F18,I23,L18,O23)-IF(S18=0,1,0)-V18)</f>
        <v>1</v>
      </c>
      <c r="V18" s="104"/>
      <c r="W18" s="102">
        <v>1</v>
      </c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>乙</v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16</v>
      </c>
      <c r="C26" s="3"/>
      <c r="E26" s="13" t="str">
        <f>IF(F26="","",IF(F26=0,"","L="))</f>
        <v>L=</v>
      </c>
      <c r="F26" s="86">
        <v>5.0999999999999996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0.90000000000000036</v>
      </c>
      <c r="T26" s="81" t="str">
        <f>IF(S26="","",IF(S26="入力ｴﾗｰ","","m"))</f>
        <v>m</v>
      </c>
      <c r="U26" s="103">
        <f>IF(B26="","",COUNT(F26,I31,L26,O31)-IF(S26=0,1,0)-V26)</f>
        <v>1</v>
      </c>
      <c r="V26" s="104"/>
      <c r="W26" s="102">
        <v>1</v>
      </c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>乙</v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17</v>
      </c>
      <c r="C34" s="3"/>
      <c r="E34" s="13" t="str">
        <f>IF(F34="","",IF(F34=0,"","L="))</f>
        <v>L=</v>
      </c>
      <c r="F34" s="86">
        <v>2.39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3.61</v>
      </c>
      <c r="T34" s="81" t="str">
        <f>IF(S34="","",IF(S34="入力ｴﾗｰ","","m"))</f>
        <v>m</v>
      </c>
      <c r="U34" s="103">
        <f>IF(B34="","",COUNT(F34,I39,L34,O39)-IF(S34=0,1,0)-V34)</f>
        <v>1</v>
      </c>
      <c r="V34" s="104"/>
      <c r="W34" s="102">
        <v>1</v>
      </c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6" t="str">
        <f>IF(R34="甲","",IF(OR(S34=0,S34="")=TRUE,"",IF(S34="入力ｴﾗｰ","","乙")))</f>
        <v>乙</v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>
        <f>IF(S42="","",IF(B34="","",1+B34))</f>
        <v>18</v>
      </c>
      <c r="C42" s="3"/>
      <c r="E42" s="13" t="str">
        <f>IF(F42="","",IF(F42=0,"","L="))</f>
        <v>L=</v>
      </c>
      <c r="F42" s="86">
        <v>4.42</v>
      </c>
      <c r="G42" s="86"/>
      <c r="H42" s="14" t="str">
        <f>IF(F42="","",IF(F42=0,"","m"))</f>
        <v>m</v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>
        <f>IF((F42+I47+L42+O47)=0,"",IF((F42+I47+L42+O47)&gt;SUM($AC$1:$AC$3),"入力ｴﾗｰ",SUM($AC$1:$AC$3)-(F42+I47+L42+O47)))</f>
        <v>1.58</v>
      </c>
      <c r="T42" s="81" t="str">
        <f>IF(S42="","",IF(S42="入力ｴﾗｰ","","m"))</f>
        <v>m</v>
      </c>
      <c r="U42" s="103">
        <f>IF(B42="","",COUNT(F42,I47,L42,O47)-IF(S42=0,1,0)-V42)</f>
        <v>1</v>
      </c>
      <c r="V42" s="104"/>
      <c r="W42" s="102">
        <v>1</v>
      </c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>乙</v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>
        <f>IF(S50="","",IF(B42="","",1+B42))</f>
        <v>19</v>
      </c>
      <c r="C50" s="3"/>
      <c r="E50" s="13" t="str">
        <f>IF(F50="","",IF(F50=0,"","L="))</f>
        <v>L=</v>
      </c>
      <c r="F50" s="86">
        <v>4</v>
      </c>
      <c r="G50" s="86"/>
      <c r="H50" s="14" t="str">
        <f>IF(F50="","",IF(F50=0,"","m"))</f>
        <v>m</v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>
        <f>IF((F50+I55+L50+O55)=0,"",IF((F50+I55+L50+O55)&gt;SUM($AC$1:$AC$3),"入力ｴﾗｰ",SUM($AC$1:$AC$3)-(F50+I55+L50+O55)))</f>
        <v>2</v>
      </c>
      <c r="T50" s="81" t="str">
        <f>IF(S50="","",IF(S50="入力ｴﾗｰ","","m"))</f>
        <v>m</v>
      </c>
      <c r="U50" s="103">
        <f>IF(B50="","",COUNT(F50,I55,L50,O55)-IF(S50=0,1,0)-V50)</f>
        <v>1</v>
      </c>
      <c r="V50" s="104"/>
      <c r="W50" s="102">
        <v>1</v>
      </c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6" t="str">
        <f>IF(R50="甲","",IF(OR(S50=0,S50="")=TRUE,"",IF(S50="入力ｴﾗｰ","","乙")))</f>
        <v>乙</v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>
        <f>IF(S58="","",IF(B50="","",1+B50))</f>
        <v>20</v>
      </c>
      <c r="C58" s="3"/>
      <c r="E58" s="13" t="str">
        <f>IF(F58="","",IF(F58=0,"","L="))</f>
        <v>L=</v>
      </c>
      <c r="F58" s="86">
        <v>3.5</v>
      </c>
      <c r="G58" s="86"/>
      <c r="H58" s="14" t="str">
        <f>IF(F58="","",IF(F58=0,"","m"))</f>
        <v>m</v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>
        <f>IF((F58+I63+L58+O63)=0,"",IF((F58+I63+L58+O63)&gt;SUM($AC$1:$AC$3),"入力ｴﾗｰ",SUM($AC$1:$AC$3)-(F58+I63+L58+O63)))</f>
        <v>2.5</v>
      </c>
      <c r="T58" s="81" t="str">
        <f>IF(S58="","",IF(S58="入力ｴﾗｰ","","m"))</f>
        <v>m</v>
      </c>
      <c r="U58" s="103">
        <f>IF(B58="","",COUNT(F58,I63,L58,O63)-IF(S58=0,1,0)-V58)</f>
        <v>1</v>
      </c>
      <c r="V58" s="104"/>
      <c r="W58" s="102">
        <v>1</v>
      </c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E60" s="67"/>
      <c r="F60" s="67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>乙</v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>
        <f>IF(S66="","",IF(B58="","",1+B58))</f>
        <v>21</v>
      </c>
      <c r="C66" s="3"/>
      <c r="E66" s="13" t="str">
        <f>IF(F66="","",IF(F66=0,"","L="))</f>
        <v>L=</v>
      </c>
      <c r="F66" s="86">
        <v>3.4</v>
      </c>
      <c r="G66" s="86"/>
      <c r="H66" s="14" t="str">
        <f>IF(F66="","",IF(F66=0,"","m"))</f>
        <v>m</v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>
        <f>IF((F66+I71+L66+O71)=0,"",IF((F66+I71+L66+O71)&gt;SUM($AC$1:$AC$3),"入力ｴﾗｰ",SUM($AC$1:$AC$3)-(F66+I71+L66+O71)))</f>
        <v>2.6</v>
      </c>
      <c r="T66" s="81" t="str">
        <f>IF(S66="","",IF(S66="入力ｴﾗｰ","","m"))</f>
        <v>m</v>
      </c>
      <c r="U66" s="103">
        <f>IF(B66="","",COUNT(F66,I71,L66,O71)-IF(S66=0,1,0)-V66)</f>
        <v>1</v>
      </c>
      <c r="V66" s="104"/>
      <c r="W66" s="102">
        <v>1</v>
      </c>
      <c r="X66" s="97"/>
      <c r="Y66" s="97"/>
      <c r="Z66" s="97"/>
      <c r="AA66" s="95"/>
    </row>
    <row r="67" spans="2:29" ht="3" customHeight="1" x14ac:dyDescent="0.15">
      <c r="B67" s="88"/>
      <c r="C67" s="3"/>
      <c r="F67" s="2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>乙</v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>
        <f>IF(S74="","",IF(B66="","",1+B66))</f>
        <v>22</v>
      </c>
      <c r="C74" s="3"/>
      <c r="E74" s="13" t="str">
        <f>IF(F74="","",IF(F74=0,"","L="))</f>
        <v>L=</v>
      </c>
      <c r="F74" s="86">
        <v>2.2000000000000002</v>
      </c>
      <c r="G74" s="86"/>
      <c r="H74" s="14" t="str">
        <f>IF(F74="","",IF(F74=0,"","m"))</f>
        <v>m</v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>
        <f>IF((F74+I79+L74+O79)=0,"",IF((F74+I79+L74+O79)&gt;SUM($AC$1:$AC$3),"入力ｴﾗｰ",SUM($AC$1:$AC$3)-(F74+I79+L74+O79)))</f>
        <v>3.8</v>
      </c>
      <c r="T74" s="81" t="str">
        <f>IF(S74="","",IF(S74="入力ｴﾗｰ","","m"))</f>
        <v>m</v>
      </c>
      <c r="U74" s="103">
        <f>IF(B74="","",COUNT(F74,I79,L74,O79)-IF(S74=0,1,0)-V74)</f>
        <v>1</v>
      </c>
      <c r="V74" s="104"/>
      <c r="W74" s="102">
        <v>1</v>
      </c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>乙</v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>
        <f>IF(S82="","",IF(B74="","",1+B74))</f>
        <v>23</v>
      </c>
      <c r="C82" s="3"/>
      <c r="E82" s="13" t="str">
        <f>IF(F82="","",IF(F82=0,"","L="))</f>
        <v>L=</v>
      </c>
      <c r="F82" s="86">
        <v>4</v>
      </c>
      <c r="G82" s="86"/>
      <c r="H82" s="14" t="str">
        <f>IF(F82="","",IF(F82=0,"","m"))</f>
        <v>m</v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>
        <f>IF((F82+I87+L82+O87)=0,"",IF((F82+I87+L82+O87)&gt;SUM($AC$1:$AC$3),"入力ｴﾗｰ",SUM($AC$1:$AC$3)-(F82+I87+L82+O87)))</f>
        <v>2</v>
      </c>
      <c r="T82" s="81" t="str">
        <f>IF(S82="","",IF(S82="入力ｴﾗｰ","","m"))</f>
        <v>m</v>
      </c>
      <c r="U82" s="103">
        <f>IF(B82="","",COUNT(F82,I87,L82,O87)-IF(S82=0,1,0)-V82)</f>
        <v>1</v>
      </c>
      <c r="V82" s="104"/>
      <c r="W82" s="102">
        <v>1</v>
      </c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>乙</v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>
        <f>IF(S90="","",IF(B82="","",1+B82))</f>
        <v>24</v>
      </c>
      <c r="C90" s="3"/>
      <c r="E90" s="13" t="str">
        <f>IF(F90="","",IF(F90=0,"","L="))</f>
        <v>L=</v>
      </c>
      <c r="F90" s="86">
        <v>1.6</v>
      </c>
      <c r="G90" s="86"/>
      <c r="H90" s="14" t="str">
        <f>IF(F90="","",IF(F90=0,"","m"))</f>
        <v>m</v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>
        <f>IF((F90+I95+L90+O95)=0,"",IF((F90+I95+L90+O95)&gt;SUM($AC$1:$AC$3),"入力ｴﾗｰ",SUM($AC$1:$AC$3)-(F90+I95+L90+O95)))</f>
        <v>4.4000000000000004</v>
      </c>
      <c r="T90" s="81" t="str">
        <f>IF(S90="","",IF(S90="入力ｴﾗｰ","","m"))</f>
        <v>m</v>
      </c>
      <c r="U90" s="103">
        <f>IF(B90="","",COUNT(F90,I95,L90,O95)-IF(S90=0,1,0)-V90)</f>
        <v>1</v>
      </c>
      <c r="V90" s="104"/>
      <c r="W90" s="102">
        <v>1</v>
      </c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>乙</v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>
        <f>IF(S98="","",IF(B90="","",1+B90))</f>
        <v>25</v>
      </c>
      <c r="C98" s="3"/>
      <c r="E98" s="13" t="str">
        <f>IF(F98="","",IF(F98=0,"","L="))</f>
        <v>L=</v>
      </c>
      <c r="F98" s="86">
        <v>3.8</v>
      </c>
      <c r="G98" s="86"/>
      <c r="H98" s="14" t="str">
        <f>IF(F98="","",IF(F98=0,"","m"))</f>
        <v>m</v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>
        <f>IF((F98+I103+L98+O103)=0,"",IF((F98+I103+L98+O103)&gt;SUM($AC$1:$AC$3),"入力ｴﾗｰ",SUM($AC$1:$AC$3)-(F98+I103+L98+O103)))</f>
        <v>2.2000000000000002</v>
      </c>
      <c r="T98" s="81" t="str">
        <f>IF(S98="","",IF(S98="入力ｴﾗｰ","","m"))</f>
        <v>m</v>
      </c>
      <c r="U98" s="103">
        <f>IF(B98="","",COUNT(F98,I103,L98,O103)-IF(S98=0,1,0)-V98)</f>
        <v>1</v>
      </c>
      <c r="V98" s="104"/>
      <c r="W98" s="102">
        <v>1</v>
      </c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>乙</v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>
        <f>IF(S106="","",IF(B98="","",1+B98))</f>
        <v>26</v>
      </c>
      <c r="C106" s="3"/>
      <c r="E106" s="13" t="str">
        <f>IF(F106="","",IF(F106=0,"","L="))</f>
        <v>L=</v>
      </c>
      <c r="F106" s="86">
        <v>4.0999999999999996</v>
      </c>
      <c r="G106" s="86"/>
      <c r="H106" s="14" t="str">
        <f>IF(F106="","",IF(F106=0,"","m"))</f>
        <v>m</v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>
        <f>IF((F106+I111+L106+O111)=0,"",IF((F106+I111+L106+O111)&gt;SUM($AC$1:$AC$3),"入力ｴﾗｰ",SUM($AC$1:$AC$3)-(F106+I111+L106+O111)))</f>
        <v>0</v>
      </c>
      <c r="T106" s="81" t="str">
        <f>IF(S106="","",IF(S106="入力ｴﾗｰ","","m"))</f>
        <v>m</v>
      </c>
      <c r="U106" s="103">
        <f>IF(B106="","",COUNT(F106,I111,L106,O111)-IF(S106=0,1,0)-V106)</f>
        <v>1</v>
      </c>
      <c r="V106" s="104"/>
      <c r="W106" s="102">
        <v>2</v>
      </c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I107" s="3"/>
      <c r="J107" s="2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I108" s="3"/>
      <c r="J108" s="2"/>
      <c r="K108" s="3"/>
      <c r="L108" s="2"/>
      <c r="M108" s="3"/>
      <c r="O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I110" s="3"/>
      <c r="J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>L=</v>
      </c>
      <c r="O111" s="86">
        <v>1.9</v>
      </c>
      <c r="P111" s="86"/>
      <c r="Q111" s="14" t="str">
        <f>IF(O111="","",IF(O111=0,"","m"))</f>
        <v>m</v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40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400</v>
      </c>
      <c r="I114" s="111"/>
      <c r="J114" s="112"/>
      <c r="K114" s="113">
        <v>13</v>
      </c>
      <c r="L114" s="114"/>
      <c r="M114" s="21"/>
      <c r="N114" s="25"/>
      <c r="O114" s="20"/>
      <c r="P114" s="20"/>
      <c r="Q114" s="21"/>
      <c r="R114" s="115">
        <f>SUM(S10:S111)</f>
        <v>32.290000000000006</v>
      </c>
      <c r="S114" s="116"/>
      <c r="T114" s="20"/>
      <c r="U114" s="51">
        <f t="shared" ref="U114:AA114" si="0">SUM(U10:U111)</f>
        <v>13</v>
      </c>
      <c r="V114" s="79">
        <f t="shared" si="0"/>
        <v>0</v>
      </c>
      <c r="W114" s="73">
        <f t="shared" si="0"/>
        <v>14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AA98:AA103"/>
    <mergeCell ref="R101:R103"/>
    <mergeCell ref="AA106:AA111"/>
    <mergeCell ref="R109:R111"/>
    <mergeCell ref="I111:J111"/>
    <mergeCell ref="O111:P111"/>
    <mergeCell ref="Z106:Z111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</mergeCells>
  <phoneticPr fontId="2"/>
  <conditionalFormatting sqref="S10:S15 S18:S23 S26:S31 S34:S39 S42:S47 S50:S55 S58:S63 S66:S71 S74:S79 S82:S87 S98:S103 S106:S111">
    <cfRule type="cellIs" dxfId="18" priority="2" stopIfTrue="1" operator="equal">
      <formula>"入力ｴﾗｰ"</formula>
    </cfRule>
  </conditionalFormatting>
  <conditionalFormatting sqref="S90:S95">
    <cfRule type="cellIs" dxfId="17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B1:AC114"/>
  <sheetViews>
    <sheetView showGridLines="0" view="pageBreakPreview" topLeftCell="A64" zoomScale="160" zoomScaleNormal="123" zoomScaleSheetLayoutView="160" workbookViewId="0">
      <selection activeCell="F107" sqref="F107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400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IF(S10="","",1)+26</f>
        <v>27</v>
      </c>
      <c r="C10" s="3"/>
      <c r="E10" s="13" t="str">
        <f>IF(F10="","",IF(F10=0,"","L="))</f>
        <v>L=</v>
      </c>
      <c r="F10" s="86">
        <v>3.9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2.1</v>
      </c>
      <c r="T10" s="81" t="str">
        <f>IF(S10="","",IF(S10="入力ｴﾗｰ","","m"))</f>
        <v>m</v>
      </c>
      <c r="U10" s="103">
        <f>IF(B10="","",COUNT(F10,I15,L10,O15)-IF(S10=0,1,0)-V10)</f>
        <v>1</v>
      </c>
      <c r="V10" s="104"/>
      <c r="W10" s="102">
        <v>1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I11" s="3"/>
      <c r="K11" s="3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28</v>
      </c>
      <c r="C18" s="3"/>
      <c r="E18" s="13" t="str">
        <f>IF(F18="","",IF(F18=0,"","L="))</f>
        <v>L=</v>
      </c>
      <c r="F18" s="86">
        <v>5.6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0.40000000000000036</v>
      </c>
      <c r="T18" s="81" t="str">
        <f>IF(S18="","",IF(S18="入力ｴﾗｰ","","m"))</f>
        <v>m</v>
      </c>
      <c r="U18" s="103">
        <f>IF(B18="","",COUNT(F18,I23,L18,O23)-IF(S18=0,1,0)-V18)</f>
        <v>1</v>
      </c>
      <c r="V18" s="104"/>
      <c r="W18" s="102">
        <v>1</v>
      </c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>乙</v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29</v>
      </c>
      <c r="C26" s="3"/>
      <c r="E26" s="13" t="str">
        <f>IF(F26="","",IF(F26=0,"","L="))</f>
        <v>L=</v>
      </c>
      <c r="F26" s="86">
        <v>1.7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4.3</v>
      </c>
      <c r="T26" s="81" t="str">
        <f>IF(S26="","",IF(S26="入力ｴﾗｰ","","m"))</f>
        <v>m</v>
      </c>
      <c r="U26" s="103">
        <f>IF(B26="","",COUNT(F26,I31,L26,O31)-IF(S26=0,1,0)-V26)</f>
        <v>1</v>
      </c>
      <c r="V26" s="104"/>
      <c r="W26" s="102">
        <v>1</v>
      </c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>乙</v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30</v>
      </c>
      <c r="C34" s="3"/>
      <c r="E34" s="13" t="str">
        <f>IF(F34="","",IF(F34=0,"","L="))</f>
        <v>L=</v>
      </c>
      <c r="F34" s="86">
        <v>1.2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4.8</v>
      </c>
      <c r="T34" s="81" t="str">
        <f>IF(S34="","",IF(S34="入力ｴﾗｰ","","m"))</f>
        <v>m</v>
      </c>
      <c r="U34" s="103">
        <f>IF(B34="","",COUNT(F34,I39,L34,O39)-IF(S34=0,1,0)-V34)</f>
        <v>1</v>
      </c>
      <c r="V34" s="104"/>
      <c r="W34" s="102">
        <v>1</v>
      </c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6" t="str">
        <f>IF(R34="甲","",IF(OR(S34=0,S34="")=TRUE,"",IF(S34="入力ｴﾗｰ","","乙")))</f>
        <v>乙</v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>
        <f>IF(S42="","",IF(B34="","",1+B34))</f>
        <v>31</v>
      </c>
      <c r="C42" s="3"/>
      <c r="E42" s="13" t="str">
        <f>IF(F42="","",IF(F42=0,"","L="))</f>
        <v>L=</v>
      </c>
      <c r="F42" s="86">
        <v>1.5</v>
      </c>
      <c r="G42" s="86"/>
      <c r="H42" s="14" t="str">
        <f>IF(F42="","",IF(F42=0,"","m"))</f>
        <v>m</v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>
        <f>IF((F42+I47+L42+O47)=0,"",IF((F42+I47+L42+O47)&gt;SUM($AC$1:$AC$3),"入力ｴﾗｰ",SUM($AC$1:$AC$3)-(F42+I47+L42+O47)))</f>
        <v>4.5</v>
      </c>
      <c r="T42" s="81" t="str">
        <f>IF(S42="","",IF(S42="入力ｴﾗｰ","","m"))</f>
        <v>m</v>
      </c>
      <c r="U42" s="103">
        <f>IF(B42="","",COUNT(F42,I47,L42,O47)-IF(S42=0,1,0)-V42)</f>
        <v>1</v>
      </c>
      <c r="V42" s="104"/>
      <c r="W42" s="102">
        <v>1</v>
      </c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>乙</v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>
        <f>IF(S50="","",IF(B42="","",1+B42))</f>
        <v>32</v>
      </c>
      <c r="C50" s="3"/>
      <c r="E50" s="13" t="str">
        <f>IF(F50="","",IF(F50=0,"","L="))</f>
        <v>L=</v>
      </c>
      <c r="F50" s="86">
        <v>1.5</v>
      </c>
      <c r="G50" s="86"/>
      <c r="H50" s="14" t="str">
        <f>IF(F50="","",IF(F50=0,"","m"))</f>
        <v>m</v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>
        <f>IF((F50+I55+L50+O55)=0,"",IF((F50+I55+L50+O55)&gt;SUM($AC$1:$AC$3),"入力ｴﾗｰ",SUM($AC$1:$AC$3)-(F50+I55+L50+O55)))</f>
        <v>4.5</v>
      </c>
      <c r="T50" s="81" t="str">
        <f>IF(S50="","",IF(S50="入力ｴﾗｰ","","m"))</f>
        <v>m</v>
      </c>
      <c r="U50" s="103">
        <f>IF(B50="","",COUNT(F50,I55,L50,O55)-IF(S50=0,1,0)-V50)</f>
        <v>1</v>
      </c>
      <c r="V50" s="104"/>
      <c r="W50" s="102">
        <v>1</v>
      </c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6" t="str">
        <f>IF(R50="甲","",IF(OR(S50=0,S50="")=TRUE,"",IF(S50="入力ｴﾗｰ","","乙")))</f>
        <v>乙</v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>
        <f>IF(S58="","",IF(B50="","",1+B50))</f>
        <v>33</v>
      </c>
      <c r="C58" s="3"/>
      <c r="E58" s="13" t="str">
        <f>IF(F58="","",IF(F58=0,"","L="))</f>
        <v>L=</v>
      </c>
      <c r="F58" s="86">
        <v>3.9</v>
      </c>
      <c r="G58" s="86"/>
      <c r="H58" s="14" t="str">
        <f>IF(F58="","",IF(F58=0,"","m"))</f>
        <v>m</v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>
        <f>IF((F58+I63+L58+O63)=0,"",IF((F58+I63+L58+O63)&gt;SUM($AC$1:$AC$3),"入力ｴﾗｰ",SUM($AC$1:$AC$3)-(F58+I63+L58+O63)))</f>
        <v>2.1</v>
      </c>
      <c r="T58" s="81" t="str">
        <f>IF(S58="","",IF(S58="入力ｴﾗｰ","","m"))</f>
        <v>m</v>
      </c>
      <c r="U58" s="103">
        <f>IF(B58="","",COUNT(F58,I63,L58,O63)-IF(S58=0,1,0)-V58)</f>
        <v>1</v>
      </c>
      <c r="V58" s="104"/>
      <c r="W58" s="102">
        <v>1</v>
      </c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E60" s="67"/>
      <c r="F60" s="67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>乙</v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>
        <f>IF(S66="","",IF(B58="","",1+B58))</f>
        <v>34</v>
      </c>
      <c r="C66" s="3"/>
      <c r="E66" s="13" t="str">
        <f>IF(F66="","",IF(F66=0,"","L="))</f>
        <v>L=</v>
      </c>
      <c r="F66" s="86">
        <v>4.9000000000000004</v>
      </c>
      <c r="G66" s="86"/>
      <c r="H66" s="14" t="str">
        <f>IF(F66="","",IF(F66=0,"","m"))</f>
        <v>m</v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>
        <f>IF((F66+I71+L66+O71)=0,"",IF((F66+I71+L66+O71)&gt;SUM($AC$1:$AC$3),"入力ｴﾗｰ",SUM($AC$1:$AC$3)-(F66+I71+L66+O71)))</f>
        <v>0</v>
      </c>
      <c r="T66" s="81" t="str">
        <f>IF(S66="","",IF(S66="入力ｴﾗｰ","","m"))</f>
        <v>m</v>
      </c>
      <c r="U66" s="103">
        <f>IF(B66="","",COUNT(F66,I71,L66,O71)-IF(S66=0,1,0)-V66)</f>
        <v>1</v>
      </c>
      <c r="V66" s="104"/>
      <c r="W66" s="102">
        <v>2</v>
      </c>
      <c r="X66" s="97"/>
      <c r="Y66" s="97"/>
      <c r="Z66" s="97"/>
      <c r="AA66" s="95"/>
    </row>
    <row r="67" spans="2:29" ht="3" customHeight="1" x14ac:dyDescent="0.15">
      <c r="B67" s="88"/>
      <c r="C67" s="3"/>
      <c r="F67" s="2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>L=</v>
      </c>
      <c r="O71" s="86">
        <v>1.1000000000000001</v>
      </c>
      <c r="P71" s="86"/>
      <c r="Q71" s="14" t="str">
        <f>IF(O71="","",IF(O71=0,"","m"))</f>
        <v>m</v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>
        <f>IF(S74="","",IF(B66="","",1+B66))</f>
        <v>35</v>
      </c>
      <c r="C74" s="3"/>
      <c r="E74" s="13" t="str">
        <f>IF(F74="","",IF(F74=0,"","L="))</f>
        <v>L=</v>
      </c>
      <c r="F74" s="86">
        <v>1.4</v>
      </c>
      <c r="G74" s="86"/>
      <c r="H74" s="14" t="str">
        <f>IF(F74="","",IF(F74=0,"","m"))</f>
        <v>m</v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>
        <f>IF((F74+I79+L74+O79)=0,"",IF((F74+I79+L74+O79)&gt;SUM($AC$1:$AC$3),"入力ｴﾗｰ",SUM($AC$1:$AC$3)-(F74+I79+L74+O79)))</f>
        <v>4.5999999999999996</v>
      </c>
      <c r="T74" s="81" t="str">
        <f>IF(S74="","",IF(S74="入力ｴﾗｰ","","m"))</f>
        <v>m</v>
      </c>
      <c r="U74" s="103">
        <f>IF(B74="","",COUNT(F74,I79,L74,O79)-IF(S74=0,1,0)-V74)</f>
        <v>1</v>
      </c>
      <c r="V74" s="104"/>
      <c r="W74" s="102">
        <v>1</v>
      </c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>乙</v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>
        <f>IF(S82="","",IF(B74="","",1+B74))</f>
        <v>36</v>
      </c>
      <c r="C82" s="3"/>
      <c r="E82" s="13" t="str">
        <f>IF(F82="","",IF(F82=0,"","L="))</f>
        <v>L=</v>
      </c>
      <c r="F82" s="86">
        <v>1.7</v>
      </c>
      <c r="G82" s="86"/>
      <c r="H82" s="14" t="str">
        <f>IF(F82="","",IF(F82=0,"","m"))</f>
        <v>m</v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>
        <f>IF((F82+I87+L82+O87)=0,"",IF((F82+I87+L82+O87)&gt;SUM($AC$1:$AC$3),"入力ｴﾗｰ",SUM($AC$1:$AC$3)-(F82+I87+L82+O87)))</f>
        <v>4.3</v>
      </c>
      <c r="T82" s="81" t="str">
        <f>IF(S82="","",IF(S82="入力ｴﾗｰ","","m"))</f>
        <v>m</v>
      </c>
      <c r="U82" s="103">
        <f>IF(B82="","",COUNT(F82,I87,L82,O87)-IF(S82=0,1,0)-V82)</f>
        <v>1</v>
      </c>
      <c r="V82" s="104"/>
      <c r="W82" s="102">
        <v>1</v>
      </c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>乙</v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>
        <f>IF(S90="","",IF(B82="","",1+B82))</f>
        <v>37</v>
      </c>
      <c r="C90" s="3"/>
      <c r="E90" s="13" t="str">
        <f>IF(F90="","",IF(F90=0,"","L="))</f>
        <v>L=</v>
      </c>
      <c r="F90" s="86">
        <v>5.7</v>
      </c>
      <c r="G90" s="86"/>
      <c r="H90" s="14" t="str">
        <f>IF(F90="","",IF(F90=0,"","m"))</f>
        <v>m</v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>
        <f>IF((F90+I95+L90+O95)=0,"",IF((F90+I95+L90+O95)&gt;SUM($AC$1:$AC$3),"入力ｴﾗｰ",SUM($AC$1:$AC$3)-(F90+I95+L90+O95)))</f>
        <v>0.29999999999999982</v>
      </c>
      <c r="T90" s="81" t="str">
        <f>IF(S90="","",IF(S90="入力ｴﾗｰ","","m"))</f>
        <v>m</v>
      </c>
      <c r="U90" s="103">
        <f>IF(B90="","",COUNT(F90,I95,L90,O95)-IF(S90=0,1,0)-V90)</f>
        <v>1</v>
      </c>
      <c r="V90" s="104"/>
      <c r="W90" s="102">
        <v>1</v>
      </c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>乙</v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>
        <f>IF(S98="","",IF(B90="","",1+B90))</f>
        <v>38</v>
      </c>
      <c r="C98" s="3"/>
      <c r="E98" s="13" t="str">
        <f>IF(F98="","",IF(F98=0,"","L="))</f>
        <v>L=</v>
      </c>
      <c r="F98" s="86">
        <v>2</v>
      </c>
      <c r="G98" s="86"/>
      <c r="H98" s="14" t="str">
        <f>IF(F98="","",IF(F98=0,"","m"))</f>
        <v>m</v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>
        <f>IF((F98+I103+L98+O103)=0,"",IF((F98+I103+L98+O103)&gt;SUM($AC$1:$AC$3),"入力ｴﾗｰ",SUM($AC$1:$AC$3)-(F98+I103+L98+O103)))</f>
        <v>4</v>
      </c>
      <c r="T98" s="81" t="str">
        <f>IF(S98="","",IF(S98="入力ｴﾗｰ","","m"))</f>
        <v>m</v>
      </c>
      <c r="U98" s="103">
        <f>IF(B98="","",COUNT(F98,I103,L98,O103)-IF(S98=0,1,0)-V98)</f>
        <v>1</v>
      </c>
      <c r="V98" s="104"/>
      <c r="W98" s="102">
        <v>1</v>
      </c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>乙</v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>
        <f>IF(S106="","",IF(B98="","",1+B98))</f>
        <v>39</v>
      </c>
      <c r="C106" s="3"/>
      <c r="E106" s="13" t="str">
        <f>IF(F106="","",IF(F106=0,"","L="))</f>
        <v>L=</v>
      </c>
      <c r="F106" s="86">
        <v>3.08</v>
      </c>
      <c r="G106" s="86"/>
      <c r="H106" s="14" t="str">
        <f>IF(F106="","",IF(F106=0,"","m"))</f>
        <v>m</v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>
        <f>IF((F106+I111+L106+O111)=0,"",IF((F106+I111+L106+O111)&gt;SUM($AC$1:$AC$3),"入力ｴﾗｰ",SUM($AC$1:$AC$3)-(F106+I111+L106+O111)))</f>
        <v>1.8200000000000003</v>
      </c>
      <c r="T106" s="81" t="str">
        <f>IF(S106="","",IF(S106="入力ｴﾗｰ","","m"))</f>
        <v>m</v>
      </c>
      <c r="U106" s="103">
        <f>IF(B106="","",COUNT(F106,I111,L106,O111)-IF(S106=0,1,0)-V106)</f>
        <v>2</v>
      </c>
      <c r="V106" s="104"/>
      <c r="W106" s="102">
        <v>2</v>
      </c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I107" s="3"/>
      <c r="J107" s="2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I108" s="3"/>
      <c r="J108" s="2"/>
      <c r="K108" s="3"/>
      <c r="L108" s="2"/>
      <c r="M108" s="3"/>
      <c r="O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6" t="str">
        <f>IF(R106="甲","",IF(OR(S106=0,S106="")=TRUE,"",IF(S106="入力ｴﾗｰ","","乙")))</f>
        <v>乙</v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I110" s="3"/>
      <c r="J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>L=</v>
      </c>
      <c r="O111" s="86">
        <v>1.1000000000000001</v>
      </c>
      <c r="P111" s="86"/>
      <c r="Q111" s="14" t="str">
        <f>IF(O111="","",IF(O111=0,"","m"))</f>
        <v>m</v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40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400</v>
      </c>
      <c r="I114" s="111"/>
      <c r="J114" s="112"/>
      <c r="K114" s="113">
        <v>13</v>
      </c>
      <c r="L114" s="114"/>
      <c r="M114" s="21"/>
      <c r="N114" s="25"/>
      <c r="O114" s="20"/>
      <c r="P114" s="20"/>
      <c r="Q114" s="21"/>
      <c r="R114" s="115">
        <f>SUM(S10:S111)</f>
        <v>37.720000000000006</v>
      </c>
      <c r="S114" s="116"/>
      <c r="T114" s="20"/>
      <c r="U114" s="51">
        <f t="shared" ref="U114:AA114" si="0">SUM(U10:U111)</f>
        <v>14</v>
      </c>
      <c r="V114" s="79">
        <f t="shared" si="0"/>
        <v>0</v>
      </c>
      <c r="W114" s="73">
        <f t="shared" si="0"/>
        <v>15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AA98:AA103"/>
    <mergeCell ref="R101:R103"/>
    <mergeCell ref="AA106:AA111"/>
    <mergeCell ref="R109:R111"/>
    <mergeCell ref="I111:J111"/>
    <mergeCell ref="O111:P111"/>
    <mergeCell ref="Z106:Z111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</mergeCells>
  <phoneticPr fontId="2"/>
  <conditionalFormatting sqref="S10:S15 S18:S23 S26:S31 S34:S39 S42:S47 S50:S55 S58:S63 S66:S71 S74:S79 S82:S87 S98:S103 S106:S111">
    <cfRule type="cellIs" dxfId="16" priority="2" stopIfTrue="1" operator="equal">
      <formula>"入力ｴﾗｰ"</formula>
    </cfRule>
  </conditionalFormatting>
  <conditionalFormatting sqref="S90:S95">
    <cfRule type="cellIs" dxfId="15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B1:AC108"/>
  <sheetViews>
    <sheetView showGridLines="0" view="pageBreakPreview" topLeftCell="A55" zoomScale="123" zoomScaleNormal="123" zoomScaleSheetLayoutView="123" workbookViewId="0">
      <selection activeCell="F11" sqref="F11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400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>
        <f>IF(S10="","",1)+39</f>
        <v>40</v>
      </c>
      <c r="C10" s="3"/>
      <c r="E10" s="13" t="str">
        <f>IF(F10="","",IF(F10=0,"","L="))</f>
        <v>L=</v>
      </c>
      <c r="F10" s="86">
        <v>3.3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2.7</v>
      </c>
      <c r="T10" s="81" t="str">
        <f>IF(S10="","",IF(S10="入力ｴﾗｰ","","m"))</f>
        <v>m</v>
      </c>
      <c r="U10" s="103">
        <f>IF(B10="","",COUNT(F10,I15,L10,O15)-IF(S10=0,1,0)-V10)</f>
        <v>1</v>
      </c>
      <c r="V10" s="104"/>
      <c r="W10" s="102">
        <v>1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I11" s="3"/>
      <c r="K11" s="3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>乙</v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/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E60" s="67"/>
      <c r="F60" s="67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F67" s="2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15" customHeight="1" x14ac:dyDescent="0.15">
      <c r="B105" s="107" t="s">
        <v>40</v>
      </c>
      <c r="C105" s="108"/>
      <c r="D105" s="108"/>
      <c r="E105" s="108"/>
      <c r="F105" s="109"/>
      <c r="G105" s="47" t="s">
        <v>21</v>
      </c>
      <c r="H105" s="48"/>
      <c r="I105" s="48"/>
      <c r="J105" s="49"/>
      <c r="K105" s="50"/>
      <c r="L105" s="48"/>
      <c r="M105" s="49" t="s">
        <v>18</v>
      </c>
      <c r="N105" s="50"/>
      <c r="O105" s="48"/>
      <c r="P105" s="48"/>
      <c r="Q105" s="49"/>
      <c r="R105" s="48"/>
      <c r="S105" s="48"/>
      <c r="T105" s="48" t="s">
        <v>22</v>
      </c>
      <c r="U105" s="9"/>
      <c r="V105" s="77"/>
      <c r="W105" s="22"/>
      <c r="X105" s="23"/>
      <c r="Y105" s="23"/>
      <c r="Z105" s="23"/>
      <c r="AA105" s="37"/>
    </row>
    <row r="106" spans="2:29" ht="30" customHeight="1" thickBot="1" x14ac:dyDescent="0.2">
      <c r="B106" s="110"/>
      <c r="C106" s="111"/>
      <c r="D106" s="111"/>
      <c r="E106" s="111"/>
      <c r="F106" s="112"/>
      <c r="G106" s="25" t="str">
        <f>+G108</f>
        <v>GX</v>
      </c>
      <c r="H106" s="111">
        <f>+H108</f>
        <v>400</v>
      </c>
      <c r="I106" s="111"/>
      <c r="J106" s="112"/>
      <c r="K106" s="113">
        <v>1</v>
      </c>
      <c r="L106" s="114"/>
      <c r="M106" s="21"/>
      <c r="N106" s="25"/>
      <c r="O106" s="20"/>
      <c r="P106" s="20"/>
      <c r="Q106" s="21"/>
      <c r="R106" s="115">
        <f>SUM(S9:S105)</f>
        <v>2.7</v>
      </c>
      <c r="S106" s="116"/>
      <c r="T106" s="20"/>
      <c r="U106" s="51">
        <f>SUM(U9:U104)</f>
        <v>1</v>
      </c>
      <c r="V106" s="79">
        <f t="shared" ref="V106:AA106" si="0">SUM(V9:V104)</f>
        <v>0</v>
      </c>
      <c r="W106" s="73">
        <f t="shared" si="0"/>
        <v>1</v>
      </c>
      <c r="X106" s="53">
        <f t="shared" si="0"/>
        <v>0</v>
      </c>
      <c r="Y106" s="53">
        <f t="shared" si="0"/>
        <v>0</v>
      </c>
      <c r="Z106" s="53">
        <f t="shared" si="0"/>
        <v>0</v>
      </c>
      <c r="AA106" s="54">
        <f t="shared" si="0"/>
        <v>0</v>
      </c>
      <c r="AC106" s="1">
        <f>SUM(AC7:AC102)</f>
        <v>0</v>
      </c>
    </row>
    <row r="107" spans="2:29" ht="15" customHeight="1" x14ac:dyDescent="0.15">
      <c r="B107" s="107" t="s">
        <v>17</v>
      </c>
      <c r="C107" s="108"/>
      <c r="D107" s="108"/>
      <c r="E107" s="108"/>
      <c r="F107" s="109"/>
      <c r="G107" s="47" t="s">
        <v>21</v>
      </c>
      <c r="H107" s="48"/>
      <c r="I107" s="48"/>
      <c r="J107" s="49"/>
      <c r="K107" s="50"/>
      <c r="L107" s="48"/>
      <c r="M107" s="49" t="s">
        <v>18</v>
      </c>
      <c r="N107" s="50"/>
      <c r="O107" s="48"/>
      <c r="P107" s="48"/>
      <c r="Q107" s="49"/>
      <c r="R107" s="48"/>
      <c r="S107" s="48"/>
      <c r="T107" s="48" t="s">
        <v>22</v>
      </c>
      <c r="U107" s="9"/>
      <c r="V107" s="77"/>
      <c r="W107" s="22"/>
      <c r="X107" s="23"/>
      <c r="Y107" s="23"/>
      <c r="Z107" s="23"/>
      <c r="AA107" s="37"/>
    </row>
    <row r="108" spans="2:29" ht="30" customHeight="1" thickBot="1" x14ac:dyDescent="0.2">
      <c r="B108" s="110"/>
      <c r="C108" s="111"/>
      <c r="D108" s="111"/>
      <c r="E108" s="111"/>
      <c r="F108" s="112"/>
      <c r="G108" s="25" t="str">
        <f>U2</f>
        <v>GX</v>
      </c>
      <c r="H108" s="111">
        <f>Y2</f>
        <v>400</v>
      </c>
      <c r="I108" s="111"/>
      <c r="J108" s="112"/>
      <c r="K108" s="113">
        <f>+'GX　400'!K114+'GX　400 (2)'!K114+'GX　400 (3)'!K114+'GX　400 (4)'!K106</f>
        <v>40</v>
      </c>
      <c r="L108" s="114"/>
      <c r="M108" s="21"/>
      <c r="N108" s="25"/>
      <c r="O108" s="20"/>
      <c r="P108" s="20"/>
      <c r="Q108" s="21"/>
      <c r="R108" s="115">
        <f>+'GX　400'!R114:S114+'GX　400 (2)'!R114:S114+'GX　400 (3)'!R114:S114+R106</f>
        <v>96.110000000000014</v>
      </c>
      <c r="S108" s="116"/>
      <c r="T108" s="20"/>
      <c r="U108" s="51">
        <f>+'GX　400'!U114+'GX　400 (2)'!U114+'GX　400 (3)'!U114+'GX　400 (4)'!U106</f>
        <v>48</v>
      </c>
      <c r="V108" s="79">
        <f>+'GX　400'!V114+'GX　400 (2)'!V114+'GX　400 (3)'!V114+'GX　400 (4)'!V106</f>
        <v>0</v>
      </c>
      <c r="W108" s="73">
        <f>+'GX　400'!W114+'GX　400 (2)'!W114+'GX　400 (3)'!W114+'GX　400 (4)'!W106</f>
        <v>50</v>
      </c>
      <c r="X108" s="53">
        <f>+'GX　400'!X114+'GX　400 (2)'!X114+'GX　400 (3)'!X114+'GX　400 (4)'!X106</f>
        <v>0</v>
      </c>
      <c r="Y108" s="53">
        <f>+'GX　400'!Y114+'GX　400 (2)'!Y114+'GX　400 (3)'!Y114+'GX　400 (4)'!Y106</f>
        <v>0</v>
      </c>
      <c r="Z108" s="53">
        <f>+'GX　400'!Z114+'GX　400 (2)'!Z114+'GX　400 (3)'!Z114+'GX　400 (4)'!Z106</f>
        <v>0</v>
      </c>
      <c r="AA108" s="54">
        <f>+'GX　400'!AA114+'GX　400 (2)'!AA114+'GX　400 (3)'!AA114+'GX　400 (4)'!AA106</f>
        <v>0</v>
      </c>
      <c r="AC108" s="1">
        <f>SUM(AC9:AC104)</f>
        <v>0</v>
      </c>
    </row>
  </sheetData>
  <mergeCells count="208">
    <mergeCell ref="K106:L106"/>
    <mergeCell ref="R106:S106"/>
    <mergeCell ref="B107:F108"/>
    <mergeCell ref="H108:J108"/>
    <mergeCell ref="K108:L108"/>
    <mergeCell ref="R108:S108"/>
    <mergeCell ref="B105:F106"/>
    <mergeCell ref="H106:J106"/>
    <mergeCell ref="AA98:AA103"/>
    <mergeCell ref="R101:R103"/>
    <mergeCell ref="I103:J103"/>
    <mergeCell ref="O103:P103"/>
    <mergeCell ref="U98:U103"/>
    <mergeCell ref="V98:V103"/>
    <mergeCell ref="W98:W103"/>
    <mergeCell ref="X98:X103"/>
    <mergeCell ref="Y98:Y103"/>
    <mergeCell ref="Z98:Z103"/>
    <mergeCell ref="B98:B103"/>
    <mergeCell ref="F98:G98"/>
    <mergeCell ref="L98:M98"/>
    <mergeCell ref="R98:R100"/>
    <mergeCell ref="S98:S103"/>
    <mergeCell ref="T98:T100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</mergeCells>
  <phoneticPr fontId="2"/>
  <conditionalFormatting sqref="S10:S15 S18:S23 S26:S31 S34:S39 S42:S47 S50:S55 S58:S63 S66:S71 S74:S79 S82:S87 S98:S103">
    <cfRule type="cellIs" dxfId="14" priority="2" stopIfTrue="1" operator="equal">
      <formula>"入力ｴﾗｰ"</formula>
    </cfRule>
  </conditionalFormatting>
  <conditionalFormatting sqref="S90:S95">
    <cfRule type="cellIs" dxfId="13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4" sqref="I34"/>
    </sheetView>
  </sheetViews>
  <sheetFormatPr defaultRowHeight="12" x14ac:dyDescent="0.15"/>
  <sheetData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AC114"/>
  <sheetViews>
    <sheetView showGridLines="0" view="pageBreakPreview" zoomScale="85" zoomScaleNormal="123" zoomScaleSheetLayoutView="85" workbookViewId="0">
      <selection activeCell="W24" sqref="W24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v>0</v>
      </c>
    </row>
    <row r="2" spans="2:29" ht="12" customHeight="1" x14ac:dyDescent="0.15">
      <c r="S2" s="12"/>
      <c r="T2" s="3"/>
      <c r="U2" s="84" t="s">
        <v>32</v>
      </c>
      <c r="V2" s="84"/>
      <c r="W2" s="2"/>
      <c r="X2" s="12"/>
      <c r="Y2" s="84">
        <v>50</v>
      </c>
      <c r="Z2" s="84"/>
      <c r="AA2" s="2"/>
      <c r="AC2" s="1">
        <f>IF(AC1=4,0,IF(Y2&lt;=250,5,0))</f>
        <v>5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V5" s="1" t="s">
        <v>33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4"/>
      <c r="H12" s="55"/>
      <c r="I12" s="5"/>
      <c r="J12" s="55"/>
      <c r="K12" s="4"/>
      <c r="L12" s="55"/>
      <c r="M12" s="3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6"/>
      <c r="K13" s="7"/>
      <c r="L13" s="8"/>
      <c r="M13" s="64"/>
      <c r="N13" s="6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55"/>
      <c r="G20" s="4"/>
      <c r="H20" s="55"/>
      <c r="I20" s="4"/>
      <c r="J20" s="55"/>
      <c r="K20" s="4"/>
      <c r="L20" s="55"/>
      <c r="M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6"/>
      <c r="K21" s="7"/>
      <c r="L21" s="8"/>
      <c r="M21" s="64"/>
      <c r="N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/>
      <c r="K26" s="13" t="str">
        <f>IF(L26="","",IF(L26=0,"","L="))</f>
        <v/>
      </c>
      <c r="L26" s="86"/>
      <c r="M26" s="86"/>
      <c r="N26" s="14" t="str">
        <f>IF(L26="","",IF(L26=0,"","m"))</f>
        <v/>
      </c>
      <c r="Q26" s="2"/>
      <c r="R26" s="105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K27" s="3"/>
      <c r="L27" s="2"/>
      <c r="M27" s="3"/>
      <c r="Q27" s="2"/>
      <c r="R27" s="105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4"/>
      <c r="F28" s="55"/>
      <c r="G28" s="4"/>
      <c r="H28" s="55"/>
      <c r="K28" s="3"/>
      <c r="L28" s="2"/>
      <c r="M28" s="3"/>
      <c r="Q28" s="2"/>
      <c r="R28" s="105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9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L30" s="2"/>
      <c r="M30" s="3"/>
      <c r="Q30" s="2"/>
      <c r="R30" s="9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/>
      <c r="N31" s="13" t="str">
        <f>IF(O31="","",IF(O31=0,"","L="))</f>
        <v/>
      </c>
      <c r="O31" s="86"/>
      <c r="P31" s="86"/>
      <c r="Q31" s="24" t="str">
        <f>IF(O31="","",IF(O31=0,"","m"))</f>
        <v/>
      </c>
      <c r="R31" s="9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/>
      <c r="K34" s="13" t="str">
        <f>IF(L34="","",IF(L34=0,"","L="))</f>
        <v/>
      </c>
      <c r="L34" s="86"/>
      <c r="M34" s="86"/>
      <c r="N34" s="14" t="str">
        <f>IF(L34="","",IF(L34=0,"","m"))</f>
        <v/>
      </c>
      <c r="Q34" s="2"/>
      <c r="R34" s="105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L35" s="2"/>
      <c r="M35" s="3"/>
      <c r="Q35" s="2"/>
      <c r="R35" s="105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H36" s="2"/>
      <c r="K36" s="3"/>
      <c r="L36" s="2"/>
      <c r="M36" s="3"/>
      <c r="Q36" s="2"/>
      <c r="R36" s="105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9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Q38" s="2"/>
      <c r="R38" s="9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/>
      <c r="N39" s="13" t="str">
        <f>IF(O39="","",IF(O39=0,"","L="))</f>
        <v/>
      </c>
      <c r="O39" s="86"/>
      <c r="P39" s="86"/>
      <c r="Q39" s="24" t="str">
        <f>IF(O39="","",IF(O39=0,"","m"))</f>
        <v/>
      </c>
      <c r="R39" s="9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/>
      <c r="K42" s="13" t="str">
        <f>IF(L42="","",IF(L42=0,"","L="))</f>
        <v/>
      </c>
      <c r="L42" s="86"/>
      <c r="M42" s="86"/>
      <c r="N42" s="14" t="str">
        <f>IF(L42="","",IF(L42=0,"","m"))</f>
        <v/>
      </c>
      <c r="Q42" s="2"/>
      <c r="R42" s="105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Q43" s="2"/>
      <c r="R43" s="105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L44" s="2"/>
      <c r="M44" s="3"/>
      <c r="Q44" s="2"/>
      <c r="R44" s="105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9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Q46" s="2"/>
      <c r="R46" s="9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/>
      <c r="N47" s="13" t="str">
        <f>IF(O47="","",IF(O47=0,"","L="))</f>
        <v/>
      </c>
      <c r="O47" s="86"/>
      <c r="P47" s="86"/>
      <c r="Q47" s="24" t="str">
        <f>IF(O47="","",IF(O47=0,"","m"))</f>
        <v/>
      </c>
      <c r="R47" s="9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/>
      <c r="K50" s="13" t="str">
        <f>IF(L50="","",IF(L50=0,"","L="))</f>
        <v/>
      </c>
      <c r="L50" s="86"/>
      <c r="M50" s="86"/>
      <c r="N50" s="14" t="str">
        <f>IF(L50="","",IF(L50=0,"","m"))</f>
        <v/>
      </c>
      <c r="Q50" s="2"/>
      <c r="R50" s="105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K51" s="3"/>
      <c r="L51" s="2"/>
      <c r="M51" s="3"/>
      <c r="Q51" s="2"/>
      <c r="R51" s="105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H52" s="2"/>
      <c r="J52" s="4"/>
      <c r="K52" s="5"/>
      <c r="L52" s="55"/>
      <c r="M52" s="5"/>
      <c r="N52" s="4"/>
      <c r="Q52" s="2"/>
      <c r="R52" s="105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9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K54" s="3"/>
      <c r="L54" s="2"/>
      <c r="M54" s="3"/>
      <c r="Q54" s="2"/>
      <c r="R54" s="9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/>
      <c r="N55" s="13" t="str">
        <f>IF(O55="","",IF(O55=0,"","L="))</f>
        <v/>
      </c>
      <c r="O55" s="86"/>
      <c r="P55" s="86"/>
      <c r="Q55" s="24" t="str">
        <f>IF(O55="","",IF(O55=0,"","m"))</f>
        <v/>
      </c>
      <c r="R55" s="9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/>
      <c r="K58" s="13" t="str">
        <f>IF(L58="","",IF(L58=0,"","L="))</f>
        <v/>
      </c>
      <c r="L58" s="86"/>
      <c r="M58" s="86"/>
      <c r="N58" s="14" t="str">
        <f>IF(L58="","",IF(L58=0,"","m"))</f>
        <v/>
      </c>
      <c r="Q58" s="2"/>
      <c r="R58" s="105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H59" s="2"/>
      <c r="K59" s="3"/>
      <c r="L59" s="2"/>
      <c r="M59" s="3"/>
      <c r="Q59" s="2"/>
      <c r="R59" s="105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H60" s="2"/>
      <c r="K60" s="3"/>
      <c r="L60" s="55"/>
      <c r="M60" s="5"/>
      <c r="N60" s="4"/>
      <c r="Q60" s="2"/>
      <c r="R60" s="105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9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H62" s="2"/>
      <c r="J62" s="2"/>
      <c r="K62" s="3"/>
      <c r="L62" s="2"/>
      <c r="M62" s="3"/>
      <c r="Q62" s="2"/>
      <c r="R62" s="9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/>
      <c r="N63" s="13" t="str">
        <f>IF(O63="","",IF(O63=0,"","L="))</f>
        <v/>
      </c>
      <c r="O63" s="86"/>
      <c r="P63" s="86"/>
      <c r="Q63" s="24" t="str">
        <f>IF(O63="","",IF(O63=0,"","m"))</f>
        <v/>
      </c>
      <c r="R63" s="9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/>
      <c r="K66" s="13" t="str">
        <f>IF(L66="","",IF(L66=0,"","L="))</f>
        <v/>
      </c>
      <c r="L66" s="86"/>
      <c r="M66" s="86"/>
      <c r="N66" s="14" t="str">
        <f>IF(L66="","",IF(L66=0,"","m"))</f>
        <v/>
      </c>
      <c r="Q66" s="2"/>
      <c r="R66" s="105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Q67" s="2"/>
      <c r="R67" s="105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L68" s="2"/>
      <c r="M68" s="5"/>
      <c r="N68" s="4"/>
      <c r="Q68" s="2"/>
      <c r="R68" s="105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9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L70" s="2"/>
      <c r="M70" s="3"/>
      <c r="Q70" s="2"/>
      <c r="R70" s="9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/>
      <c r="N71" s="13" t="str">
        <f>IF(O71="","",IF(O71=0,"","L="))</f>
        <v/>
      </c>
      <c r="O71" s="86"/>
      <c r="P71" s="86"/>
      <c r="Q71" s="24" t="str">
        <f>IF(O71="","",IF(O71=0,"","m"))</f>
        <v/>
      </c>
      <c r="R71" s="9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/>
      <c r="K74" s="13" t="str">
        <f>IF(L74="","",IF(L74=0,"","L="))</f>
        <v/>
      </c>
      <c r="L74" s="86"/>
      <c r="M74" s="86"/>
      <c r="N74" s="14" t="str">
        <f>IF(L74="","",IF(L74=0,"","m"))</f>
        <v/>
      </c>
      <c r="Q74" s="2"/>
      <c r="R74" s="105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Q75" s="2"/>
      <c r="R75" s="105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L76" s="2"/>
      <c r="M76" s="5"/>
      <c r="N76" s="4"/>
      <c r="Q76" s="2"/>
      <c r="R76" s="105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9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L78" s="2"/>
      <c r="M78" s="3"/>
      <c r="Q78" s="2"/>
      <c r="R78" s="9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/>
      <c r="N79" s="13" t="str">
        <f>IF(O79="","",IF(O79=0,"","L="))</f>
        <v/>
      </c>
      <c r="O79" s="86"/>
      <c r="P79" s="86"/>
      <c r="Q79" s="24" t="str">
        <f>IF(O79="","",IF(O79=0,"","m"))</f>
        <v/>
      </c>
      <c r="R79" s="9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/>
      <c r="K82" s="13" t="str">
        <f>IF(L82="","",IF(L82=0,"","L="))</f>
        <v/>
      </c>
      <c r="L82" s="86"/>
      <c r="M82" s="86"/>
      <c r="N82" s="14" t="str">
        <f>IF(L82="","",IF(L82=0,"","m"))</f>
        <v/>
      </c>
      <c r="Q82" s="2"/>
      <c r="R82" s="105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L83" s="2"/>
      <c r="M83" s="3"/>
      <c r="Q83" s="2"/>
      <c r="R83" s="105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L84" s="2"/>
      <c r="M84" s="5"/>
      <c r="N84" s="4"/>
      <c r="Q84" s="2"/>
      <c r="R84" s="105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9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L86" s="2"/>
      <c r="M86" s="3"/>
      <c r="Q86" s="2"/>
      <c r="R86" s="9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/>
      <c r="N87" s="13" t="str">
        <f>IF(O87="","",IF(O87=0,"","L="))</f>
        <v/>
      </c>
      <c r="O87" s="86"/>
      <c r="P87" s="86"/>
      <c r="Q87" s="24" t="str">
        <f>IF(O87="","",IF(O87=0,"","m"))</f>
        <v/>
      </c>
      <c r="R87" s="9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/>
      <c r="K90" s="13" t="str">
        <f>IF(L90="","",IF(L90=0,"","L="))</f>
        <v/>
      </c>
      <c r="L90" s="86"/>
      <c r="M90" s="86"/>
      <c r="N90" s="14" t="str">
        <f>IF(L90="","",IF(L90=0,"","m"))</f>
        <v/>
      </c>
      <c r="Q90" s="2"/>
      <c r="R90" s="105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Q91" s="2"/>
      <c r="R91" s="105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L92" s="2"/>
      <c r="M92" s="5"/>
      <c r="N92" s="4"/>
      <c r="Q92" s="2"/>
      <c r="R92" s="105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9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L94" s="2"/>
      <c r="M94" s="3"/>
      <c r="Q94" s="2"/>
      <c r="R94" s="9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/>
      <c r="N95" s="13" t="str">
        <f>IF(O95="","",IF(O95=0,"","L="))</f>
        <v/>
      </c>
      <c r="O95" s="86"/>
      <c r="P95" s="86"/>
      <c r="Q95" s="24" t="str">
        <f>IF(O95="","",IF(O95=0,"","m"))</f>
        <v/>
      </c>
      <c r="R95" s="9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/>
      <c r="K98" s="13" t="str">
        <f>IF(L98="","",IF(L98=0,"","L="))</f>
        <v/>
      </c>
      <c r="L98" s="86"/>
      <c r="M98" s="86"/>
      <c r="N98" s="14" t="str">
        <f>IF(L98="","",IF(L98=0,"","m"))</f>
        <v/>
      </c>
      <c r="Q98" s="2"/>
      <c r="R98" s="105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Q99" s="2"/>
      <c r="R99" s="105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L100" s="2"/>
      <c r="M100" s="5"/>
      <c r="N100" s="4"/>
      <c r="Q100" s="2"/>
      <c r="R100" s="105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9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L102" s="2"/>
      <c r="M102" s="3"/>
      <c r="Q102" s="2"/>
      <c r="R102" s="9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/>
      <c r="N103" s="13" t="str">
        <f>IF(O103="","",IF(O103=0,"","L="))</f>
        <v/>
      </c>
      <c r="O103" s="86"/>
      <c r="P103" s="86"/>
      <c r="Q103" s="24" t="str">
        <f>IF(O103="","",IF(O103=0,"","m"))</f>
        <v/>
      </c>
      <c r="R103" s="9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/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Q106" s="2"/>
      <c r="R106" s="105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L107" s="2"/>
      <c r="M107" s="3"/>
      <c r="Q107" s="2"/>
      <c r="R107" s="105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L108" s="2"/>
      <c r="M108" s="5"/>
      <c r="N108" s="4"/>
      <c r="Q108" s="2"/>
      <c r="R108" s="105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9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L110" s="2"/>
      <c r="M110" s="3"/>
      <c r="Q110" s="2"/>
      <c r="R110" s="9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/>
      <c r="N111" s="13" t="str">
        <f>IF(O111="","",IF(O111=0,"","L="))</f>
        <v/>
      </c>
      <c r="O111" s="86"/>
      <c r="P111" s="86"/>
      <c r="Q111" s="24" t="str">
        <f>IF(O111="","",IF(O111=0,"","m"))</f>
        <v/>
      </c>
      <c r="R111" s="9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PE</v>
      </c>
      <c r="H114" s="111">
        <f>Y2</f>
        <v>50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W7:AA7"/>
    <mergeCell ref="U7:V7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AA98:AA103"/>
    <mergeCell ref="R101:R103"/>
    <mergeCell ref="AA106:AA111"/>
    <mergeCell ref="R109:R111"/>
    <mergeCell ref="I111:J111"/>
    <mergeCell ref="O111:P111"/>
    <mergeCell ref="Z106:Z111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B98:B103"/>
    <mergeCell ref="F98:G98"/>
  </mergeCells>
  <phoneticPr fontId="2"/>
  <conditionalFormatting sqref="S10:S15 S18:S23 S26:S31 S34:S39 S42:S47 S50:S55 S58:S63 S66:S71 S74:S79 S82:S87 S90:S95 S98:S103 S106:S111">
    <cfRule type="cellIs" dxfId="12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AC114"/>
  <sheetViews>
    <sheetView showGridLines="0" view="pageBreakPreview" zoomScale="123" zoomScaleNormal="123" zoomScaleSheetLayoutView="123" workbookViewId="0">
      <selection activeCell="U8" sqref="U8:X8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75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23" t="s">
        <v>38</v>
      </c>
      <c r="V5" s="123"/>
      <c r="W5" s="123"/>
      <c r="X5" s="123"/>
      <c r="Y5" s="123"/>
      <c r="Z5" s="123"/>
      <c r="AA5" s="123"/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L11" s="1" t="s">
        <v>34</v>
      </c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5"/>
      <c r="H12" s="55"/>
      <c r="I12" s="5"/>
      <c r="K12" s="69"/>
      <c r="L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8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I19" s="3"/>
      <c r="K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55"/>
      <c r="G20" s="5"/>
      <c r="H20" s="55"/>
      <c r="I20" s="5"/>
      <c r="K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8"/>
      <c r="K21" s="7"/>
      <c r="L21" s="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G28" s="3"/>
      <c r="H28" s="2"/>
      <c r="I28" s="3"/>
      <c r="K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H36" s="2"/>
      <c r="K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I52" s="3"/>
      <c r="K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6"/>
      <c r="I53" s="7"/>
      <c r="J53" s="6"/>
      <c r="K53" s="7"/>
      <c r="L53" s="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6"/>
      <c r="I61" s="7"/>
      <c r="J61" s="8"/>
      <c r="K61" s="7"/>
      <c r="L61" s="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8"/>
      <c r="G69" s="7"/>
      <c r="H69" s="8"/>
      <c r="I69" s="7"/>
      <c r="J69" s="8"/>
      <c r="K69" s="7"/>
      <c r="L69" s="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8"/>
      <c r="G77" s="7"/>
      <c r="H77" s="8"/>
      <c r="I77" s="7"/>
      <c r="J77" s="8"/>
      <c r="K77" s="7"/>
      <c r="L77" s="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  <c r="AC80" s="1">
        <f>IF(U75="",0,IF(U75&gt;SUM(W75:AA80),U75-SUM(W75:AA80),0))</f>
        <v>0</v>
      </c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20"/>
      <c r="S106" s="121"/>
      <c r="T106" s="122"/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R107" s="120"/>
      <c r="S107" s="121"/>
      <c r="T107" s="122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R108" s="120"/>
      <c r="S108" s="121"/>
      <c r="T108" s="122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6"/>
      <c r="R109" s="120"/>
      <c r="S109" s="121"/>
      <c r="T109" s="122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R110" s="120"/>
      <c r="S110" s="121"/>
      <c r="T110" s="122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20"/>
      <c r="S111" s="121"/>
      <c r="T111" s="122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75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9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18"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  <mergeCell ref="U5:AA5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AA98:AA103"/>
    <mergeCell ref="R101:R103"/>
    <mergeCell ref="I103:J103"/>
    <mergeCell ref="O103:P103"/>
    <mergeCell ref="B106:B111"/>
    <mergeCell ref="F106:G106"/>
    <mergeCell ref="L106:M106"/>
    <mergeCell ref="U98:U103"/>
    <mergeCell ref="V98:V103"/>
    <mergeCell ref="W98:W103"/>
    <mergeCell ref="X98:X103"/>
    <mergeCell ref="Y98:Y103"/>
    <mergeCell ref="Z98:Z103"/>
    <mergeCell ref="AA106:AA111"/>
    <mergeCell ref="I111:J111"/>
    <mergeCell ref="O111:P111"/>
    <mergeCell ref="Y106:Y111"/>
    <mergeCell ref="Z106:Z111"/>
    <mergeCell ref="B98:B103"/>
    <mergeCell ref="F98:G98"/>
    <mergeCell ref="L98:M98"/>
    <mergeCell ref="R98:R100"/>
    <mergeCell ref="S98:S103"/>
    <mergeCell ref="T98:T100"/>
    <mergeCell ref="B113:F114"/>
    <mergeCell ref="H114:J114"/>
    <mergeCell ref="K114:L114"/>
    <mergeCell ref="R114:S114"/>
    <mergeCell ref="R106:T111"/>
    <mergeCell ref="U106:U111"/>
    <mergeCell ref="V106:V111"/>
    <mergeCell ref="W106:W111"/>
    <mergeCell ref="X106:X111"/>
  </mergeCells>
  <phoneticPr fontId="2"/>
  <conditionalFormatting sqref="S10:S15 S18:S23 S26:S31 S34:S39 S42:S47 S50:S55 S58:S63 S66:S71 S74:S79 S82:S87 S90:S95 S98:S103">
    <cfRule type="cellIs" dxfId="11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C114"/>
  <sheetViews>
    <sheetView showGridLines="0" view="pageBreakPreview" topLeftCell="A52" zoomScaleNormal="123" zoomScaleSheetLayoutView="100" workbookViewId="0">
      <selection activeCell="Y26" sqref="Y26:Y31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100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F11" s="2"/>
      <c r="G11" s="3"/>
      <c r="H11" s="2"/>
      <c r="K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5"/>
      <c r="H12" s="55"/>
      <c r="I12" s="3"/>
      <c r="K12" s="69"/>
      <c r="L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6"/>
      <c r="K13" s="64"/>
      <c r="L13" s="6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K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55"/>
      <c r="G20" s="3"/>
      <c r="H20" s="55"/>
      <c r="I20" s="3"/>
      <c r="K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8"/>
      <c r="K21" s="64"/>
      <c r="L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H27" s="2"/>
      <c r="K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4"/>
      <c r="F28" s="55"/>
      <c r="G28" s="3"/>
      <c r="H28" s="2"/>
      <c r="I28" s="3"/>
      <c r="K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H35" s="2"/>
      <c r="K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4"/>
      <c r="F36" s="55"/>
      <c r="G36" s="3"/>
      <c r="H36" s="2"/>
      <c r="K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H43" s="2"/>
      <c r="K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4"/>
      <c r="F44" s="55"/>
      <c r="G44" s="3"/>
      <c r="H44" s="2"/>
      <c r="K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I52" s="3"/>
      <c r="K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6"/>
      <c r="I53" s="7"/>
      <c r="J53" s="6"/>
      <c r="K53" s="7"/>
      <c r="L53" s="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6"/>
      <c r="I61" s="7"/>
      <c r="J61" s="8"/>
      <c r="K61" s="7"/>
      <c r="L61" s="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8"/>
      <c r="G69" s="7"/>
      <c r="H69" s="8"/>
      <c r="I69" s="7"/>
      <c r="J69" s="8"/>
      <c r="K69" s="7"/>
      <c r="L69" s="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8"/>
      <c r="G77" s="7"/>
      <c r="H77" s="8"/>
      <c r="I77" s="7"/>
      <c r="J77" s="8"/>
      <c r="K77" s="7"/>
      <c r="L77" s="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/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20"/>
      <c r="S106" s="121"/>
      <c r="T106" s="122"/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R107" s="120"/>
      <c r="S107" s="121"/>
      <c r="T107" s="122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R108" s="120"/>
      <c r="S108" s="121"/>
      <c r="T108" s="122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6"/>
      <c r="R109" s="120"/>
      <c r="S109" s="121"/>
      <c r="T109" s="122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R110" s="120"/>
      <c r="S110" s="121"/>
      <c r="T110" s="122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20"/>
      <c r="S111" s="121"/>
      <c r="T111" s="122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100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17"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AA98:AA103"/>
    <mergeCell ref="R101:R103"/>
    <mergeCell ref="I103:J103"/>
    <mergeCell ref="O103:P103"/>
    <mergeCell ref="B106:B111"/>
    <mergeCell ref="F106:G106"/>
    <mergeCell ref="L106:M106"/>
    <mergeCell ref="R106:T111"/>
    <mergeCell ref="U106:U111"/>
    <mergeCell ref="V106:V111"/>
    <mergeCell ref="U98:U103"/>
    <mergeCell ref="V98:V103"/>
    <mergeCell ref="W98:W103"/>
    <mergeCell ref="X98:X103"/>
    <mergeCell ref="Y98:Y103"/>
    <mergeCell ref="Z98:Z103"/>
    <mergeCell ref="B98:B103"/>
    <mergeCell ref="F98:G98"/>
    <mergeCell ref="L98:M98"/>
    <mergeCell ref="R98:R100"/>
    <mergeCell ref="S98:S103"/>
    <mergeCell ref="T98:T100"/>
    <mergeCell ref="B113:F114"/>
    <mergeCell ref="H114:J114"/>
    <mergeCell ref="K114:L114"/>
    <mergeCell ref="R114:S114"/>
    <mergeCell ref="W106:W111"/>
    <mergeCell ref="X106:X111"/>
    <mergeCell ref="Y106:Y111"/>
    <mergeCell ref="Z106:Z111"/>
    <mergeCell ref="AA106:AA111"/>
    <mergeCell ref="I111:J111"/>
    <mergeCell ref="O111:P111"/>
  </mergeCells>
  <phoneticPr fontId="2"/>
  <conditionalFormatting sqref="S10:S15 S18:S23 S26:S31 S34:S39 S42:S47 S50:S55 S58:S63 S66:S71 S74:S79 S82:S87 S90:S95 S98:S103">
    <cfRule type="cellIs" dxfId="10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9" tint="-0.249977111117893"/>
  </sheetPr>
  <dimension ref="B1:AC114"/>
  <sheetViews>
    <sheetView showGridLines="0" view="pageBreakPreview" zoomScaleNormal="123" zoomScaleSheetLayoutView="100" workbookViewId="0">
      <selection activeCell="U8" sqref="U8:X8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150</v>
      </c>
      <c r="Z2" s="84"/>
      <c r="AA2" s="2"/>
      <c r="AC2" s="1">
        <f>IF(AC1=4,0,IF(Y2&lt;=250,5,0))</f>
        <v>5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M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5"/>
      <c r="H12" s="55"/>
      <c r="I12" s="4"/>
      <c r="J12" s="4"/>
      <c r="K12" s="5"/>
      <c r="L12" s="67"/>
      <c r="M12" s="69"/>
      <c r="N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3"/>
      <c r="H13" s="2"/>
      <c r="I13" s="3"/>
      <c r="J13" s="2"/>
      <c r="K13" s="3"/>
      <c r="L13" s="66"/>
      <c r="M13" s="64"/>
      <c r="N13" s="6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J14" s="2"/>
      <c r="K14" s="3"/>
      <c r="M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M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55"/>
      <c r="G20" s="5"/>
      <c r="H20" s="68"/>
      <c r="I20" s="67"/>
      <c r="J20" s="67"/>
      <c r="K20" s="5"/>
      <c r="L20" s="67"/>
      <c r="M20" s="69"/>
      <c r="N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G21" s="3"/>
      <c r="H21" s="65"/>
      <c r="I21" s="64"/>
      <c r="J21" s="65"/>
      <c r="K21" s="3"/>
      <c r="L21" s="66"/>
      <c r="M21" s="64"/>
      <c r="N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G22" s="3"/>
      <c r="H22" s="2"/>
      <c r="J22" s="2"/>
      <c r="K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M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4"/>
      <c r="F28" s="4"/>
      <c r="G28" s="5"/>
      <c r="H28" s="55"/>
      <c r="I28" s="4"/>
      <c r="J28" s="4"/>
      <c r="K28" s="5"/>
      <c r="L28" s="4"/>
      <c r="M28" s="5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G29" s="3"/>
      <c r="H29" s="2"/>
      <c r="I29" s="3"/>
      <c r="J29" s="2"/>
      <c r="K29" s="3"/>
      <c r="L29" s="6"/>
      <c r="M29" s="7"/>
      <c r="N29" s="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J30" s="2"/>
      <c r="K30" s="3"/>
      <c r="M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M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4"/>
      <c r="F36" s="4"/>
      <c r="G36" s="5"/>
      <c r="H36" s="55"/>
      <c r="I36" s="4"/>
      <c r="J36" s="4"/>
      <c r="K36" s="5"/>
      <c r="L36" s="55"/>
      <c r="M36" s="5"/>
      <c r="N36" s="4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2"/>
      <c r="K37" s="3"/>
      <c r="M37" s="3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M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M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M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6"/>
      <c r="M45" s="7"/>
      <c r="N45" s="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M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K51" s="3"/>
      <c r="M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4"/>
      <c r="F52" s="4"/>
      <c r="G52" s="5"/>
      <c r="H52" s="4"/>
      <c r="I52" s="5"/>
      <c r="J52" s="4"/>
      <c r="K52" s="5"/>
      <c r="L52" s="4"/>
      <c r="M52" s="5"/>
      <c r="N52" s="4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G53" s="3"/>
      <c r="I53" s="3"/>
      <c r="K53" s="3"/>
      <c r="M53" s="3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K54" s="3"/>
      <c r="M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M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M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6"/>
      <c r="I61" s="7"/>
      <c r="J61" s="8"/>
      <c r="K61" s="7"/>
      <c r="L61" s="6"/>
      <c r="M61" s="7"/>
      <c r="N61" s="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M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M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4"/>
      <c r="F68" s="4"/>
      <c r="G68" s="5"/>
      <c r="H68" s="55"/>
      <c r="I68" s="4"/>
      <c r="J68" s="4"/>
      <c r="K68" s="5"/>
      <c r="L68" s="4"/>
      <c r="M68" s="5"/>
      <c r="N68" s="4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F69" s="2"/>
      <c r="G69" s="3"/>
      <c r="H69" s="2"/>
      <c r="I69" s="3"/>
      <c r="J69" s="2"/>
      <c r="K69" s="3"/>
      <c r="M69" s="3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M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M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M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8"/>
      <c r="G77" s="7"/>
      <c r="H77" s="8"/>
      <c r="I77" s="7"/>
      <c r="J77" s="8"/>
      <c r="K77" s="7"/>
      <c r="L77" s="6"/>
      <c r="M77" s="7"/>
      <c r="N77" s="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M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M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E84" s="4"/>
      <c r="F84" s="4"/>
      <c r="G84" s="5"/>
      <c r="H84" s="55"/>
      <c r="I84" s="4"/>
      <c r="J84" s="4"/>
      <c r="K84" s="5"/>
      <c r="L84" s="4"/>
      <c r="M84" s="5"/>
      <c r="N84" s="4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G85" s="3"/>
      <c r="H85" s="2"/>
      <c r="I85" s="3"/>
      <c r="J85" s="2"/>
      <c r="K85" s="3"/>
      <c r="M85" s="3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M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M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M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6"/>
      <c r="M93" s="7"/>
      <c r="N93" s="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M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124"/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124"/>
      <c r="C99" s="3"/>
      <c r="G99" s="3"/>
      <c r="H99" s="2"/>
      <c r="K99" s="3"/>
      <c r="M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124"/>
      <c r="C100" s="3"/>
      <c r="E100" s="4"/>
      <c r="F100" s="4"/>
      <c r="G100" s="5"/>
      <c r="H100" s="55"/>
      <c r="I100" s="4"/>
      <c r="J100" s="4"/>
      <c r="K100" s="5"/>
      <c r="L100" s="4"/>
      <c r="M100" s="5"/>
      <c r="N100" s="4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124"/>
      <c r="C101" s="3"/>
      <c r="G101" s="3"/>
      <c r="H101" s="2"/>
      <c r="I101" s="3"/>
      <c r="J101" s="2"/>
      <c r="K101" s="3"/>
      <c r="M101" s="3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124"/>
      <c r="C102" s="3"/>
      <c r="F102" s="2"/>
      <c r="G102" s="3"/>
      <c r="H102" s="2"/>
      <c r="K102" s="3"/>
      <c r="M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124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M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E108" s="4"/>
      <c r="F108" s="4"/>
      <c r="G108" s="5"/>
      <c r="H108" s="55"/>
      <c r="I108" s="4"/>
      <c r="J108" s="4"/>
      <c r="K108" s="5"/>
      <c r="L108" s="4"/>
      <c r="M108" s="5"/>
      <c r="N108" s="4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G109" s="3"/>
      <c r="H109" s="2"/>
      <c r="I109" s="3"/>
      <c r="J109" s="2"/>
      <c r="K109" s="3"/>
      <c r="M109" s="3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M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150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U98:U103"/>
    <mergeCell ref="V98:V103"/>
    <mergeCell ref="AA106:AA111"/>
    <mergeCell ref="R109:R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W106:W111"/>
    <mergeCell ref="X106:X111"/>
    <mergeCell ref="Y98:Y103"/>
    <mergeCell ref="Z98:Z103"/>
    <mergeCell ref="Y106:Y111"/>
    <mergeCell ref="Z106:Z111"/>
    <mergeCell ref="AA98:AA103"/>
    <mergeCell ref="R101:R103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I111:J111"/>
    <mergeCell ref="O111:P111"/>
    <mergeCell ref="S106:S111"/>
    <mergeCell ref="T106:T108"/>
  </mergeCells>
  <phoneticPr fontId="2"/>
  <conditionalFormatting sqref="S10:S15 S18:S23 S26:S31 S34:S39 S42:S47 S50:S55 S58:S63 S66:S71 S74:S79 S82:S87 S90:S95 S98:S103 S106:S111">
    <cfRule type="cellIs" dxfId="9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cellComments="asDisplayed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</sheetPr>
  <dimension ref="B1:AC114"/>
  <sheetViews>
    <sheetView showGridLines="0" view="pageBreakPreview" zoomScale="115" zoomScaleNormal="123" zoomScaleSheetLayoutView="115" workbookViewId="0">
      <selection activeCell="O15" sqref="O15:P15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36</v>
      </c>
      <c r="V2" s="84"/>
      <c r="W2" s="2"/>
      <c r="X2" s="12"/>
      <c r="Y2" s="84">
        <v>300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  <c r="U5" s="1" t="s">
        <v>37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>
        <v>1</v>
      </c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I11" s="3"/>
      <c r="K11" s="3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/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E60" s="67"/>
      <c r="F60" s="67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F67" s="2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E68" s="67"/>
      <c r="F68" s="67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 t="str">
        <f>IF(S106="","",IF(B98="","",1+B98))</f>
        <v/>
      </c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I107" s="3"/>
      <c r="J107" s="2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I108" s="3"/>
      <c r="J108" s="2"/>
      <c r="K108" s="3"/>
      <c r="L108" s="2"/>
      <c r="M108" s="3"/>
      <c r="O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I110" s="3"/>
      <c r="J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GX</v>
      </c>
      <c r="H114" s="111">
        <f>Y2</f>
        <v>300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1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W106:W111"/>
    <mergeCell ref="X106:X111"/>
    <mergeCell ref="I111:J111"/>
    <mergeCell ref="O111:P111"/>
    <mergeCell ref="Y98:Y103"/>
    <mergeCell ref="Z98:Z103"/>
    <mergeCell ref="Y106:Y111"/>
    <mergeCell ref="Z106:Z111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</mergeCells>
  <phoneticPr fontId="2"/>
  <conditionalFormatting sqref="S10:S15 S18:S23 S26:S31 S34:S39 S42:S47 S50:S55 S58:S63 S66:S71 S74:S79 S82:S87 S98:S103 S106:S111">
    <cfRule type="cellIs" dxfId="8" priority="2" stopIfTrue="1" operator="equal">
      <formula>"入力ｴﾗｰ"</formula>
    </cfRule>
  </conditionalFormatting>
  <conditionalFormatting sqref="S90:S95">
    <cfRule type="cellIs" dxfId="7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1" tint="0.499984740745262"/>
  </sheetPr>
  <dimension ref="B1:AC114"/>
  <sheetViews>
    <sheetView showGridLines="0" view="pageBreakPreview" zoomScale="85" zoomScaleNormal="123" zoomScaleSheetLayoutView="85" workbookViewId="0">
      <selection activeCell="U8" sqref="U8:X8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'白紙(5m)'!C1:Q1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30</v>
      </c>
      <c r="V2" s="84"/>
      <c r="W2" s="2"/>
      <c r="X2" s="12"/>
      <c r="Y2" s="84">
        <v>150</v>
      </c>
      <c r="Z2" s="84"/>
      <c r="AA2" s="2"/>
      <c r="AC2" s="1">
        <f>IF(AC1=4,0,IF(Y2&lt;=200,5,0))</f>
        <v>5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IF(Y2&gt;200,6,0)</f>
        <v>0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H11" s="2"/>
      <c r="K11" s="3"/>
      <c r="L11" s="2"/>
      <c r="M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4"/>
      <c r="F12" s="55"/>
      <c r="G12" s="3"/>
      <c r="H12" s="2"/>
      <c r="K12" s="3"/>
      <c r="L12" s="2"/>
      <c r="M12" s="5"/>
      <c r="N12" s="4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"/>
      <c r="F13" s="8"/>
      <c r="G13" s="7"/>
      <c r="H13" s="8"/>
      <c r="I13" s="7"/>
      <c r="J13" s="8"/>
      <c r="K13" s="7"/>
      <c r="L13" s="8"/>
      <c r="M13" s="7"/>
      <c r="N13" s="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L14" s="2"/>
      <c r="M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H19" s="2"/>
      <c r="K19" s="3"/>
      <c r="L19" s="2"/>
      <c r="M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E20" s="4"/>
      <c r="F20" s="55"/>
      <c r="G20" s="3"/>
      <c r="H20" s="2"/>
      <c r="K20" s="3"/>
      <c r="L20" s="2"/>
      <c r="M20" s="5"/>
      <c r="N20" s="4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8"/>
      <c r="G21" s="7"/>
      <c r="H21" s="8"/>
      <c r="I21" s="7"/>
      <c r="J21" s="8"/>
      <c r="K21" s="7"/>
      <c r="L21" s="8"/>
      <c r="M21" s="7"/>
      <c r="N21" s="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H22" s="2"/>
      <c r="K22" s="3"/>
      <c r="L22" s="2"/>
      <c r="M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Q26" s="2"/>
      <c r="R26" s="105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H27" s="2"/>
      <c r="K27" s="3"/>
      <c r="L27" s="2"/>
      <c r="M27" s="3"/>
      <c r="Q27" s="2"/>
      <c r="R27" s="105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E28" s="4"/>
      <c r="F28" s="55"/>
      <c r="G28" s="3"/>
      <c r="H28" s="2"/>
      <c r="K28" s="3"/>
      <c r="L28" s="2"/>
      <c r="M28" s="5"/>
      <c r="N28" s="4"/>
      <c r="Q28" s="2"/>
      <c r="R28" s="105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9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H30" s="2"/>
      <c r="K30" s="3"/>
      <c r="L30" s="2"/>
      <c r="M30" s="3"/>
      <c r="Q30" s="2"/>
      <c r="R30" s="9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24" t="str">
        <f>IF(O31="","",IF(O31=0,"","m"))</f>
        <v/>
      </c>
      <c r="R31" s="9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Q34" s="2"/>
      <c r="R34" s="105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H35" s="2"/>
      <c r="K35" s="3"/>
      <c r="L35" s="2"/>
      <c r="M35" s="3"/>
      <c r="Q35" s="2"/>
      <c r="R35" s="105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H36" s="2"/>
      <c r="K36" s="3"/>
      <c r="L36" s="2"/>
      <c r="M36" s="5"/>
      <c r="N36" s="4"/>
      <c r="Q36" s="2"/>
      <c r="R36" s="105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9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H38" s="2"/>
      <c r="K38" s="3"/>
      <c r="L38" s="2"/>
      <c r="M38" s="3"/>
      <c r="Q38" s="2"/>
      <c r="R38" s="9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24" t="str">
        <f>IF(O39="","",IF(O39=0,"","m"))</f>
        <v/>
      </c>
      <c r="R39" s="9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Q42" s="2"/>
      <c r="R42" s="105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Q43" s="2"/>
      <c r="R43" s="105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H44" s="2"/>
      <c r="K44" s="3"/>
      <c r="L44" s="2"/>
      <c r="M44" s="5"/>
      <c r="N44" s="4"/>
      <c r="Q44" s="2"/>
      <c r="R44" s="105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9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H46" s="2"/>
      <c r="K46" s="3"/>
      <c r="L46" s="2"/>
      <c r="M46" s="3"/>
      <c r="Q46" s="2"/>
      <c r="R46" s="9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24" t="str">
        <f>IF(O47="","",IF(O47=0,"","m"))</f>
        <v/>
      </c>
      <c r="R47" s="9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Q50" s="2"/>
      <c r="R50" s="105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K51" s="3"/>
      <c r="L51" s="2"/>
      <c r="M51" s="3"/>
      <c r="Q51" s="2"/>
      <c r="R51" s="105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H52" s="2"/>
      <c r="K52" s="3"/>
      <c r="L52" s="2"/>
      <c r="M52" s="5"/>
      <c r="N52" s="4"/>
      <c r="Q52" s="2"/>
      <c r="R52" s="105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9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H54" s="2"/>
      <c r="K54" s="3"/>
      <c r="L54" s="2"/>
      <c r="M54" s="3"/>
      <c r="Q54" s="2"/>
      <c r="R54" s="9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24" t="str">
        <f>IF(O55="","",IF(O55=0,"","m"))</f>
        <v/>
      </c>
      <c r="R55" s="9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Q58" s="2"/>
      <c r="R58" s="105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H59" s="2"/>
      <c r="K59" s="3"/>
      <c r="L59" s="2"/>
      <c r="M59" s="3"/>
      <c r="Q59" s="2"/>
      <c r="R59" s="105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H60" s="2"/>
      <c r="K60" s="3"/>
      <c r="L60" s="2"/>
      <c r="M60" s="5"/>
      <c r="N60" s="4"/>
      <c r="Q60" s="2"/>
      <c r="R60" s="105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9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H62" s="2"/>
      <c r="K62" s="3"/>
      <c r="L62" s="2"/>
      <c r="M62" s="3"/>
      <c r="Q62" s="2"/>
      <c r="R62" s="9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/>
      <c r="N63" s="13" t="str">
        <f>IF(O63="","",IF(O63=0,"","L="))</f>
        <v/>
      </c>
      <c r="O63" s="86"/>
      <c r="P63" s="86"/>
      <c r="Q63" s="24" t="str">
        <f>IF(O63="","",IF(O63=0,"","m"))</f>
        <v/>
      </c>
      <c r="R63" s="9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/>
      <c r="K66" s="13" t="str">
        <f>IF(L66="","",IF(L66=0,"","L="))</f>
        <v/>
      </c>
      <c r="L66" s="86"/>
      <c r="M66" s="86"/>
      <c r="N66" s="14" t="str">
        <f>IF(L66="","",IF(L66=0,"","m"))</f>
        <v/>
      </c>
      <c r="Q66" s="2"/>
      <c r="R66" s="105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Q67" s="2"/>
      <c r="R67" s="105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H68" s="2"/>
      <c r="K68" s="3"/>
      <c r="L68" s="2"/>
      <c r="M68" s="5"/>
      <c r="N68" s="4"/>
      <c r="Q68" s="2"/>
      <c r="R68" s="105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9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H70" s="2"/>
      <c r="K70" s="3"/>
      <c r="L70" s="2"/>
      <c r="M70" s="3"/>
      <c r="Q70" s="2"/>
      <c r="R70" s="9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/>
      <c r="N71" s="13" t="str">
        <f>IF(O71="","",IF(O71=0,"","L="))</f>
        <v/>
      </c>
      <c r="O71" s="86"/>
      <c r="P71" s="86"/>
      <c r="Q71" s="24" t="str">
        <f>IF(O71="","",IF(O71=0,"","m"))</f>
        <v/>
      </c>
      <c r="R71" s="9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/>
      <c r="K74" s="13" t="str">
        <f>IF(L74="","",IF(L74=0,"","L="))</f>
        <v/>
      </c>
      <c r="L74" s="86"/>
      <c r="M74" s="86"/>
      <c r="N74" s="14" t="str">
        <f>IF(L74="","",IF(L74=0,"","m"))</f>
        <v/>
      </c>
      <c r="Q74" s="2"/>
      <c r="R74" s="105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Q75" s="2"/>
      <c r="R75" s="105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H76" s="2"/>
      <c r="K76" s="3"/>
      <c r="L76" s="2"/>
      <c r="M76" s="5"/>
      <c r="N76" s="4"/>
      <c r="Q76" s="2"/>
      <c r="R76" s="105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9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H78" s="2"/>
      <c r="J78" s="2"/>
      <c r="K78" s="3"/>
      <c r="L78" s="2"/>
      <c r="M78" s="3"/>
      <c r="Q78" s="2"/>
      <c r="R78" s="9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/>
      <c r="N79" s="13" t="str">
        <f>IF(O79="","",IF(O79=0,"","L="))</f>
        <v/>
      </c>
      <c r="O79" s="86"/>
      <c r="P79" s="86"/>
      <c r="Q79" s="24" t="str">
        <f>IF(O79="","",IF(O79=0,"","m"))</f>
        <v/>
      </c>
      <c r="R79" s="9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/>
      <c r="K82" s="13" t="str">
        <f>IF(L82="","",IF(L82=0,"","L="))</f>
        <v/>
      </c>
      <c r="L82" s="86"/>
      <c r="M82" s="86"/>
      <c r="N82" s="14" t="str">
        <f>IF(L82="","",IF(L82=0,"","m"))</f>
        <v/>
      </c>
      <c r="Q82" s="2"/>
      <c r="R82" s="105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L83" s="2"/>
      <c r="M83" s="3"/>
      <c r="Q83" s="2"/>
      <c r="R83" s="105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H84" s="2"/>
      <c r="K84" s="3"/>
      <c r="L84" s="2"/>
      <c r="M84" s="5"/>
      <c r="N84" s="4"/>
      <c r="Q84" s="2"/>
      <c r="R84" s="105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9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H86" s="2"/>
      <c r="K86" s="3"/>
      <c r="L86" s="2"/>
      <c r="M86" s="3"/>
      <c r="Q86" s="2"/>
      <c r="R86" s="9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/>
      <c r="N87" s="13" t="str">
        <f>IF(O87="","",IF(O87=0,"","L="))</f>
        <v/>
      </c>
      <c r="O87" s="86"/>
      <c r="P87" s="86"/>
      <c r="Q87" s="24" t="str">
        <f>IF(O87="","",IF(O87=0,"","m"))</f>
        <v/>
      </c>
      <c r="R87" s="9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/>
      <c r="K90" s="13" t="str">
        <f>IF(L90="","",IF(L90=0,"","L="))</f>
        <v/>
      </c>
      <c r="L90" s="86"/>
      <c r="M90" s="86"/>
      <c r="N90" s="14" t="str">
        <f>IF(L90="","",IF(L90=0,"","m"))</f>
        <v/>
      </c>
      <c r="Q90" s="2"/>
      <c r="R90" s="105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Q91" s="2"/>
      <c r="R91" s="105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H92" s="2"/>
      <c r="K92" s="3"/>
      <c r="L92" s="2"/>
      <c r="M92" s="5"/>
      <c r="N92" s="4"/>
      <c r="Q92" s="2"/>
      <c r="R92" s="105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9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H94" s="2"/>
      <c r="K94" s="3"/>
      <c r="L94" s="2"/>
      <c r="M94" s="3"/>
      <c r="Q94" s="2"/>
      <c r="R94" s="9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/>
      <c r="N95" s="13" t="str">
        <f>IF(O95="","",IF(O95=0,"","L="))</f>
        <v/>
      </c>
      <c r="O95" s="86"/>
      <c r="P95" s="86"/>
      <c r="Q95" s="24" t="str">
        <f>IF(O95="","",IF(O95=0,"","m"))</f>
        <v/>
      </c>
      <c r="R95" s="9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/>
      <c r="K98" s="13" t="str">
        <f>IF(L98="","",IF(L98=0,"","L="))</f>
        <v/>
      </c>
      <c r="L98" s="86"/>
      <c r="M98" s="86"/>
      <c r="N98" s="14" t="str">
        <f>IF(L98="","",IF(L98=0,"","m"))</f>
        <v/>
      </c>
      <c r="Q98" s="2"/>
      <c r="R98" s="105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Q99" s="2"/>
      <c r="R99" s="105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H100" s="2"/>
      <c r="K100" s="3"/>
      <c r="L100" s="2"/>
      <c r="M100" s="5"/>
      <c r="N100" s="4"/>
      <c r="Q100" s="2"/>
      <c r="R100" s="105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9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H102" s="2"/>
      <c r="K102" s="3"/>
      <c r="L102" s="2"/>
      <c r="M102" s="3"/>
      <c r="Q102" s="2"/>
      <c r="R102" s="9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/>
      <c r="N103" s="13" t="str">
        <f>IF(O103="","",IF(O103=0,"","L="))</f>
        <v/>
      </c>
      <c r="O103" s="86"/>
      <c r="P103" s="86"/>
      <c r="Q103" s="24" t="str">
        <f>IF(O103="","",IF(O103=0,"","m"))</f>
        <v/>
      </c>
      <c r="R103" s="9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/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Q106" s="2"/>
      <c r="R106" s="105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L107" s="2"/>
      <c r="M107" s="3"/>
      <c r="Q107" s="2"/>
      <c r="R107" s="105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H108" s="2"/>
      <c r="K108" s="3"/>
      <c r="L108" s="2"/>
      <c r="M108" s="5"/>
      <c r="N108" s="4"/>
      <c r="Q108" s="2"/>
      <c r="R108" s="105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9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H110" s="2"/>
      <c r="K110" s="3"/>
      <c r="L110" s="2"/>
      <c r="M110" s="3"/>
      <c r="Q110" s="2"/>
      <c r="R110" s="9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/>
      <c r="N111" s="13" t="str">
        <f>IF(O111="","",IF(O111=0,"","L="))</f>
        <v/>
      </c>
      <c r="O111" s="86"/>
      <c r="P111" s="86"/>
      <c r="Q111" s="24" t="str">
        <f>IF(O111="","",IF(O111=0,"","m"))</f>
        <v/>
      </c>
      <c r="R111" s="9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T</v>
      </c>
      <c r="H114" s="111">
        <f>Y2</f>
        <v>150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S106:S111"/>
    <mergeCell ref="T106:T108"/>
    <mergeCell ref="R109:R111"/>
    <mergeCell ref="AA98:AA103"/>
    <mergeCell ref="R101:R103"/>
    <mergeCell ref="U98:U103"/>
    <mergeCell ref="V98:V103"/>
    <mergeCell ref="AA106:AA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</mergeCells>
  <phoneticPr fontId="2"/>
  <conditionalFormatting sqref="S10:S15 S18:S23 S26:S31 S34:S39 S42:S47 S50:S55 S58:S63 S66:S71 S74:S79 S82:S87 S90:S95 S98:S103">
    <cfRule type="cellIs" dxfId="6" priority="2" stopIfTrue="1" operator="equal">
      <formula>"入力ｴﾗｰ"</formula>
    </cfRule>
  </conditionalFormatting>
  <conditionalFormatting sqref="S106:S111">
    <cfRule type="cellIs" dxfId="5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B1:AC114"/>
  <sheetViews>
    <sheetView showGridLines="0" view="pageBreakPreview" topLeftCell="A55" zoomScaleNormal="123" zoomScaleSheetLayoutView="100" workbookViewId="0">
      <selection activeCell="W17" sqref="W17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2" t="str">
        <f>'白紙(5m)'!C1</f>
        <v>東白川特2高層配水池揚水管取替工事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31</v>
      </c>
      <c r="V2" s="84"/>
      <c r="W2" s="2"/>
      <c r="X2" s="12"/>
      <c r="Y2" s="84">
        <v>300</v>
      </c>
      <c r="Z2" s="84"/>
      <c r="AA2" s="2"/>
      <c r="AC2" s="1">
        <f>IF(AC1=4,0,IF(Y2&lt;=250,5,0))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IF(Y2&gt;250,6,0)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89" t="s">
        <v>2</v>
      </c>
      <c r="V7" s="91"/>
      <c r="W7" s="99" t="s">
        <v>4</v>
      </c>
      <c r="X7" s="99"/>
      <c r="Y7" s="99"/>
      <c r="Z7" s="99"/>
      <c r="AA7" s="100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74" t="s">
        <v>39</v>
      </c>
      <c r="V8" s="75" t="s">
        <v>35</v>
      </c>
      <c r="W8" s="70" t="s">
        <v>39</v>
      </c>
      <c r="X8" s="32" t="s">
        <v>6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15">
      <c r="B10" s="88" t="str">
        <f>IF(S10="","",1)</f>
        <v/>
      </c>
      <c r="C10" s="3"/>
      <c r="E10" s="13" t="str">
        <f>IF(F10="","",IF(F10=0,"","L="))</f>
        <v/>
      </c>
      <c r="F10" s="86"/>
      <c r="G10" s="86"/>
      <c r="H10" s="14" t="str">
        <f>IF(F10="","",IF(F10=0,"","m"))</f>
        <v/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Q10" s="2"/>
      <c r="R10" s="105" t="str">
        <f>IF(OR(S10="入力ｴﾗｰ",S10=0,S10="")=TRUE,"",IF(F10="","甲",IF(F10=0,"甲","")))</f>
        <v/>
      </c>
      <c r="S10" s="80" t="str">
        <f>IF((F10+I15+L10+O15)=0,"",IF((F10+I15+L10+O15)&gt;SUM($AC$1:$AC$3),"入力ｴﾗｰ",SUM($AC$1:$AC$3)-(F10+I15+L10+O15)))</f>
        <v/>
      </c>
      <c r="T10" s="81" t="str">
        <f>IF(S10="","",IF(S10="入力ｴﾗｰ","","m"))</f>
        <v/>
      </c>
      <c r="U10" s="103" t="str">
        <f>IF(B10="","",COUNT(F10,I15,L10,O15)-IF(S10=0,1,0)-V10)</f>
        <v/>
      </c>
      <c r="V10" s="104"/>
      <c r="W10" s="102"/>
      <c r="X10" s="97"/>
      <c r="Y10" s="97"/>
      <c r="Z10" s="98"/>
      <c r="AA10" s="95"/>
    </row>
    <row r="11" spans="2:29" ht="3" customHeight="1" x14ac:dyDescent="0.15">
      <c r="B11" s="88"/>
      <c r="C11" s="3"/>
      <c r="G11" s="3"/>
      <c r="I11" s="3"/>
      <c r="J11" s="2"/>
      <c r="K11" s="3"/>
      <c r="L11" s="2"/>
      <c r="M11" s="3"/>
      <c r="O11" s="3"/>
      <c r="Q11" s="2"/>
      <c r="R11" s="105"/>
      <c r="S11" s="80"/>
      <c r="T11" s="81"/>
      <c r="U11" s="103"/>
      <c r="V11" s="104"/>
      <c r="W11" s="102"/>
      <c r="X11" s="97"/>
      <c r="Y11" s="97"/>
      <c r="Z11" s="98"/>
      <c r="AA11" s="95"/>
    </row>
    <row r="12" spans="2:29" ht="3" customHeight="1" x14ac:dyDescent="0.15">
      <c r="B12" s="88"/>
      <c r="C12" s="3"/>
      <c r="E12" s="67"/>
      <c r="F12" s="68"/>
      <c r="G12" s="3"/>
      <c r="I12" s="3"/>
      <c r="J12" s="2"/>
      <c r="K12" s="3"/>
      <c r="L12" s="2"/>
      <c r="M12" s="69"/>
      <c r="N12" s="67"/>
      <c r="O12" s="69"/>
      <c r="P12" s="67"/>
      <c r="Q12" s="2"/>
      <c r="R12" s="105"/>
      <c r="S12" s="80"/>
      <c r="T12" s="81"/>
      <c r="U12" s="103"/>
      <c r="V12" s="104"/>
      <c r="W12" s="102"/>
      <c r="X12" s="97"/>
      <c r="Y12" s="97"/>
      <c r="Z12" s="98"/>
      <c r="AA12" s="95"/>
    </row>
    <row r="13" spans="2:29" ht="3" customHeight="1" x14ac:dyDescent="0.15">
      <c r="B13" s="88"/>
      <c r="C13" s="3"/>
      <c r="E13" s="66"/>
      <c r="F13" s="65"/>
      <c r="G13" s="64"/>
      <c r="H13" s="66"/>
      <c r="I13" s="64"/>
      <c r="J13" s="65"/>
      <c r="K13" s="64"/>
      <c r="L13" s="65"/>
      <c r="M13" s="64"/>
      <c r="N13" s="66"/>
      <c r="O13" s="64"/>
      <c r="P13" s="66"/>
      <c r="Q13" s="2"/>
      <c r="R13" s="96" t="str">
        <f>IF(R10="甲","",IF(OR(S10=0,S10="")=TRUE,"",IF(S10="入力ｴﾗｰ","","乙")))</f>
        <v/>
      </c>
      <c r="S13" s="80"/>
      <c r="U13" s="103"/>
      <c r="V13" s="104"/>
      <c r="W13" s="102"/>
      <c r="X13" s="97"/>
      <c r="Y13" s="97"/>
      <c r="Z13" s="98"/>
      <c r="AA13" s="95"/>
    </row>
    <row r="14" spans="2:29" ht="3" customHeight="1" x14ac:dyDescent="0.15">
      <c r="B14" s="88"/>
      <c r="C14" s="3"/>
      <c r="F14" s="2"/>
      <c r="G14" s="3"/>
      <c r="I14" s="3"/>
      <c r="J14" s="2"/>
      <c r="K14" s="3"/>
      <c r="L14" s="2"/>
      <c r="M14" s="3"/>
      <c r="O14" s="3"/>
      <c r="Q14" s="2"/>
      <c r="R14" s="96"/>
      <c r="S14" s="80"/>
      <c r="U14" s="103"/>
      <c r="V14" s="104"/>
      <c r="W14" s="102"/>
      <c r="X14" s="97"/>
      <c r="Y14" s="97"/>
      <c r="Z14" s="98"/>
      <c r="AA14" s="95"/>
    </row>
    <row r="15" spans="2:29" ht="15" customHeight="1" x14ac:dyDescent="0.15">
      <c r="B15" s="88"/>
      <c r="C15" s="3"/>
      <c r="G15" s="18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/>
      </c>
      <c r="O15" s="86"/>
      <c r="P15" s="86"/>
      <c r="Q15" s="24" t="str">
        <f>IF(O15="","",IF(O15=0,"","m"))</f>
        <v/>
      </c>
      <c r="R15" s="96"/>
      <c r="S15" s="80"/>
      <c r="U15" s="103"/>
      <c r="V15" s="104"/>
      <c r="W15" s="102"/>
      <c r="X15" s="97"/>
      <c r="Y15" s="97"/>
      <c r="Z15" s="98"/>
      <c r="AA15" s="95"/>
      <c r="AC15" s="1">
        <f>IF(U10="",0,IF(U10&gt;SUM(W10:AA15),U10-SUM(W10:AA15),0))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15">
      <c r="B18" s="88" t="str">
        <f>IF(S18="","",IF(B10="","",1+B10))</f>
        <v/>
      </c>
      <c r="C18" s="3"/>
      <c r="E18" s="13" t="str">
        <f>IF(F18="","",IF(F18=0,"","L="))</f>
        <v/>
      </c>
      <c r="F18" s="86"/>
      <c r="G18" s="86"/>
      <c r="H18" s="14" t="str">
        <f>IF(F18="","",IF(F18=0,"","m"))</f>
        <v/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 t="str">
        <f>IF((F18+I23+L18+O23)=0,"",IF((F18+I23+L18+O23)&gt;SUM($AC$1:$AC$3),"入力ｴﾗｰ",SUM($AC$1:$AC$3)-(F18+I23+L18+O23)))</f>
        <v/>
      </c>
      <c r="T18" s="81" t="str">
        <f>IF(S18="","",IF(S18="入力ｴﾗｰ","","m"))</f>
        <v/>
      </c>
      <c r="U18" s="103" t="str">
        <f>IF(B18="","",COUNT(F18,I23,L18,O23)-IF(S18=0,1,0)-V18)</f>
        <v/>
      </c>
      <c r="V18" s="104"/>
      <c r="W18" s="102"/>
      <c r="X18" s="97"/>
      <c r="Y18" s="97"/>
      <c r="Z18" s="97"/>
      <c r="AA18" s="95"/>
    </row>
    <row r="19" spans="2:29" ht="3" customHeight="1" x14ac:dyDescent="0.15">
      <c r="B19" s="88"/>
      <c r="C19" s="3"/>
      <c r="G19" s="3"/>
      <c r="I19" s="3"/>
      <c r="J19" s="2"/>
      <c r="K19" s="3"/>
      <c r="L19" s="2"/>
      <c r="M19" s="3"/>
      <c r="O19" s="3"/>
      <c r="Q19" s="2"/>
      <c r="R19" s="105"/>
      <c r="S19" s="80"/>
      <c r="T19" s="81"/>
      <c r="U19" s="103"/>
      <c r="V19" s="104"/>
      <c r="W19" s="102"/>
      <c r="X19" s="97"/>
      <c r="Y19" s="97"/>
      <c r="Z19" s="97"/>
      <c r="AA19" s="95"/>
    </row>
    <row r="20" spans="2:29" ht="3" customHeight="1" x14ac:dyDescent="0.15">
      <c r="B20" s="88"/>
      <c r="C20" s="3"/>
      <c r="G20" s="3"/>
      <c r="I20" s="3"/>
      <c r="J20" s="2"/>
      <c r="K20" s="3"/>
      <c r="L20" s="2"/>
      <c r="M20" s="3"/>
      <c r="O20" s="3"/>
      <c r="Q20" s="2"/>
      <c r="R20" s="105"/>
      <c r="S20" s="80"/>
      <c r="T20" s="81"/>
      <c r="U20" s="103"/>
      <c r="V20" s="104"/>
      <c r="W20" s="102"/>
      <c r="X20" s="97"/>
      <c r="Y20" s="97"/>
      <c r="Z20" s="97"/>
      <c r="AA20" s="95"/>
    </row>
    <row r="21" spans="2:29" ht="3" customHeight="1" x14ac:dyDescent="0.15">
      <c r="B21" s="88"/>
      <c r="C21" s="3"/>
      <c r="E21" s="66"/>
      <c r="F21" s="65"/>
      <c r="G21" s="64"/>
      <c r="H21" s="66"/>
      <c r="I21" s="64"/>
      <c r="J21" s="65"/>
      <c r="K21" s="64"/>
      <c r="L21" s="65"/>
      <c r="M21" s="64"/>
      <c r="N21" s="66"/>
      <c r="O21" s="64"/>
      <c r="P21" s="66"/>
      <c r="Q21" s="2"/>
      <c r="R21" s="96" t="str">
        <f>IF(R18="甲","",IF(OR(S18=0,S18="")=TRUE,"",IF(S18="入力ｴﾗｰ","","乙")))</f>
        <v/>
      </c>
      <c r="S21" s="80"/>
      <c r="U21" s="103"/>
      <c r="V21" s="104"/>
      <c r="W21" s="102"/>
      <c r="X21" s="97"/>
      <c r="Y21" s="97"/>
      <c r="Z21" s="97"/>
      <c r="AA21" s="95"/>
    </row>
    <row r="22" spans="2:29" ht="3" customHeight="1" x14ac:dyDescent="0.15">
      <c r="B22" s="88"/>
      <c r="C22" s="3"/>
      <c r="F22" s="2"/>
      <c r="G22" s="3"/>
      <c r="I22" s="3"/>
      <c r="J22" s="2"/>
      <c r="K22" s="3"/>
      <c r="L22" s="2"/>
      <c r="M22" s="3"/>
      <c r="O22" s="3"/>
      <c r="Q22" s="2"/>
      <c r="R22" s="96"/>
      <c r="S22" s="80"/>
      <c r="U22" s="103"/>
      <c r="V22" s="104"/>
      <c r="W22" s="102"/>
      <c r="X22" s="97"/>
      <c r="Y22" s="97"/>
      <c r="Z22" s="97"/>
      <c r="AA22" s="95"/>
    </row>
    <row r="23" spans="2:29" ht="15" customHeight="1" x14ac:dyDescent="0.15">
      <c r="B23" s="88"/>
      <c r="C23" s="3"/>
      <c r="G23" s="18"/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/>
      </c>
      <c r="O23" s="86"/>
      <c r="P23" s="86"/>
      <c r="Q23" s="24" t="str">
        <f>IF(O23="","",IF(O23=0,"","m"))</f>
        <v/>
      </c>
      <c r="R23" s="96"/>
      <c r="S23" s="80"/>
      <c r="U23" s="103"/>
      <c r="V23" s="104"/>
      <c r="W23" s="102"/>
      <c r="X23" s="97"/>
      <c r="Y23" s="97"/>
      <c r="Z23" s="97"/>
      <c r="AA23" s="95"/>
      <c r="AC23" s="1">
        <f>IF(U18="",0,IF(U18&gt;SUM(W18:AA23),U18-SUM(W18:AA23),0))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15">
      <c r="B26" s="88" t="str">
        <f>IF(S26="","",IF(B18="","",1+B18))</f>
        <v/>
      </c>
      <c r="C26" s="3"/>
      <c r="E26" s="13" t="str">
        <f>IF(F26="","",IF(F26=0,"","L="))</f>
        <v/>
      </c>
      <c r="F26" s="86"/>
      <c r="G26" s="86"/>
      <c r="H26" s="14" t="str">
        <f>IF(F26="","",IF(F26=0,"","m"))</f>
        <v/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R26" s="101" t="str">
        <f>IF(OR(S26="入力ｴﾗｰ",S26=0,S26="")=TRUE,"",IF(F26="","甲",IF(F26=0,"甲","")))</f>
        <v/>
      </c>
      <c r="S26" s="80" t="str">
        <f>IF((F26+I31+L26+O31)=0,"",IF((F26+I31+L26+O31)&gt;SUM($AC$1:$AC$3),"入力ｴﾗｰ",SUM($AC$1:$AC$3)-(F26+I31+L26+O31)))</f>
        <v/>
      </c>
      <c r="T26" s="81" t="str">
        <f>IF(S26="","",IF(S26="入力ｴﾗｰ","","m"))</f>
        <v/>
      </c>
      <c r="U26" s="103" t="str">
        <f>IF(B26="","",COUNT(F26,I31,L26,O31)-IF(S26=0,1,0)-V26)</f>
        <v/>
      </c>
      <c r="V26" s="104"/>
      <c r="W26" s="102"/>
      <c r="X26" s="97"/>
      <c r="Y26" s="97"/>
      <c r="Z26" s="97"/>
      <c r="AA26" s="95"/>
    </row>
    <row r="27" spans="2:29" ht="3" customHeight="1" x14ac:dyDescent="0.15">
      <c r="B27" s="88"/>
      <c r="C27" s="3"/>
      <c r="G27" s="3"/>
      <c r="I27" s="3"/>
      <c r="J27" s="2"/>
      <c r="K27" s="3"/>
      <c r="L27" s="2"/>
      <c r="M27" s="3"/>
      <c r="O27" s="3"/>
      <c r="R27" s="101"/>
      <c r="S27" s="80"/>
      <c r="T27" s="81"/>
      <c r="U27" s="103"/>
      <c r="V27" s="104"/>
      <c r="W27" s="102"/>
      <c r="X27" s="97"/>
      <c r="Y27" s="97"/>
      <c r="Z27" s="97"/>
      <c r="AA27" s="95"/>
    </row>
    <row r="28" spans="2:29" ht="3" customHeight="1" x14ac:dyDescent="0.15">
      <c r="B28" s="88"/>
      <c r="C28" s="3"/>
      <c r="G28" s="3"/>
      <c r="I28" s="3"/>
      <c r="J28" s="2"/>
      <c r="K28" s="3"/>
      <c r="L28" s="2"/>
      <c r="M28" s="3"/>
      <c r="O28" s="3"/>
      <c r="R28" s="101"/>
      <c r="S28" s="80"/>
      <c r="T28" s="81"/>
      <c r="U28" s="103"/>
      <c r="V28" s="104"/>
      <c r="W28" s="102"/>
      <c r="X28" s="97"/>
      <c r="Y28" s="97"/>
      <c r="Z28" s="97"/>
      <c r="AA28" s="95"/>
    </row>
    <row r="29" spans="2:29" ht="3" customHeight="1" x14ac:dyDescent="0.15">
      <c r="B29" s="88"/>
      <c r="C29" s="3"/>
      <c r="E29" s="66"/>
      <c r="F29" s="65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6" t="str">
        <f>IF(R26="甲","",IF(OR(S26=0,S26="")=TRUE,"",IF(S26="入力ｴﾗｰ","","乙")))</f>
        <v/>
      </c>
      <c r="S29" s="80"/>
      <c r="U29" s="103"/>
      <c r="V29" s="104"/>
      <c r="W29" s="102"/>
      <c r="X29" s="97"/>
      <c r="Y29" s="97"/>
      <c r="Z29" s="97"/>
      <c r="AA29" s="95"/>
    </row>
    <row r="30" spans="2:29" ht="3" customHeight="1" x14ac:dyDescent="0.15">
      <c r="B30" s="88"/>
      <c r="C30" s="3"/>
      <c r="F30" s="2"/>
      <c r="G30" s="3"/>
      <c r="I30" s="3"/>
      <c r="J30" s="2"/>
      <c r="K30" s="3"/>
      <c r="L30" s="2"/>
      <c r="M30" s="3"/>
      <c r="O30" s="3"/>
      <c r="R30" s="106"/>
      <c r="S30" s="80"/>
      <c r="U30" s="103"/>
      <c r="V30" s="104"/>
      <c r="W30" s="102"/>
      <c r="X30" s="97"/>
      <c r="Y30" s="97"/>
      <c r="Z30" s="97"/>
      <c r="AA30" s="95"/>
    </row>
    <row r="31" spans="2:29" ht="15" customHeight="1" x14ac:dyDescent="0.15">
      <c r="B31" s="88"/>
      <c r="C31" s="3"/>
      <c r="G31" s="18"/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14" t="str">
        <f>IF(O31="","",IF(O31=0,"","m"))</f>
        <v/>
      </c>
      <c r="R31" s="106"/>
      <c r="S31" s="80"/>
      <c r="U31" s="103"/>
      <c r="V31" s="104"/>
      <c r="W31" s="102"/>
      <c r="X31" s="97"/>
      <c r="Y31" s="97"/>
      <c r="Z31" s="97"/>
      <c r="AA31" s="95"/>
      <c r="AC31" s="1">
        <f>IF(U26="",0,IF(U26&gt;SUM(W26:AA31),U26-SUM(W26:AA31),0))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15">
      <c r="B34" s="88" t="str">
        <f>IF(S34="","",IF(B26="","",1+B26))</f>
        <v/>
      </c>
      <c r="C34" s="3"/>
      <c r="E34" s="13" t="str">
        <f>IF(F34="","",IF(F34=0,"","L="))</f>
        <v/>
      </c>
      <c r="F34" s="86"/>
      <c r="G34" s="86"/>
      <c r="H34" s="14" t="str">
        <f>IF(F34="","",IF(F34=0,"","m"))</f>
        <v/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R34" s="101" t="str">
        <f>IF(OR(S34="入力ｴﾗｰ",S34=0,S34="")=TRUE,"",IF(F34="","甲",IF(F34=0,"甲","")))</f>
        <v/>
      </c>
      <c r="S34" s="80" t="str">
        <f>IF((F34+I39+L34+O39)=0,"",IF((F34+I39+L34+O39)&gt;SUM($AC$1:$AC$3),"入力ｴﾗｰ",SUM($AC$1:$AC$3)-(F34+I39+L34+O39)))</f>
        <v/>
      </c>
      <c r="T34" s="81" t="str">
        <f>IF(S34="","",IF(S34="入力ｴﾗｰ","","m"))</f>
        <v/>
      </c>
      <c r="U34" s="103" t="str">
        <f>IF(B34="","",COUNT(F34,I39,L34,O39)-IF(S34=0,1,0)-V34)</f>
        <v/>
      </c>
      <c r="V34" s="104"/>
      <c r="W34" s="102"/>
      <c r="X34" s="97"/>
      <c r="Y34" s="97"/>
      <c r="Z34" s="97"/>
      <c r="AA34" s="95"/>
    </row>
    <row r="35" spans="2:29" ht="3" customHeight="1" x14ac:dyDescent="0.15">
      <c r="B35" s="88"/>
      <c r="C35" s="3"/>
      <c r="G35" s="3"/>
      <c r="I35" s="3"/>
      <c r="J35" s="2"/>
      <c r="K35" s="3"/>
      <c r="L35" s="2"/>
      <c r="M35" s="3"/>
      <c r="O35" s="3"/>
      <c r="R35" s="101"/>
      <c r="S35" s="80"/>
      <c r="T35" s="81"/>
      <c r="U35" s="103"/>
      <c r="V35" s="104"/>
      <c r="W35" s="102"/>
      <c r="X35" s="97"/>
      <c r="Y35" s="97"/>
      <c r="Z35" s="97"/>
      <c r="AA35" s="95"/>
    </row>
    <row r="36" spans="2:29" ht="3" customHeight="1" x14ac:dyDescent="0.15">
      <c r="B36" s="88"/>
      <c r="C36" s="3"/>
      <c r="G36" s="3"/>
      <c r="I36" s="3"/>
      <c r="J36" s="2"/>
      <c r="K36" s="3"/>
      <c r="L36" s="2"/>
      <c r="M36" s="3"/>
      <c r="O36" s="3"/>
      <c r="R36" s="101"/>
      <c r="S36" s="80"/>
      <c r="T36" s="81"/>
      <c r="U36" s="103"/>
      <c r="V36" s="104"/>
      <c r="W36" s="102"/>
      <c r="X36" s="97"/>
      <c r="Y36" s="97"/>
      <c r="Z36" s="97"/>
      <c r="AA36" s="95"/>
    </row>
    <row r="37" spans="2:29" ht="3" customHeight="1" x14ac:dyDescent="0.15">
      <c r="B37" s="88"/>
      <c r="C37" s="3"/>
      <c r="E37" s="66"/>
      <c r="F37" s="65"/>
      <c r="G37" s="64"/>
      <c r="H37" s="66"/>
      <c r="I37" s="64"/>
      <c r="J37" s="65"/>
      <c r="K37" s="64"/>
      <c r="L37" s="65"/>
      <c r="M37" s="64"/>
      <c r="N37" s="66"/>
      <c r="O37" s="64"/>
      <c r="P37" s="66"/>
      <c r="R37" s="106" t="str">
        <f>IF(R34="甲","",IF(OR(S34=0,S34="")=TRUE,"",IF(S34="入力ｴﾗｰ","","乙")))</f>
        <v/>
      </c>
      <c r="S37" s="80"/>
      <c r="U37" s="103"/>
      <c r="V37" s="104"/>
      <c r="W37" s="102"/>
      <c r="X37" s="97"/>
      <c r="Y37" s="97"/>
      <c r="Z37" s="97"/>
      <c r="AA37" s="95"/>
    </row>
    <row r="38" spans="2:29" ht="3" customHeight="1" x14ac:dyDescent="0.15">
      <c r="B38" s="88"/>
      <c r="C38" s="3"/>
      <c r="F38" s="2"/>
      <c r="G38" s="3"/>
      <c r="I38" s="3"/>
      <c r="J38" s="2"/>
      <c r="K38" s="3"/>
      <c r="L38" s="2"/>
      <c r="M38" s="3"/>
      <c r="O38" s="3"/>
      <c r="R38" s="106"/>
      <c r="S38" s="80"/>
      <c r="U38" s="103"/>
      <c r="V38" s="104"/>
      <c r="W38" s="102"/>
      <c r="X38" s="97"/>
      <c r="Y38" s="97"/>
      <c r="Z38" s="97"/>
      <c r="AA38" s="95"/>
    </row>
    <row r="39" spans="2:29" ht="15" customHeight="1" x14ac:dyDescent="0.15">
      <c r="B39" s="88"/>
      <c r="C39" s="3"/>
      <c r="G39" s="18"/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14" t="str">
        <f>IF(O39="","",IF(O39=0,"","m"))</f>
        <v/>
      </c>
      <c r="R39" s="106"/>
      <c r="S39" s="80"/>
      <c r="U39" s="103"/>
      <c r="V39" s="104"/>
      <c r="W39" s="102"/>
      <c r="X39" s="97"/>
      <c r="Y39" s="97"/>
      <c r="Z39" s="97"/>
      <c r="AA39" s="95"/>
      <c r="AC39" s="1">
        <f>IF(U34="",0,IF(U34&gt;SUM(W34:AA39),U34-SUM(W34:AA39),0))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15">
      <c r="B42" s="88" t="str">
        <f>IF(S42="","",IF(B34="","",1+B34))</f>
        <v/>
      </c>
      <c r="C42" s="3"/>
      <c r="E42" s="13" t="str">
        <f>IF(F42="","",IF(F42=0,"","L="))</f>
        <v/>
      </c>
      <c r="F42" s="86"/>
      <c r="G42" s="86"/>
      <c r="H42" s="14" t="str">
        <f>IF(F42="","",IF(F42=0,"","m"))</f>
        <v/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R42" s="101" t="str">
        <f>IF(OR(S42="入力ｴﾗｰ",S42=0,S42="")=TRUE,"",IF(F42="","甲",IF(F42=0,"甲","")))</f>
        <v/>
      </c>
      <c r="S42" s="80" t="str">
        <f>IF((F42+I47+L42+O47)=0,"",IF((F42+I47+L42+O47)&gt;SUM($AC$1:$AC$3),"入力ｴﾗｰ",SUM($AC$1:$AC$3)-(F42+I47+L42+O47)))</f>
        <v/>
      </c>
      <c r="T42" s="81" t="str">
        <f>IF(S42="","",IF(S42="入力ｴﾗｰ","","m"))</f>
        <v/>
      </c>
      <c r="U42" s="103" t="str">
        <f>IF(B42="","",COUNT(F42,I47,L42,O47)-IF(S42=0,1,0)-V42)</f>
        <v/>
      </c>
      <c r="V42" s="104"/>
      <c r="W42" s="102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I43" s="3"/>
      <c r="J43" s="2"/>
      <c r="K43" s="3"/>
      <c r="L43" s="2"/>
      <c r="M43" s="3"/>
      <c r="O43" s="3"/>
      <c r="R43" s="101"/>
      <c r="S43" s="80"/>
      <c r="T43" s="81"/>
      <c r="U43" s="103"/>
      <c r="V43" s="104"/>
      <c r="W43" s="102"/>
      <c r="X43" s="97"/>
      <c r="Y43" s="97"/>
      <c r="Z43" s="97"/>
      <c r="AA43" s="95"/>
    </row>
    <row r="44" spans="2:29" ht="3" customHeight="1" x14ac:dyDescent="0.15">
      <c r="B44" s="88"/>
      <c r="C44" s="3"/>
      <c r="G44" s="3"/>
      <c r="I44" s="3"/>
      <c r="J44" s="2"/>
      <c r="K44" s="3"/>
      <c r="L44" s="2"/>
      <c r="M44" s="3"/>
      <c r="O44" s="3"/>
      <c r="R44" s="101"/>
      <c r="S44" s="80"/>
      <c r="T44" s="81"/>
      <c r="U44" s="103"/>
      <c r="V44" s="104"/>
      <c r="W44" s="102"/>
      <c r="X44" s="97"/>
      <c r="Y44" s="97"/>
      <c r="Z44" s="97"/>
      <c r="AA44" s="95"/>
    </row>
    <row r="45" spans="2:29" ht="3" customHeight="1" x14ac:dyDescent="0.15">
      <c r="B45" s="88"/>
      <c r="C45" s="3"/>
      <c r="E45" s="66"/>
      <c r="F45" s="65"/>
      <c r="G45" s="64"/>
      <c r="H45" s="66"/>
      <c r="I45" s="64"/>
      <c r="J45" s="65"/>
      <c r="K45" s="64"/>
      <c r="L45" s="65"/>
      <c r="M45" s="64"/>
      <c r="N45" s="66"/>
      <c r="O45" s="64"/>
      <c r="P45" s="66"/>
      <c r="R45" s="106" t="str">
        <f>IF(R42="甲","",IF(OR(S42=0,S42="")=TRUE,"",IF(S42="入力ｴﾗｰ","","乙")))</f>
        <v/>
      </c>
      <c r="S45" s="80"/>
      <c r="U45" s="103"/>
      <c r="V45" s="104"/>
      <c r="W45" s="102"/>
      <c r="X45" s="97"/>
      <c r="Y45" s="97"/>
      <c r="Z45" s="97"/>
      <c r="AA45" s="95"/>
    </row>
    <row r="46" spans="2:29" ht="3" customHeight="1" x14ac:dyDescent="0.15">
      <c r="B46" s="88"/>
      <c r="C46" s="3"/>
      <c r="F46" s="2"/>
      <c r="G46" s="3"/>
      <c r="I46" s="3"/>
      <c r="J46" s="2"/>
      <c r="K46" s="3"/>
      <c r="L46" s="2"/>
      <c r="M46" s="3"/>
      <c r="O46" s="3"/>
      <c r="R46" s="106"/>
      <c r="S46" s="80"/>
      <c r="U46" s="103"/>
      <c r="V46" s="104"/>
      <c r="W46" s="102"/>
      <c r="X46" s="97"/>
      <c r="Y46" s="97"/>
      <c r="Z46" s="97"/>
      <c r="AA46" s="95"/>
    </row>
    <row r="47" spans="2:29" ht="15" customHeight="1" x14ac:dyDescent="0.15">
      <c r="B47" s="88"/>
      <c r="C47" s="3"/>
      <c r="G47" s="18"/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14" t="str">
        <f>IF(O47="","",IF(O47=0,"","m"))</f>
        <v/>
      </c>
      <c r="R47" s="106"/>
      <c r="S47" s="80"/>
      <c r="U47" s="103"/>
      <c r="V47" s="104"/>
      <c r="W47" s="102"/>
      <c r="X47" s="97"/>
      <c r="Y47" s="97"/>
      <c r="Z47" s="97"/>
      <c r="AA47" s="95"/>
      <c r="AC47" s="1">
        <f>IF(U42="",0,IF(U42&gt;SUM(W42:AA47),U42-SUM(W42:AA47),0))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R50" s="101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03" t="str">
        <f>IF(B50="","",COUNT(F50,I55,L50,O55)-IF(S50=0,1,0)-V50)</f>
        <v/>
      </c>
      <c r="V50" s="104"/>
      <c r="W50" s="102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I51" s="3"/>
      <c r="J51" s="2"/>
      <c r="K51" s="3"/>
      <c r="L51" s="2"/>
      <c r="M51" s="3"/>
      <c r="O51" s="3"/>
      <c r="R51" s="101"/>
      <c r="S51" s="80"/>
      <c r="T51" s="81"/>
      <c r="U51" s="103"/>
      <c r="V51" s="104"/>
      <c r="W51" s="102"/>
      <c r="X51" s="97"/>
      <c r="Y51" s="97"/>
      <c r="Z51" s="97"/>
      <c r="AA51" s="95"/>
    </row>
    <row r="52" spans="2:29" ht="3" customHeight="1" x14ac:dyDescent="0.15">
      <c r="B52" s="88"/>
      <c r="C52" s="3"/>
      <c r="G52" s="3"/>
      <c r="I52" s="3"/>
      <c r="J52" s="2"/>
      <c r="K52" s="3"/>
      <c r="L52" s="2"/>
      <c r="M52" s="3"/>
      <c r="O52" s="3"/>
      <c r="R52" s="101"/>
      <c r="S52" s="80"/>
      <c r="T52" s="81"/>
      <c r="U52" s="103"/>
      <c r="V52" s="104"/>
      <c r="W52" s="102"/>
      <c r="X52" s="97"/>
      <c r="Y52" s="97"/>
      <c r="Z52" s="97"/>
      <c r="AA52" s="95"/>
    </row>
    <row r="53" spans="2:29" ht="3" customHeight="1" x14ac:dyDescent="0.15">
      <c r="B53" s="88"/>
      <c r="C53" s="3"/>
      <c r="E53" s="66"/>
      <c r="F53" s="65"/>
      <c r="G53" s="64"/>
      <c r="H53" s="66"/>
      <c r="I53" s="64"/>
      <c r="J53" s="65"/>
      <c r="K53" s="64"/>
      <c r="L53" s="65"/>
      <c r="M53" s="64"/>
      <c r="N53" s="66"/>
      <c r="O53" s="64"/>
      <c r="P53" s="66"/>
      <c r="R53" s="106" t="str">
        <f>IF(R50="甲","",IF(OR(S50=0,S50="")=TRUE,"",IF(S50="入力ｴﾗｰ","","乙")))</f>
        <v/>
      </c>
      <c r="S53" s="80"/>
      <c r="U53" s="103"/>
      <c r="V53" s="104"/>
      <c r="W53" s="102"/>
      <c r="X53" s="97"/>
      <c r="Y53" s="97"/>
      <c r="Z53" s="97"/>
      <c r="AA53" s="95"/>
    </row>
    <row r="54" spans="2:29" ht="3" customHeight="1" x14ac:dyDescent="0.15">
      <c r="B54" s="88"/>
      <c r="C54" s="3"/>
      <c r="F54" s="2"/>
      <c r="G54" s="3"/>
      <c r="I54" s="3"/>
      <c r="J54" s="2"/>
      <c r="K54" s="3"/>
      <c r="L54" s="2"/>
      <c r="M54" s="3"/>
      <c r="O54" s="3"/>
      <c r="R54" s="106"/>
      <c r="S54" s="80"/>
      <c r="U54" s="103"/>
      <c r="V54" s="104"/>
      <c r="W54" s="102"/>
      <c r="X54" s="97"/>
      <c r="Y54" s="97"/>
      <c r="Z54" s="97"/>
      <c r="AA54" s="95"/>
    </row>
    <row r="55" spans="2:29" ht="15" customHeight="1" x14ac:dyDescent="0.15">
      <c r="B55" s="88"/>
      <c r="C55" s="3"/>
      <c r="G55" s="18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14" t="str">
        <f>IF(O55="","",IF(O55=0,"","m"))</f>
        <v/>
      </c>
      <c r="R55" s="106"/>
      <c r="S55" s="80"/>
      <c r="U55" s="103"/>
      <c r="V55" s="104"/>
      <c r="W55" s="102"/>
      <c r="X55" s="97"/>
      <c r="Y55" s="97"/>
      <c r="Z55" s="97"/>
      <c r="AA55" s="95"/>
      <c r="AC55" s="1">
        <f>IF(U50="",0,IF(U50&gt;SUM(W50:AA55),U50-SUM(W50:AA55),0))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R58" s="101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03" t="str">
        <f>IF(B58="","",COUNT(F58,I63,L58,O63)-IF(S58=0,1,0)-V58)</f>
        <v/>
      </c>
      <c r="V58" s="104"/>
      <c r="W58" s="102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I59" s="3"/>
      <c r="J59" s="2"/>
      <c r="K59" s="3"/>
      <c r="L59" s="2"/>
      <c r="M59" s="3"/>
      <c r="O59" s="3"/>
      <c r="R59" s="101"/>
      <c r="S59" s="80"/>
      <c r="T59" s="81"/>
      <c r="U59" s="103"/>
      <c r="V59" s="104"/>
      <c r="W59" s="102"/>
      <c r="X59" s="97"/>
      <c r="Y59" s="97"/>
      <c r="Z59" s="97"/>
      <c r="AA59" s="95"/>
    </row>
    <row r="60" spans="2:29" ht="3" customHeight="1" x14ac:dyDescent="0.15">
      <c r="B60" s="88"/>
      <c r="C60" s="3"/>
      <c r="G60" s="3"/>
      <c r="I60" s="3"/>
      <c r="J60" s="2"/>
      <c r="K60" s="3"/>
      <c r="L60" s="2"/>
      <c r="M60" s="3"/>
      <c r="O60" s="3"/>
      <c r="R60" s="101"/>
      <c r="S60" s="80"/>
      <c r="T60" s="81"/>
      <c r="U60" s="103"/>
      <c r="V60" s="104"/>
      <c r="W60" s="102"/>
      <c r="X60" s="97"/>
      <c r="Y60" s="97"/>
      <c r="Z60" s="97"/>
      <c r="AA60" s="95"/>
    </row>
    <row r="61" spans="2:29" ht="3" customHeight="1" x14ac:dyDescent="0.15">
      <c r="B61" s="88"/>
      <c r="C61" s="3"/>
      <c r="E61" s="66"/>
      <c r="F61" s="65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6" t="str">
        <f>IF(R58="甲","",IF(OR(S58=0,S58="")=TRUE,"",IF(S58="入力ｴﾗｰ","","乙")))</f>
        <v/>
      </c>
      <c r="S61" s="80"/>
      <c r="U61" s="103"/>
      <c r="V61" s="104"/>
      <c r="W61" s="102"/>
      <c r="X61" s="97"/>
      <c r="Y61" s="97"/>
      <c r="Z61" s="97"/>
      <c r="AA61" s="95"/>
    </row>
    <row r="62" spans="2:29" ht="3" customHeight="1" x14ac:dyDescent="0.15">
      <c r="B62" s="88"/>
      <c r="C62" s="3"/>
      <c r="F62" s="2"/>
      <c r="G62" s="3"/>
      <c r="I62" s="3"/>
      <c r="J62" s="2"/>
      <c r="K62" s="3"/>
      <c r="L62" s="2"/>
      <c r="M62" s="3"/>
      <c r="O62" s="3"/>
      <c r="R62" s="106"/>
      <c r="S62" s="80"/>
      <c r="U62" s="103"/>
      <c r="V62" s="104"/>
      <c r="W62" s="102"/>
      <c r="X62" s="97"/>
      <c r="Y62" s="97"/>
      <c r="Z62" s="97"/>
      <c r="AA62" s="95"/>
    </row>
    <row r="63" spans="2:29" ht="15" customHeight="1" x14ac:dyDescent="0.15">
      <c r="B63" s="88"/>
      <c r="C63" s="3"/>
      <c r="G63" s="18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14" t="str">
        <f>IF(O63="","",IF(O63=0,"","m"))</f>
        <v/>
      </c>
      <c r="R63" s="106"/>
      <c r="S63" s="80"/>
      <c r="U63" s="103"/>
      <c r="V63" s="104"/>
      <c r="W63" s="102"/>
      <c r="X63" s="97"/>
      <c r="Y63" s="97"/>
      <c r="Z63" s="97"/>
      <c r="AA63" s="95"/>
      <c r="AC63" s="1">
        <f>IF(U58="",0,IF(U58&gt;SUM(W58:AA63),U58-SUM(W58:AA63),0))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R66" s="101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03" t="str">
        <f>IF(B66="","",COUNT(F66,I71,L66,O71)-IF(S66=0,1,0)-V66)</f>
        <v/>
      </c>
      <c r="V66" s="104"/>
      <c r="W66" s="102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I67" s="3"/>
      <c r="J67" s="2"/>
      <c r="K67" s="3"/>
      <c r="L67" s="2"/>
      <c r="M67" s="3"/>
      <c r="O67" s="3"/>
      <c r="R67" s="101"/>
      <c r="S67" s="80"/>
      <c r="T67" s="81"/>
      <c r="U67" s="103"/>
      <c r="V67" s="104"/>
      <c r="W67" s="102"/>
      <c r="X67" s="97"/>
      <c r="Y67" s="97"/>
      <c r="Z67" s="97"/>
      <c r="AA67" s="95"/>
    </row>
    <row r="68" spans="2:29" ht="3" customHeight="1" x14ac:dyDescent="0.15">
      <c r="B68" s="88"/>
      <c r="C68" s="3"/>
      <c r="G68" s="3"/>
      <c r="I68" s="3"/>
      <c r="J68" s="2"/>
      <c r="K68" s="3"/>
      <c r="L68" s="2"/>
      <c r="M68" s="3"/>
      <c r="O68" s="3"/>
      <c r="R68" s="101"/>
      <c r="S68" s="80"/>
      <c r="T68" s="81"/>
      <c r="U68" s="103"/>
      <c r="V68" s="104"/>
      <c r="W68" s="102"/>
      <c r="X68" s="97"/>
      <c r="Y68" s="97"/>
      <c r="Z68" s="97"/>
      <c r="AA68" s="95"/>
    </row>
    <row r="69" spans="2:29" ht="3" customHeight="1" x14ac:dyDescent="0.15">
      <c r="B69" s="88"/>
      <c r="C69" s="3"/>
      <c r="E69" s="66"/>
      <c r="F69" s="65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6" t="str">
        <f>IF(R66="甲","",IF(OR(S66=0,S66="")=TRUE,"",IF(S66="入力ｴﾗｰ","","乙")))</f>
        <v/>
      </c>
      <c r="S69" s="80"/>
      <c r="U69" s="103"/>
      <c r="V69" s="104"/>
      <c r="W69" s="102"/>
      <c r="X69" s="97"/>
      <c r="Y69" s="97"/>
      <c r="Z69" s="97"/>
      <c r="AA69" s="95"/>
    </row>
    <row r="70" spans="2:29" ht="3" customHeight="1" x14ac:dyDescent="0.15">
      <c r="B70" s="88"/>
      <c r="C70" s="3"/>
      <c r="F70" s="2"/>
      <c r="G70" s="3"/>
      <c r="I70" s="3"/>
      <c r="J70" s="2"/>
      <c r="K70" s="3"/>
      <c r="L70" s="2"/>
      <c r="M70" s="3"/>
      <c r="O70" s="3"/>
      <c r="R70" s="106"/>
      <c r="S70" s="80"/>
      <c r="U70" s="103"/>
      <c r="V70" s="104"/>
      <c r="W70" s="102"/>
      <c r="X70" s="97"/>
      <c r="Y70" s="97"/>
      <c r="Z70" s="97"/>
      <c r="AA70" s="95"/>
    </row>
    <row r="71" spans="2:29" ht="15" customHeight="1" x14ac:dyDescent="0.15">
      <c r="B71" s="88"/>
      <c r="C71" s="3"/>
      <c r="G71" s="18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14" t="str">
        <f>IF(O71="","",IF(O71=0,"","m"))</f>
        <v/>
      </c>
      <c r="R71" s="106"/>
      <c r="S71" s="80"/>
      <c r="U71" s="103"/>
      <c r="V71" s="104"/>
      <c r="W71" s="102"/>
      <c r="X71" s="97"/>
      <c r="Y71" s="97"/>
      <c r="Z71" s="97"/>
      <c r="AA71" s="95"/>
      <c r="AC71" s="1">
        <f>IF(U66="",0,IF(U66&gt;SUM(W66:AA71),U66-SUM(W66:AA71),0))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R74" s="101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03" t="str">
        <f>IF(B74="","",COUNT(F74,I79,L74,O79)-IF(S74=0,1,0)-V74)</f>
        <v/>
      </c>
      <c r="V74" s="104"/>
      <c r="W74" s="102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I75" s="3"/>
      <c r="J75" s="2"/>
      <c r="K75" s="3"/>
      <c r="L75" s="2"/>
      <c r="M75" s="3"/>
      <c r="O75" s="3"/>
      <c r="R75" s="101"/>
      <c r="S75" s="80"/>
      <c r="T75" s="81"/>
      <c r="U75" s="103"/>
      <c r="V75" s="104"/>
      <c r="W75" s="102"/>
      <c r="X75" s="97"/>
      <c r="Y75" s="97"/>
      <c r="Z75" s="97"/>
      <c r="AA75" s="95"/>
    </row>
    <row r="76" spans="2:29" ht="3" customHeight="1" x14ac:dyDescent="0.15">
      <c r="B76" s="88"/>
      <c r="C76" s="3"/>
      <c r="G76" s="3"/>
      <c r="I76" s="3"/>
      <c r="J76" s="2"/>
      <c r="K76" s="3"/>
      <c r="L76" s="2"/>
      <c r="M76" s="3"/>
      <c r="O76" s="3"/>
      <c r="R76" s="101"/>
      <c r="S76" s="80"/>
      <c r="T76" s="81"/>
      <c r="U76" s="103"/>
      <c r="V76" s="104"/>
      <c r="W76" s="102"/>
      <c r="X76" s="97"/>
      <c r="Y76" s="97"/>
      <c r="Z76" s="97"/>
      <c r="AA76" s="95"/>
    </row>
    <row r="77" spans="2:29" ht="3" customHeight="1" x14ac:dyDescent="0.15">
      <c r="B77" s="88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6" t="str">
        <f>IF(R74="甲","",IF(OR(S74=0,S74="")=TRUE,"",IF(S74="入力ｴﾗｰ","","乙")))</f>
        <v/>
      </c>
      <c r="S77" s="80"/>
      <c r="U77" s="103"/>
      <c r="V77" s="104"/>
      <c r="W77" s="102"/>
      <c r="X77" s="97"/>
      <c r="Y77" s="97"/>
      <c r="Z77" s="97"/>
      <c r="AA77" s="95"/>
    </row>
    <row r="78" spans="2:29" ht="3" customHeight="1" x14ac:dyDescent="0.15">
      <c r="B78" s="88"/>
      <c r="C78" s="3"/>
      <c r="F78" s="2"/>
      <c r="G78" s="3"/>
      <c r="I78" s="3"/>
      <c r="J78" s="2"/>
      <c r="K78" s="3"/>
      <c r="L78" s="2"/>
      <c r="M78" s="3"/>
      <c r="O78" s="3"/>
      <c r="R78" s="106"/>
      <c r="S78" s="80"/>
      <c r="U78" s="103"/>
      <c r="V78" s="104"/>
      <c r="W78" s="102"/>
      <c r="X78" s="97"/>
      <c r="Y78" s="97"/>
      <c r="Z78" s="97"/>
      <c r="AA78" s="95"/>
    </row>
    <row r="79" spans="2:29" ht="15" customHeight="1" x14ac:dyDescent="0.15">
      <c r="B79" s="88"/>
      <c r="C79" s="3"/>
      <c r="G79" s="18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14" t="str">
        <f>IF(O79="","",IF(O79=0,"","m"))</f>
        <v/>
      </c>
      <c r="R79" s="106"/>
      <c r="S79" s="80"/>
      <c r="U79" s="103"/>
      <c r="V79" s="104"/>
      <c r="W79" s="102"/>
      <c r="X79" s="97"/>
      <c r="Y79" s="97"/>
      <c r="Z79" s="97"/>
      <c r="AA79" s="95"/>
      <c r="AC79" s="1">
        <f>IF(U74="",0,IF(U74&gt;SUM(W74:AA79),U74-SUM(W74:AA79),0))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R82" s="101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03" t="str">
        <f>IF(B82="","",COUNT(F82,I87,L82,O87)-IF(S82=0,1,0)-V82)</f>
        <v/>
      </c>
      <c r="V82" s="104"/>
      <c r="W82" s="102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I83" s="3"/>
      <c r="J83" s="2"/>
      <c r="K83" s="3"/>
      <c r="L83" s="2"/>
      <c r="M83" s="3"/>
      <c r="O83" s="3"/>
      <c r="R83" s="101"/>
      <c r="S83" s="80"/>
      <c r="T83" s="81"/>
      <c r="U83" s="103"/>
      <c r="V83" s="104"/>
      <c r="W83" s="102"/>
      <c r="X83" s="97"/>
      <c r="Y83" s="97"/>
      <c r="Z83" s="97"/>
      <c r="AA83" s="95"/>
    </row>
    <row r="84" spans="2:29" ht="3" customHeight="1" x14ac:dyDescent="0.15">
      <c r="B84" s="88"/>
      <c r="C84" s="3"/>
      <c r="G84" s="3"/>
      <c r="I84" s="3"/>
      <c r="J84" s="2"/>
      <c r="K84" s="3"/>
      <c r="L84" s="2"/>
      <c r="M84" s="3"/>
      <c r="O84" s="3"/>
      <c r="R84" s="101"/>
      <c r="S84" s="80"/>
      <c r="T84" s="81"/>
      <c r="U84" s="103"/>
      <c r="V84" s="104"/>
      <c r="W84" s="102"/>
      <c r="X84" s="97"/>
      <c r="Y84" s="97"/>
      <c r="Z84" s="97"/>
      <c r="AA84" s="95"/>
    </row>
    <row r="85" spans="2:29" ht="3" customHeight="1" x14ac:dyDescent="0.15">
      <c r="B85" s="88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6" t="str">
        <f>IF(R82="甲","",IF(OR(S82=0,S82="")=TRUE,"",IF(S82="入力ｴﾗｰ","","乙")))</f>
        <v/>
      </c>
      <c r="S85" s="80"/>
      <c r="U85" s="103"/>
      <c r="V85" s="104"/>
      <c r="W85" s="102"/>
      <c r="X85" s="97"/>
      <c r="Y85" s="97"/>
      <c r="Z85" s="97"/>
      <c r="AA85" s="95"/>
    </row>
    <row r="86" spans="2:29" ht="3" customHeight="1" x14ac:dyDescent="0.15">
      <c r="B86" s="88"/>
      <c r="C86" s="3"/>
      <c r="F86" s="2"/>
      <c r="G86" s="3"/>
      <c r="I86" s="3"/>
      <c r="J86" s="2"/>
      <c r="K86" s="3"/>
      <c r="L86" s="2"/>
      <c r="M86" s="3"/>
      <c r="O86" s="3"/>
      <c r="R86" s="106"/>
      <c r="S86" s="80"/>
      <c r="U86" s="103"/>
      <c r="V86" s="104"/>
      <c r="W86" s="102"/>
      <c r="X86" s="97"/>
      <c r="Y86" s="97"/>
      <c r="Z86" s="97"/>
      <c r="AA86" s="95"/>
    </row>
    <row r="87" spans="2:29" ht="15" customHeight="1" x14ac:dyDescent="0.15">
      <c r="B87" s="88"/>
      <c r="C87" s="3"/>
      <c r="G87" s="18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14" t="str">
        <f>IF(O87="","",IF(O87=0,"","m"))</f>
        <v/>
      </c>
      <c r="R87" s="106"/>
      <c r="S87" s="80"/>
      <c r="U87" s="103"/>
      <c r="V87" s="104"/>
      <c r="W87" s="102"/>
      <c r="X87" s="97"/>
      <c r="Y87" s="97"/>
      <c r="Z87" s="97"/>
      <c r="AA87" s="95"/>
      <c r="AC87" s="1">
        <f>IF(U82="",0,IF(U82&gt;SUM(W82:AA87),U82-SUM(W82:AA87),0))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R90" s="101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03" t="str">
        <f>IF(B90="","",COUNT(F90,I95,L90,O95)-IF(S90=0,1,0)-V90)</f>
        <v/>
      </c>
      <c r="V90" s="104"/>
      <c r="W90" s="102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I91" s="3"/>
      <c r="J91" s="2"/>
      <c r="K91" s="3"/>
      <c r="L91" s="2"/>
      <c r="M91" s="3"/>
      <c r="O91" s="3"/>
      <c r="R91" s="101"/>
      <c r="S91" s="80"/>
      <c r="T91" s="81"/>
      <c r="U91" s="103"/>
      <c r="V91" s="104"/>
      <c r="W91" s="102"/>
      <c r="X91" s="97"/>
      <c r="Y91" s="97"/>
      <c r="Z91" s="97"/>
      <c r="AA91" s="95"/>
    </row>
    <row r="92" spans="2:29" ht="3" customHeight="1" x14ac:dyDescent="0.15">
      <c r="B92" s="88"/>
      <c r="C92" s="3"/>
      <c r="G92" s="3"/>
      <c r="I92" s="3"/>
      <c r="J92" s="2"/>
      <c r="K92" s="3"/>
      <c r="L92" s="2"/>
      <c r="M92" s="3"/>
      <c r="O92" s="3"/>
      <c r="R92" s="101"/>
      <c r="S92" s="80"/>
      <c r="T92" s="81"/>
      <c r="U92" s="103"/>
      <c r="V92" s="104"/>
      <c r="W92" s="102"/>
      <c r="X92" s="97"/>
      <c r="Y92" s="97"/>
      <c r="Z92" s="97"/>
      <c r="AA92" s="95"/>
    </row>
    <row r="93" spans="2:29" ht="3" customHeight="1" x14ac:dyDescent="0.15">
      <c r="B93" s="88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6" t="str">
        <f>IF(R90="甲","",IF(OR(S90=0,S90="")=TRUE,"",IF(S90="入力ｴﾗｰ","","乙")))</f>
        <v/>
      </c>
      <c r="S93" s="80"/>
      <c r="U93" s="103"/>
      <c r="V93" s="104"/>
      <c r="W93" s="102"/>
      <c r="X93" s="97"/>
      <c r="Y93" s="97"/>
      <c r="Z93" s="97"/>
      <c r="AA93" s="95"/>
    </row>
    <row r="94" spans="2:29" ht="3" customHeight="1" x14ac:dyDescent="0.15">
      <c r="B94" s="88"/>
      <c r="C94" s="3"/>
      <c r="F94" s="2"/>
      <c r="G94" s="3"/>
      <c r="I94" s="3"/>
      <c r="J94" s="2"/>
      <c r="K94" s="3"/>
      <c r="L94" s="2"/>
      <c r="M94" s="3"/>
      <c r="O94" s="3"/>
      <c r="R94" s="106"/>
      <c r="S94" s="80"/>
      <c r="U94" s="103"/>
      <c r="V94" s="104"/>
      <c r="W94" s="102"/>
      <c r="X94" s="97"/>
      <c r="Y94" s="97"/>
      <c r="Z94" s="97"/>
      <c r="AA94" s="95"/>
    </row>
    <row r="95" spans="2:29" ht="15" customHeight="1" x14ac:dyDescent="0.15">
      <c r="B95" s="88"/>
      <c r="C95" s="3"/>
      <c r="G95" s="18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14" t="str">
        <f>IF(O95="","",IF(O95=0,"","m"))</f>
        <v/>
      </c>
      <c r="R95" s="106"/>
      <c r="S95" s="80"/>
      <c r="U95" s="103"/>
      <c r="V95" s="104"/>
      <c r="W95" s="102"/>
      <c r="X95" s="97"/>
      <c r="Y95" s="97"/>
      <c r="Z95" s="97"/>
      <c r="AA95" s="95"/>
      <c r="AC95" s="1">
        <f>IF(U90="",0,IF(U90&gt;SUM(W90:AA95),U90-SUM(W90:AA95),0))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R98" s="101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03" t="str">
        <f>IF(B98="","",COUNT(F98,I103,L98,O103)-IF(S98=0,1,0)-V98)</f>
        <v/>
      </c>
      <c r="V98" s="104"/>
      <c r="W98" s="102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I99" s="3"/>
      <c r="J99" s="2"/>
      <c r="K99" s="3"/>
      <c r="L99" s="2"/>
      <c r="M99" s="3"/>
      <c r="O99" s="3"/>
      <c r="R99" s="101"/>
      <c r="S99" s="80"/>
      <c r="T99" s="81"/>
      <c r="U99" s="103"/>
      <c r="V99" s="104"/>
      <c r="W99" s="102"/>
      <c r="X99" s="97"/>
      <c r="Y99" s="97"/>
      <c r="Z99" s="97"/>
      <c r="AA99" s="95"/>
    </row>
    <row r="100" spans="2:29" ht="3" customHeight="1" x14ac:dyDescent="0.15">
      <c r="B100" s="88"/>
      <c r="C100" s="3"/>
      <c r="G100" s="3"/>
      <c r="I100" s="3"/>
      <c r="J100" s="2"/>
      <c r="K100" s="3"/>
      <c r="L100" s="2"/>
      <c r="M100" s="3"/>
      <c r="O100" s="3"/>
      <c r="R100" s="101"/>
      <c r="S100" s="80"/>
      <c r="T100" s="81"/>
      <c r="U100" s="103"/>
      <c r="V100" s="104"/>
      <c r="W100" s="102"/>
      <c r="X100" s="97"/>
      <c r="Y100" s="97"/>
      <c r="Z100" s="97"/>
      <c r="AA100" s="95"/>
    </row>
    <row r="101" spans="2:29" ht="3" customHeight="1" x14ac:dyDescent="0.15">
      <c r="B101" s="88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6" t="str">
        <f>IF(R98="甲","",IF(OR(S98=0,S98="")=TRUE,"",IF(S98="入力ｴﾗｰ","","乙")))</f>
        <v/>
      </c>
      <c r="S101" s="80"/>
      <c r="U101" s="103"/>
      <c r="V101" s="104"/>
      <c r="W101" s="102"/>
      <c r="X101" s="97"/>
      <c r="Y101" s="97"/>
      <c r="Z101" s="97"/>
      <c r="AA101" s="95"/>
    </row>
    <row r="102" spans="2:29" ht="3" customHeight="1" x14ac:dyDescent="0.15">
      <c r="B102" s="88"/>
      <c r="C102" s="3"/>
      <c r="F102" s="2"/>
      <c r="G102" s="3"/>
      <c r="I102" s="3"/>
      <c r="J102" s="2"/>
      <c r="K102" s="3"/>
      <c r="L102" s="2"/>
      <c r="M102" s="3"/>
      <c r="O102" s="3"/>
      <c r="R102" s="106"/>
      <c r="S102" s="80"/>
      <c r="U102" s="103"/>
      <c r="V102" s="104"/>
      <c r="W102" s="102"/>
      <c r="X102" s="97"/>
      <c r="Y102" s="97"/>
      <c r="Z102" s="97"/>
      <c r="AA102" s="95"/>
    </row>
    <row r="103" spans="2:29" ht="15" customHeight="1" x14ac:dyDescent="0.15">
      <c r="B103" s="88"/>
      <c r="C103" s="3"/>
      <c r="G103" s="18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14" t="str">
        <f>IF(O103="","",IF(O103=0,"","m"))</f>
        <v/>
      </c>
      <c r="R103" s="106"/>
      <c r="S103" s="80"/>
      <c r="U103" s="103"/>
      <c r="V103" s="104"/>
      <c r="W103" s="102"/>
      <c r="X103" s="97"/>
      <c r="Y103" s="97"/>
      <c r="Z103" s="97"/>
      <c r="AA103" s="95"/>
      <c r="AC103" s="1">
        <f>IF(U98="",0,IF(U98&gt;SUM(W98:AA103),U98-SUM(W98:AA103),0))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15">
      <c r="B106" s="88" t="str">
        <f>IF(S106="","",IF(B98="","",1+B98))</f>
        <v/>
      </c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R106" s="101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03" t="str">
        <f>IF(B106="","",COUNT(F106,I111,L106,O111)-IF(S106=0,1,0)-V106)</f>
        <v/>
      </c>
      <c r="V106" s="104"/>
      <c r="W106" s="102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I107" s="3"/>
      <c r="J107" s="2"/>
      <c r="K107" s="3"/>
      <c r="L107" s="2"/>
      <c r="M107" s="3"/>
      <c r="O107" s="3"/>
      <c r="R107" s="101"/>
      <c r="S107" s="80"/>
      <c r="T107" s="81"/>
      <c r="U107" s="103"/>
      <c r="V107" s="104"/>
      <c r="W107" s="102"/>
      <c r="X107" s="97"/>
      <c r="Y107" s="97"/>
      <c r="Z107" s="97"/>
      <c r="AA107" s="95"/>
    </row>
    <row r="108" spans="2:29" ht="3" customHeight="1" x14ac:dyDescent="0.15">
      <c r="B108" s="88"/>
      <c r="C108" s="3"/>
      <c r="G108" s="3"/>
      <c r="I108" s="3"/>
      <c r="J108" s="2"/>
      <c r="K108" s="3"/>
      <c r="L108" s="2"/>
      <c r="M108" s="3"/>
      <c r="O108" s="3"/>
      <c r="R108" s="101"/>
      <c r="S108" s="80"/>
      <c r="T108" s="81"/>
      <c r="U108" s="103"/>
      <c r="V108" s="104"/>
      <c r="W108" s="102"/>
      <c r="X108" s="97"/>
      <c r="Y108" s="97"/>
      <c r="Z108" s="97"/>
      <c r="AA108" s="95"/>
    </row>
    <row r="109" spans="2:29" ht="3" customHeight="1" x14ac:dyDescent="0.15">
      <c r="B109" s="88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6" t="str">
        <f>IF(R106="甲","",IF(OR(S106=0,S106="")=TRUE,"",IF(S106="入力ｴﾗｰ","","乙")))</f>
        <v/>
      </c>
      <c r="S109" s="80"/>
      <c r="U109" s="103"/>
      <c r="V109" s="104"/>
      <c r="W109" s="102"/>
      <c r="X109" s="97"/>
      <c r="Y109" s="97"/>
      <c r="Z109" s="97"/>
      <c r="AA109" s="95"/>
    </row>
    <row r="110" spans="2:29" ht="3" customHeight="1" x14ac:dyDescent="0.15">
      <c r="B110" s="88"/>
      <c r="C110" s="3"/>
      <c r="F110" s="2"/>
      <c r="G110" s="3"/>
      <c r="I110" s="3"/>
      <c r="J110" s="2"/>
      <c r="K110" s="3"/>
      <c r="L110" s="2"/>
      <c r="M110" s="3"/>
      <c r="O110" s="3"/>
      <c r="R110" s="106"/>
      <c r="S110" s="80"/>
      <c r="U110" s="103"/>
      <c r="V110" s="104"/>
      <c r="W110" s="102"/>
      <c r="X110" s="97"/>
      <c r="Y110" s="97"/>
      <c r="Z110" s="97"/>
      <c r="AA110" s="95"/>
    </row>
    <row r="111" spans="2:29" ht="15" customHeight="1" x14ac:dyDescent="0.15">
      <c r="B111" s="88"/>
      <c r="C111" s="3"/>
      <c r="G111" s="18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14" t="str">
        <f>IF(O111="","",IF(O111=0,"","m"))</f>
        <v/>
      </c>
      <c r="R111" s="106"/>
      <c r="S111" s="80"/>
      <c r="U111" s="103"/>
      <c r="V111" s="104"/>
      <c r="W111" s="102"/>
      <c r="X111" s="97"/>
      <c r="Y111" s="97"/>
      <c r="Z111" s="97"/>
      <c r="AA111" s="95"/>
      <c r="AC111" s="1">
        <f>IF(U106="",0,IF(U106&gt;SUM(W106:AA111),U106-SUM(W106:AA111),0))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5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K</v>
      </c>
      <c r="H114" s="111">
        <f>Y2</f>
        <v>300</v>
      </c>
      <c r="I114" s="111"/>
      <c r="J114" s="112"/>
      <c r="K114" s="113">
        <f>IF(B10="",0,LARGE(B10:B111,1))</f>
        <v>0</v>
      </c>
      <c r="L114" s="114"/>
      <c r="M114" s="21"/>
      <c r="N114" s="25"/>
      <c r="O114" s="20"/>
      <c r="P114" s="20"/>
      <c r="Q114" s="21"/>
      <c r="R114" s="115">
        <f>SUM(S10:S111)</f>
        <v>0</v>
      </c>
      <c r="S114" s="116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R106:R108"/>
    <mergeCell ref="S106:S111"/>
    <mergeCell ref="T106:T108"/>
    <mergeCell ref="R109:R111"/>
    <mergeCell ref="AA98:AA103"/>
    <mergeCell ref="R101:R103"/>
    <mergeCell ref="I103:J103"/>
    <mergeCell ref="O103:P103"/>
    <mergeCell ref="B106:B111"/>
    <mergeCell ref="F106:G106"/>
    <mergeCell ref="L106:M106"/>
    <mergeCell ref="U98:U103"/>
    <mergeCell ref="V98:V103"/>
    <mergeCell ref="W98:W103"/>
    <mergeCell ref="X98:X103"/>
    <mergeCell ref="Y98:Y103"/>
    <mergeCell ref="Z98:Z103"/>
    <mergeCell ref="AA106:AA111"/>
    <mergeCell ref="I111:J111"/>
    <mergeCell ref="O111:P111"/>
    <mergeCell ref="Y106:Y111"/>
    <mergeCell ref="Z106:Z111"/>
    <mergeCell ref="B98:B103"/>
    <mergeCell ref="F98:G98"/>
    <mergeCell ref="L98:M98"/>
    <mergeCell ref="R98:R100"/>
    <mergeCell ref="S98:S103"/>
    <mergeCell ref="T98:T100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</mergeCells>
  <phoneticPr fontId="2"/>
  <conditionalFormatting sqref="S10:S15 S18:S23 S26:S31 S34:S39 S42:S47 S50:S55 S58:S63 S66:S71 S74:S79 S82:S87 S98:S103">
    <cfRule type="cellIs" dxfId="4" priority="3" stopIfTrue="1" operator="equal">
      <formula>"入力ｴﾗｰ"</formula>
    </cfRule>
  </conditionalFormatting>
  <conditionalFormatting sqref="S90:S95">
    <cfRule type="cellIs" dxfId="3" priority="2" stopIfTrue="1" operator="equal">
      <formula>"入力ｴﾗｰ"</formula>
    </cfRule>
  </conditionalFormatting>
  <conditionalFormatting sqref="S106:S111">
    <cfRule type="cellIs" dxfId="2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0"/>
  </sheetPr>
  <dimension ref="B1:AC114"/>
  <sheetViews>
    <sheetView showGridLines="0" view="pageBreakPreview" zoomScaleNormal="123" zoomScaleSheetLayoutView="100" workbookViewId="0">
      <selection activeCell="C1" sqref="C1:Q1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3" t="s">
        <v>26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23</v>
      </c>
      <c r="V2" s="84"/>
      <c r="W2" s="2"/>
      <c r="X2" s="12"/>
      <c r="Y2" s="84">
        <v>700</v>
      </c>
      <c r="Z2" s="84"/>
      <c r="AA2" s="2"/>
      <c r="AC2" s="1">
        <f>IF(AC1=4,0,IF(Y2&lt;=200,5,0))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IF(Y2&gt;200,6,0)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128" t="s">
        <v>2</v>
      </c>
      <c r="V7" s="90" t="s">
        <v>4</v>
      </c>
      <c r="W7" s="90"/>
      <c r="X7" s="90"/>
      <c r="Y7" s="90"/>
      <c r="Z7" s="90"/>
      <c r="AA7" s="127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129"/>
      <c r="V8" s="31" t="s">
        <v>6</v>
      </c>
      <c r="W8" s="32" t="s">
        <v>5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26"/>
      <c r="V9" s="30"/>
      <c r="W9" s="28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86">
        <v>2.09</v>
      </c>
      <c r="G10" s="86"/>
      <c r="H10" s="14" t="str">
        <f>IF(F10="","",IF(F10=0,"","m"))</f>
        <v>m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O10" s="1" t="s">
        <v>28</v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1.5700000000000003</v>
      </c>
      <c r="T10" s="81" t="str">
        <f>IF(S10="","",IF(S10="入力ｴﾗｰ","","m"))</f>
        <v>m</v>
      </c>
      <c r="U10" s="125">
        <f>IF(B10="","",COUNT(F10,I15,L10,O15)-IF(S10=0,1,0))</f>
        <v>2</v>
      </c>
      <c r="V10" s="126">
        <v>2</v>
      </c>
      <c r="W10" s="97"/>
      <c r="X10" s="97"/>
      <c r="Y10" s="97"/>
      <c r="Z10" s="97"/>
      <c r="AA10" s="95"/>
    </row>
    <row r="11" spans="2:29" ht="3" customHeight="1" thickBot="1" x14ac:dyDescent="0.2">
      <c r="B11" s="88"/>
      <c r="C11" s="3"/>
      <c r="G11" s="3"/>
      <c r="H11" s="2"/>
      <c r="K11" s="3"/>
      <c r="L11" s="2"/>
      <c r="M11" s="3"/>
      <c r="N11" s="2"/>
      <c r="Q11" s="2"/>
      <c r="R11" s="105"/>
      <c r="S11" s="80"/>
      <c r="T11" s="81"/>
      <c r="U11" s="125"/>
      <c r="V11" s="126"/>
      <c r="W11" s="97"/>
      <c r="X11" s="97"/>
      <c r="Y11" s="97"/>
      <c r="Z11" s="97"/>
      <c r="AA11" s="95"/>
    </row>
    <row r="12" spans="2:29" ht="3" customHeight="1" thickTop="1" x14ac:dyDescent="0.15">
      <c r="B12" s="88"/>
      <c r="C12" s="3"/>
      <c r="E12" s="57"/>
      <c r="F12" s="57"/>
      <c r="G12" s="58"/>
      <c r="H12" s="63"/>
      <c r="I12" s="4"/>
      <c r="J12" s="4"/>
      <c r="K12" s="5"/>
      <c r="L12" s="59"/>
      <c r="M12" s="58"/>
      <c r="N12" s="59"/>
      <c r="O12" s="57"/>
      <c r="P12" s="57"/>
      <c r="Q12" s="2"/>
      <c r="R12" s="105"/>
      <c r="S12" s="80"/>
      <c r="T12" s="81"/>
      <c r="U12" s="125"/>
      <c r="V12" s="126"/>
      <c r="W12" s="97"/>
      <c r="X12" s="97"/>
      <c r="Y12" s="97"/>
      <c r="Z12" s="97"/>
      <c r="AA12" s="95"/>
    </row>
    <row r="13" spans="2:29" ht="3" customHeight="1" x14ac:dyDescent="0.15">
      <c r="B13" s="88"/>
      <c r="C13" s="3"/>
      <c r="E13" s="6"/>
      <c r="F13" s="6"/>
      <c r="G13" s="7"/>
      <c r="H13" s="8"/>
      <c r="I13" s="7"/>
      <c r="J13" s="8"/>
      <c r="K13" s="7"/>
      <c r="L13" s="8"/>
      <c r="M13" s="7"/>
      <c r="N13" s="8"/>
      <c r="O13" s="6"/>
      <c r="P13" s="6"/>
      <c r="Q13" s="2"/>
      <c r="R13" s="96" t="str">
        <f>IF(R10="甲","",IF(OR(S10=0,S10="")=TRUE,"",IF(S10="入力ｴﾗｰ","","乙")))</f>
        <v>乙</v>
      </c>
      <c r="S13" s="80"/>
      <c r="U13" s="125"/>
      <c r="V13" s="126"/>
      <c r="W13" s="97"/>
      <c r="X13" s="97"/>
      <c r="Y13" s="97"/>
      <c r="Z13" s="97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L14" s="2"/>
      <c r="M14" s="3"/>
      <c r="N14" s="2"/>
      <c r="Q14" s="2"/>
      <c r="R14" s="96"/>
      <c r="S14" s="80"/>
      <c r="U14" s="125"/>
      <c r="V14" s="126"/>
      <c r="W14" s="97"/>
      <c r="X14" s="97"/>
      <c r="Y14" s="97"/>
      <c r="Z14" s="97"/>
      <c r="AA14" s="95"/>
    </row>
    <row r="15" spans="2:29" ht="15" customHeight="1" x14ac:dyDescent="0.15">
      <c r="B15" s="88"/>
      <c r="C15" s="3"/>
      <c r="G15" s="18" t="s">
        <v>23</v>
      </c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>L=</v>
      </c>
      <c r="O15" s="86">
        <v>2.34</v>
      </c>
      <c r="P15" s="86"/>
      <c r="Q15" s="24" t="str">
        <f>IF(O15="","",IF(O15=0,"","m"))</f>
        <v>m</v>
      </c>
      <c r="R15" s="96"/>
      <c r="S15" s="80"/>
      <c r="U15" s="125"/>
      <c r="V15" s="126"/>
      <c r="W15" s="97"/>
      <c r="X15" s="97"/>
      <c r="Y15" s="97"/>
      <c r="Z15" s="97"/>
      <c r="AA15" s="95"/>
      <c r="AC15" s="1">
        <f>IF(U10="",0,IF(U10&gt;SUM(V10:AA15),U10-SUM(V10:AA15),0))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6"/>
      <c r="V16" s="30"/>
      <c r="W16" s="28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26"/>
      <c r="V17" s="27"/>
      <c r="W17" s="23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2</v>
      </c>
      <c r="C18" s="3"/>
      <c r="E18" s="13" t="str">
        <f>IF(F18="","",IF(F18=0,"","L="))</f>
        <v>L=</v>
      </c>
      <c r="F18" s="86">
        <v>2.09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O18" s="1" t="s">
        <v>23</v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0.3100000000000005</v>
      </c>
      <c r="T18" s="81" t="str">
        <f>IF(S18="","",IF(S18="入力ｴﾗｰ","","m"))</f>
        <v>m</v>
      </c>
      <c r="U18" s="125">
        <f>IF(B18="","",COUNT(F18,I23,L18,O23)-IF(S18=0,1,0))</f>
        <v>2</v>
      </c>
      <c r="V18" s="126">
        <v>2</v>
      </c>
      <c r="W18" s="97"/>
      <c r="X18" s="97"/>
      <c r="Y18" s="97"/>
      <c r="Z18" s="97"/>
      <c r="AA18" s="95"/>
    </row>
    <row r="19" spans="2:29" ht="3" customHeight="1" thickBot="1" x14ac:dyDescent="0.2">
      <c r="B19" s="88"/>
      <c r="C19" s="3"/>
      <c r="G19" s="3"/>
      <c r="H19" s="2"/>
      <c r="I19" s="3"/>
      <c r="J19" s="2"/>
      <c r="K19" s="3"/>
      <c r="L19" s="2"/>
      <c r="M19" s="3"/>
      <c r="N19" s="2"/>
      <c r="Q19" s="2"/>
      <c r="R19" s="105"/>
      <c r="S19" s="80"/>
      <c r="T19" s="81"/>
      <c r="U19" s="125"/>
      <c r="V19" s="126"/>
      <c r="W19" s="97"/>
      <c r="X19" s="97"/>
      <c r="Y19" s="97"/>
      <c r="Z19" s="97"/>
      <c r="AA19" s="95"/>
    </row>
    <row r="20" spans="2:29" ht="3" customHeight="1" thickTop="1" x14ac:dyDescent="0.15">
      <c r="B20" s="88"/>
      <c r="C20" s="3"/>
      <c r="E20" s="57"/>
      <c r="F20" s="57"/>
      <c r="G20" s="58"/>
      <c r="H20" s="59"/>
      <c r="I20" s="4"/>
      <c r="J20" s="59"/>
      <c r="K20" s="58"/>
      <c r="L20" s="59"/>
      <c r="M20" s="58"/>
      <c r="N20" s="59"/>
      <c r="O20" s="57"/>
      <c r="P20" s="57"/>
      <c r="Q20" s="2"/>
      <c r="R20" s="105"/>
      <c r="S20" s="80"/>
      <c r="T20" s="81"/>
      <c r="U20" s="125"/>
      <c r="V20" s="126"/>
      <c r="W20" s="97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6"/>
      <c r="G21" s="7"/>
      <c r="H21" s="8"/>
      <c r="I21" s="6"/>
      <c r="J21" s="6"/>
      <c r="K21" s="7"/>
      <c r="L21" s="8"/>
      <c r="M21" s="7"/>
      <c r="N21" s="8"/>
      <c r="O21" s="6"/>
      <c r="P21" s="6"/>
      <c r="Q21" s="2"/>
      <c r="R21" s="96" t="str">
        <f>IF(R18="甲","",IF(OR(S18=0,S18="")=TRUE,"",IF(S18="入力ｴﾗｰ","","乙")))</f>
        <v>乙</v>
      </c>
      <c r="S21" s="80"/>
      <c r="U21" s="125"/>
      <c r="V21" s="126"/>
      <c r="W21" s="97"/>
      <c r="X21" s="97"/>
      <c r="Y21" s="97"/>
      <c r="Z21" s="97"/>
      <c r="AA21" s="95"/>
    </row>
    <row r="22" spans="2:29" ht="3" customHeight="1" x14ac:dyDescent="0.15">
      <c r="B22" s="88"/>
      <c r="C22" s="3"/>
      <c r="G22" s="3"/>
      <c r="H22" s="2"/>
      <c r="K22" s="3"/>
      <c r="L22" s="2"/>
      <c r="M22" s="3"/>
      <c r="N22" s="2"/>
      <c r="Q22" s="2"/>
      <c r="R22" s="96"/>
      <c r="S22" s="80"/>
      <c r="U22" s="125"/>
      <c r="V22" s="126"/>
      <c r="W22" s="97"/>
      <c r="X22" s="97"/>
      <c r="Y22" s="97"/>
      <c r="Z22" s="97"/>
      <c r="AA22" s="95"/>
    </row>
    <row r="23" spans="2:29" ht="15" customHeight="1" x14ac:dyDescent="0.15">
      <c r="B23" s="88"/>
      <c r="C23" s="3"/>
      <c r="G23" s="1" t="s">
        <v>28</v>
      </c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>L=</v>
      </c>
      <c r="O23" s="86">
        <v>3.6</v>
      </c>
      <c r="P23" s="86"/>
      <c r="Q23" s="24" t="str">
        <f>IF(O23="","",IF(O23=0,"","m"))</f>
        <v>m</v>
      </c>
      <c r="R23" s="96"/>
      <c r="S23" s="80"/>
      <c r="U23" s="125"/>
      <c r="V23" s="126"/>
      <c r="W23" s="97"/>
      <c r="X23" s="97"/>
      <c r="Y23" s="97"/>
      <c r="Z23" s="97"/>
      <c r="AA23" s="95"/>
      <c r="AC23" s="1">
        <f>IF(U18="",0,IF(U18&gt;SUM(V18:AA23),U18-SUM(V18:AA23),0))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39"/>
      <c r="V24" s="40"/>
      <c r="W24" s="41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26"/>
      <c r="V25" s="27"/>
      <c r="W25" s="23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3</v>
      </c>
      <c r="C26" s="3"/>
      <c r="E26" s="13" t="str">
        <f>IF(F26="","",IF(F26=0,"","L="))</f>
        <v>L=</v>
      </c>
      <c r="F26" s="86">
        <v>3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Q26" s="2"/>
      <c r="R26" s="105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3</v>
      </c>
      <c r="T26" s="81" t="str">
        <f>IF(S26="","",IF(S26="入力ｴﾗｰ","","m"))</f>
        <v>m</v>
      </c>
      <c r="U26" s="125">
        <f>IF(B26="","",COUNT(F26,I31,L26,O31)-IF(S26=0,1,0))</f>
        <v>1</v>
      </c>
      <c r="V26" s="126">
        <v>1</v>
      </c>
      <c r="W26" s="97"/>
      <c r="X26" s="97"/>
      <c r="Y26" s="97"/>
      <c r="Z26" s="97"/>
      <c r="AA26" s="95"/>
    </row>
    <row r="27" spans="2:29" ht="3" customHeight="1" thickBot="1" x14ac:dyDescent="0.2">
      <c r="B27" s="88"/>
      <c r="C27" s="3"/>
      <c r="E27" s="60"/>
      <c r="F27" s="60"/>
      <c r="G27" s="61"/>
      <c r="H27" s="62"/>
      <c r="I27" s="60"/>
      <c r="J27" s="62"/>
      <c r="K27" s="3"/>
      <c r="L27" s="2"/>
      <c r="M27" s="3"/>
      <c r="N27" s="2"/>
      <c r="Q27" s="2"/>
      <c r="R27" s="105"/>
      <c r="S27" s="80"/>
      <c r="T27" s="81"/>
      <c r="U27" s="125"/>
      <c r="V27" s="126"/>
      <c r="W27" s="97"/>
      <c r="X27" s="97"/>
      <c r="Y27" s="97"/>
      <c r="Z27" s="97"/>
      <c r="AA27" s="95"/>
    </row>
    <row r="28" spans="2:29" ht="3" customHeight="1" thickTop="1" x14ac:dyDescent="0.15">
      <c r="B28" s="88"/>
      <c r="C28" s="3"/>
      <c r="E28" s="4"/>
      <c r="F28" s="4"/>
      <c r="G28" s="5"/>
      <c r="H28" s="55"/>
      <c r="I28" s="4"/>
      <c r="J28" s="4"/>
      <c r="K28" s="5"/>
      <c r="L28" s="2"/>
      <c r="M28" s="5"/>
      <c r="N28" s="55"/>
      <c r="O28" s="4"/>
      <c r="P28" s="4"/>
      <c r="Q28" s="2"/>
      <c r="R28" s="105"/>
      <c r="S28" s="80"/>
      <c r="T28" s="81"/>
      <c r="U28" s="125"/>
      <c r="V28" s="126"/>
      <c r="W28" s="97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6"/>
      <c r="J29" s="6"/>
      <c r="K29" s="7"/>
      <c r="L29" s="8"/>
      <c r="M29" s="7"/>
      <c r="N29" s="8"/>
      <c r="O29" s="7"/>
      <c r="P29" s="6"/>
      <c r="Q29" s="2"/>
      <c r="R29" s="96" t="str">
        <f>IF(R26="甲","",IF(OR(S26=0,S26="")=TRUE,"",IF(S26="入力ｴﾗｰ","","乙")))</f>
        <v>乙</v>
      </c>
      <c r="S29" s="80"/>
      <c r="U29" s="125"/>
      <c r="V29" s="126"/>
      <c r="W29" s="97"/>
      <c r="X29" s="97"/>
      <c r="Y29" s="97"/>
      <c r="Z29" s="97"/>
      <c r="AA29" s="95"/>
    </row>
    <row r="30" spans="2:29" ht="3" customHeight="1" x14ac:dyDescent="0.15">
      <c r="B30" s="88"/>
      <c r="C30" s="3"/>
      <c r="G30" s="3"/>
      <c r="H30" s="2"/>
      <c r="K30" s="3"/>
      <c r="L30" s="2"/>
      <c r="M30" s="3"/>
      <c r="N30" s="2"/>
      <c r="Q30" s="2"/>
      <c r="R30" s="96"/>
      <c r="S30" s="80"/>
      <c r="U30" s="125"/>
      <c r="V30" s="126"/>
      <c r="W30" s="97"/>
      <c r="X30" s="97"/>
      <c r="Y30" s="97"/>
      <c r="Z30" s="97"/>
      <c r="AA30" s="95"/>
    </row>
    <row r="31" spans="2:29" ht="15" customHeight="1" x14ac:dyDescent="0.15">
      <c r="B31" s="88"/>
      <c r="C31" s="3"/>
      <c r="G31" s="1" t="s">
        <v>23</v>
      </c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24" t="str">
        <f>IF(O31="","",IF(O31=0,"","m"))</f>
        <v/>
      </c>
      <c r="R31" s="96"/>
      <c r="S31" s="80"/>
      <c r="U31" s="125"/>
      <c r="V31" s="126"/>
      <c r="W31" s="97"/>
      <c r="X31" s="97"/>
      <c r="Y31" s="97"/>
      <c r="Z31" s="97"/>
      <c r="AA31" s="95"/>
      <c r="AC31" s="1">
        <f>IF(U26="",0,IF(U26&gt;SUM(V26:AA31),U26-SUM(V26:AA31),0))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39"/>
      <c r="V32" s="40"/>
      <c r="W32" s="41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26"/>
      <c r="V33" s="27"/>
      <c r="W33" s="23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4</v>
      </c>
      <c r="C34" s="3"/>
      <c r="E34" s="13" t="str">
        <f>IF(F34="","",IF(F34=0,"","L="))</f>
        <v>L=</v>
      </c>
      <c r="F34" s="86">
        <v>5.26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Q34" s="2"/>
      <c r="R34" s="105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0.74000000000000021</v>
      </c>
      <c r="T34" s="81" t="str">
        <f>IF(S34="","",IF(S34="入力ｴﾗｰ","","m"))</f>
        <v>m</v>
      </c>
      <c r="U34" s="125">
        <f>IF(B34="","",COUNT(F34,I39,L34,O39)-IF(S34=0,1,0))</f>
        <v>1</v>
      </c>
      <c r="V34" s="126">
        <v>1</v>
      </c>
      <c r="W34" s="97"/>
      <c r="X34" s="97"/>
      <c r="Y34" s="97"/>
      <c r="Z34" s="97"/>
      <c r="AA34" s="95"/>
    </row>
    <row r="35" spans="2:29" ht="3" customHeight="1" thickBot="1" x14ac:dyDescent="0.2">
      <c r="B35" s="88"/>
      <c r="C35" s="3"/>
      <c r="E35" s="60"/>
      <c r="F35" s="60"/>
      <c r="G35" s="61"/>
      <c r="H35" s="62"/>
      <c r="I35" s="60"/>
      <c r="J35" s="60"/>
      <c r="K35" s="61"/>
      <c r="L35" s="62"/>
      <c r="M35" s="3"/>
      <c r="N35" s="2"/>
      <c r="Q35" s="2"/>
      <c r="R35" s="105"/>
      <c r="S35" s="80"/>
      <c r="T35" s="81"/>
      <c r="U35" s="125"/>
      <c r="V35" s="126"/>
      <c r="W35" s="97"/>
      <c r="X35" s="97"/>
      <c r="Y35" s="97"/>
      <c r="Z35" s="97"/>
      <c r="AA35" s="95"/>
    </row>
    <row r="36" spans="2:29" ht="3" customHeight="1" thickTop="1" x14ac:dyDescent="0.15">
      <c r="B36" s="88"/>
      <c r="C36" s="3"/>
      <c r="E36" s="4"/>
      <c r="F36" s="4"/>
      <c r="G36" s="5"/>
      <c r="H36" s="55"/>
      <c r="I36" s="4"/>
      <c r="J36" s="4"/>
      <c r="K36" s="5"/>
      <c r="L36" s="2"/>
      <c r="M36" s="58"/>
      <c r="N36" s="59"/>
      <c r="O36" s="58"/>
      <c r="P36" s="4"/>
      <c r="Q36" s="2"/>
      <c r="R36" s="105"/>
      <c r="S36" s="80"/>
      <c r="T36" s="81"/>
      <c r="U36" s="125"/>
      <c r="V36" s="126"/>
      <c r="W36" s="97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6"/>
      <c r="J37" s="6"/>
      <c r="K37" s="7"/>
      <c r="L37" s="8"/>
      <c r="M37" s="7"/>
      <c r="N37" s="8"/>
      <c r="O37" s="7"/>
      <c r="P37" s="6"/>
      <c r="Q37" s="2"/>
      <c r="R37" s="96" t="str">
        <f>IF(R34="甲","",IF(OR(S34=0,S34="")=TRUE,"",IF(S34="入力ｴﾗｰ","","乙")))</f>
        <v>乙</v>
      </c>
      <c r="S37" s="80"/>
      <c r="U37" s="125"/>
      <c r="V37" s="126"/>
      <c r="W37" s="97"/>
      <c r="X37" s="97"/>
      <c r="Y37" s="97"/>
      <c r="Z37" s="97"/>
      <c r="AA37" s="95"/>
    </row>
    <row r="38" spans="2:29" ht="3" customHeight="1" x14ac:dyDescent="0.15">
      <c r="B38" s="88"/>
      <c r="C38" s="3"/>
      <c r="G38" s="3"/>
      <c r="H38" s="2"/>
      <c r="K38" s="3"/>
      <c r="L38" s="2"/>
      <c r="M38" s="3"/>
      <c r="N38" s="2"/>
      <c r="O38" s="3"/>
      <c r="Q38" s="2"/>
      <c r="R38" s="96"/>
      <c r="S38" s="80"/>
      <c r="U38" s="125"/>
      <c r="V38" s="126"/>
      <c r="W38" s="97"/>
      <c r="X38" s="97"/>
      <c r="Y38" s="97"/>
      <c r="Z38" s="97"/>
      <c r="AA38" s="95"/>
    </row>
    <row r="39" spans="2:29" ht="15" customHeight="1" x14ac:dyDescent="0.15">
      <c r="B39" s="88"/>
      <c r="C39" s="3"/>
      <c r="G39" s="1" t="s">
        <v>23</v>
      </c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24" t="str">
        <f>IF(O39="","",IF(O39=0,"","m"))</f>
        <v/>
      </c>
      <c r="R39" s="96"/>
      <c r="S39" s="80"/>
      <c r="U39" s="125"/>
      <c r="V39" s="126"/>
      <c r="W39" s="97"/>
      <c r="X39" s="97"/>
      <c r="Y39" s="97"/>
      <c r="Z39" s="97"/>
      <c r="AA39" s="95"/>
      <c r="AC39" s="1">
        <f>IF(U34="",0,IF(U34&gt;SUM(V34:AA39),U34-SUM(V34:AA39),0))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39"/>
      <c r="V40" s="40"/>
      <c r="W40" s="41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26"/>
      <c r="V41" s="27"/>
      <c r="W41" s="23"/>
      <c r="X41" s="23"/>
      <c r="Y41" s="23"/>
      <c r="Z41" s="23"/>
      <c r="AA41" s="37"/>
    </row>
    <row r="42" spans="2:29" ht="15" customHeight="1" x14ac:dyDescent="0.15">
      <c r="B42" s="88">
        <f>IF(S42="","",IF(B34="","",1+B34))</f>
        <v>5</v>
      </c>
      <c r="C42" s="3"/>
      <c r="E42" s="13" t="str">
        <f>IF(F42="","",IF(F42=0,"","L="))</f>
        <v>L=</v>
      </c>
      <c r="F42" s="86">
        <v>3.4</v>
      </c>
      <c r="G42" s="86"/>
      <c r="H42" s="14" t="str">
        <f>IF(F42="","",IF(F42=0,"","m"))</f>
        <v>m</v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Q42" s="2"/>
      <c r="R42" s="105" t="str">
        <f>IF(OR(S42="入力ｴﾗｰ",S42=0,S42="")=TRUE,"",IF(F42="","甲",IF(F42=0,"甲","")))</f>
        <v/>
      </c>
      <c r="S42" s="80">
        <f>IF((F42+I47+L42+O47)=0,"",IF((F42+I47+L42+O47)&gt;SUM($AC$1:$AC$3),"入力ｴﾗｰ",SUM($AC$1:$AC$3)-(F42+I47+L42+O47)))</f>
        <v>2.6</v>
      </c>
      <c r="T42" s="81" t="str">
        <f>IF(S42="","",IF(S42="入力ｴﾗｰ","","m"))</f>
        <v>m</v>
      </c>
      <c r="U42" s="125">
        <f>IF(B42="","",COUNT(F42,I47,L42,O47)-IF(S42=0,1,0))</f>
        <v>1</v>
      </c>
      <c r="V42" s="126">
        <v>1</v>
      </c>
      <c r="W42" s="97"/>
      <c r="X42" s="97"/>
      <c r="Y42" s="97"/>
      <c r="Z42" s="97"/>
      <c r="AA42" s="95"/>
    </row>
    <row r="43" spans="2:29" ht="3" customHeight="1" thickBot="1" x14ac:dyDescent="0.2">
      <c r="B43" s="88"/>
      <c r="C43" s="3"/>
      <c r="E43" s="60"/>
      <c r="F43" s="60"/>
      <c r="G43" s="61"/>
      <c r="H43" s="62"/>
      <c r="I43" s="60"/>
      <c r="J43" s="60"/>
      <c r="K43" s="61"/>
      <c r="L43" s="2"/>
      <c r="M43" s="3"/>
      <c r="N43" s="2"/>
      <c r="Q43" s="2"/>
      <c r="R43" s="105"/>
      <c r="S43" s="80"/>
      <c r="T43" s="81"/>
      <c r="U43" s="125"/>
      <c r="V43" s="126"/>
      <c r="W43" s="97"/>
      <c r="X43" s="97"/>
      <c r="Y43" s="97"/>
      <c r="Z43" s="97"/>
      <c r="AA43" s="95"/>
    </row>
    <row r="44" spans="2:29" ht="3" customHeight="1" thickTop="1" x14ac:dyDescent="0.15">
      <c r="B44" s="88"/>
      <c r="C44" s="3"/>
      <c r="E44" s="4"/>
      <c r="F44" s="4"/>
      <c r="G44" s="5"/>
      <c r="H44" s="55"/>
      <c r="I44" s="4"/>
      <c r="J44" s="4"/>
      <c r="K44" s="5"/>
      <c r="L44" s="2"/>
      <c r="M44" s="5"/>
      <c r="N44" s="55"/>
      <c r="O44" s="4"/>
      <c r="P44" s="4"/>
      <c r="Q44" s="2"/>
      <c r="R44" s="105"/>
      <c r="S44" s="80"/>
      <c r="T44" s="81"/>
      <c r="U44" s="125"/>
      <c r="V44" s="126"/>
      <c r="W44" s="97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6"/>
      <c r="J45" s="6"/>
      <c r="K45" s="7"/>
      <c r="L45" s="8"/>
      <c r="M45" s="7"/>
      <c r="N45" s="8"/>
      <c r="O45" s="7"/>
      <c r="P45" s="6"/>
      <c r="Q45" s="2"/>
      <c r="R45" s="96" t="str">
        <f>IF(R42="甲","",IF(OR(S42=0,S42="")=TRUE,"",IF(S42="入力ｴﾗｰ","","乙")))</f>
        <v>乙</v>
      </c>
      <c r="S45" s="80"/>
      <c r="U45" s="125"/>
      <c r="V45" s="126"/>
      <c r="W45" s="97"/>
      <c r="X45" s="97"/>
      <c r="Y45" s="97"/>
      <c r="Z45" s="97"/>
      <c r="AA45" s="95"/>
    </row>
    <row r="46" spans="2:29" ht="3" customHeight="1" x14ac:dyDescent="0.15">
      <c r="B46" s="88"/>
      <c r="C46" s="3"/>
      <c r="G46" s="3"/>
      <c r="H46" s="2"/>
      <c r="K46" s="3"/>
      <c r="L46" s="2"/>
      <c r="M46" s="3"/>
      <c r="N46" s="2"/>
      <c r="Q46" s="2"/>
      <c r="R46" s="96"/>
      <c r="S46" s="80"/>
      <c r="U46" s="125"/>
      <c r="V46" s="126"/>
      <c r="W46" s="97"/>
      <c r="X46" s="97"/>
      <c r="Y46" s="97"/>
      <c r="Z46" s="97"/>
      <c r="AA46" s="95"/>
    </row>
    <row r="47" spans="2:29" ht="15" customHeight="1" x14ac:dyDescent="0.15">
      <c r="B47" s="88"/>
      <c r="C47" s="3"/>
      <c r="G47" s="1" t="s">
        <v>23</v>
      </c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24" t="str">
        <f>IF(O47="","",IF(O47=0,"","m"))</f>
        <v/>
      </c>
      <c r="R47" s="96"/>
      <c r="S47" s="80"/>
      <c r="U47" s="125"/>
      <c r="V47" s="126"/>
      <c r="W47" s="97"/>
      <c r="X47" s="97"/>
      <c r="Y47" s="97"/>
      <c r="Z47" s="97"/>
      <c r="AA47" s="95"/>
      <c r="AC47" s="1">
        <f>IF(U42="",0,IF(U42&gt;SUM(V42:AA47),U42-SUM(V42:AA47),0))</f>
        <v>0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39"/>
      <c r="V48" s="40"/>
      <c r="W48" s="41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26"/>
      <c r="V49" s="27"/>
      <c r="W49" s="23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Q50" s="2"/>
      <c r="R50" s="105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25" t="str">
        <f>IF(B50="","",COUNT(F50,I55,L50,O55)-IF(S50=0,1,0))</f>
        <v/>
      </c>
      <c r="V50" s="126"/>
      <c r="W50" s="97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K51" s="3"/>
      <c r="L51" s="2"/>
      <c r="M51" s="3"/>
      <c r="N51" s="2"/>
      <c r="Q51" s="2"/>
      <c r="R51" s="105"/>
      <c r="S51" s="80"/>
      <c r="T51" s="81"/>
      <c r="U51" s="125"/>
      <c r="V51" s="126"/>
      <c r="W51" s="97"/>
      <c r="X51" s="97"/>
      <c r="Y51" s="97"/>
      <c r="Z51" s="97"/>
      <c r="AA51" s="95"/>
    </row>
    <row r="52" spans="2:29" ht="3" customHeight="1" x14ac:dyDescent="0.15">
      <c r="B52" s="88"/>
      <c r="C52" s="3"/>
      <c r="E52" s="4"/>
      <c r="F52" s="4"/>
      <c r="G52" s="5"/>
      <c r="H52" s="55"/>
      <c r="I52" s="4"/>
      <c r="J52" s="4"/>
      <c r="K52" s="5"/>
      <c r="L52" s="55"/>
      <c r="M52" s="5"/>
      <c r="N52" s="55"/>
      <c r="O52" s="4"/>
      <c r="P52" s="4"/>
      <c r="Q52" s="2"/>
      <c r="R52" s="105"/>
      <c r="S52" s="80"/>
      <c r="T52" s="81"/>
      <c r="U52" s="125"/>
      <c r="V52" s="126"/>
      <c r="W52" s="97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8"/>
      <c r="I53" s="6"/>
      <c r="J53" s="6"/>
      <c r="K53" s="7"/>
      <c r="L53" s="8"/>
      <c r="M53" s="7"/>
      <c r="N53" s="8"/>
      <c r="O53" s="6"/>
      <c r="P53" s="6"/>
      <c r="Q53" s="2"/>
      <c r="R53" s="96" t="str">
        <f>IF(R50="甲","",IF(OR(S50=0,S50="")=TRUE,"",IF(S50="入力ｴﾗｰ","","乙")))</f>
        <v/>
      </c>
      <c r="S53" s="80"/>
      <c r="U53" s="125"/>
      <c r="V53" s="126"/>
      <c r="W53" s="97"/>
      <c r="X53" s="97"/>
      <c r="Y53" s="97"/>
      <c r="Z53" s="97"/>
      <c r="AA53" s="95"/>
    </row>
    <row r="54" spans="2:29" ht="3" customHeight="1" x14ac:dyDescent="0.15">
      <c r="B54" s="88"/>
      <c r="C54" s="3"/>
      <c r="G54" s="3"/>
      <c r="H54" s="2"/>
      <c r="K54" s="3"/>
      <c r="L54" s="2"/>
      <c r="M54" s="3"/>
      <c r="N54" s="2"/>
      <c r="Q54" s="2"/>
      <c r="R54" s="96"/>
      <c r="S54" s="80"/>
      <c r="U54" s="125"/>
      <c r="V54" s="126"/>
      <c r="W54" s="97"/>
      <c r="X54" s="97"/>
      <c r="Y54" s="97"/>
      <c r="Z54" s="97"/>
      <c r="AA54" s="95"/>
    </row>
    <row r="55" spans="2:29" ht="15" customHeight="1" x14ac:dyDescent="0.15">
      <c r="B55" s="88"/>
      <c r="C55" s="3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24" t="str">
        <f>IF(O55="","",IF(O55=0,"","m"))</f>
        <v/>
      </c>
      <c r="R55" s="96"/>
      <c r="S55" s="80"/>
      <c r="U55" s="125"/>
      <c r="V55" s="126"/>
      <c r="W55" s="97"/>
      <c r="X55" s="97"/>
      <c r="Y55" s="97"/>
      <c r="Z55" s="97"/>
      <c r="AA55" s="95"/>
      <c r="AC55" s="1">
        <f>IF(U50="",0,IF(U50&gt;SUM(V50:AA55),U50-SUM(V50:AA55),0))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39"/>
      <c r="V56" s="40"/>
      <c r="W56" s="41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26"/>
      <c r="V57" s="27"/>
      <c r="W57" s="23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Q58" s="2"/>
      <c r="R58" s="105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25" t="str">
        <f>IF(B58="","",COUNT(F58,I63,L58,O63)-IF(S58=0,1,0))</f>
        <v/>
      </c>
      <c r="V58" s="126"/>
      <c r="W58" s="97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H59" s="2"/>
      <c r="K59" s="3"/>
      <c r="L59" s="2"/>
      <c r="M59" s="3"/>
      <c r="N59" s="2"/>
      <c r="Q59" s="2"/>
      <c r="R59" s="105"/>
      <c r="S59" s="80"/>
      <c r="T59" s="81"/>
      <c r="U59" s="125"/>
      <c r="V59" s="126"/>
      <c r="W59" s="97"/>
      <c r="X59" s="97"/>
      <c r="Y59" s="97"/>
      <c r="Z59" s="97"/>
      <c r="AA59" s="95"/>
    </row>
    <row r="60" spans="2:29" ht="3" customHeight="1" x14ac:dyDescent="0.15">
      <c r="B60" s="88"/>
      <c r="C60" s="3"/>
      <c r="E60" s="4"/>
      <c r="F60" s="4"/>
      <c r="G60" s="5"/>
      <c r="H60" s="55"/>
      <c r="I60" s="4"/>
      <c r="J60" s="4"/>
      <c r="K60" s="5"/>
      <c r="L60" s="55"/>
      <c r="M60" s="5"/>
      <c r="N60" s="55"/>
      <c r="O60" s="4"/>
      <c r="P60" s="4"/>
      <c r="Q60" s="2"/>
      <c r="R60" s="105"/>
      <c r="S60" s="80"/>
      <c r="T60" s="81"/>
      <c r="U60" s="125"/>
      <c r="V60" s="126"/>
      <c r="W60" s="97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8"/>
      <c r="I61" s="6"/>
      <c r="J61" s="6"/>
      <c r="K61" s="7"/>
      <c r="L61" s="8"/>
      <c r="M61" s="7"/>
      <c r="N61" s="8"/>
      <c r="O61" s="6"/>
      <c r="P61" s="6"/>
      <c r="Q61" s="2"/>
      <c r="R61" s="96" t="str">
        <f>IF(R58="甲","",IF(OR(S58=0,S58="")=TRUE,"",IF(S58="入力ｴﾗｰ","","乙")))</f>
        <v/>
      </c>
      <c r="S61" s="80"/>
      <c r="U61" s="125"/>
      <c r="V61" s="126"/>
      <c r="W61" s="97"/>
      <c r="X61" s="97"/>
      <c r="Y61" s="97"/>
      <c r="Z61" s="97"/>
      <c r="AA61" s="95"/>
    </row>
    <row r="62" spans="2:29" ht="3" customHeight="1" x14ac:dyDescent="0.15">
      <c r="B62" s="88"/>
      <c r="C62" s="3"/>
      <c r="G62" s="3"/>
      <c r="H62" s="2"/>
      <c r="K62" s="3"/>
      <c r="L62" s="2"/>
      <c r="M62" s="3"/>
      <c r="N62" s="2"/>
      <c r="Q62" s="2"/>
      <c r="R62" s="96"/>
      <c r="S62" s="80"/>
      <c r="U62" s="125"/>
      <c r="V62" s="126"/>
      <c r="W62" s="97"/>
      <c r="X62" s="97"/>
      <c r="Y62" s="97"/>
      <c r="Z62" s="97"/>
      <c r="AA62" s="95"/>
    </row>
    <row r="63" spans="2:29" ht="15" customHeight="1" x14ac:dyDescent="0.15">
      <c r="B63" s="88"/>
      <c r="C63" s="3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24" t="str">
        <f>IF(O63="","",IF(O63=0,"","m"))</f>
        <v/>
      </c>
      <c r="R63" s="96"/>
      <c r="S63" s="80"/>
      <c r="U63" s="125"/>
      <c r="V63" s="126"/>
      <c r="W63" s="97"/>
      <c r="X63" s="97"/>
      <c r="Y63" s="97"/>
      <c r="Z63" s="97"/>
      <c r="AA63" s="95"/>
      <c r="AC63" s="1">
        <f>IF(U58="",0,IF(U58&gt;SUM(V58:AA63),U58-SUM(V58:AA63),0))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39"/>
      <c r="V64" s="40"/>
      <c r="W64" s="41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26"/>
      <c r="V65" s="27"/>
      <c r="W65" s="23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Q66" s="2"/>
      <c r="R66" s="105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25" t="str">
        <f>IF(B66="","",COUNT(F66,I71,L66,O71)-IF(S66=0,1,0))</f>
        <v/>
      </c>
      <c r="V66" s="126"/>
      <c r="W66" s="97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N67" s="2"/>
      <c r="Q67" s="2"/>
      <c r="R67" s="105"/>
      <c r="S67" s="80"/>
      <c r="T67" s="81"/>
      <c r="U67" s="125"/>
      <c r="V67" s="126"/>
      <c r="W67" s="97"/>
      <c r="X67" s="97"/>
      <c r="Y67" s="97"/>
      <c r="Z67" s="97"/>
      <c r="AA67" s="95"/>
    </row>
    <row r="68" spans="2:29" ht="3" customHeight="1" x14ac:dyDescent="0.15">
      <c r="B68" s="88"/>
      <c r="C68" s="3"/>
      <c r="E68" s="4"/>
      <c r="F68" s="4"/>
      <c r="G68" s="5"/>
      <c r="H68" s="55"/>
      <c r="I68" s="4"/>
      <c r="J68" s="4"/>
      <c r="K68" s="5"/>
      <c r="L68" s="2"/>
      <c r="M68" s="5"/>
      <c r="N68" s="55"/>
      <c r="O68" s="4"/>
      <c r="P68" s="4"/>
      <c r="Q68" s="2"/>
      <c r="R68" s="105"/>
      <c r="S68" s="80"/>
      <c r="T68" s="81"/>
      <c r="U68" s="125"/>
      <c r="V68" s="126"/>
      <c r="W68" s="97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6"/>
      <c r="G69" s="7"/>
      <c r="H69" s="8"/>
      <c r="I69" s="6"/>
      <c r="J69" s="6"/>
      <c r="K69" s="7"/>
      <c r="L69" s="8"/>
      <c r="M69" s="7"/>
      <c r="N69" s="8"/>
      <c r="O69" s="6"/>
      <c r="P69" s="6"/>
      <c r="Q69" s="2"/>
      <c r="R69" s="96" t="str">
        <f>IF(R66="甲","",IF(OR(S66=0,S66="")=TRUE,"",IF(S66="入力ｴﾗｰ","","乙")))</f>
        <v/>
      </c>
      <c r="S69" s="80"/>
      <c r="U69" s="125"/>
      <c r="V69" s="126"/>
      <c r="W69" s="97"/>
      <c r="X69" s="97"/>
      <c r="Y69" s="97"/>
      <c r="Z69" s="97"/>
      <c r="AA69" s="95"/>
    </row>
    <row r="70" spans="2:29" ht="3" customHeight="1" x14ac:dyDescent="0.15">
      <c r="B70" s="88"/>
      <c r="C70" s="3"/>
      <c r="G70" s="3"/>
      <c r="H70" s="2"/>
      <c r="K70" s="3"/>
      <c r="L70" s="2"/>
      <c r="M70" s="3"/>
      <c r="N70" s="2"/>
      <c r="Q70" s="2"/>
      <c r="R70" s="96"/>
      <c r="S70" s="80"/>
      <c r="U70" s="125"/>
      <c r="V70" s="126"/>
      <c r="W70" s="97"/>
      <c r="X70" s="97"/>
      <c r="Y70" s="97"/>
      <c r="Z70" s="97"/>
      <c r="AA70" s="95"/>
    </row>
    <row r="71" spans="2:29" ht="15" customHeight="1" x14ac:dyDescent="0.15">
      <c r="B71" s="88"/>
      <c r="C71" s="3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24" t="str">
        <f>IF(O71="","",IF(O71=0,"","m"))</f>
        <v/>
      </c>
      <c r="R71" s="96"/>
      <c r="S71" s="80"/>
      <c r="U71" s="125"/>
      <c r="V71" s="126"/>
      <c r="W71" s="97"/>
      <c r="X71" s="97"/>
      <c r="Y71" s="97"/>
      <c r="Z71" s="97"/>
      <c r="AA71" s="95"/>
      <c r="AC71" s="1">
        <f>IF(U66="",0,IF(U66&gt;SUM(V66:AA71),U66-SUM(V66:AA71),0))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39"/>
      <c r="V72" s="40"/>
      <c r="W72" s="41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26"/>
      <c r="V73" s="27"/>
      <c r="W73" s="23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Q74" s="2"/>
      <c r="R74" s="105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25" t="str">
        <f>IF(B74="","",COUNT(F74,I79,L74,O79)-IF(S74=0,1,0))</f>
        <v/>
      </c>
      <c r="V74" s="126"/>
      <c r="W74" s="97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N75" s="2"/>
      <c r="Q75" s="2"/>
      <c r="R75" s="105"/>
      <c r="S75" s="80"/>
      <c r="T75" s="81"/>
      <c r="U75" s="125"/>
      <c r="V75" s="126"/>
      <c r="W75" s="97"/>
      <c r="X75" s="97"/>
      <c r="Y75" s="97"/>
      <c r="Z75" s="97"/>
      <c r="AA75" s="95"/>
    </row>
    <row r="76" spans="2:29" ht="3" customHeight="1" x14ac:dyDescent="0.15">
      <c r="B76" s="88"/>
      <c r="C76" s="3"/>
      <c r="E76" s="4"/>
      <c r="F76" s="4"/>
      <c r="G76" s="5"/>
      <c r="H76" s="55"/>
      <c r="I76" s="4"/>
      <c r="J76" s="4"/>
      <c r="K76" s="5"/>
      <c r="L76" s="2"/>
      <c r="M76" s="5"/>
      <c r="N76" s="55"/>
      <c r="O76" s="4"/>
      <c r="P76" s="4"/>
      <c r="Q76" s="2"/>
      <c r="R76" s="105"/>
      <c r="S76" s="80"/>
      <c r="T76" s="81"/>
      <c r="U76" s="125"/>
      <c r="V76" s="126"/>
      <c r="W76" s="97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6"/>
      <c r="G77" s="7"/>
      <c r="H77" s="8"/>
      <c r="I77" s="6"/>
      <c r="J77" s="6"/>
      <c r="K77" s="7"/>
      <c r="L77" s="8"/>
      <c r="M77" s="7"/>
      <c r="N77" s="8"/>
      <c r="O77" s="6"/>
      <c r="P77" s="6"/>
      <c r="Q77" s="2"/>
      <c r="R77" s="96" t="str">
        <f>IF(R74="甲","",IF(OR(S74=0,S74="")=TRUE,"",IF(S74="入力ｴﾗｰ","","乙")))</f>
        <v/>
      </c>
      <c r="S77" s="80"/>
      <c r="U77" s="125"/>
      <c r="V77" s="126"/>
      <c r="W77" s="97"/>
      <c r="X77" s="97"/>
      <c r="Y77" s="97"/>
      <c r="Z77" s="97"/>
      <c r="AA77" s="95"/>
    </row>
    <row r="78" spans="2:29" ht="3" customHeight="1" x14ac:dyDescent="0.15">
      <c r="B78" s="88"/>
      <c r="C78" s="3"/>
      <c r="G78" s="3"/>
      <c r="H78" s="2"/>
      <c r="K78" s="3"/>
      <c r="L78" s="2"/>
      <c r="M78" s="3"/>
      <c r="N78" s="2"/>
      <c r="Q78" s="2"/>
      <c r="R78" s="96"/>
      <c r="S78" s="80"/>
      <c r="U78" s="125"/>
      <c r="V78" s="126"/>
      <c r="W78" s="97"/>
      <c r="X78" s="97"/>
      <c r="Y78" s="97"/>
      <c r="Z78" s="97"/>
      <c r="AA78" s="95"/>
    </row>
    <row r="79" spans="2:29" ht="15" customHeight="1" x14ac:dyDescent="0.15">
      <c r="B79" s="88"/>
      <c r="C79" s="3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24" t="str">
        <f>IF(O79="","",IF(O79=0,"","m"))</f>
        <v/>
      </c>
      <c r="R79" s="96"/>
      <c r="S79" s="80"/>
      <c r="U79" s="125"/>
      <c r="V79" s="126"/>
      <c r="W79" s="97"/>
      <c r="X79" s="97"/>
      <c r="Y79" s="97"/>
      <c r="Z79" s="97"/>
      <c r="AA79" s="95"/>
      <c r="AC79" s="1">
        <f>IF(U74="",0,IF(U74&gt;SUM(V74:AA79),U74-SUM(V74:AA79),0))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39"/>
      <c r="V80" s="40"/>
      <c r="W80" s="41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26"/>
      <c r="V81" s="27"/>
      <c r="W81" s="23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Q82" s="2"/>
      <c r="R82" s="105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25" t="str">
        <f>IF(B82="","",COUNT(F82,I87,L82,O87)-IF(S82=0,1,0))</f>
        <v/>
      </c>
      <c r="V82" s="126"/>
      <c r="W82" s="97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L83" s="2"/>
      <c r="M83" s="3"/>
      <c r="N83" s="2"/>
      <c r="Q83" s="2"/>
      <c r="R83" s="105"/>
      <c r="S83" s="80"/>
      <c r="T83" s="81"/>
      <c r="U83" s="125"/>
      <c r="V83" s="126"/>
      <c r="W83" s="97"/>
      <c r="X83" s="97"/>
      <c r="Y83" s="97"/>
      <c r="Z83" s="97"/>
      <c r="AA83" s="95"/>
    </row>
    <row r="84" spans="2:29" ht="3" customHeight="1" x14ac:dyDescent="0.15">
      <c r="B84" s="88"/>
      <c r="C84" s="3"/>
      <c r="E84" s="4"/>
      <c r="F84" s="4"/>
      <c r="G84" s="5"/>
      <c r="H84" s="55"/>
      <c r="I84" s="4"/>
      <c r="J84" s="4"/>
      <c r="K84" s="5"/>
      <c r="L84" s="2"/>
      <c r="M84" s="5"/>
      <c r="N84" s="55"/>
      <c r="O84" s="4"/>
      <c r="P84" s="4"/>
      <c r="Q84" s="2"/>
      <c r="R84" s="105"/>
      <c r="S84" s="80"/>
      <c r="T84" s="81"/>
      <c r="U84" s="125"/>
      <c r="V84" s="126"/>
      <c r="W84" s="97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6"/>
      <c r="J85" s="6"/>
      <c r="K85" s="7"/>
      <c r="L85" s="8"/>
      <c r="M85" s="7"/>
      <c r="N85" s="8"/>
      <c r="O85" s="6"/>
      <c r="P85" s="6"/>
      <c r="Q85" s="2"/>
      <c r="R85" s="96" t="str">
        <f>IF(R82="甲","",IF(OR(S82=0,S82="")=TRUE,"",IF(S82="入力ｴﾗｰ","","乙")))</f>
        <v/>
      </c>
      <c r="S85" s="80"/>
      <c r="U85" s="125"/>
      <c r="V85" s="126"/>
      <c r="W85" s="97"/>
      <c r="X85" s="97"/>
      <c r="Y85" s="97"/>
      <c r="Z85" s="97"/>
      <c r="AA85" s="95"/>
    </row>
    <row r="86" spans="2:29" ht="3" customHeight="1" x14ac:dyDescent="0.15">
      <c r="B86" s="88"/>
      <c r="C86" s="3"/>
      <c r="G86" s="3"/>
      <c r="H86" s="2"/>
      <c r="K86" s="3"/>
      <c r="L86" s="2"/>
      <c r="M86" s="3"/>
      <c r="N86" s="2"/>
      <c r="Q86" s="2"/>
      <c r="R86" s="96"/>
      <c r="S86" s="80"/>
      <c r="U86" s="125"/>
      <c r="V86" s="126"/>
      <c r="W86" s="97"/>
      <c r="X86" s="97"/>
      <c r="Y86" s="97"/>
      <c r="Z86" s="97"/>
      <c r="AA86" s="95"/>
    </row>
    <row r="87" spans="2:29" ht="15" customHeight="1" x14ac:dyDescent="0.15">
      <c r="B87" s="88"/>
      <c r="C87" s="3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24" t="str">
        <f>IF(O87="","",IF(O87=0,"","m"))</f>
        <v/>
      </c>
      <c r="R87" s="96"/>
      <c r="S87" s="80"/>
      <c r="U87" s="125"/>
      <c r="V87" s="126"/>
      <c r="W87" s="97"/>
      <c r="X87" s="97"/>
      <c r="Y87" s="97"/>
      <c r="Z87" s="97"/>
      <c r="AA87" s="95"/>
      <c r="AC87" s="1">
        <f>IF(U82="",0,IF(U82&gt;SUM(V82:AA87),U82-SUM(V82:AA87),0))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39"/>
      <c r="V88" s="40"/>
      <c r="W88" s="41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26"/>
      <c r="V89" s="27"/>
      <c r="W89" s="23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Q90" s="2"/>
      <c r="R90" s="105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25" t="str">
        <f>IF(B90="","",COUNT(F90,I95,L90,O95)-IF(S90=0,1,0))</f>
        <v/>
      </c>
      <c r="V90" s="126"/>
      <c r="W90" s="97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N91" s="2"/>
      <c r="Q91" s="2"/>
      <c r="R91" s="105"/>
      <c r="S91" s="80"/>
      <c r="T91" s="81"/>
      <c r="U91" s="125"/>
      <c r="V91" s="126"/>
      <c r="W91" s="97"/>
      <c r="X91" s="97"/>
      <c r="Y91" s="97"/>
      <c r="Z91" s="97"/>
      <c r="AA91" s="95"/>
    </row>
    <row r="92" spans="2:29" ht="3" customHeight="1" x14ac:dyDescent="0.15">
      <c r="B92" s="88"/>
      <c r="C92" s="3"/>
      <c r="E92" s="4"/>
      <c r="F92" s="4"/>
      <c r="G92" s="5"/>
      <c r="H92" s="55"/>
      <c r="I92" s="4"/>
      <c r="J92" s="4"/>
      <c r="K92" s="5"/>
      <c r="L92" s="2"/>
      <c r="M92" s="5"/>
      <c r="N92" s="55"/>
      <c r="O92" s="4"/>
      <c r="P92" s="4"/>
      <c r="Q92" s="2"/>
      <c r="R92" s="105"/>
      <c r="S92" s="80"/>
      <c r="T92" s="81"/>
      <c r="U92" s="125"/>
      <c r="V92" s="126"/>
      <c r="W92" s="97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6"/>
      <c r="J93" s="6"/>
      <c r="K93" s="7"/>
      <c r="L93" s="8"/>
      <c r="M93" s="7"/>
      <c r="N93" s="8"/>
      <c r="O93" s="6"/>
      <c r="P93" s="6"/>
      <c r="Q93" s="2"/>
      <c r="R93" s="96" t="str">
        <f>IF(R90="甲","",IF(OR(S90=0,S90="")=TRUE,"",IF(S90="入力ｴﾗｰ","","乙")))</f>
        <v/>
      </c>
      <c r="S93" s="80"/>
      <c r="U93" s="125"/>
      <c r="V93" s="126"/>
      <c r="W93" s="97"/>
      <c r="X93" s="97"/>
      <c r="Y93" s="97"/>
      <c r="Z93" s="97"/>
      <c r="AA93" s="95"/>
    </row>
    <row r="94" spans="2:29" ht="3" customHeight="1" x14ac:dyDescent="0.15">
      <c r="B94" s="88"/>
      <c r="C94" s="3"/>
      <c r="G94" s="3"/>
      <c r="H94" s="2"/>
      <c r="K94" s="3"/>
      <c r="L94" s="2"/>
      <c r="M94" s="3"/>
      <c r="N94" s="2"/>
      <c r="Q94" s="2"/>
      <c r="R94" s="96"/>
      <c r="S94" s="80"/>
      <c r="U94" s="125"/>
      <c r="V94" s="126"/>
      <c r="W94" s="97"/>
      <c r="X94" s="97"/>
      <c r="Y94" s="97"/>
      <c r="Z94" s="97"/>
      <c r="AA94" s="95"/>
    </row>
    <row r="95" spans="2:29" ht="15" customHeight="1" x14ac:dyDescent="0.15">
      <c r="B95" s="88"/>
      <c r="C95" s="3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24" t="str">
        <f>IF(O95="","",IF(O95=0,"","m"))</f>
        <v/>
      </c>
      <c r="R95" s="96"/>
      <c r="S95" s="80"/>
      <c r="U95" s="125"/>
      <c r="V95" s="126"/>
      <c r="W95" s="97"/>
      <c r="X95" s="97"/>
      <c r="Y95" s="97"/>
      <c r="Z95" s="97"/>
      <c r="AA95" s="95"/>
      <c r="AC95" s="1">
        <f>IF(U90="",0,IF(U90&gt;SUM(V90:AA95),U90-SUM(V90:AA95),0))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39"/>
      <c r="V96" s="40"/>
      <c r="W96" s="41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26"/>
      <c r="V97" s="27"/>
      <c r="W97" s="23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Q98" s="2"/>
      <c r="R98" s="105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25" t="str">
        <f>IF(B98="","",COUNT(F98,I103,L98,O103)-IF(S98=0,1,0))</f>
        <v/>
      </c>
      <c r="V98" s="126"/>
      <c r="W98" s="97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N99" s="2"/>
      <c r="Q99" s="2"/>
      <c r="R99" s="105"/>
      <c r="S99" s="80"/>
      <c r="T99" s="81"/>
      <c r="U99" s="125"/>
      <c r="V99" s="126"/>
      <c r="W99" s="97"/>
      <c r="X99" s="97"/>
      <c r="Y99" s="97"/>
      <c r="Z99" s="97"/>
      <c r="AA99" s="95"/>
    </row>
    <row r="100" spans="2:29" ht="3" customHeight="1" x14ac:dyDescent="0.15">
      <c r="B100" s="88"/>
      <c r="C100" s="3"/>
      <c r="E100" s="4"/>
      <c r="F100" s="4"/>
      <c r="G100" s="5"/>
      <c r="H100" s="55"/>
      <c r="I100" s="4"/>
      <c r="J100" s="4"/>
      <c r="K100" s="5"/>
      <c r="L100" s="2"/>
      <c r="M100" s="5"/>
      <c r="N100" s="55"/>
      <c r="O100" s="4"/>
      <c r="P100" s="4"/>
      <c r="Q100" s="2"/>
      <c r="R100" s="105"/>
      <c r="S100" s="80"/>
      <c r="T100" s="81"/>
      <c r="U100" s="125"/>
      <c r="V100" s="126"/>
      <c r="W100" s="97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6"/>
      <c r="J101" s="6"/>
      <c r="K101" s="7"/>
      <c r="L101" s="8"/>
      <c r="M101" s="7"/>
      <c r="N101" s="8"/>
      <c r="O101" s="6"/>
      <c r="P101" s="6"/>
      <c r="Q101" s="2"/>
      <c r="R101" s="96" t="str">
        <f>IF(R98="甲","",IF(OR(S98=0,S98="")=TRUE,"",IF(S98="入力ｴﾗｰ","","乙")))</f>
        <v/>
      </c>
      <c r="S101" s="80"/>
      <c r="U101" s="125"/>
      <c r="V101" s="126"/>
      <c r="W101" s="97"/>
      <c r="X101" s="97"/>
      <c r="Y101" s="97"/>
      <c r="Z101" s="97"/>
      <c r="AA101" s="95"/>
    </row>
    <row r="102" spans="2:29" ht="3" customHeight="1" x14ac:dyDescent="0.15">
      <c r="B102" s="88"/>
      <c r="C102" s="3"/>
      <c r="G102" s="3"/>
      <c r="H102" s="2"/>
      <c r="K102" s="3"/>
      <c r="L102" s="2"/>
      <c r="M102" s="3"/>
      <c r="N102" s="2"/>
      <c r="Q102" s="2"/>
      <c r="R102" s="96"/>
      <c r="S102" s="80"/>
      <c r="U102" s="125"/>
      <c r="V102" s="126"/>
      <c r="W102" s="97"/>
      <c r="X102" s="97"/>
      <c r="Y102" s="97"/>
      <c r="Z102" s="97"/>
      <c r="AA102" s="95"/>
    </row>
    <row r="103" spans="2:29" ht="15" customHeight="1" x14ac:dyDescent="0.15">
      <c r="B103" s="88"/>
      <c r="C103" s="3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24" t="str">
        <f>IF(O103="","",IF(O103=0,"","m"))</f>
        <v/>
      </c>
      <c r="R103" s="96"/>
      <c r="S103" s="80"/>
      <c r="U103" s="125"/>
      <c r="V103" s="126"/>
      <c r="W103" s="97"/>
      <c r="X103" s="97"/>
      <c r="Y103" s="97"/>
      <c r="Z103" s="97"/>
      <c r="AA103" s="95"/>
      <c r="AC103" s="1">
        <f>IF(U98="",0,IF(U98&gt;SUM(V98:AA103),U98-SUM(V98:AA103),0))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39"/>
      <c r="V104" s="40"/>
      <c r="W104" s="41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26"/>
      <c r="V105" s="27"/>
      <c r="W105" s="23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Q106" s="2"/>
      <c r="R106" s="105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25" t="str">
        <f>IF(B106="","",COUNT(F106,I111,L106,O111)-IF(S106=0,1,0))</f>
        <v/>
      </c>
      <c r="V106" s="126"/>
      <c r="W106" s="97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L107" s="2"/>
      <c r="M107" s="3"/>
      <c r="N107" s="2"/>
      <c r="Q107" s="2"/>
      <c r="R107" s="105"/>
      <c r="S107" s="80"/>
      <c r="T107" s="81"/>
      <c r="U107" s="125"/>
      <c r="V107" s="126"/>
      <c r="W107" s="97"/>
      <c r="X107" s="97"/>
      <c r="Y107" s="97"/>
      <c r="Z107" s="97"/>
      <c r="AA107" s="95"/>
    </row>
    <row r="108" spans="2:29" ht="3" customHeight="1" x14ac:dyDescent="0.15">
      <c r="B108" s="88"/>
      <c r="C108" s="3"/>
      <c r="E108" s="4"/>
      <c r="F108" s="4"/>
      <c r="G108" s="5"/>
      <c r="H108" s="55"/>
      <c r="I108" s="4"/>
      <c r="J108" s="4"/>
      <c r="K108" s="5"/>
      <c r="L108" s="2"/>
      <c r="M108" s="5"/>
      <c r="N108" s="55"/>
      <c r="O108" s="4"/>
      <c r="P108" s="4"/>
      <c r="Q108" s="2"/>
      <c r="R108" s="105"/>
      <c r="S108" s="80"/>
      <c r="T108" s="81"/>
      <c r="U108" s="125"/>
      <c r="V108" s="126"/>
      <c r="W108" s="97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6"/>
      <c r="J109" s="6"/>
      <c r="K109" s="7"/>
      <c r="L109" s="8"/>
      <c r="M109" s="7"/>
      <c r="N109" s="8"/>
      <c r="O109" s="6"/>
      <c r="P109" s="6"/>
      <c r="Q109" s="2"/>
      <c r="R109" s="96" t="str">
        <f>IF(R106="甲","",IF(OR(S106=0,S106="")=TRUE,"",IF(S106="入力ｴﾗｰ","","乙")))</f>
        <v/>
      </c>
      <c r="S109" s="80"/>
      <c r="U109" s="125"/>
      <c r="V109" s="126"/>
      <c r="W109" s="97"/>
      <c r="X109" s="97"/>
      <c r="Y109" s="97"/>
      <c r="Z109" s="97"/>
      <c r="AA109" s="95"/>
    </row>
    <row r="110" spans="2:29" ht="3" customHeight="1" x14ac:dyDescent="0.15">
      <c r="B110" s="88"/>
      <c r="C110" s="3"/>
      <c r="G110" s="3"/>
      <c r="H110" s="2"/>
      <c r="K110" s="3"/>
      <c r="L110" s="2"/>
      <c r="M110" s="3"/>
      <c r="N110" s="2"/>
      <c r="Q110" s="2"/>
      <c r="R110" s="96"/>
      <c r="S110" s="80"/>
      <c r="U110" s="125"/>
      <c r="V110" s="126"/>
      <c r="W110" s="97"/>
      <c r="X110" s="97"/>
      <c r="Y110" s="97"/>
      <c r="Z110" s="97"/>
      <c r="AA110" s="95"/>
    </row>
    <row r="111" spans="2:29" ht="15" customHeight="1" x14ac:dyDescent="0.15">
      <c r="B111" s="88"/>
      <c r="C111" s="3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24" t="str">
        <f>IF(O111="","",IF(O111=0,"","m"))</f>
        <v/>
      </c>
      <c r="R111" s="96"/>
      <c r="S111" s="80"/>
      <c r="U111" s="125"/>
      <c r="V111" s="126"/>
      <c r="W111" s="97"/>
      <c r="X111" s="97"/>
      <c r="Y111" s="97"/>
      <c r="Z111" s="97"/>
      <c r="AA111" s="95"/>
      <c r="AC111" s="1">
        <f>IF(U106="",0,IF(U106&gt;SUM(V106:AA111),U106-SUM(V106:AA111),0))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39"/>
      <c r="V112" s="40"/>
      <c r="W112" s="41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2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NS</v>
      </c>
      <c r="H114" s="111">
        <f>Y2</f>
        <v>700</v>
      </c>
      <c r="I114" s="111"/>
      <c r="J114" s="112"/>
      <c r="K114" s="113">
        <f>IF(B10="",0,LARGE(B10:B111,1))</f>
        <v>5</v>
      </c>
      <c r="L114" s="114"/>
      <c r="M114" s="21"/>
      <c r="N114" s="25"/>
      <c r="O114" s="20"/>
      <c r="P114" s="20"/>
      <c r="Q114" s="21"/>
      <c r="R114" s="115">
        <f>SUM(S10:S111)</f>
        <v>8.2200000000000006</v>
      </c>
      <c r="S114" s="116"/>
      <c r="T114" s="20"/>
      <c r="U114" s="51">
        <f t="shared" ref="U114:AA114" si="0">SUM(U10:U111)</f>
        <v>7</v>
      </c>
      <c r="V114" s="52">
        <f t="shared" si="0"/>
        <v>7</v>
      </c>
      <c r="W114" s="5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V7:AA7"/>
    <mergeCell ref="V10:V15"/>
    <mergeCell ref="W10:W15"/>
    <mergeCell ref="X10:X15"/>
    <mergeCell ref="Y10:Y15"/>
    <mergeCell ref="Z10:Z15"/>
    <mergeCell ref="B7:B8"/>
    <mergeCell ref="C7:Q8"/>
    <mergeCell ref="R7:T8"/>
    <mergeCell ref="U7:U8"/>
    <mergeCell ref="S10:S15"/>
    <mergeCell ref="T10:T12"/>
    <mergeCell ref="O15:P15"/>
    <mergeCell ref="R10:R12"/>
    <mergeCell ref="R13:R15"/>
    <mergeCell ref="F10:G10"/>
    <mergeCell ref="B18:B23"/>
    <mergeCell ref="F18:G18"/>
    <mergeCell ref="L18:M18"/>
    <mergeCell ref="R18:R20"/>
    <mergeCell ref="S18:S23"/>
    <mergeCell ref="T18:T20"/>
    <mergeCell ref="AA10:AA15"/>
    <mergeCell ref="I15:J15"/>
    <mergeCell ref="L10:M10"/>
    <mergeCell ref="B10:B15"/>
    <mergeCell ref="U10:U15"/>
    <mergeCell ref="I23:J23"/>
    <mergeCell ref="O23:P23"/>
    <mergeCell ref="U18:U23"/>
    <mergeCell ref="V18:V23"/>
    <mergeCell ref="Y26:Y31"/>
    <mergeCell ref="Z26:Z31"/>
    <mergeCell ref="S26:S31"/>
    <mergeCell ref="T26:T28"/>
    <mergeCell ref="W18:W23"/>
    <mergeCell ref="X18:X23"/>
    <mergeCell ref="Y18:Y23"/>
    <mergeCell ref="Z18:Z23"/>
    <mergeCell ref="AA18:AA23"/>
    <mergeCell ref="AA26:AA31"/>
    <mergeCell ref="W26:W31"/>
    <mergeCell ref="X26:X31"/>
    <mergeCell ref="R26:R28"/>
    <mergeCell ref="U26:U31"/>
    <mergeCell ref="B34:B39"/>
    <mergeCell ref="F34:G34"/>
    <mergeCell ref="L34:M34"/>
    <mergeCell ref="R34:R36"/>
    <mergeCell ref="R29:R31"/>
    <mergeCell ref="I31:J31"/>
    <mergeCell ref="O31:P31"/>
    <mergeCell ref="AA34:AA39"/>
    <mergeCell ref="R37:R39"/>
    <mergeCell ref="I39:J39"/>
    <mergeCell ref="O39:P39"/>
    <mergeCell ref="W34:W39"/>
    <mergeCell ref="X34:X39"/>
    <mergeCell ref="Y42:Y47"/>
    <mergeCell ref="Z42:Z47"/>
    <mergeCell ref="S42:S47"/>
    <mergeCell ref="T42:T44"/>
    <mergeCell ref="U42:U47"/>
    <mergeCell ref="V42:V47"/>
    <mergeCell ref="AA42:AA47"/>
    <mergeCell ref="R45:R47"/>
    <mergeCell ref="I47:J47"/>
    <mergeCell ref="O47:P47"/>
    <mergeCell ref="W42:W47"/>
    <mergeCell ref="X42:X47"/>
    <mergeCell ref="Y34:Y39"/>
    <mergeCell ref="Z34:Z39"/>
    <mergeCell ref="S34:S39"/>
    <mergeCell ref="T34:T36"/>
    <mergeCell ref="U34:U39"/>
    <mergeCell ref="V34:V39"/>
    <mergeCell ref="R50:R52"/>
    <mergeCell ref="Y50:Y55"/>
    <mergeCell ref="Z50:Z55"/>
    <mergeCell ref="S50:S55"/>
    <mergeCell ref="T50:T52"/>
    <mergeCell ref="U50:U55"/>
    <mergeCell ref="V50:V55"/>
    <mergeCell ref="L58:M58"/>
    <mergeCell ref="R58:R60"/>
    <mergeCell ref="W58:W63"/>
    <mergeCell ref="X58:X63"/>
    <mergeCell ref="R61:R63"/>
    <mergeCell ref="Y66:Y71"/>
    <mergeCell ref="Z66:Z71"/>
    <mergeCell ref="S66:S71"/>
    <mergeCell ref="T66:T68"/>
    <mergeCell ref="U66:U71"/>
    <mergeCell ref="V66:V71"/>
    <mergeCell ref="AA50:AA55"/>
    <mergeCell ref="W50:W55"/>
    <mergeCell ref="X50:X55"/>
    <mergeCell ref="Y58:Y63"/>
    <mergeCell ref="Z58:Z63"/>
    <mergeCell ref="S58:S63"/>
    <mergeCell ref="T58:T60"/>
    <mergeCell ref="U58:U63"/>
    <mergeCell ref="V58:V63"/>
    <mergeCell ref="AA58:AA63"/>
    <mergeCell ref="C1:Q1"/>
    <mergeCell ref="U2:V3"/>
    <mergeCell ref="B82:B87"/>
    <mergeCell ref="F82:G82"/>
    <mergeCell ref="L82:M82"/>
    <mergeCell ref="R82:R84"/>
    <mergeCell ref="B74:B79"/>
    <mergeCell ref="F74:G74"/>
    <mergeCell ref="F66:G66"/>
    <mergeCell ref="L66:M66"/>
    <mergeCell ref="R66:R68"/>
    <mergeCell ref="B58:B63"/>
    <mergeCell ref="F58:G58"/>
    <mergeCell ref="B50:B55"/>
    <mergeCell ref="F50:G50"/>
    <mergeCell ref="V26:V31"/>
    <mergeCell ref="R21:R23"/>
    <mergeCell ref="B42:B47"/>
    <mergeCell ref="I63:J63"/>
    <mergeCell ref="O63:P63"/>
    <mergeCell ref="R53:R55"/>
    <mergeCell ref="I55:J55"/>
    <mergeCell ref="O55:P55"/>
    <mergeCell ref="L50:M50"/>
    <mergeCell ref="F42:G42"/>
    <mergeCell ref="L42:M42"/>
    <mergeCell ref="R42:R44"/>
    <mergeCell ref="B26:B31"/>
    <mergeCell ref="F26:G26"/>
    <mergeCell ref="L26:M26"/>
    <mergeCell ref="AA74:AA79"/>
    <mergeCell ref="R77:R79"/>
    <mergeCell ref="I79:J79"/>
    <mergeCell ref="O79:P79"/>
    <mergeCell ref="W74:W79"/>
    <mergeCell ref="X74:X79"/>
    <mergeCell ref="Y74:Y79"/>
    <mergeCell ref="Z74:Z79"/>
    <mergeCell ref="S74:S79"/>
    <mergeCell ref="T74:T76"/>
    <mergeCell ref="U74:U79"/>
    <mergeCell ref="V74:V79"/>
    <mergeCell ref="AA66:AA71"/>
    <mergeCell ref="R69:R71"/>
    <mergeCell ref="I71:J71"/>
    <mergeCell ref="O71:P71"/>
    <mergeCell ref="W66:W71"/>
    <mergeCell ref="X66:X71"/>
    <mergeCell ref="AA82:AA87"/>
    <mergeCell ref="R85:R87"/>
    <mergeCell ref="I87:J87"/>
    <mergeCell ref="O87:P87"/>
    <mergeCell ref="W82:W87"/>
    <mergeCell ref="X82:X87"/>
    <mergeCell ref="Y82:Y87"/>
    <mergeCell ref="Z82:Z87"/>
    <mergeCell ref="S82:S87"/>
    <mergeCell ref="T82:T84"/>
    <mergeCell ref="AA90:AA95"/>
    <mergeCell ref="R93:R95"/>
    <mergeCell ref="I95:J95"/>
    <mergeCell ref="O95:P95"/>
    <mergeCell ref="W90:W95"/>
    <mergeCell ref="X90:X95"/>
    <mergeCell ref="Y90:Y95"/>
    <mergeCell ref="Z90:Z95"/>
    <mergeCell ref="Z98:Z103"/>
    <mergeCell ref="W98:W103"/>
    <mergeCell ref="X98:X103"/>
    <mergeCell ref="L98:M98"/>
    <mergeCell ref="R98:R100"/>
    <mergeCell ref="V98:V103"/>
    <mergeCell ref="S98:S103"/>
    <mergeCell ref="Y98:Y103"/>
    <mergeCell ref="T98:T100"/>
    <mergeCell ref="R101:R103"/>
    <mergeCell ref="S90:S95"/>
    <mergeCell ref="T90:T92"/>
    <mergeCell ref="U90:U95"/>
    <mergeCell ref="V90:V95"/>
    <mergeCell ref="L90:M90"/>
    <mergeCell ref="R90:R92"/>
    <mergeCell ref="AA106:AA111"/>
    <mergeCell ref="R109:R111"/>
    <mergeCell ref="I111:J111"/>
    <mergeCell ref="O111:P111"/>
    <mergeCell ref="AA98:AA103"/>
    <mergeCell ref="I103:J103"/>
    <mergeCell ref="O103:P103"/>
    <mergeCell ref="V106:V111"/>
    <mergeCell ref="T106:T108"/>
    <mergeCell ref="L106:M106"/>
    <mergeCell ref="B113:F114"/>
    <mergeCell ref="H114:J114"/>
    <mergeCell ref="K114:L114"/>
    <mergeCell ref="R114:S114"/>
    <mergeCell ref="B106:B111"/>
    <mergeCell ref="R106:R108"/>
    <mergeCell ref="S106:S111"/>
    <mergeCell ref="Y2:Z3"/>
    <mergeCell ref="W106:W111"/>
    <mergeCell ref="X106:X111"/>
    <mergeCell ref="Y106:Y111"/>
    <mergeCell ref="Z106:Z111"/>
    <mergeCell ref="U98:U103"/>
    <mergeCell ref="U106:U111"/>
    <mergeCell ref="U82:U87"/>
    <mergeCell ref="V82:V87"/>
    <mergeCell ref="B98:B103"/>
    <mergeCell ref="F98:G98"/>
    <mergeCell ref="F106:G106"/>
    <mergeCell ref="B90:B95"/>
    <mergeCell ref="F90:G90"/>
    <mergeCell ref="L74:M74"/>
    <mergeCell ref="R74:R76"/>
    <mergeCell ref="B66:B71"/>
  </mergeCells>
  <phoneticPr fontId="2"/>
  <conditionalFormatting sqref="S10:S15 S18:S23 S26:S31 S34:S39 S42:S47 S50:S55 S58:S63 S66:S71 S74:S79 S82:S87 S90:S95 S98:S103 S106:S111">
    <cfRule type="cellIs" dxfId="1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blackAndWhite="1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0"/>
  </sheetPr>
  <dimension ref="B1:AC114"/>
  <sheetViews>
    <sheetView showGridLines="0" view="pageBreakPreview" topLeftCell="C1" zoomScale="130" zoomScaleNormal="123" zoomScaleSheetLayoutView="100" workbookViewId="0">
      <selection activeCell="C1" sqref="C1:Q1"/>
    </sheetView>
  </sheetViews>
  <sheetFormatPr defaultColWidth="9.109375" defaultRowHeight="12" x14ac:dyDescent="0.15"/>
  <cols>
    <col min="1" max="1" width="0.88671875" style="1" customWidth="1"/>
    <col min="2" max="2" width="8.88671875" style="1" customWidth="1"/>
    <col min="3" max="17" width="2.6640625" style="1" customWidth="1"/>
    <col min="18" max="18" width="2.88671875" style="1" customWidth="1"/>
    <col min="19" max="19" width="5.6640625" style="1" customWidth="1"/>
    <col min="20" max="20" width="2.6640625" style="1" customWidth="1"/>
    <col min="21" max="27" width="5.6640625" style="1" customWidth="1"/>
    <col min="28" max="16384" width="9.109375" style="1"/>
  </cols>
  <sheetData>
    <row r="1" spans="2:29" x14ac:dyDescent="0.15">
      <c r="B1" s="56" t="s">
        <v>19</v>
      </c>
      <c r="C1" s="83" t="s">
        <v>27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15">
      <c r="S2" s="12"/>
      <c r="T2" s="3"/>
      <c r="U2" s="84" t="s">
        <v>24</v>
      </c>
      <c r="V2" s="84"/>
      <c r="W2" s="2"/>
      <c r="X2" s="12"/>
      <c r="Y2" s="84">
        <v>700</v>
      </c>
      <c r="Z2" s="84"/>
      <c r="AA2" s="2"/>
      <c r="AC2" s="1">
        <f>IF(AC1=4,0,IF(Y2&lt;=200,5,0))</f>
        <v>0</v>
      </c>
    </row>
    <row r="3" spans="2:29" ht="12" customHeight="1" x14ac:dyDescent="0.15">
      <c r="S3" s="44" t="s">
        <v>12</v>
      </c>
      <c r="T3" s="15"/>
      <c r="U3" s="85"/>
      <c r="V3" s="85"/>
      <c r="W3" s="17" t="s">
        <v>15</v>
      </c>
      <c r="X3" s="44" t="s">
        <v>14</v>
      </c>
      <c r="Y3" s="85"/>
      <c r="Z3" s="85"/>
      <c r="AA3" s="17" t="s">
        <v>20</v>
      </c>
      <c r="AC3" s="1">
        <f>IF(Y2&gt;200,6,0)</f>
        <v>6</v>
      </c>
    </row>
    <row r="4" spans="2:29" ht="6.75" customHeight="1" x14ac:dyDescent="0.15">
      <c r="S4" s="18"/>
      <c r="U4" s="45"/>
      <c r="V4" s="45"/>
      <c r="X4" s="18"/>
      <c r="Y4" s="45"/>
      <c r="Z4" s="45"/>
    </row>
    <row r="5" spans="2:29" ht="21.75" customHeight="1" x14ac:dyDescent="0.15">
      <c r="B5" s="46" t="s">
        <v>16</v>
      </c>
    </row>
    <row r="6" spans="2:29" ht="6.75" customHeight="1" thickBot="1" x14ac:dyDescent="0.2"/>
    <row r="7" spans="2:29" ht="14.25" customHeight="1" x14ac:dyDescent="0.15">
      <c r="B7" s="87" t="s">
        <v>0</v>
      </c>
      <c r="C7" s="89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0" t="s">
        <v>1</v>
      </c>
      <c r="S7" s="90"/>
      <c r="T7" s="90"/>
      <c r="U7" s="128" t="s">
        <v>2</v>
      </c>
      <c r="V7" s="90" t="s">
        <v>4</v>
      </c>
      <c r="W7" s="90"/>
      <c r="X7" s="90"/>
      <c r="Y7" s="90"/>
      <c r="Z7" s="90"/>
      <c r="AA7" s="127"/>
    </row>
    <row r="8" spans="2:29" ht="10.5" customHeight="1" x14ac:dyDescent="0.15">
      <c r="B8" s="88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  <c r="T8" s="93"/>
      <c r="U8" s="129"/>
      <c r="V8" s="31" t="s">
        <v>6</v>
      </c>
      <c r="W8" s="32" t="s">
        <v>5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1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26"/>
      <c r="V9" s="30"/>
      <c r="W9" s="28"/>
      <c r="X9" s="28"/>
      <c r="Y9" s="28"/>
      <c r="Z9" s="28"/>
      <c r="AA9" s="29"/>
    </row>
    <row r="10" spans="2:29" ht="15" customHeight="1" x14ac:dyDescent="0.15">
      <c r="B10" s="88">
        <f>IF(S10="","",1)</f>
        <v>1</v>
      </c>
      <c r="C10" s="3"/>
      <c r="E10" s="13" t="str">
        <f>IF(F10="","",IF(F10=0,"","L="))</f>
        <v>L=</v>
      </c>
      <c r="F10" s="86">
        <v>2.09</v>
      </c>
      <c r="G10" s="86"/>
      <c r="H10" s="14" t="str">
        <f>IF(F10="","",IF(F10=0,"","m"))</f>
        <v>m</v>
      </c>
      <c r="J10" s="1" t="s">
        <v>25</v>
      </c>
      <c r="K10" s="13" t="str">
        <f>IF(L10="","",IF(L10=0,"","L="))</f>
        <v/>
      </c>
      <c r="L10" s="86"/>
      <c r="M10" s="86"/>
      <c r="N10" s="14" t="str">
        <f>IF(L10="","",IF(L10=0,"","m"))</f>
        <v/>
      </c>
      <c r="O10" s="1" t="s">
        <v>23</v>
      </c>
      <c r="Q10" s="2"/>
      <c r="R10" s="105" t="str">
        <f>IF(OR(S10="入力ｴﾗｰ",S10=0,S10="")=TRUE,"",IF(F10="","甲",IF(F10=0,"甲","")))</f>
        <v/>
      </c>
      <c r="S10" s="80">
        <f>IF((F10+I15+L10+O15)=0,"",IF((F10+I15+L10+O15)&gt;SUM($AC$1:$AC$3),"入力ｴﾗｰ",SUM($AC$1:$AC$3)-(F10+I15+L10+O15)))</f>
        <v>1.5700000000000003</v>
      </c>
      <c r="T10" s="81" t="str">
        <f>IF(S10="","",IF(S10="入力ｴﾗｰ","","m"))</f>
        <v>m</v>
      </c>
      <c r="U10" s="125">
        <f>IF(B10="","",COUNT(F10,I15,L10,O15)-IF(S10=0,1,0))</f>
        <v>2</v>
      </c>
      <c r="V10" s="126">
        <v>2</v>
      </c>
      <c r="W10" s="97"/>
      <c r="X10" s="97">
        <v>1</v>
      </c>
      <c r="Y10" s="97">
        <v>1</v>
      </c>
      <c r="Z10" s="97"/>
      <c r="AA10" s="95"/>
    </row>
    <row r="11" spans="2:29" ht="3" customHeight="1" thickBot="1" x14ac:dyDescent="0.2">
      <c r="B11" s="88"/>
      <c r="C11" s="3"/>
      <c r="G11" s="3"/>
      <c r="H11" s="2"/>
      <c r="I11" s="60"/>
      <c r="J11" s="62"/>
      <c r="K11" s="3"/>
      <c r="L11" s="2"/>
      <c r="M11" s="3"/>
      <c r="N11" s="2"/>
      <c r="Q11" s="2"/>
      <c r="R11" s="105"/>
      <c r="S11" s="80"/>
      <c r="T11" s="81"/>
      <c r="U11" s="125"/>
      <c r="V11" s="126"/>
      <c r="W11" s="97"/>
      <c r="X11" s="97"/>
      <c r="Y11" s="97"/>
      <c r="Z11" s="97"/>
      <c r="AA11" s="95"/>
    </row>
    <row r="12" spans="2:29" ht="3" customHeight="1" thickTop="1" x14ac:dyDescent="0.15">
      <c r="B12" s="88"/>
      <c r="C12" s="3"/>
      <c r="E12" s="57"/>
      <c r="F12" s="57"/>
      <c r="G12" s="58"/>
      <c r="H12" s="63"/>
      <c r="I12" s="4"/>
      <c r="J12" s="4"/>
      <c r="K12" s="5"/>
      <c r="L12" s="59"/>
      <c r="M12" s="58"/>
      <c r="N12" s="59"/>
      <c r="O12" s="57"/>
      <c r="P12" s="57"/>
      <c r="Q12" s="2"/>
      <c r="R12" s="105"/>
      <c r="S12" s="80"/>
      <c r="T12" s="81"/>
      <c r="U12" s="125"/>
      <c r="V12" s="126"/>
      <c r="W12" s="97"/>
      <c r="X12" s="97"/>
      <c r="Y12" s="97"/>
      <c r="Z12" s="97"/>
      <c r="AA12" s="95"/>
    </row>
    <row r="13" spans="2:29" ht="3" customHeight="1" x14ac:dyDescent="0.15">
      <c r="B13" s="88"/>
      <c r="C13" s="3"/>
      <c r="E13" s="6"/>
      <c r="F13" s="6"/>
      <c r="G13" s="7"/>
      <c r="H13" s="8"/>
      <c r="I13" s="7"/>
      <c r="J13" s="8"/>
      <c r="K13" s="7"/>
      <c r="L13" s="8"/>
      <c r="M13" s="7"/>
      <c r="N13" s="8"/>
      <c r="O13" s="6"/>
      <c r="P13" s="6"/>
      <c r="Q13" s="2"/>
      <c r="R13" s="96" t="str">
        <f>IF(R10="甲","",IF(OR(S10=0,S10="")=TRUE,"",IF(S10="入力ｴﾗｰ","","乙")))</f>
        <v>乙</v>
      </c>
      <c r="S13" s="80"/>
      <c r="U13" s="125"/>
      <c r="V13" s="126"/>
      <c r="W13" s="97"/>
      <c r="X13" s="97"/>
      <c r="Y13" s="97"/>
      <c r="Z13" s="97"/>
      <c r="AA13" s="95"/>
    </row>
    <row r="14" spans="2:29" ht="3" customHeight="1" x14ac:dyDescent="0.15">
      <c r="B14" s="88"/>
      <c r="C14" s="3"/>
      <c r="F14" s="2"/>
      <c r="G14" s="3"/>
      <c r="H14" s="2"/>
      <c r="K14" s="3"/>
      <c r="L14" s="2"/>
      <c r="M14" s="3"/>
      <c r="N14" s="2"/>
      <c r="O14" s="3"/>
      <c r="Q14" s="2"/>
      <c r="R14" s="96"/>
      <c r="S14" s="80"/>
      <c r="U14" s="125"/>
      <c r="V14" s="126"/>
      <c r="W14" s="97"/>
      <c r="X14" s="97"/>
      <c r="Y14" s="97"/>
      <c r="Z14" s="97"/>
      <c r="AA14" s="95"/>
    </row>
    <row r="15" spans="2:29" ht="15" customHeight="1" x14ac:dyDescent="0.15">
      <c r="B15" s="88"/>
      <c r="C15" s="3"/>
      <c r="H15" s="13" t="str">
        <f>IF(I15="","",IF(I15=0,"","L="))</f>
        <v/>
      </c>
      <c r="I15" s="86"/>
      <c r="J15" s="86"/>
      <c r="K15" s="14" t="str">
        <f>IF(I15="","",IF(I15=0,"","m"))</f>
        <v/>
      </c>
      <c r="N15" s="13" t="str">
        <f>IF(O15="","",IF(O15=0,"","L="))</f>
        <v>L=</v>
      </c>
      <c r="O15" s="86">
        <v>2.34</v>
      </c>
      <c r="P15" s="86"/>
      <c r="Q15" s="24" t="str">
        <f>IF(O15="","",IF(O15=0,"","m"))</f>
        <v>m</v>
      </c>
      <c r="R15" s="96"/>
      <c r="S15" s="80"/>
      <c r="U15" s="125"/>
      <c r="V15" s="126"/>
      <c r="W15" s="97"/>
      <c r="X15" s="97"/>
      <c r="Y15" s="97"/>
      <c r="Z15" s="97"/>
      <c r="AA15" s="95"/>
      <c r="AC15" s="1">
        <f>IF(U10="",0,IF(U10&gt;SUM(V10:AA15),U10-SUM(V10:AA15),0))</f>
        <v>0</v>
      </c>
    </row>
    <row r="16" spans="2:29" ht="6" customHeight="1" x14ac:dyDescent="0.1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6"/>
      <c r="V16" s="30"/>
      <c r="W16" s="28"/>
      <c r="X16" s="28"/>
      <c r="Y16" s="28"/>
      <c r="Z16" s="28"/>
      <c r="AA16" s="29"/>
    </row>
    <row r="17" spans="2:29" ht="6" customHeight="1" x14ac:dyDescent="0.1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26"/>
      <c r="V17" s="27"/>
      <c r="W17" s="23"/>
      <c r="X17" s="23"/>
      <c r="Y17" s="23"/>
      <c r="Z17" s="23"/>
      <c r="AA17" s="37"/>
    </row>
    <row r="18" spans="2:29" ht="15" customHeight="1" x14ac:dyDescent="0.15">
      <c r="B18" s="88">
        <f>IF(S18="","",IF(B10="","",1+B10))</f>
        <v>2</v>
      </c>
      <c r="C18" s="3"/>
      <c r="E18" s="13" t="str">
        <f>IF(F18="","",IF(F18=0,"","L="))</f>
        <v>L=</v>
      </c>
      <c r="F18" s="86">
        <v>2.09</v>
      </c>
      <c r="G18" s="86"/>
      <c r="H18" s="14" t="str">
        <f>IF(F18="","",IF(F18=0,"","m"))</f>
        <v>m</v>
      </c>
      <c r="K18" s="13" t="str">
        <f>IF(L18="","",IF(L18=0,"","L="))</f>
        <v/>
      </c>
      <c r="L18" s="86"/>
      <c r="M18" s="86"/>
      <c r="N18" s="14" t="str">
        <f>IF(L18="","",IF(L18=0,"","m"))</f>
        <v/>
      </c>
      <c r="Q18" s="2"/>
      <c r="R18" s="105" t="str">
        <f>IF(OR(S18="入力ｴﾗｰ",S18=0,S18="")=TRUE,"",IF(F18="","甲",IF(F18=0,"甲","")))</f>
        <v/>
      </c>
      <c r="S18" s="80">
        <f>IF((F18+I23+L18+O23)=0,"",IF((F18+I23+L18+O23)&gt;SUM($AC$1:$AC$3),"入力ｴﾗｰ",SUM($AC$1:$AC$3)-(F18+I23+L18+O23)))</f>
        <v>0.3100000000000005</v>
      </c>
      <c r="T18" s="81" t="str">
        <f>IF(S18="","",IF(S18="入力ｴﾗｰ","","m"))</f>
        <v>m</v>
      </c>
      <c r="U18" s="125">
        <f>IF(B18="","",COUNT(F18,I23,L18,O23)-IF(S18=0,1,0))</f>
        <v>2</v>
      </c>
      <c r="V18" s="126">
        <v>2</v>
      </c>
      <c r="W18" s="97"/>
      <c r="X18" s="97"/>
      <c r="Y18" s="97"/>
      <c r="Z18" s="97"/>
      <c r="AA18" s="95"/>
    </row>
    <row r="19" spans="2:29" ht="3" customHeight="1" thickBot="1" x14ac:dyDescent="0.2">
      <c r="B19" s="88"/>
      <c r="C19" s="3"/>
      <c r="G19" s="3"/>
      <c r="H19" s="2"/>
      <c r="I19" s="3"/>
      <c r="J19" s="2"/>
      <c r="K19" s="3"/>
      <c r="L19" s="2"/>
      <c r="M19" s="3"/>
      <c r="N19" s="2"/>
      <c r="Q19" s="2"/>
      <c r="R19" s="105"/>
      <c r="S19" s="80"/>
      <c r="T19" s="81"/>
      <c r="U19" s="125"/>
      <c r="V19" s="126"/>
      <c r="W19" s="97"/>
      <c r="X19" s="97"/>
      <c r="Y19" s="97"/>
      <c r="Z19" s="97"/>
      <c r="AA19" s="95"/>
    </row>
    <row r="20" spans="2:29" ht="3" customHeight="1" thickTop="1" x14ac:dyDescent="0.15">
      <c r="B20" s="88"/>
      <c r="C20" s="3"/>
      <c r="E20" s="4"/>
      <c r="F20" s="4"/>
      <c r="G20" s="5"/>
      <c r="H20" s="55"/>
      <c r="I20" s="4"/>
      <c r="J20" s="59"/>
      <c r="K20" s="5"/>
      <c r="L20" s="2"/>
      <c r="M20" s="5"/>
      <c r="N20" s="55"/>
      <c r="O20" s="4"/>
      <c r="P20" s="57"/>
      <c r="Q20" s="2"/>
      <c r="R20" s="105"/>
      <c r="S20" s="80"/>
      <c r="T20" s="81"/>
      <c r="U20" s="125"/>
      <c r="V20" s="126"/>
      <c r="W20" s="97"/>
      <c r="X20" s="97"/>
      <c r="Y20" s="97"/>
      <c r="Z20" s="97"/>
      <c r="AA20" s="95"/>
    </row>
    <row r="21" spans="2:29" ht="3" customHeight="1" x14ac:dyDescent="0.15">
      <c r="B21" s="88"/>
      <c r="C21" s="3"/>
      <c r="E21" s="6"/>
      <c r="F21" s="6"/>
      <c r="G21" s="7"/>
      <c r="H21" s="8"/>
      <c r="I21" s="6"/>
      <c r="J21" s="6"/>
      <c r="K21" s="7"/>
      <c r="L21" s="8"/>
      <c r="M21" s="7"/>
      <c r="N21" s="8"/>
      <c r="O21" s="6"/>
      <c r="P21" s="6"/>
      <c r="Q21" s="2"/>
      <c r="R21" s="96" t="str">
        <f>IF(R18="甲","",IF(OR(S18=0,S18="")=TRUE,"",IF(S18="入力ｴﾗｰ","","乙")))</f>
        <v>乙</v>
      </c>
      <c r="S21" s="80"/>
      <c r="U21" s="125"/>
      <c r="V21" s="126"/>
      <c r="W21" s="97"/>
      <c r="X21" s="97"/>
      <c r="Y21" s="97"/>
      <c r="Z21" s="97"/>
      <c r="AA21" s="95"/>
    </row>
    <row r="22" spans="2:29" ht="3" customHeight="1" x14ac:dyDescent="0.15">
      <c r="B22" s="88"/>
      <c r="C22" s="3"/>
      <c r="G22" s="3"/>
      <c r="H22" s="2"/>
      <c r="K22" s="3"/>
      <c r="L22" s="2"/>
      <c r="M22" s="3"/>
      <c r="N22" s="2"/>
      <c r="Q22" s="2"/>
      <c r="R22" s="96"/>
      <c r="S22" s="80"/>
      <c r="U22" s="125"/>
      <c r="V22" s="126"/>
      <c r="W22" s="97"/>
      <c r="X22" s="97"/>
      <c r="Y22" s="97"/>
      <c r="Z22" s="97"/>
      <c r="AA22" s="95"/>
    </row>
    <row r="23" spans="2:29" ht="15" customHeight="1" x14ac:dyDescent="0.15">
      <c r="B23" s="88"/>
      <c r="C23" s="3"/>
      <c r="G23" s="1" t="s">
        <v>23</v>
      </c>
      <c r="H23" s="13" t="str">
        <f>IF(I23="","",IF(I23=0,"","L="))</f>
        <v/>
      </c>
      <c r="I23" s="86"/>
      <c r="J23" s="86"/>
      <c r="K23" s="14" t="str">
        <f>IF(I23="","",IF(I23=0,"","m"))</f>
        <v/>
      </c>
      <c r="N23" s="13" t="str">
        <f>IF(O23="","",IF(O23=0,"","L="))</f>
        <v>L=</v>
      </c>
      <c r="O23" s="86">
        <v>3.6</v>
      </c>
      <c r="P23" s="86"/>
      <c r="Q23" s="24" t="str">
        <f>IF(O23="","",IF(O23=0,"","m"))</f>
        <v>m</v>
      </c>
      <c r="R23" s="96"/>
      <c r="S23" s="80"/>
      <c r="U23" s="125"/>
      <c r="V23" s="126"/>
      <c r="W23" s="97"/>
      <c r="X23" s="97"/>
      <c r="Y23" s="97"/>
      <c r="Z23" s="97"/>
      <c r="AA23" s="95"/>
      <c r="AC23" s="1">
        <f>IF(U18="",0,IF(U18&gt;SUM(V18:AA23),U18-SUM(V18:AA23),0))</f>
        <v>0</v>
      </c>
    </row>
    <row r="24" spans="2:29" ht="6" customHeight="1" x14ac:dyDescent="0.1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39"/>
      <c r="V24" s="40"/>
      <c r="W24" s="41"/>
      <c r="X24" s="41"/>
      <c r="Y24" s="41"/>
      <c r="Z24" s="41"/>
      <c r="AA24" s="42"/>
    </row>
    <row r="25" spans="2:29" ht="6" customHeight="1" x14ac:dyDescent="0.1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26"/>
      <c r="V25" s="27"/>
      <c r="W25" s="23"/>
      <c r="X25" s="23"/>
      <c r="Y25" s="23"/>
      <c r="Z25" s="23"/>
      <c r="AA25" s="37"/>
    </row>
    <row r="26" spans="2:29" ht="15" customHeight="1" x14ac:dyDescent="0.15">
      <c r="B26" s="88">
        <f>IF(S26="","",IF(B18="","",1+B18))</f>
        <v>3</v>
      </c>
      <c r="C26" s="3"/>
      <c r="E26" s="13" t="str">
        <f>IF(F26="","",IF(F26=0,"","L="))</f>
        <v>L=</v>
      </c>
      <c r="F26" s="86">
        <v>3</v>
      </c>
      <c r="G26" s="86"/>
      <c r="H26" s="14" t="str">
        <f>IF(F26="","",IF(F26=0,"","m"))</f>
        <v>m</v>
      </c>
      <c r="K26" s="13" t="str">
        <f>IF(L26="","",IF(L26=0,"","L="))</f>
        <v/>
      </c>
      <c r="L26" s="86"/>
      <c r="M26" s="86"/>
      <c r="N26" s="14" t="str">
        <f>IF(L26="","",IF(L26=0,"","m"))</f>
        <v/>
      </c>
      <c r="Q26" s="2"/>
      <c r="R26" s="105" t="str">
        <f>IF(OR(S26="入力ｴﾗｰ",S26=0,S26="")=TRUE,"",IF(F26="","甲",IF(F26=0,"甲","")))</f>
        <v/>
      </c>
      <c r="S26" s="80">
        <f>IF((F26+I31+L26+O31)=0,"",IF((F26+I31+L26+O31)&gt;SUM($AC$1:$AC$3),"入力ｴﾗｰ",SUM($AC$1:$AC$3)-(F26+I31+L26+O31)))</f>
        <v>3</v>
      </c>
      <c r="T26" s="81" t="str">
        <f>IF(S26="","",IF(S26="入力ｴﾗｰ","","m"))</f>
        <v>m</v>
      </c>
      <c r="U26" s="125">
        <f>IF(B26="","",COUNT(F26,I31,L26,O31)-IF(S26=0,1,0))</f>
        <v>1</v>
      </c>
      <c r="V26" s="126">
        <v>1</v>
      </c>
      <c r="W26" s="97"/>
      <c r="X26" s="97"/>
      <c r="Y26" s="97"/>
      <c r="Z26" s="97"/>
      <c r="AA26" s="95"/>
    </row>
    <row r="27" spans="2:29" ht="3" customHeight="1" thickBot="1" x14ac:dyDescent="0.2">
      <c r="B27" s="88"/>
      <c r="C27" s="3"/>
      <c r="G27" s="3"/>
      <c r="H27" s="2"/>
      <c r="J27" s="62"/>
      <c r="K27" s="3"/>
      <c r="L27" s="2"/>
      <c r="M27" s="3"/>
      <c r="N27" s="2"/>
      <c r="Q27" s="2"/>
      <c r="R27" s="105"/>
      <c r="S27" s="80"/>
      <c r="T27" s="81"/>
      <c r="U27" s="125"/>
      <c r="V27" s="126"/>
      <c r="W27" s="97"/>
      <c r="X27" s="97"/>
      <c r="Y27" s="97"/>
      <c r="Z27" s="97"/>
      <c r="AA27" s="95"/>
    </row>
    <row r="28" spans="2:29" ht="3" customHeight="1" thickTop="1" x14ac:dyDescent="0.15">
      <c r="B28" s="88"/>
      <c r="C28" s="3"/>
      <c r="E28" s="4"/>
      <c r="F28" s="4"/>
      <c r="G28" s="5"/>
      <c r="H28" s="55"/>
      <c r="I28" s="4"/>
      <c r="J28" s="4"/>
      <c r="K28" s="5"/>
      <c r="L28" s="2"/>
      <c r="M28" s="5"/>
      <c r="N28" s="55"/>
      <c r="O28" s="4"/>
      <c r="P28" s="4"/>
      <c r="Q28" s="2"/>
      <c r="R28" s="105"/>
      <c r="S28" s="80"/>
      <c r="T28" s="81"/>
      <c r="U28" s="125"/>
      <c r="V28" s="126"/>
      <c r="W28" s="97"/>
      <c r="X28" s="97"/>
      <c r="Y28" s="97"/>
      <c r="Z28" s="97"/>
      <c r="AA28" s="95"/>
    </row>
    <row r="29" spans="2:29" ht="3" customHeight="1" x14ac:dyDescent="0.15">
      <c r="B29" s="88"/>
      <c r="C29" s="3"/>
      <c r="E29" s="6"/>
      <c r="F29" s="6"/>
      <c r="G29" s="7"/>
      <c r="H29" s="8"/>
      <c r="I29" s="6"/>
      <c r="J29" s="6"/>
      <c r="K29" s="7"/>
      <c r="L29" s="8"/>
      <c r="M29" s="7"/>
      <c r="N29" s="8"/>
      <c r="O29" s="7"/>
      <c r="P29" s="6"/>
      <c r="Q29" s="2"/>
      <c r="R29" s="96" t="str">
        <f>IF(R26="甲","",IF(OR(S26=0,S26="")=TRUE,"",IF(S26="入力ｴﾗｰ","","乙")))</f>
        <v>乙</v>
      </c>
      <c r="S29" s="80"/>
      <c r="U29" s="125"/>
      <c r="V29" s="126"/>
      <c r="W29" s="97"/>
      <c r="X29" s="97"/>
      <c r="Y29" s="97"/>
      <c r="Z29" s="97"/>
      <c r="AA29" s="95"/>
    </row>
    <row r="30" spans="2:29" ht="3" customHeight="1" x14ac:dyDescent="0.15">
      <c r="B30" s="88"/>
      <c r="C30" s="3"/>
      <c r="G30" s="3"/>
      <c r="H30" s="2"/>
      <c r="K30" s="3"/>
      <c r="L30" s="2"/>
      <c r="M30" s="3"/>
      <c r="N30" s="2"/>
      <c r="Q30" s="2"/>
      <c r="R30" s="96"/>
      <c r="S30" s="80"/>
      <c r="U30" s="125"/>
      <c r="V30" s="126"/>
      <c r="W30" s="97"/>
      <c r="X30" s="97"/>
      <c r="Y30" s="97"/>
      <c r="Z30" s="97"/>
      <c r="AA30" s="95"/>
    </row>
    <row r="31" spans="2:29" ht="15" customHeight="1" x14ac:dyDescent="0.15">
      <c r="B31" s="88"/>
      <c r="C31" s="3"/>
      <c r="G31" s="1" t="s">
        <v>29</v>
      </c>
      <c r="H31" s="13" t="str">
        <f>IF(I31="","",IF(I31=0,"","L="))</f>
        <v/>
      </c>
      <c r="I31" s="86"/>
      <c r="J31" s="86"/>
      <c r="K31" s="14" t="str">
        <f>IF(I31="","",IF(I31=0,"","m"))</f>
        <v/>
      </c>
      <c r="N31" s="13" t="str">
        <f>IF(O31="","",IF(O31=0,"","L="))</f>
        <v/>
      </c>
      <c r="O31" s="86"/>
      <c r="P31" s="86"/>
      <c r="Q31" s="24" t="str">
        <f>IF(O31="","",IF(O31=0,"","m"))</f>
        <v/>
      </c>
      <c r="R31" s="96"/>
      <c r="S31" s="80"/>
      <c r="U31" s="125"/>
      <c r="V31" s="126"/>
      <c r="W31" s="97"/>
      <c r="X31" s="97"/>
      <c r="Y31" s="97"/>
      <c r="Z31" s="97"/>
      <c r="AA31" s="95"/>
      <c r="AC31" s="1">
        <f>IF(U26="",0,IF(U26&gt;SUM(V26:AA31),U26-SUM(V26:AA31),0))</f>
        <v>0</v>
      </c>
    </row>
    <row r="32" spans="2:29" ht="6" customHeight="1" x14ac:dyDescent="0.1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39"/>
      <c r="V32" s="40"/>
      <c r="W32" s="41"/>
      <c r="X32" s="41"/>
      <c r="Y32" s="41"/>
      <c r="Z32" s="41"/>
      <c r="AA32" s="42"/>
    </row>
    <row r="33" spans="2:29" ht="6" customHeight="1" x14ac:dyDescent="0.1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26"/>
      <c r="V33" s="27"/>
      <c r="W33" s="23"/>
      <c r="X33" s="23"/>
      <c r="Y33" s="23"/>
      <c r="Z33" s="23"/>
      <c r="AA33" s="37"/>
    </row>
    <row r="34" spans="2:29" ht="15" customHeight="1" x14ac:dyDescent="0.15">
      <c r="B34" s="88">
        <f>IF(S34="","",IF(B26="","",1+B26))</f>
        <v>4</v>
      </c>
      <c r="C34" s="3"/>
      <c r="E34" s="13" t="str">
        <f>IF(F34="","",IF(F34=0,"","L="))</f>
        <v>L=</v>
      </c>
      <c r="F34" s="86">
        <v>5.26</v>
      </c>
      <c r="G34" s="86"/>
      <c r="H34" s="14" t="str">
        <f>IF(F34="","",IF(F34=0,"","m"))</f>
        <v>m</v>
      </c>
      <c r="K34" s="13" t="str">
        <f>IF(L34="","",IF(L34=0,"","L="))</f>
        <v/>
      </c>
      <c r="L34" s="86"/>
      <c r="M34" s="86"/>
      <c r="N34" s="14" t="str">
        <f>IF(L34="","",IF(L34=0,"","m"))</f>
        <v/>
      </c>
      <c r="Q34" s="2"/>
      <c r="R34" s="105" t="str">
        <f>IF(OR(S34="入力ｴﾗｰ",S34=0,S34="")=TRUE,"",IF(F34="","甲",IF(F34=0,"甲","")))</f>
        <v/>
      </c>
      <c r="S34" s="80">
        <f>IF((F34+I39+L34+O39)=0,"",IF((F34+I39+L34+O39)&gt;SUM($AC$1:$AC$3),"入力ｴﾗｰ",SUM($AC$1:$AC$3)-(F34+I39+L34+O39)))</f>
        <v>0.74000000000000021</v>
      </c>
      <c r="T34" s="81" t="str">
        <f>IF(S34="","",IF(S34="入力ｴﾗｰ","","m"))</f>
        <v>m</v>
      </c>
      <c r="U34" s="125">
        <f>IF(B34="","",COUNT(F34,I39,L34,O39)-IF(S34=0,1,0))</f>
        <v>1</v>
      </c>
      <c r="V34" s="126">
        <v>1</v>
      </c>
      <c r="W34" s="97"/>
      <c r="X34" s="97"/>
      <c r="Y34" s="97"/>
      <c r="Z34" s="97"/>
      <c r="AA34" s="95"/>
    </row>
    <row r="35" spans="2:29" ht="3" customHeight="1" thickBot="1" x14ac:dyDescent="0.2">
      <c r="B35" s="88"/>
      <c r="C35" s="3"/>
      <c r="G35" s="3"/>
      <c r="H35" s="2"/>
      <c r="K35" s="3"/>
      <c r="L35" s="2"/>
      <c r="M35" s="3"/>
      <c r="N35" s="2"/>
      <c r="Q35" s="2"/>
      <c r="R35" s="105"/>
      <c r="S35" s="80"/>
      <c r="T35" s="81"/>
      <c r="U35" s="125"/>
      <c r="V35" s="126"/>
      <c r="W35" s="97"/>
      <c r="X35" s="97"/>
      <c r="Y35" s="97"/>
      <c r="Z35" s="97"/>
      <c r="AA35" s="95"/>
    </row>
    <row r="36" spans="2:29" ht="3" customHeight="1" thickTop="1" x14ac:dyDescent="0.15">
      <c r="B36" s="88"/>
      <c r="C36" s="3"/>
      <c r="E36" s="4"/>
      <c r="F36" s="4"/>
      <c r="G36" s="5"/>
      <c r="H36" s="55"/>
      <c r="I36" s="4"/>
      <c r="J36" s="4"/>
      <c r="K36" s="5"/>
      <c r="L36" s="2"/>
      <c r="M36" s="58"/>
      <c r="N36" s="59"/>
      <c r="O36" s="58"/>
      <c r="P36" s="4"/>
      <c r="Q36" s="2"/>
      <c r="R36" s="105"/>
      <c r="S36" s="80"/>
      <c r="T36" s="81"/>
      <c r="U36" s="125"/>
      <c r="V36" s="126"/>
      <c r="W36" s="97"/>
      <c r="X36" s="97"/>
      <c r="Y36" s="97"/>
      <c r="Z36" s="97"/>
      <c r="AA36" s="95"/>
    </row>
    <row r="37" spans="2:29" ht="3" customHeight="1" x14ac:dyDescent="0.15">
      <c r="B37" s="88"/>
      <c r="C37" s="3"/>
      <c r="E37" s="6"/>
      <c r="F37" s="6"/>
      <c r="G37" s="7"/>
      <c r="H37" s="8"/>
      <c r="I37" s="6"/>
      <c r="J37" s="6"/>
      <c r="K37" s="7"/>
      <c r="L37" s="8"/>
      <c r="M37" s="7"/>
      <c r="N37" s="8"/>
      <c r="O37" s="6"/>
      <c r="P37" s="6"/>
      <c r="Q37" s="2"/>
      <c r="R37" s="96" t="str">
        <f>IF(R34="甲","",IF(OR(S34=0,S34="")=TRUE,"",IF(S34="入力ｴﾗｰ","","乙")))</f>
        <v>乙</v>
      </c>
      <c r="S37" s="80"/>
      <c r="U37" s="125"/>
      <c r="V37" s="126"/>
      <c r="W37" s="97"/>
      <c r="X37" s="97"/>
      <c r="Y37" s="97"/>
      <c r="Z37" s="97"/>
      <c r="AA37" s="95"/>
    </row>
    <row r="38" spans="2:29" ht="3" customHeight="1" x14ac:dyDescent="0.15">
      <c r="B38" s="88"/>
      <c r="C38" s="3"/>
      <c r="G38" s="3"/>
      <c r="H38" s="2"/>
      <c r="K38" s="3"/>
      <c r="L38" s="2"/>
      <c r="M38" s="3"/>
      <c r="N38" s="2"/>
      <c r="O38" s="3"/>
      <c r="Q38" s="2"/>
      <c r="R38" s="96"/>
      <c r="S38" s="80"/>
      <c r="U38" s="125"/>
      <c r="V38" s="126"/>
      <c r="W38" s="97"/>
      <c r="X38" s="97"/>
      <c r="Y38" s="97"/>
      <c r="Z38" s="97"/>
      <c r="AA38" s="95"/>
    </row>
    <row r="39" spans="2:29" ht="15" customHeight="1" x14ac:dyDescent="0.15">
      <c r="B39" s="88"/>
      <c r="C39" s="3"/>
      <c r="G39" s="1" t="s">
        <v>29</v>
      </c>
      <c r="H39" s="13" t="str">
        <f>IF(I39="","",IF(I39=0,"","L="))</f>
        <v/>
      </c>
      <c r="I39" s="86"/>
      <c r="J39" s="86"/>
      <c r="K39" s="14" t="str">
        <f>IF(I39="","",IF(I39=0,"","m"))</f>
        <v/>
      </c>
      <c r="N39" s="13" t="str">
        <f>IF(O39="","",IF(O39=0,"","L="))</f>
        <v/>
      </c>
      <c r="O39" s="86"/>
      <c r="P39" s="86"/>
      <c r="Q39" s="24" t="str">
        <f>IF(O39="","",IF(O39=0,"","m"))</f>
        <v/>
      </c>
      <c r="R39" s="96"/>
      <c r="S39" s="80"/>
      <c r="U39" s="125"/>
      <c r="V39" s="126"/>
      <c r="W39" s="97"/>
      <c r="X39" s="97"/>
      <c r="Y39" s="97"/>
      <c r="Z39" s="97"/>
      <c r="AA39" s="95"/>
      <c r="AC39" s="1">
        <f>IF(U34="",0,IF(U34&gt;SUM(V34:AA39),U34-SUM(V34:AA39),0))</f>
        <v>0</v>
      </c>
    </row>
    <row r="40" spans="2:29" ht="6" customHeight="1" x14ac:dyDescent="0.1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39"/>
      <c r="V40" s="40"/>
      <c r="W40" s="41"/>
      <c r="X40" s="41"/>
      <c r="Y40" s="41"/>
      <c r="Z40" s="41"/>
      <c r="AA40" s="42"/>
    </row>
    <row r="41" spans="2:29" ht="6" customHeight="1" x14ac:dyDescent="0.1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26"/>
      <c r="V41" s="27"/>
      <c r="W41" s="23"/>
      <c r="X41" s="23"/>
      <c r="Y41" s="23"/>
      <c r="Z41" s="23"/>
      <c r="AA41" s="37"/>
    </row>
    <row r="42" spans="2:29" ht="15" customHeight="1" x14ac:dyDescent="0.15">
      <c r="B42" s="88">
        <f>IF(S42="","",IF(B34="","",1+B34))</f>
        <v>5</v>
      </c>
      <c r="C42" s="3"/>
      <c r="E42" s="13" t="str">
        <f>IF(F42="","",IF(F42=0,"","L="))</f>
        <v>L=</v>
      </c>
      <c r="F42" s="86">
        <v>3.26</v>
      </c>
      <c r="G42" s="86"/>
      <c r="H42" s="14" t="str">
        <f>IF(F42="","",IF(F42=0,"","m"))</f>
        <v>m</v>
      </c>
      <c r="K42" s="13" t="str">
        <f>IF(L42="","",IF(L42=0,"","L="))</f>
        <v/>
      </c>
      <c r="L42" s="86"/>
      <c r="M42" s="86"/>
      <c r="N42" s="14" t="str">
        <f>IF(L42="","",IF(L42=0,"","m"))</f>
        <v/>
      </c>
      <c r="Q42" s="2"/>
      <c r="R42" s="105" t="str">
        <f>IF(OR(S42="入力ｴﾗｰ",S42=0,S42="")=TRUE,"",IF(F42="","甲",IF(F42=0,"甲","")))</f>
        <v/>
      </c>
      <c r="S42" s="80">
        <f>IF((F42+I47+L42+O47)=0,"",IF((F42+I47+L42+O47)&gt;SUM($AC$1:$AC$3),"入力ｴﾗｰ",SUM($AC$1:$AC$3)-(F42+I47+L42+O47)))</f>
        <v>2.74</v>
      </c>
      <c r="T42" s="81" t="str">
        <f>IF(S42="","",IF(S42="入力ｴﾗｰ","","m"))</f>
        <v>m</v>
      </c>
      <c r="U42" s="125">
        <f>IF(B42="","",COUNT(F42,I47,L42,O47)-IF(S42=0,1,0))</f>
        <v>1</v>
      </c>
      <c r="V42" s="126"/>
      <c r="W42" s="97"/>
      <c r="X42" s="97"/>
      <c r="Y42" s="97"/>
      <c r="Z42" s="97"/>
      <c r="AA42" s="95"/>
    </row>
    <row r="43" spans="2:29" ht="3" customHeight="1" x14ac:dyDescent="0.15">
      <c r="B43" s="88"/>
      <c r="C43" s="3"/>
      <c r="G43" s="3"/>
      <c r="H43" s="2"/>
      <c r="K43" s="3"/>
      <c r="L43" s="2"/>
      <c r="M43" s="3"/>
      <c r="N43" s="2"/>
      <c r="Q43" s="2"/>
      <c r="R43" s="105"/>
      <c r="S43" s="80"/>
      <c r="T43" s="81"/>
      <c r="U43" s="125"/>
      <c r="V43" s="126"/>
      <c r="W43" s="97"/>
      <c r="X43" s="97"/>
      <c r="Y43" s="97"/>
      <c r="Z43" s="97"/>
      <c r="AA43" s="95"/>
    </row>
    <row r="44" spans="2:29" ht="3" customHeight="1" x14ac:dyDescent="0.15">
      <c r="B44" s="88"/>
      <c r="C44" s="3"/>
      <c r="E44" s="4"/>
      <c r="F44" s="4"/>
      <c r="G44" s="5"/>
      <c r="H44" s="55"/>
      <c r="I44" s="4"/>
      <c r="J44" s="4"/>
      <c r="K44" s="5"/>
      <c r="L44" s="2"/>
      <c r="M44" s="5"/>
      <c r="N44" s="55"/>
      <c r="O44" s="4"/>
      <c r="P44" s="4"/>
      <c r="Q44" s="2"/>
      <c r="R44" s="105"/>
      <c r="S44" s="80"/>
      <c r="T44" s="81"/>
      <c r="U44" s="125"/>
      <c r="V44" s="126"/>
      <c r="W44" s="97"/>
      <c r="X44" s="97"/>
      <c r="Y44" s="97"/>
      <c r="Z44" s="97"/>
      <c r="AA44" s="95"/>
    </row>
    <row r="45" spans="2:29" ht="3" customHeight="1" x14ac:dyDescent="0.15">
      <c r="B45" s="88"/>
      <c r="C45" s="3"/>
      <c r="E45" s="6"/>
      <c r="F45" s="6"/>
      <c r="G45" s="7"/>
      <c r="H45" s="8"/>
      <c r="I45" s="6"/>
      <c r="J45" s="6"/>
      <c r="K45" s="7"/>
      <c r="L45" s="8"/>
      <c r="M45" s="7"/>
      <c r="N45" s="8"/>
      <c r="O45" s="7"/>
      <c r="P45" s="6"/>
      <c r="Q45" s="2"/>
      <c r="R45" s="96" t="str">
        <f>IF(R42="甲","",IF(OR(S42=0,S42="")=TRUE,"",IF(S42="入力ｴﾗｰ","","乙")))</f>
        <v>乙</v>
      </c>
      <c r="S45" s="80"/>
      <c r="U45" s="125"/>
      <c r="V45" s="126"/>
      <c r="W45" s="97"/>
      <c r="X45" s="97"/>
      <c r="Y45" s="97"/>
      <c r="Z45" s="97"/>
      <c r="AA45" s="95"/>
    </row>
    <row r="46" spans="2:29" ht="3" customHeight="1" x14ac:dyDescent="0.15">
      <c r="B46" s="88"/>
      <c r="C46" s="3"/>
      <c r="G46" s="3"/>
      <c r="H46" s="2"/>
      <c r="K46" s="3"/>
      <c r="L46" s="2"/>
      <c r="M46" s="3"/>
      <c r="N46" s="2"/>
      <c r="Q46" s="2"/>
      <c r="R46" s="96"/>
      <c r="S46" s="80"/>
      <c r="U46" s="125"/>
      <c r="V46" s="126"/>
      <c r="W46" s="97"/>
      <c r="X46" s="97"/>
      <c r="Y46" s="97"/>
      <c r="Z46" s="97"/>
      <c r="AA46" s="95"/>
    </row>
    <row r="47" spans="2:29" ht="15" customHeight="1" x14ac:dyDescent="0.15">
      <c r="B47" s="88"/>
      <c r="C47" s="3"/>
      <c r="G47" s="1" t="s">
        <v>29</v>
      </c>
      <c r="H47" s="13" t="str">
        <f>IF(I47="","",IF(I47=0,"","L="))</f>
        <v/>
      </c>
      <c r="I47" s="86"/>
      <c r="J47" s="86"/>
      <c r="K47" s="14" t="str">
        <f>IF(I47="","",IF(I47=0,"","m"))</f>
        <v/>
      </c>
      <c r="N47" s="13" t="str">
        <f>IF(O47="","",IF(O47=0,"","L="))</f>
        <v/>
      </c>
      <c r="O47" s="86"/>
      <c r="P47" s="86"/>
      <c r="Q47" s="24" t="str">
        <f>IF(O47="","",IF(O47=0,"","m"))</f>
        <v/>
      </c>
      <c r="R47" s="96"/>
      <c r="S47" s="80"/>
      <c r="U47" s="125"/>
      <c r="V47" s="126"/>
      <c r="W47" s="97"/>
      <c r="X47" s="97"/>
      <c r="Y47" s="97"/>
      <c r="Z47" s="97"/>
      <c r="AA47" s="95"/>
      <c r="AC47" s="1">
        <f>IF(U42="",0,IF(U42&gt;SUM(V42:AA47),U42-SUM(V42:AA47),0))</f>
        <v>1</v>
      </c>
    </row>
    <row r="48" spans="2:29" ht="6" customHeight="1" x14ac:dyDescent="0.1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39"/>
      <c r="V48" s="40"/>
      <c r="W48" s="41"/>
      <c r="X48" s="41"/>
      <c r="Y48" s="41"/>
      <c r="Z48" s="41"/>
      <c r="AA48" s="42"/>
    </row>
    <row r="49" spans="2:29" ht="6" customHeight="1" x14ac:dyDescent="0.1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26"/>
      <c r="V49" s="27"/>
      <c r="W49" s="23"/>
      <c r="X49" s="23"/>
      <c r="Y49" s="23"/>
      <c r="Z49" s="23"/>
      <c r="AA49" s="37"/>
    </row>
    <row r="50" spans="2:29" ht="15" customHeight="1" x14ac:dyDescent="0.15">
      <c r="B50" s="88" t="str">
        <f>IF(S50="","",IF(B42="","",1+B42))</f>
        <v/>
      </c>
      <c r="C50" s="3"/>
      <c r="E50" s="13" t="str">
        <f>IF(F50="","",IF(F50=0,"","L="))</f>
        <v/>
      </c>
      <c r="F50" s="86"/>
      <c r="G50" s="86"/>
      <c r="H50" s="14" t="str">
        <f>IF(F50="","",IF(F50=0,"","m"))</f>
        <v/>
      </c>
      <c r="K50" s="13" t="str">
        <f>IF(L50="","",IF(L50=0,"","L="))</f>
        <v/>
      </c>
      <c r="L50" s="86"/>
      <c r="M50" s="86"/>
      <c r="N50" s="14" t="str">
        <f>IF(L50="","",IF(L50=0,"","m"))</f>
        <v/>
      </c>
      <c r="Q50" s="2"/>
      <c r="R50" s="105" t="str">
        <f>IF(OR(S50="入力ｴﾗｰ",S50=0,S50="")=TRUE,"",IF(F50="","甲",IF(F50=0,"甲","")))</f>
        <v/>
      </c>
      <c r="S50" s="80" t="str">
        <f>IF((F50+I55+L50+O55)=0,"",IF((F50+I55+L50+O55)&gt;SUM($AC$1:$AC$3),"入力ｴﾗｰ",SUM($AC$1:$AC$3)-(F50+I55+L50+O55)))</f>
        <v/>
      </c>
      <c r="T50" s="81" t="str">
        <f>IF(S50="","",IF(S50="入力ｴﾗｰ","","m"))</f>
        <v/>
      </c>
      <c r="U50" s="125" t="str">
        <f>IF(B50="","",COUNT(F50,I55,L50,O55)-IF(S50=0,1,0))</f>
        <v/>
      </c>
      <c r="V50" s="126"/>
      <c r="W50" s="97"/>
      <c r="X50" s="97"/>
      <c r="Y50" s="97"/>
      <c r="Z50" s="97"/>
      <c r="AA50" s="95"/>
    </row>
    <row r="51" spans="2:29" ht="3" customHeight="1" x14ac:dyDescent="0.15">
      <c r="B51" s="88"/>
      <c r="C51" s="3"/>
      <c r="G51" s="3"/>
      <c r="H51" s="2"/>
      <c r="K51" s="3"/>
      <c r="L51" s="2"/>
      <c r="M51" s="3"/>
      <c r="N51" s="2"/>
      <c r="Q51" s="2"/>
      <c r="R51" s="105"/>
      <c r="S51" s="80"/>
      <c r="T51" s="81"/>
      <c r="U51" s="125"/>
      <c r="V51" s="126"/>
      <c r="W51" s="97"/>
      <c r="X51" s="97"/>
      <c r="Y51" s="97"/>
      <c r="Z51" s="97"/>
      <c r="AA51" s="95"/>
    </row>
    <row r="52" spans="2:29" ht="3" customHeight="1" x14ac:dyDescent="0.15">
      <c r="B52" s="88"/>
      <c r="C52" s="3"/>
      <c r="E52" s="4"/>
      <c r="F52" s="4"/>
      <c r="G52" s="5"/>
      <c r="H52" s="55"/>
      <c r="I52" s="4"/>
      <c r="J52" s="4"/>
      <c r="K52" s="5"/>
      <c r="L52" s="55"/>
      <c r="M52" s="5"/>
      <c r="N52" s="55"/>
      <c r="O52" s="4"/>
      <c r="P52" s="4"/>
      <c r="Q52" s="2"/>
      <c r="R52" s="105"/>
      <c r="S52" s="80"/>
      <c r="T52" s="81"/>
      <c r="U52" s="125"/>
      <c r="V52" s="126"/>
      <c r="W52" s="97"/>
      <c r="X52" s="97"/>
      <c r="Y52" s="97"/>
      <c r="Z52" s="97"/>
      <c r="AA52" s="95"/>
    </row>
    <row r="53" spans="2:29" ht="3" customHeight="1" x14ac:dyDescent="0.15">
      <c r="B53" s="88"/>
      <c r="C53" s="3"/>
      <c r="E53" s="6"/>
      <c r="F53" s="6"/>
      <c r="G53" s="7"/>
      <c r="H53" s="8"/>
      <c r="I53" s="6"/>
      <c r="J53" s="6"/>
      <c r="K53" s="7"/>
      <c r="L53" s="8"/>
      <c r="M53" s="7"/>
      <c r="N53" s="8"/>
      <c r="O53" s="6"/>
      <c r="P53" s="6"/>
      <c r="Q53" s="2"/>
      <c r="R53" s="96" t="str">
        <f>IF(R50="甲","",IF(OR(S50=0,S50="")=TRUE,"",IF(S50="入力ｴﾗｰ","","乙")))</f>
        <v/>
      </c>
      <c r="S53" s="80"/>
      <c r="U53" s="125"/>
      <c r="V53" s="126"/>
      <c r="W53" s="97"/>
      <c r="X53" s="97"/>
      <c r="Y53" s="97"/>
      <c r="Z53" s="97"/>
      <c r="AA53" s="95"/>
    </row>
    <row r="54" spans="2:29" ht="3" customHeight="1" x14ac:dyDescent="0.15">
      <c r="B54" s="88"/>
      <c r="C54" s="3"/>
      <c r="G54" s="3"/>
      <c r="H54" s="2"/>
      <c r="K54" s="3"/>
      <c r="L54" s="2"/>
      <c r="M54" s="3"/>
      <c r="N54" s="2"/>
      <c r="Q54" s="2"/>
      <c r="R54" s="96"/>
      <c r="S54" s="80"/>
      <c r="U54" s="125"/>
      <c r="V54" s="126"/>
      <c r="W54" s="97"/>
      <c r="X54" s="97"/>
      <c r="Y54" s="97"/>
      <c r="Z54" s="97"/>
      <c r="AA54" s="95"/>
    </row>
    <row r="55" spans="2:29" ht="15" customHeight="1" x14ac:dyDescent="0.15">
      <c r="B55" s="88"/>
      <c r="C55" s="3"/>
      <c r="H55" s="13" t="str">
        <f>IF(I55="","",IF(I55=0,"","L="))</f>
        <v/>
      </c>
      <c r="I55" s="86"/>
      <c r="J55" s="86"/>
      <c r="K55" s="14" t="str">
        <f>IF(I55="","",IF(I55=0,"","m"))</f>
        <v/>
      </c>
      <c r="N55" s="13" t="str">
        <f>IF(O55="","",IF(O55=0,"","L="))</f>
        <v/>
      </c>
      <c r="O55" s="86"/>
      <c r="P55" s="86"/>
      <c r="Q55" s="24" t="str">
        <f>IF(O55="","",IF(O55=0,"","m"))</f>
        <v/>
      </c>
      <c r="R55" s="96"/>
      <c r="S55" s="80"/>
      <c r="U55" s="125"/>
      <c r="V55" s="126"/>
      <c r="W55" s="97"/>
      <c r="X55" s="97"/>
      <c r="Y55" s="97"/>
      <c r="Z55" s="97"/>
      <c r="AA55" s="95"/>
      <c r="AC55" s="1">
        <f>IF(U50="",0,IF(U50&gt;SUM(V50:AA55),U50-SUM(V50:AA55),0))</f>
        <v>0</v>
      </c>
    </row>
    <row r="56" spans="2:29" ht="6" customHeight="1" x14ac:dyDescent="0.1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39"/>
      <c r="V56" s="40"/>
      <c r="W56" s="41"/>
      <c r="X56" s="41"/>
      <c r="Y56" s="41"/>
      <c r="Z56" s="41"/>
      <c r="AA56" s="42"/>
    </row>
    <row r="57" spans="2:29" ht="6" customHeight="1" x14ac:dyDescent="0.1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26"/>
      <c r="V57" s="27"/>
      <c r="W57" s="23"/>
      <c r="X57" s="23"/>
      <c r="Y57" s="23"/>
      <c r="Z57" s="23"/>
      <c r="AA57" s="37"/>
    </row>
    <row r="58" spans="2:29" ht="15" customHeight="1" x14ac:dyDescent="0.15">
      <c r="B58" s="88" t="str">
        <f>IF(S58="","",IF(B50="","",1+B50))</f>
        <v/>
      </c>
      <c r="C58" s="3"/>
      <c r="E58" s="13" t="str">
        <f>IF(F58="","",IF(F58=0,"","L="))</f>
        <v/>
      </c>
      <c r="F58" s="86"/>
      <c r="G58" s="86"/>
      <c r="H58" s="14" t="str">
        <f>IF(F58="","",IF(F58=0,"","m"))</f>
        <v/>
      </c>
      <c r="K58" s="13" t="str">
        <f>IF(L58="","",IF(L58=0,"","L="))</f>
        <v/>
      </c>
      <c r="L58" s="86"/>
      <c r="M58" s="86"/>
      <c r="N58" s="14" t="str">
        <f>IF(L58="","",IF(L58=0,"","m"))</f>
        <v/>
      </c>
      <c r="Q58" s="2"/>
      <c r="R58" s="105" t="str">
        <f>IF(OR(S58="入力ｴﾗｰ",S58=0,S58="")=TRUE,"",IF(F58="","甲",IF(F58=0,"甲","")))</f>
        <v/>
      </c>
      <c r="S58" s="80" t="str">
        <f>IF((F58+I63+L58+O63)=0,"",IF((F58+I63+L58+O63)&gt;SUM($AC$1:$AC$3),"入力ｴﾗｰ",SUM($AC$1:$AC$3)-(F58+I63+L58+O63)))</f>
        <v/>
      </c>
      <c r="T58" s="81" t="str">
        <f>IF(S58="","",IF(S58="入力ｴﾗｰ","","m"))</f>
        <v/>
      </c>
      <c r="U58" s="125" t="str">
        <f>IF(B58="","",COUNT(F58,I63,L58,O63)-IF(S58=0,1,0))</f>
        <v/>
      </c>
      <c r="V58" s="126"/>
      <c r="W58" s="97"/>
      <c r="X58" s="97"/>
      <c r="Y58" s="97"/>
      <c r="Z58" s="97"/>
      <c r="AA58" s="95"/>
    </row>
    <row r="59" spans="2:29" ht="3" customHeight="1" x14ac:dyDescent="0.15">
      <c r="B59" s="88"/>
      <c r="C59" s="3"/>
      <c r="G59" s="3"/>
      <c r="H59" s="2"/>
      <c r="K59" s="3"/>
      <c r="L59" s="2"/>
      <c r="M59" s="3"/>
      <c r="N59" s="2"/>
      <c r="Q59" s="2"/>
      <c r="R59" s="105"/>
      <c r="S59" s="80"/>
      <c r="T59" s="81"/>
      <c r="U59" s="125"/>
      <c r="V59" s="126"/>
      <c r="W59" s="97"/>
      <c r="X59" s="97"/>
      <c r="Y59" s="97"/>
      <c r="Z59" s="97"/>
      <c r="AA59" s="95"/>
    </row>
    <row r="60" spans="2:29" ht="3" customHeight="1" x14ac:dyDescent="0.15">
      <c r="B60" s="88"/>
      <c r="C60" s="3"/>
      <c r="E60" s="4"/>
      <c r="F60" s="4"/>
      <c r="G60" s="5"/>
      <c r="H60" s="55"/>
      <c r="I60" s="4"/>
      <c r="J60" s="4"/>
      <c r="K60" s="5"/>
      <c r="L60" s="55"/>
      <c r="M60" s="5"/>
      <c r="N60" s="55"/>
      <c r="O60" s="4"/>
      <c r="P60" s="4"/>
      <c r="Q60" s="2"/>
      <c r="R60" s="105"/>
      <c r="S60" s="80"/>
      <c r="T60" s="81"/>
      <c r="U60" s="125"/>
      <c r="V60" s="126"/>
      <c r="W60" s="97"/>
      <c r="X60" s="97"/>
      <c r="Y60" s="97"/>
      <c r="Z60" s="97"/>
      <c r="AA60" s="95"/>
    </row>
    <row r="61" spans="2:29" ht="3" customHeight="1" x14ac:dyDescent="0.15">
      <c r="B61" s="88"/>
      <c r="C61" s="3"/>
      <c r="E61" s="6"/>
      <c r="F61" s="6"/>
      <c r="G61" s="7"/>
      <c r="H61" s="8"/>
      <c r="I61" s="6"/>
      <c r="J61" s="6"/>
      <c r="K61" s="7"/>
      <c r="L61" s="8"/>
      <c r="M61" s="7"/>
      <c r="N61" s="8"/>
      <c r="O61" s="6"/>
      <c r="P61" s="6"/>
      <c r="Q61" s="2"/>
      <c r="R61" s="96" t="str">
        <f>IF(R58="甲","",IF(OR(S58=0,S58="")=TRUE,"",IF(S58="入力ｴﾗｰ","","乙")))</f>
        <v/>
      </c>
      <c r="S61" s="80"/>
      <c r="U61" s="125"/>
      <c r="V61" s="126"/>
      <c r="W61" s="97"/>
      <c r="X61" s="97"/>
      <c r="Y61" s="97"/>
      <c r="Z61" s="97"/>
      <c r="AA61" s="95"/>
    </row>
    <row r="62" spans="2:29" ht="3" customHeight="1" x14ac:dyDescent="0.15">
      <c r="B62" s="88"/>
      <c r="C62" s="3"/>
      <c r="G62" s="3"/>
      <c r="H62" s="2"/>
      <c r="K62" s="3"/>
      <c r="L62" s="2"/>
      <c r="M62" s="3"/>
      <c r="N62" s="2"/>
      <c r="Q62" s="2"/>
      <c r="R62" s="96"/>
      <c r="S62" s="80"/>
      <c r="U62" s="125"/>
      <c r="V62" s="126"/>
      <c r="W62" s="97"/>
      <c r="X62" s="97"/>
      <c r="Y62" s="97"/>
      <c r="Z62" s="97"/>
      <c r="AA62" s="95"/>
    </row>
    <row r="63" spans="2:29" ht="15" customHeight="1" x14ac:dyDescent="0.15">
      <c r="B63" s="88"/>
      <c r="C63" s="3"/>
      <c r="H63" s="13" t="str">
        <f>IF(I63="","",IF(I63=0,"","L="))</f>
        <v/>
      </c>
      <c r="I63" s="86"/>
      <c r="J63" s="86"/>
      <c r="K63" s="14" t="str">
        <f>IF(I63="","",IF(I63=0,"","m"))</f>
        <v/>
      </c>
      <c r="N63" s="13" t="str">
        <f>IF(O63="","",IF(O63=0,"","L="))</f>
        <v/>
      </c>
      <c r="O63" s="86"/>
      <c r="P63" s="86"/>
      <c r="Q63" s="24" t="str">
        <f>IF(O63="","",IF(O63=0,"","m"))</f>
        <v/>
      </c>
      <c r="R63" s="96"/>
      <c r="S63" s="80"/>
      <c r="U63" s="125"/>
      <c r="V63" s="126"/>
      <c r="W63" s="97"/>
      <c r="X63" s="97"/>
      <c r="Y63" s="97"/>
      <c r="Z63" s="97"/>
      <c r="AA63" s="95"/>
      <c r="AC63" s="1">
        <f>IF(U58="",0,IF(U58&gt;SUM(V58:AA63),U58-SUM(V58:AA63),0))</f>
        <v>0</v>
      </c>
    </row>
    <row r="64" spans="2:29" ht="6" customHeight="1" x14ac:dyDescent="0.1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39"/>
      <c r="V64" s="40"/>
      <c r="W64" s="41"/>
      <c r="X64" s="41"/>
      <c r="Y64" s="41"/>
      <c r="Z64" s="41"/>
      <c r="AA64" s="42"/>
    </row>
    <row r="65" spans="2:29" ht="6" customHeight="1" x14ac:dyDescent="0.1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26"/>
      <c r="V65" s="27"/>
      <c r="W65" s="23"/>
      <c r="X65" s="23"/>
      <c r="Y65" s="23"/>
      <c r="Z65" s="23"/>
      <c r="AA65" s="37"/>
    </row>
    <row r="66" spans="2:29" ht="15" customHeight="1" x14ac:dyDescent="0.15">
      <c r="B66" s="88" t="str">
        <f>IF(S66="","",IF(B58="","",1+B58))</f>
        <v/>
      </c>
      <c r="C66" s="3"/>
      <c r="E66" s="13" t="str">
        <f>IF(F66="","",IF(F66=0,"","L="))</f>
        <v/>
      </c>
      <c r="F66" s="86"/>
      <c r="G66" s="86"/>
      <c r="H66" s="14" t="str">
        <f>IF(F66="","",IF(F66=0,"","m"))</f>
        <v/>
      </c>
      <c r="K66" s="13" t="str">
        <f>IF(L66="","",IF(L66=0,"","L="))</f>
        <v/>
      </c>
      <c r="L66" s="86"/>
      <c r="M66" s="86"/>
      <c r="N66" s="14" t="str">
        <f>IF(L66="","",IF(L66=0,"","m"))</f>
        <v/>
      </c>
      <c r="Q66" s="2"/>
      <c r="R66" s="105" t="str">
        <f>IF(OR(S66="入力ｴﾗｰ",S66=0,S66="")=TRUE,"",IF(F66="","甲",IF(F66=0,"甲","")))</f>
        <v/>
      </c>
      <c r="S66" s="80" t="str">
        <f>IF((F66+I71+L66+O71)=0,"",IF((F66+I71+L66+O71)&gt;SUM($AC$1:$AC$3),"入力ｴﾗｰ",SUM($AC$1:$AC$3)-(F66+I71+L66+O71)))</f>
        <v/>
      </c>
      <c r="T66" s="81" t="str">
        <f>IF(S66="","",IF(S66="入力ｴﾗｰ","","m"))</f>
        <v/>
      </c>
      <c r="U66" s="125" t="str">
        <f>IF(B66="","",COUNT(F66,I71,L66,O71)-IF(S66=0,1,0))</f>
        <v/>
      </c>
      <c r="V66" s="126"/>
      <c r="W66" s="97"/>
      <c r="X66" s="97"/>
      <c r="Y66" s="97"/>
      <c r="Z66" s="97"/>
      <c r="AA66" s="95"/>
    </row>
    <row r="67" spans="2:29" ht="3" customHeight="1" x14ac:dyDescent="0.15">
      <c r="B67" s="88"/>
      <c r="C67" s="3"/>
      <c r="G67" s="3"/>
      <c r="H67" s="2"/>
      <c r="K67" s="3"/>
      <c r="L67" s="2"/>
      <c r="M67" s="3"/>
      <c r="N67" s="2"/>
      <c r="Q67" s="2"/>
      <c r="R67" s="105"/>
      <c r="S67" s="80"/>
      <c r="T67" s="81"/>
      <c r="U67" s="125"/>
      <c r="V67" s="126"/>
      <c r="W67" s="97"/>
      <c r="X67" s="97"/>
      <c r="Y67" s="97"/>
      <c r="Z67" s="97"/>
      <c r="AA67" s="95"/>
    </row>
    <row r="68" spans="2:29" ht="3" customHeight="1" x14ac:dyDescent="0.15">
      <c r="B68" s="88"/>
      <c r="C68" s="3"/>
      <c r="E68" s="4"/>
      <c r="F68" s="4"/>
      <c r="G68" s="5"/>
      <c r="H68" s="55"/>
      <c r="I68" s="4"/>
      <c r="J68" s="4"/>
      <c r="K68" s="5"/>
      <c r="L68" s="2"/>
      <c r="M68" s="5"/>
      <c r="N68" s="55"/>
      <c r="O68" s="4"/>
      <c r="P68" s="4"/>
      <c r="Q68" s="2"/>
      <c r="R68" s="105"/>
      <c r="S68" s="80"/>
      <c r="T68" s="81"/>
      <c r="U68" s="125"/>
      <c r="V68" s="126"/>
      <c r="W68" s="97"/>
      <c r="X68" s="97"/>
      <c r="Y68" s="97"/>
      <c r="Z68" s="97"/>
      <c r="AA68" s="95"/>
    </row>
    <row r="69" spans="2:29" ht="3" customHeight="1" x14ac:dyDescent="0.15">
      <c r="B69" s="88"/>
      <c r="C69" s="3"/>
      <c r="E69" s="6"/>
      <c r="F69" s="6"/>
      <c r="G69" s="7"/>
      <c r="H69" s="8"/>
      <c r="I69" s="6"/>
      <c r="J69" s="6"/>
      <c r="K69" s="7"/>
      <c r="L69" s="8"/>
      <c r="M69" s="7"/>
      <c r="N69" s="8"/>
      <c r="O69" s="6"/>
      <c r="P69" s="6"/>
      <c r="Q69" s="2"/>
      <c r="R69" s="96" t="str">
        <f>IF(R66="甲","",IF(OR(S66=0,S66="")=TRUE,"",IF(S66="入力ｴﾗｰ","","乙")))</f>
        <v/>
      </c>
      <c r="S69" s="80"/>
      <c r="U69" s="125"/>
      <c r="V69" s="126"/>
      <c r="W69" s="97"/>
      <c r="X69" s="97"/>
      <c r="Y69" s="97"/>
      <c r="Z69" s="97"/>
      <c r="AA69" s="95"/>
    </row>
    <row r="70" spans="2:29" ht="3" customHeight="1" x14ac:dyDescent="0.15">
      <c r="B70" s="88"/>
      <c r="C70" s="3"/>
      <c r="G70" s="3"/>
      <c r="H70" s="2"/>
      <c r="K70" s="3"/>
      <c r="L70" s="2"/>
      <c r="M70" s="3"/>
      <c r="N70" s="2"/>
      <c r="Q70" s="2"/>
      <c r="R70" s="96"/>
      <c r="S70" s="80"/>
      <c r="U70" s="125"/>
      <c r="V70" s="126"/>
      <c r="W70" s="97"/>
      <c r="X70" s="97"/>
      <c r="Y70" s="97"/>
      <c r="Z70" s="97"/>
      <c r="AA70" s="95"/>
    </row>
    <row r="71" spans="2:29" ht="15" customHeight="1" x14ac:dyDescent="0.15">
      <c r="B71" s="88"/>
      <c r="C71" s="3"/>
      <c r="H71" s="13" t="str">
        <f>IF(I71="","",IF(I71=0,"","L="))</f>
        <v/>
      </c>
      <c r="I71" s="86"/>
      <c r="J71" s="86"/>
      <c r="K71" s="14" t="str">
        <f>IF(I71="","",IF(I71=0,"","m"))</f>
        <v/>
      </c>
      <c r="N71" s="13" t="str">
        <f>IF(O71="","",IF(O71=0,"","L="))</f>
        <v/>
      </c>
      <c r="O71" s="86"/>
      <c r="P71" s="86"/>
      <c r="Q71" s="24" t="str">
        <f>IF(O71="","",IF(O71=0,"","m"))</f>
        <v/>
      </c>
      <c r="R71" s="96"/>
      <c r="S71" s="80"/>
      <c r="U71" s="125"/>
      <c r="V71" s="126"/>
      <c r="W71" s="97"/>
      <c r="X71" s="97"/>
      <c r="Y71" s="97"/>
      <c r="Z71" s="97"/>
      <c r="AA71" s="95"/>
      <c r="AC71" s="1">
        <f>IF(U66="",0,IF(U66&gt;SUM(V66:AA71),U66-SUM(V66:AA71),0))</f>
        <v>0</v>
      </c>
    </row>
    <row r="72" spans="2:29" ht="6" customHeight="1" x14ac:dyDescent="0.1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39"/>
      <c r="V72" s="40"/>
      <c r="W72" s="41"/>
      <c r="X72" s="41"/>
      <c r="Y72" s="41"/>
      <c r="Z72" s="41"/>
      <c r="AA72" s="42"/>
    </row>
    <row r="73" spans="2:29" ht="6" customHeight="1" x14ac:dyDescent="0.1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26"/>
      <c r="V73" s="27"/>
      <c r="W73" s="23"/>
      <c r="X73" s="23"/>
      <c r="Y73" s="23"/>
      <c r="Z73" s="23"/>
      <c r="AA73" s="37"/>
    </row>
    <row r="74" spans="2:29" ht="15" customHeight="1" x14ac:dyDescent="0.15">
      <c r="B74" s="88" t="str">
        <f>IF(S74="","",IF(B66="","",1+B66))</f>
        <v/>
      </c>
      <c r="C74" s="3"/>
      <c r="E74" s="13" t="str">
        <f>IF(F74="","",IF(F74=0,"","L="))</f>
        <v/>
      </c>
      <c r="F74" s="86"/>
      <c r="G74" s="86"/>
      <c r="H74" s="14" t="str">
        <f>IF(F74="","",IF(F74=0,"","m"))</f>
        <v/>
      </c>
      <c r="K74" s="13" t="str">
        <f>IF(L74="","",IF(L74=0,"","L="))</f>
        <v/>
      </c>
      <c r="L74" s="86"/>
      <c r="M74" s="86"/>
      <c r="N74" s="14" t="str">
        <f>IF(L74="","",IF(L74=0,"","m"))</f>
        <v/>
      </c>
      <c r="Q74" s="2"/>
      <c r="R74" s="105" t="str">
        <f>IF(OR(S74="入力ｴﾗｰ",S74=0,S74="")=TRUE,"",IF(F74="","甲",IF(F74=0,"甲","")))</f>
        <v/>
      </c>
      <c r="S74" s="80" t="str">
        <f>IF((F74+I79+L74+O79)=0,"",IF((F74+I79+L74+O79)&gt;SUM($AC$1:$AC$3),"入力ｴﾗｰ",SUM($AC$1:$AC$3)-(F74+I79+L74+O79)))</f>
        <v/>
      </c>
      <c r="T74" s="81" t="str">
        <f>IF(S74="","",IF(S74="入力ｴﾗｰ","","m"))</f>
        <v/>
      </c>
      <c r="U74" s="125" t="str">
        <f>IF(B74="","",COUNT(F74,I79,L74,O79)-IF(S74=0,1,0))</f>
        <v/>
      </c>
      <c r="V74" s="126"/>
      <c r="W74" s="97"/>
      <c r="X74" s="97"/>
      <c r="Y74" s="97"/>
      <c r="Z74" s="97"/>
      <c r="AA74" s="95"/>
    </row>
    <row r="75" spans="2:29" ht="3" customHeight="1" x14ac:dyDescent="0.15">
      <c r="B75" s="88"/>
      <c r="C75" s="3"/>
      <c r="G75" s="3"/>
      <c r="H75" s="2"/>
      <c r="K75" s="3"/>
      <c r="L75" s="2"/>
      <c r="M75" s="3"/>
      <c r="N75" s="2"/>
      <c r="Q75" s="2"/>
      <c r="R75" s="105"/>
      <c r="S75" s="80"/>
      <c r="T75" s="81"/>
      <c r="U75" s="125"/>
      <c r="V75" s="126"/>
      <c r="W75" s="97"/>
      <c r="X75" s="97"/>
      <c r="Y75" s="97"/>
      <c r="Z75" s="97"/>
      <c r="AA75" s="95"/>
    </row>
    <row r="76" spans="2:29" ht="3" customHeight="1" x14ac:dyDescent="0.15">
      <c r="B76" s="88"/>
      <c r="C76" s="3"/>
      <c r="E76" s="4"/>
      <c r="F76" s="4"/>
      <c r="G76" s="5"/>
      <c r="H76" s="55"/>
      <c r="I76" s="4"/>
      <c r="J76" s="4"/>
      <c r="K76" s="5"/>
      <c r="L76" s="2"/>
      <c r="M76" s="5"/>
      <c r="N76" s="55"/>
      <c r="O76" s="4"/>
      <c r="P76" s="4"/>
      <c r="Q76" s="2"/>
      <c r="R76" s="105"/>
      <c r="S76" s="80"/>
      <c r="T76" s="81"/>
      <c r="U76" s="125"/>
      <c r="V76" s="126"/>
      <c r="W76" s="97"/>
      <c r="X76" s="97"/>
      <c r="Y76" s="97"/>
      <c r="Z76" s="97"/>
      <c r="AA76" s="95"/>
    </row>
    <row r="77" spans="2:29" ht="3" customHeight="1" x14ac:dyDescent="0.15">
      <c r="B77" s="88"/>
      <c r="C77" s="3"/>
      <c r="E77" s="6"/>
      <c r="F77" s="6"/>
      <c r="G77" s="7"/>
      <c r="H77" s="8"/>
      <c r="I77" s="6"/>
      <c r="J77" s="6"/>
      <c r="K77" s="7"/>
      <c r="L77" s="8"/>
      <c r="M77" s="7"/>
      <c r="N77" s="8"/>
      <c r="O77" s="6"/>
      <c r="P77" s="6"/>
      <c r="Q77" s="2"/>
      <c r="R77" s="96" t="str">
        <f>IF(R74="甲","",IF(OR(S74=0,S74="")=TRUE,"",IF(S74="入力ｴﾗｰ","","乙")))</f>
        <v/>
      </c>
      <c r="S77" s="80"/>
      <c r="U77" s="125"/>
      <c r="V77" s="126"/>
      <c r="W77" s="97"/>
      <c r="X77" s="97"/>
      <c r="Y77" s="97"/>
      <c r="Z77" s="97"/>
      <c r="AA77" s="95"/>
    </row>
    <row r="78" spans="2:29" ht="3" customHeight="1" x14ac:dyDescent="0.15">
      <c r="B78" s="88"/>
      <c r="C78" s="3"/>
      <c r="G78" s="3"/>
      <c r="H78" s="2"/>
      <c r="K78" s="3"/>
      <c r="L78" s="2"/>
      <c r="M78" s="3"/>
      <c r="N78" s="2"/>
      <c r="Q78" s="2"/>
      <c r="R78" s="96"/>
      <c r="S78" s="80"/>
      <c r="U78" s="125"/>
      <c r="V78" s="126"/>
      <c r="W78" s="97"/>
      <c r="X78" s="97"/>
      <c r="Y78" s="97"/>
      <c r="Z78" s="97"/>
      <c r="AA78" s="95"/>
    </row>
    <row r="79" spans="2:29" ht="15" customHeight="1" x14ac:dyDescent="0.15">
      <c r="B79" s="88"/>
      <c r="C79" s="3"/>
      <c r="H79" s="13" t="str">
        <f>IF(I79="","",IF(I79=0,"","L="))</f>
        <v/>
      </c>
      <c r="I79" s="86"/>
      <c r="J79" s="86"/>
      <c r="K79" s="14" t="str">
        <f>IF(I79="","",IF(I79=0,"","m"))</f>
        <v/>
      </c>
      <c r="N79" s="13" t="str">
        <f>IF(O79="","",IF(O79=0,"","L="))</f>
        <v/>
      </c>
      <c r="O79" s="86"/>
      <c r="P79" s="86"/>
      <c r="Q79" s="24" t="str">
        <f>IF(O79="","",IF(O79=0,"","m"))</f>
        <v/>
      </c>
      <c r="R79" s="96"/>
      <c r="S79" s="80"/>
      <c r="U79" s="125"/>
      <c r="V79" s="126"/>
      <c r="W79" s="97"/>
      <c r="X79" s="97"/>
      <c r="Y79" s="97"/>
      <c r="Z79" s="97"/>
      <c r="AA79" s="95"/>
      <c r="AC79" s="1">
        <f>IF(U74="",0,IF(U74&gt;SUM(V74:AA79),U74-SUM(V74:AA79),0))</f>
        <v>0</v>
      </c>
    </row>
    <row r="80" spans="2:29" ht="6" customHeight="1" x14ac:dyDescent="0.1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39"/>
      <c r="V80" s="40"/>
      <c r="W80" s="41"/>
      <c r="X80" s="41"/>
      <c r="Y80" s="41"/>
      <c r="Z80" s="41"/>
      <c r="AA80" s="42"/>
    </row>
    <row r="81" spans="2:29" ht="6" customHeight="1" x14ac:dyDescent="0.1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26"/>
      <c r="V81" s="27"/>
      <c r="W81" s="23"/>
      <c r="X81" s="23"/>
      <c r="Y81" s="23"/>
      <c r="Z81" s="23"/>
      <c r="AA81" s="37"/>
    </row>
    <row r="82" spans="2:29" ht="15" customHeight="1" x14ac:dyDescent="0.15">
      <c r="B82" s="88" t="str">
        <f>IF(S82="","",IF(B74="","",1+B74))</f>
        <v/>
      </c>
      <c r="C82" s="3"/>
      <c r="E82" s="13" t="str">
        <f>IF(F82="","",IF(F82=0,"","L="))</f>
        <v/>
      </c>
      <c r="F82" s="86"/>
      <c r="G82" s="86"/>
      <c r="H82" s="14" t="str">
        <f>IF(F82="","",IF(F82=0,"","m"))</f>
        <v/>
      </c>
      <c r="K82" s="13" t="str">
        <f>IF(L82="","",IF(L82=0,"","L="))</f>
        <v/>
      </c>
      <c r="L82" s="86"/>
      <c r="M82" s="86"/>
      <c r="N82" s="14" t="str">
        <f>IF(L82="","",IF(L82=0,"","m"))</f>
        <v/>
      </c>
      <c r="Q82" s="2"/>
      <c r="R82" s="105" t="str">
        <f>IF(OR(S82="入力ｴﾗｰ",S82=0,S82="")=TRUE,"",IF(F82="","甲",IF(F82=0,"甲","")))</f>
        <v/>
      </c>
      <c r="S82" s="80" t="str">
        <f>IF((F82+I87+L82+O87)=0,"",IF((F82+I87+L82+O87)&gt;SUM($AC$1:$AC$3),"入力ｴﾗｰ",SUM($AC$1:$AC$3)-(F82+I87+L82+O87)))</f>
        <v/>
      </c>
      <c r="T82" s="81" t="str">
        <f>IF(S82="","",IF(S82="入力ｴﾗｰ","","m"))</f>
        <v/>
      </c>
      <c r="U82" s="125" t="str">
        <f>IF(B82="","",COUNT(F82,I87,L82,O87)-IF(S82=0,1,0))</f>
        <v/>
      </c>
      <c r="V82" s="126"/>
      <c r="W82" s="97"/>
      <c r="X82" s="97"/>
      <c r="Y82" s="97"/>
      <c r="Z82" s="97"/>
      <c r="AA82" s="95"/>
    </row>
    <row r="83" spans="2:29" ht="3" customHeight="1" x14ac:dyDescent="0.15">
      <c r="B83" s="88"/>
      <c r="C83" s="3"/>
      <c r="G83" s="3"/>
      <c r="H83" s="2"/>
      <c r="K83" s="3"/>
      <c r="L83" s="2"/>
      <c r="M83" s="3"/>
      <c r="N83" s="2"/>
      <c r="Q83" s="2"/>
      <c r="R83" s="105"/>
      <c r="S83" s="80"/>
      <c r="T83" s="81"/>
      <c r="U83" s="125"/>
      <c r="V83" s="126"/>
      <c r="W83" s="97"/>
      <c r="X83" s="97"/>
      <c r="Y83" s="97"/>
      <c r="Z83" s="97"/>
      <c r="AA83" s="95"/>
    </row>
    <row r="84" spans="2:29" ht="3" customHeight="1" x14ac:dyDescent="0.15">
      <c r="B84" s="88"/>
      <c r="C84" s="3"/>
      <c r="E84" s="4"/>
      <c r="F84" s="4"/>
      <c r="G84" s="5"/>
      <c r="H84" s="55"/>
      <c r="I84" s="4"/>
      <c r="J84" s="4"/>
      <c r="K84" s="5"/>
      <c r="L84" s="2"/>
      <c r="M84" s="5"/>
      <c r="N84" s="55"/>
      <c r="O84" s="4"/>
      <c r="P84" s="4"/>
      <c r="Q84" s="2"/>
      <c r="R84" s="105"/>
      <c r="S84" s="80"/>
      <c r="T84" s="81"/>
      <c r="U84" s="125"/>
      <c r="V84" s="126"/>
      <c r="W84" s="97"/>
      <c r="X84" s="97"/>
      <c r="Y84" s="97"/>
      <c r="Z84" s="97"/>
      <c r="AA84" s="95"/>
    </row>
    <row r="85" spans="2:29" ht="3" customHeight="1" x14ac:dyDescent="0.15">
      <c r="B85" s="88"/>
      <c r="C85" s="3"/>
      <c r="E85" s="6"/>
      <c r="F85" s="6"/>
      <c r="G85" s="7"/>
      <c r="H85" s="8"/>
      <c r="I85" s="6"/>
      <c r="J85" s="6"/>
      <c r="K85" s="7"/>
      <c r="L85" s="8"/>
      <c r="M85" s="7"/>
      <c r="N85" s="8"/>
      <c r="O85" s="6"/>
      <c r="P85" s="6"/>
      <c r="Q85" s="2"/>
      <c r="R85" s="96" t="str">
        <f>IF(R82="甲","",IF(OR(S82=0,S82="")=TRUE,"",IF(S82="入力ｴﾗｰ","","乙")))</f>
        <v/>
      </c>
      <c r="S85" s="80"/>
      <c r="U85" s="125"/>
      <c r="V85" s="126"/>
      <c r="W85" s="97"/>
      <c r="X85" s="97"/>
      <c r="Y85" s="97"/>
      <c r="Z85" s="97"/>
      <c r="AA85" s="95"/>
    </row>
    <row r="86" spans="2:29" ht="3" customHeight="1" x14ac:dyDescent="0.15">
      <c r="B86" s="88"/>
      <c r="C86" s="3"/>
      <c r="G86" s="3"/>
      <c r="H86" s="2"/>
      <c r="K86" s="3"/>
      <c r="L86" s="2"/>
      <c r="M86" s="3"/>
      <c r="N86" s="2"/>
      <c r="Q86" s="2"/>
      <c r="R86" s="96"/>
      <c r="S86" s="80"/>
      <c r="U86" s="125"/>
      <c r="V86" s="126"/>
      <c r="W86" s="97"/>
      <c r="X86" s="97"/>
      <c r="Y86" s="97"/>
      <c r="Z86" s="97"/>
      <c r="AA86" s="95"/>
    </row>
    <row r="87" spans="2:29" ht="15" customHeight="1" x14ac:dyDescent="0.15">
      <c r="B87" s="88"/>
      <c r="C87" s="3"/>
      <c r="H87" s="13" t="str">
        <f>IF(I87="","",IF(I87=0,"","L="))</f>
        <v/>
      </c>
      <c r="I87" s="86"/>
      <c r="J87" s="86"/>
      <c r="K87" s="14" t="str">
        <f>IF(I87="","",IF(I87=0,"","m"))</f>
        <v/>
      </c>
      <c r="N87" s="13" t="str">
        <f>IF(O87="","",IF(O87=0,"","L="))</f>
        <v/>
      </c>
      <c r="O87" s="86"/>
      <c r="P87" s="86"/>
      <c r="Q87" s="24" t="str">
        <f>IF(O87="","",IF(O87=0,"","m"))</f>
        <v/>
      </c>
      <c r="R87" s="96"/>
      <c r="S87" s="80"/>
      <c r="U87" s="125"/>
      <c r="V87" s="126"/>
      <c r="W87" s="97"/>
      <c r="X87" s="97"/>
      <c r="Y87" s="97"/>
      <c r="Z87" s="97"/>
      <c r="AA87" s="95"/>
      <c r="AC87" s="1">
        <f>IF(U82="",0,IF(U82&gt;SUM(V82:AA87),U82-SUM(V82:AA87),0))</f>
        <v>0</v>
      </c>
    </row>
    <row r="88" spans="2:29" ht="6" customHeight="1" x14ac:dyDescent="0.1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39"/>
      <c r="V88" s="40"/>
      <c r="W88" s="41"/>
      <c r="X88" s="41"/>
      <c r="Y88" s="41"/>
      <c r="Z88" s="41"/>
      <c r="AA88" s="42"/>
    </row>
    <row r="89" spans="2:29" ht="6" customHeight="1" x14ac:dyDescent="0.1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26"/>
      <c r="V89" s="27"/>
      <c r="W89" s="23"/>
      <c r="X89" s="23"/>
      <c r="Y89" s="23"/>
      <c r="Z89" s="23"/>
      <c r="AA89" s="37"/>
    </row>
    <row r="90" spans="2:29" ht="15" customHeight="1" x14ac:dyDescent="0.15">
      <c r="B90" s="88" t="str">
        <f>IF(S90="","",IF(B82="","",1+B82))</f>
        <v/>
      </c>
      <c r="C90" s="3"/>
      <c r="E90" s="13" t="str">
        <f>IF(F90="","",IF(F90=0,"","L="))</f>
        <v/>
      </c>
      <c r="F90" s="86"/>
      <c r="G90" s="86"/>
      <c r="H90" s="14" t="str">
        <f>IF(F90="","",IF(F90=0,"","m"))</f>
        <v/>
      </c>
      <c r="K90" s="13" t="str">
        <f>IF(L90="","",IF(L90=0,"","L="))</f>
        <v/>
      </c>
      <c r="L90" s="86"/>
      <c r="M90" s="86"/>
      <c r="N90" s="14" t="str">
        <f>IF(L90="","",IF(L90=0,"","m"))</f>
        <v/>
      </c>
      <c r="Q90" s="2"/>
      <c r="R90" s="105" t="str">
        <f>IF(OR(S90="入力ｴﾗｰ",S90=0,S90="")=TRUE,"",IF(F90="","甲",IF(F90=0,"甲","")))</f>
        <v/>
      </c>
      <c r="S90" s="80" t="str">
        <f>IF((F90+I95+L90+O95)=0,"",IF((F90+I95+L90+O95)&gt;SUM($AC$1:$AC$3),"入力ｴﾗｰ",SUM($AC$1:$AC$3)-(F90+I95+L90+O95)))</f>
        <v/>
      </c>
      <c r="T90" s="81" t="str">
        <f>IF(S90="","",IF(S90="入力ｴﾗｰ","","m"))</f>
        <v/>
      </c>
      <c r="U90" s="125" t="str">
        <f>IF(B90="","",COUNT(F90,I95,L90,O95)-IF(S90=0,1,0))</f>
        <v/>
      </c>
      <c r="V90" s="126"/>
      <c r="W90" s="97"/>
      <c r="X90" s="97"/>
      <c r="Y90" s="97"/>
      <c r="Z90" s="97"/>
      <c r="AA90" s="95"/>
    </row>
    <row r="91" spans="2:29" ht="3" customHeight="1" x14ac:dyDescent="0.15">
      <c r="B91" s="88"/>
      <c r="C91" s="3"/>
      <c r="G91" s="3"/>
      <c r="H91" s="2"/>
      <c r="K91" s="3"/>
      <c r="L91" s="2"/>
      <c r="M91" s="3"/>
      <c r="N91" s="2"/>
      <c r="Q91" s="2"/>
      <c r="R91" s="105"/>
      <c r="S91" s="80"/>
      <c r="T91" s="81"/>
      <c r="U91" s="125"/>
      <c r="V91" s="126"/>
      <c r="W91" s="97"/>
      <c r="X91" s="97"/>
      <c r="Y91" s="97"/>
      <c r="Z91" s="97"/>
      <c r="AA91" s="95"/>
    </row>
    <row r="92" spans="2:29" ht="3" customHeight="1" x14ac:dyDescent="0.15">
      <c r="B92" s="88"/>
      <c r="C92" s="3"/>
      <c r="E92" s="4"/>
      <c r="F92" s="4"/>
      <c r="G92" s="5"/>
      <c r="H92" s="55"/>
      <c r="I92" s="4"/>
      <c r="J92" s="4"/>
      <c r="K92" s="5"/>
      <c r="L92" s="2"/>
      <c r="M92" s="5"/>
      <c r="N92" s="55"/>
      <c r="O92" s="4"/>
      <c r="P92" s="4"/>
      <c r="Q92" s="2"/>
      <c r="R92" s="105"/>
      <c r="S92" s="80"/>
      <c r="T92" s="81"/>
      <c r="U92" s="125"/>
      <c r="V92" s="126"/>
      <c r="W92" s="97"/>
      <c r="X92" s="97"/>
      <c r="Y92" s="97"/>
      <c r="Z92" s="97"/>
      <c r="AA92" s="95"/>
    </row>
    <row r="93" spans="2:29" ht="3" customHeight="1" x14ac:dyDescent="0.15">
      <c r="B93" s="88"/>
      <c r="C93" s="3"/>
      <c r="E93" s="6"/>
      <c r="F93" s="6"/>
      <c r="G93" s="7"/>
      <c r="H93" s="8"/>
      <c r="I93" s="6"/>
      <c r="J93" s="6"/>
      <c r="K93" s="7"/>
      <c r="L93" s="8"/>
      <c r="M93" s="7"/>
      <c r="N93" s="8"/>
      <c r="O93" s="6"/>
      <c r="P93" s="6"/>
      <c r="Q93" s="2"/>
      <c r="R93" s="96" t="str">
        <f>IF(R90="甲","",IF(OR(S90=0,S90="")=TRUE,"",IF(S90="入力ｴﾗｰ","","乙")))</f>
        <v/>
      </c>
      <c r="S93" s="80"/>
      <c r="U93" s="125"/>
      <c r="V93" s="126"/>
      <c r="W93" s="97"/>
      <c r="X93" s="97"/>
      <c r="Y93" s="97"/>
      <c r="Z93" s="97"/>
      <c r="AA93" s="95"/>
    </row>
    <row r="94" spans="2:29" ht="3" customHeight="1" x14ac:dyDescent="0.15">
      <c r="B94" s="88"/>
      <c r="C94" s="3"/>
      <c r="G94" s="3"/>
      <c r="H94" s="2"/>
      <c r="K94" s="3"/>
      <c r="L94" s="2"/>
      <c r="M94" s="3"/>
      <c r="N94" s="2"/>
      <c r="Q94" s="2"/>
      <c r="R94" s="96"/>
      <c r="S94" s="80"/>
      <c r="U94" s="125"/>
      <c r="V94" s="126"/>
      <c r="W94" s="97"/>
      <c r="X94" s="97"/>
      <c r="Y94" s="97"/>
      <c r="Z94" s="97"/>
      <c r="AA94" s="95"/>
    </row>
    <row r="95" spans="2:29" ht="15" customHeight="1" x14ac:dyDescent="0.15">
      <c r="B95" s="88"/>
      <c r="C95" s="3"/>
      <c r="H95" s="13" t="str">
        <f>IF(I95="","",IF(I95=0,"","L="))</f>
        <v/>
      </c>
      <c r="I95" s="86"/>
      <c r="J95" s="86"/>
      <c r="K95" s="14" t="str">
        <f>IF(I95="","",IF(I95=0,"","m"))</f>
        <v/>
      </c>
      <c r="N95" s="13" t="str">
        <f>IF(O95="","",IF(O95=0,"","L="))</f>
        <v/>
      </c>
      <c r="O95" s="86"/>
      <c r="P95" s="86"/>
      <c r="Q95" s="24" t="str">
        <f>IF(O95="","",IF(O95=0,"","m"))</f>
        <v/>
      </c>
      <c r="R95" s="96"/>
      <c r="S95" s="80"/>
      <c r="U95" s="125"/>
      <c r="V95" s="126"/>
      <c r="W95" s="97"/>
      <c r="X95" s="97"/>
      <c r="Y95" s="97"/>
      <c r="Z95" s="97"/>
      <c r="AA95" s="95"/>
      <c r="AC95" s="1">
        <f>IF(U90="",0,IF(U90&gt;SUM(V90:AA95),U90-SUM(V90:AA95),0))</f>
        <v>0</v>
      </c>
    </row>
    <row r="96" spans="2:29" ht="6" customHeight="1" x14ac:dyDescent="0.1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39"/>
      <c r="V96" s="40"/>
      <c r="W96" s="41"/>
      <c r="X96" s="41"/>
      <c r="Y96" s="41"/>
      <c r="Z96" s="41"/>
      <c r="AA96" s="42"/>
    </row>
    <row r="97" spans="2:29" ht="6" customHeight="1" x14ac:dyDescent="0.1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26"/>
      <c r="V97" s="27"/>
      <c r="W97" s="23"/>
      <c r="X97" s="23"/>
      <c r="Y97" s="23"/>
      <c r="Z97" s="23"/>
      <c r="AA97" s="37"/>
    </row>
    <row r="98" spans="2:29" ht="15" customHeight="1" x14ac:dyDescent="0.15">
      <c r="B98" s="88" t="str">
        <f>IF(S98="","",IF(B90="","",1+B90))</f>
        <v/>
      </c>
      <c r="C98" s="3"/>
      <c r="E98" s="13" t="str">
        <f>IF(F98="","",IF(F98=0,"","L="))</f>
        <v/>
      </c>
      <c r="F98" s="86"/>
      <c r="G98" s="86"/>
      <c r="H98" s="14" t="str">
        <f>IF(F98="","",IF(F98=0,"","m"))</f>
        <v/>
      </c>
      <c r="K98" s="13" t="str">
        <f>IF(L98="","",IF(L98=0,"","L="))</f>
        <v/>
      </c>
      <c r="L98" s="86"/>
      <c r="M98" s="86"/>
      <c r="N98" s="14" t="str">
        <f>IF(L98="","",IF(L98=0,"","m"))</f>
        <v/>
      </c>
      <c r="Q98" s="2"/>
      <c r="R98" s="105" t="str">
        <f>IF(OR(S98="入力ｴﾗｰ",S98=0,S98="")=TRUE,"",IF(F98="","甲",IF(F98=0,"甲","")))</f>
        <v/>
      </c>
      <c r="S98" s="80" t="str">
        <f>IF((F98+I103+L98+O103)=0,"",IF((F98+I103+L98+O103)&gt;SUM($AC$1:$AC$3),"入力ｴﾗｰ",SUM($AC$1:$AC$3)-(F98+I103+L98+O103)))</f>
        <v/>
      </c>
      <c r="T98" s="81" t="str">
        <f>IF(S98="","",IF(S98="入力ｴﾗｰ","","m"))</f>
        <v/>
      </c>
      <c r="U98" s="125" t="str">
        <f>IF(B98="","",COUNT(F98,I103,L98,O103)-IF(S98=0,1,0))</f>
        <v/>
      </c>
      <c r="V98" s="126"/>
      <c r="W98" s="97"/>
      <c r="X98" s="97"/>
      <c r="Y98" s="97"/>
      <c r="Z98" s="97"/>
      <c r="AA98" s="95"/>
    </row>
    <row r="99" spans="2:29" ht="3" customHeight="1" x14ac:dyDescent="0.15">
      <c r="B99" s="88"/>
      <c r="C99" s="3"/>
      <c r="G99" s="3"/>
      <c r="H99" s="2"/>
      <c r="K99" s="3"/>
      <c r="L99" s="2"/>
      <c r="M99" s="3"/>
      <c r="N99" s="2"/>
      <c r="Q99" s="2"/>
      <c r="R99" s="105"/>
      <c r="S99" s="80"/>
      <c r="T99" s="81"/>
      <c r="U99" s="125"/>
      <c r="V99" s="126"/>
      <c r="W99" s="97"/>
      <c r="X99" s="97"/>
      <c r="Y99" s="97"/>
      <c r="Z99" s="97"/>
      <c r="AA99" s="95"/>
    </row>
    <row r="100" spans="2:29" ht="3" customHeight="1" x14ac:dyDescent="0.15">
      <c r="B100" s="88"/>
      <c r="C100" s="3"/>
      <c r="E100" s="4"/>
      <c r="F100" s="4"/>
      <c r="G100" s="5"/>
      <c r="H100" s="55"/>
      <c r="I100" s="4"/>
      <c r="J100" s="4"/>
      <c r="K100" s="5"/>
      <c r="L100" s="2"/>
      <c r="M100" s="5"/>
      <c r="N100" s="55"/>
      <c r="O100" s="4"/>
      <c r="P100" s="4"/>
      <c r="Q100" s="2"/>
      <c r="R100" s="105"/>
      <c r="S100" s="80"/>
      <c r="T100" s="81"/>
      <c r="U100" s="125"/>
      <c r="V100" s="126"/>
      <c r="W100" s="97"/>
      <c r="X100" s="97"/>
      <c r="Y100" s="97"/>
      <c r="Z100" s="97"/>
      <c r="AA100" s="95"/>
    </row>
    <row r="101" spans="2:29" ht="3" customHeight="1" x14ac:dyDescent="0.15">
      <c r="B101" s="88"/>
      <c r="C101" s="3"/>
      <c r="E101" s="6"/>
      <c r="F101" s="6"/>
      <c r="G101" s="7"/>
      <c r="H101" s="8"/>
      <c r="I101" s="6"/>
      <c r="J101" s="6"/>
      <c r="K101" s="7"/>
      <c r="L101" s="8"/>
      <c r="M101" s="7"/>
      <c r="N101" s="8"/>
      <c r="O101" s="6"/>
      <c r="P101" s="6"/>
      <c r="Q101" s="2"/>
      <c r="R101" s="96" t="str">
        <f>IF(R98="甲","",IF(OR(S98=0,S98="")=TRUE,"",IF(S98="入力ｴﾗｰ","","乙")))</f>
        <v/>
      </c>
      <c r="S101" s="80"/>
      <c r="U101" s="125"/>
      <c r="V101" s="126"/>
      <c r="W101" s="97"/>
      <c r="X101" s="97"/>
      <c r="Y101" s="97"/>
      <c r="Z101" s="97"/>
      <c r="AA101" s="95"/>
    </row>
    <row r="102" spans="2:29" ht="3" customHeight="1" x14ac:dyDescent="0.15">
      <c r="B102" s="88"/>
      <c r="C102" s="3"/>
      <c r="G102" s="3"/>
      <c r="H102" s="2"/>
      <c r="K102" s="3"/>
      <c r="L102" s="2"/>
      <c r="M102" s="3"/>
      <c r="N102" s="2"/>
      <c r="Q102" s="2"/>
      <c r="R102" s="96"/>
      <c r="S102" s="80"/>
      <c r="U102" s="125"/>
      <c r="V102" s="126"/>
      <c r="W102" s="97"/>
      <c r="X102" s="97"/>
      <c r="Y102" s="97"/>
      <c r="Z102" s="97"/>
      <c r="AA102" s="95"/>
    </row>
    <row r="103" spans="2:29" ht="15" customHeight="1" x14ac:dyDescent="0.15">
      <c r="B103" s="88"/>
      <c r="C103" s="3"/>
      <c r="H103" s="13" t="str">
        <f>IF(I103="","",IF(I103=0,"","L="))</f>
        <v/>
      </c>
      <c r="I103" s="86"/>
      <c r="J103" s="86"/>
      <c r="K103" s="14" t="str">
        <f>IF(I103="","",IF(I103=0,"","m"))</f>
        <v/>
      </c>
      <c r="N103" s="13" t="str">
        <f>IF(O103="","",IF(O103=0,"","L="))</f>
        <v/>
      </c>
      <c r="O103" s="86"/>
      <c r="P103" s="86"/>
      <c r="Q103" s="24" t="str">
        <f>IF(O103="","",IF(O103=0,"","m"))</f>
        <v/>
      </c>
      <c r="R103" s="96"/>
      <c r="S103" s="80"/>
      <c r="U103" s="125"/>
      <c r="V103" s="126"/>
      <c r="W103" s="97"/>
      <c r="X103" s="97"/>
      <c r="Y103" s="97"/>
      <c r="Z103" s="97"/>
      <c r="AA103" s="95"/>
      <c r="AC103" s="1">
        <f>IF(U98="",0,IF(U98&gt;SUM(V98:AA103),U98-SUM(V98:AA103),0))</f>
        <v>0</v>
      </c>
    </row>
    <row r="104" spans="2:29" ht="6" customHeight="1" x14ac:dyDescent="0.1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39"/>
      <c r="V104" s="40"/>
      <c r="W104" s="41"/>
      <c r="X104" s="41"/>
      <c r="Y104" s="41"/>
      <c r="Z104" s="41"/>
      <c r="AA104" s="42"/>
    </row>
    <row r="105" spans="2:29" ht="6" customHeight="1" x14ac:dyDescent="0.1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26"/>
      <c r="V105" s="27"/>
      <c r="W105" s="23"/>
      <c r="X105" s="23"/>
      <c r="Y105" s="23"/>
      <c r="Z105" s="23"/>
      <c r="AA105" s="37"/>
    </row>
    <row r="106" spans="2:29" ht="15" customHeight="1" x14ac:dyDescent="0.15">
      <c r="B106" s="88"/>
      <c r="C106" s="3"/>
      <c r="E106" s="13" t="str">
        <f>IF(F106="","",IF(F106=0,"","L="))</f>
        <v/>
      </c>
      <c r="F106" s="86"/>
      <c r="G106" s="86"/>
      <c r="H106" s="14" t="str">
        <f>IF(F106="","",IF(F106=0,"","m"))</f>
        <v/>
      </c>
      <c r="K106" s="13" t="str">
        <f>IF(L106="","",IF(L106=0,"","L="))</f>
        <v/>
      </c>
      <c r="L106" s="86"/>
      <c r="M106" s="86"/>
      <c r="N106" s="14" t="str">
        <f>IF(L106="","",IF(L106=0,"","m"))</f>
        <v/>
      </c>
      <c r="Q106" s="2"/>
      <c r="R106" s="105" t="str">
        <f>IF(OR(S106="入力ｴﾗｰ",S106=0,S106="")=TRUE,"",IF(F106="","甲",IF(F106=0,"甲","")))</f>
        <v/>
      </c>
      <c r="S106" s="80" t="str">
        <f>IF((F106+I111+L106+O111)=0,"",IF((F106+I111+L106+O111)&gt;SUM($AC$1:$AC$3),"入力ｴﾗｰ",SUM($AC$1:$AC$3)-(F106+I111+L106+O111)))</f>
        <v/>
      </c>
      <c r="T106" s="81" t="str">
        <f>IF(S106="","",IF(S106="入力ｴﾗｰ","","m"))</f>
        <v/>
      </c>
      <c r="U106" s="125" t="str">
        <f>IF(B106="","",COUNT(F106,I111,L106,O111)-IF(S106=0,1,0))</f>
        <v/>
      </c>
      <c r="V106" s="126"/>
      <c r="W106" s="97"/>
      <c r="X106" s="97"/>
      <c r="Y106" s="97"/>
      <c r="Z106" s="97"/>
      <c r="AA106" s="95"/>
    </row>
    <row r="107" spans="2:29" ht="3" customHeight="1" x14ac:dyDescent="0.15">
      <c r="B107" s="88"/>
      <c r="C107" s="3"/>
      <c r="G107" s="3"/>
      <c r="H107" s="2"/>
      <c r="K107" s="3"/>
      <c r="L107" s="2"/>
      <c r="M107" s="3"/>
      <c r="N107" s="2"/>
      <c r="Q107" s="2"/>
      <c r="R107" s="105"/>
      <c r="S107" s="80"/>
      <c r="T107" s="81"/>
      <c r="U107" s="125"/>
      <c r="V107" s="126"/>
      <c r="W107" s="97"/>
      <c r="X107" s="97"/>
      <c r="Y107" s="97"/>
      <c r="Z107" s="97"/>
      <c r="AA107" s="95"/>
    </row>
    <row r="108" spans="2:29" ht="3" customHeight="1" x14ac:dyDescent="0.15">
      <c r="B108" s="88"/>
      <c r="C108" s="3"/>
      <c r="E108" s="4"/>
      <c r="F108" s="4"/>
      <c r="G108" s="5"/>
      <c r="H108" s="55"/>
      <c r="I108" s="4"/>
      <c r="J108" s="4"/>
      <c r="K108" s="5"/>
      <c r="L108" s="2"/>
      <c r="M108" s="5"/>
      <c r="N108" s="55"/>
      <c r="O108" s="4"/>
      <c r="P108" s="4"/>
      <c r="Q108" s="2"/>
      <c r="R108" s="105"/>
      <c r="S108" s="80"/>
      <c r="T108" s="81"/>
      <c r="U108" s="125"/>
      <c r="V108" s="126"/>
      <c r="W108" s="97"/>
      <c r="X108" s="97"/>
      <c r="Y108" s="97"/>
      <c r="Z108" s="97"/>
      <c r="AA108" s="95"/>
    </row>
    <row r="109" spans="2:29" ht="3" customHeight="1" x14ac:dyDescent="0.15">
      <c r="B109" s="88"/>
      <c r="C109" s="3"/>
      <c r="E109" s="6"/>
      <c r="F109" s="6"/>
      <c r="G109" s="7"/>
      <c r="H109" s="8"/>
      <c r="I109" s="6"/>
      <c r="J109" s="6"/>
      <c r="K109" s="7"/>
      <c r="L109" s="8"/>
      <c r="M109" s="7"/>
      <c r="N109" s="8"/>
      <c r="O109" s="6"/>
      <c r="P109" s="6"/>
      <c r="Q109" s="2"/>
      <c r="R109" s="96" t="str">
        <f>IF(R106="甲","",IF(OR(S106=0,S106="")=TRUE,"",IF(S106="入力ｴﾗｰ","","乙")))</f>
        <v/>
      </c>
      <c r="S109" s="80"/>
      <c r="U109" s="125"/>
      <c r="V109" s="126"/>
      <c r="W109" s="97"/>
      <c r="X109" s="97"/>
      <c r="Y109" s="97"/>
      <c r="Z109" s="97"/>
      <c r="AA109" s="95"/>
    </row>
    <row r="110" spans="2:29" ht="3" customHeight="1" x14ac:dyDescent="0.15">
      <c r="B110" s="88"/>
      <c r="C110" s="3"/>
      <c r="G110" s="3"/>
      <c r="H110" s="2"/>
      <c r="K110" s="3"/>
      <c r="L110" s="2"/>
      <c r="M110" s="3"/>
      <c r="N110" s="2"/>
      <c r="Q110" s="2"/>
      <c r="R110" s="96"/>
      <c r="S110" s="80"/>
      <c r="U110" s="125"/>
      <c r="V110" s="126"/>
      <c r="W110" s="97"/>
      <c r="X110" s="97"/>
      <c r="Y110" s="97"/>
      <c r="Z110" s="97"/>
      <c r="AA110" s="95"/>
    </row>
    <row r="111" spans="2:29" ht="15" customHeight="1" x14ac:dyDescent="0.15">
      <c r="B111" s="88"/>
      <c r="C111" s="3"/>
      <c r="H111" s="13" t="str">
        <f>IF(I111="","",IF(I111=0,"","L="))</f>
        <v/>
      </c>
      <c r="I111" s="86"/>
      <c r="J111" s="86"/>
      <c r="K111" s="14" t="str">
        <f>IF(I111="","",IF(I111=0,"","m"))</f>
        <v/>
      </c>
      <c r="N111" s="13" t="str">
        <f>IF(O111="","",IF(O111=0,"","L="))</f>
        <v/>
      </c>
      <c r="O111" s="86"/>
      <c r="P111" s="86"/>
      <c r="Q111" s="24" t="str">
        <f>IF(O111="","",IF(O111=0,"","m"))</f>
        <v/>
      </c>
      <c r="R111" s="96"/>
      <c r="S111" s="80"/>
      <c r="U111" s="125"/>
      <c r="V111" s="126"/>
      <c r="W111" s="97"/>
      <c r="X111" s="97"/>
      <c r="Y111" s="97"/>
      <c r="Z111" s="97"/>
      <c r="AA111" s="95"/>
      <c r="AC111" s="1">
        <f>IF(U106="",0,IF(U106&gt;SUM(V106:AA111),U106-SUM(V106:AA111),0))</f>
        <v>0</v>
      </c>
    </row>
    <row r="112" spans="2:29" ht="6" customHeight="1" x14ac:dyDescent="0.1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39"/>
      <c r="V112" s="40"/>
      <c r="W112" s="41"/>
      <c r="X112" s="41"/>
      <c r="Y112" s="41"/>
      <c r="Z112" s="41"/>
      <c r="AA112" s="42"/>
    </row>
    <row r="113" spans="2:29" ht="15" customHeight="1" x14ac:dyDescent="0.15">
      <c r="B113" s="107" t="s">
        <v>17</v>
      </c>
      <c r="C113" s="108"/>
      <c r="D113" s="108"/>
      <c r="E113" s="108"/>
      <c r="F113" s="109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27"/>
      <c r="W113" s="22"/>
      <c r="X113" s="23"/>
      <c r="Y113" s="23"/>
      <c r="Z113" s="23"/>
      <c r="AA113" s="37"/>
    </row>
    <row r="114" spans="2:29" ht="30" customHeight="1" thickBot="1" x14ac:dyDescent="0.2">
      <c r="B114" s="110"/>
      <c r="C114" s="111"/>
      <c r="D114" s="111"/>
      <c r="E114" s="111"/>
      <c r="F114" s="112"/>
      <c r="G114" s="25" t="str">
        <f>U2</f>
        <v>KF-S</v>
      </c>
      <c r="H114" s="111">
        <f>Y2</f>
        <v>700</v>
      </c>
      <c r="I114" s="111"/>
      <c r="J114" s="112"/>
      <c r="K114" s="113">
        <f>IF(B10="",0,LARGE(B10:B111,1))</f>
        <v>5</v>
      </c>
      <c r="L114" s="114"/>
      <c r="M114" s="21"/>
      <c r="N114" s="25"/>
      <c r="O114" s="20"/>
      <c r="P114" s="20"/>
      <c r="Q114" s="21"/>
      <c r="R114" s="115">
        <f>SUM(S10:S111)</f>
        <v>8.3600000000000012</v>
      </c>
      <c r="S114" s="116"/>
      <c r="T114" s="20"/>
      <c r="U114" s="51">
        <f t="shared" ref="U114:AA114" si="0">SUM(U10:U111)</f>
        <v>7</v>
      </c>
      <c r="V114" s="52">
        <f t="shared" si="0"/>
        <v>6</v>
      </c>
      <c r="W114" s="53">
        <f t="shared" si="0"/>
        <v>0</v>
      </c>
      <c r="X114" s="53">
        <f t="shared" si="0"/>
        <v>1</v>
      </c>
      <c r="Y114" s="53">
        <f t="shared" si="0"/>
        <v>1</v>
      </c>
      <c r="Z114" s="53">
        <f t="shared" si="0"/>
        <v>0</v>
      </c>
      <c r="AA114" s="54">
        <f t="shared" si="0"/>
        <v>0</v>
      </c>
      <c r="AC114" s="1">
        <f>SUM(AC9:AC112)</f>
        <v>1</v>
      </c>
    </row>
  </sheetData>
  <mergeCells count="220">
    <mergeCell ref="U2:V3"/>
    <mergeCell ref="Y2:Z3"/>
    <mergeCell ref="W106:W111"/>
    <mergeCell ref="X106:X111"/>
    <mergeCell ref="Y106:Y111"/>
    <mergeCell ref="Z106:Z111"/>
    <mergeCell ref="W98:W103"/>
    <mergeCell ref="X98:X103"/>
    <mergeCell ref="Y98:Y103"/>
    <mergeCell ref="V106:V111"/>
    <mergeCell ref="V90:V95"/>
    <mergeCell ref="V7:AA7"/>
    <mergeCell ref="V10:V15"/>
    <mergeCell ref="W10:W15"/>
    <mergeCell ref="X10:X15"/>
    <mergeCell ref="Y10:Y15"/>
    <mergeCell ref="Z10:Z15"/>
    <mergeCell ref="AA10:AA15"/>
    <mergeCell ref="AA74:AA79"/>
    <mergeCell ref="AA66:AA71"/>
    <mergeCell ref="W58:W63"/>
    <mergeCell ref="X58:X63"/>
    <mergeCell ref="Y58:Y63"/>
    <mergeCell ref="Z58:Z63"/>
    <mergeCell ref="B113:F114"/>
    <mergeCell ref="H114:J114"/>
    <mergeCell ref="K114:L114"/>
    <mergeCell ref="R114:S114"/>
    <mergeCell ref="B106:B111"/>
    <mergeCell ref="R106:R108"/>
    <mergeCell ref="S106:S111"/>
    <mergeCell ref="U98:U103"/>
    <mergeCell ref="T98:T100"/>
    <mergeCell ref="T106:T108"/>
    <mergeCell ref="L106:M106"/>
    <mergeCell ref="R101:R103"/>
    <mergeCell ref="B98:B103"/>
    <mergeCell ref="F98:G98"/>
    <mergeCell ref="L98:M98"/>
    <mergeCell ref="R98:R100"/>
    <mergeCell ref="C1:Q1"/>
    <mergeCell ref="AA106:AA111"/>
    <mergeCell ref="R109:R111"/>
    <mergeCell ref="I111:J111"/>
    <mergeCell ref="O111:P111"/>
    <mergeCell ref="AA98:AA103"/>
    <mergeCell ref="I103:J103"/>
    <mergeCell ref="O103:P103"/>
    <mergeCell ref="F106:G106"/>
    <mergeCell ref="Z98:Z103"/>
    <mergeCell ref="V98:V103"/>
    <mergeCell ref="U106:U111"/>
    <mergeCell ref="S98:S103"/>
    <mergeCell ref="AA90:AA95"/>
    <mergeCell ref="R93:R95"/>
    <mergeCell ref="I95:J95"/>
    <mergeCell ref="O95:P95"/>
    <mergeCell ref="W90:W95"/>
    <mergeCell ref="X90:X95"/>
    <mergeCell ref="Y90:Y95"/>
    <mergeCell ref="Z90:Z95"/>
    <mergeCell ref="S90:S95"/>
    <mergeCell ref="T90:T92"/>
    <mergeCell ref="U90:U95"/>
    <mergeCell ref="AA82:AA87"/>
    <mergeCell ref="R85:R87"/>
    <mergeCell ref="I87:J87"/>
    <mergeCell ref="O87:P87"/>
    <mergeCell ref="W82:W87"/>
    <mergeCell ref="X82:X87"/>
    <mergeCell ref="Y82:Y87"/>
    <mergeCell ref="Z82:Z87"/>
    <mergeCell ref="S82:S87"/>
    <mergeCell ref="T82:T84"/>
    <mergeCell ref="U82:U87"/>
    <mergeCell ref="V82:V87"/>
    <mergeCell ref="L82:M82"/>
    <mergeCell ref="R82:R84"/>
    <mergeCell ref="W74:W79"/>
    <mergeCell ref="X74:X79"/>
    <mergeCell ref="Y74:Y79"/>
    <mergeCell ref="Z74:Z79"/>
    <mergeCell ref="S74:S79"/>
    <mergeCell ref="T74:T76"/>
    <mergeCell ref="U74:U79"/>
    <mergeCell ref="V74:V79"/>
    <mergeCell ref="B90:B95"/>
    <mergeCell ref="F90:G90"/>
    <mergeCell ref="L90:M90"/>
    <mergeCell ref="R90:R92"/>
    <mergeCell ref="B82:B87"/>
    <mergeCell ref="F82:G82"/>
    <mergeCell ref="B74:B79"/>
    <mergeCell ref="F74:G74"/>
    <mergeCell ref="L74:M74"/>
    <mergeCell ref="R74:R76"/>
    <mergeCell ref="R77:R79"/>
    <mergeCell ref="I79:J79"/>
    <mergeCell ref="O79:P79"/>
    <mergeCell ref="W66:W71"/>
    <mergeCell ref="X66:X71"/>
    <mergeCell ref="Y66:Y71"/>
    <mergeCell ref="Z66:Z71"/>
    <mergeCell ref="S66:S71"/>
    <mergeCell ref="T66:T68"/>
    <mergeCell ref="U66:U71"/>
    <mergeCell ref="V66:V71"/>
    <mergeCell ref="L66:M66"/>
    <mergeCell ref="R66:R68"/>
    <mergeCell ref="B66:B71"/>
    <mergeCell ref="F66:G66"/>
    <mergeCell ref="B58:B63"/>
    <mergeCell ref="F58:G58"/>
    <mergeCell ref="L58:M58"/>
    <mergeCell ref="R58:R60"/>
    <mergeCell ref="R69:R71"/>
    <mergeCell ref="I71:J71"/>
    <mergeCell ref="O71:P71"/>
    <mergeCell ref="W50:W55"/>
    <mergeCell ref="X50:X55"/>
    <mergeCell ref="Y50:Y55"/>
    <mergeCell ref="Z50:Z55"/>
    <mergeCell ref="S50:S55"/>
    <mergeCell ref="T50:T52"/>
    <mergeCell ref="U50:U55"/>
    <mergeCell ref="V50:V55"/>
    <mergeCell ref="S58:S63"/>
    <mergeCell ref="T58:T60"/>
    <mergeCell ref="U58:U63"/>
    <mergeCell ref="V58:V63"/>
    <mergeCell ref="B50:B55"/>
    <mergeCell ref="F50:G50"/>
    <mergeCell ref="L50:M50"/>
    <mergeCell ref="R50:R52"/>
    <mergeCell ref="AA58:AA63"/>
    <mergeCell ref="R61:R63"/>
    <mergeCell ref="I63:J63"/>
    <mergeCell ref="O63:P63"/>
    <mergeCell ref="AA42:AA47"/>
    <mergeCell ref="R45:R47"/>
    <mergeCell ref="I47:J47"/>
    <mergeCell ref="O47:P47"/>
    <mergeCell ref="W42:W47"/>
    <mergeCell ref="X42:X47"/>
    <mergeCell ref="Y42:Y47"/>
    <mergeCell ref="Z42:Z47"/>
    <mergeCell ref="S42:S47"/>
    <mergeCell ref="T42:T44"/>
    <mergeCell ref="U42:U47"/>
    <mergeCell ref="V42:V47"/>
    <mergeCell ref="AA50:AA55"/>
    <mergeCell ref="R53:R55"/>
    <mergeCell ref="I55:J55"/>
    <mergeCell ref="O55:P55"/>
    <mergeCell ref="AA34:AA39"/>
    <mergeCell ref="R37:R39"/>
    <mergeCell ref="I39:J39"/>
    <mergeCell ref="O39:P39"/>
    <mergeCell ref="W34:W39"/>
    <mergeCell ref="X34:X39"/>
    <mergeCell ref="Y34:Y39"/>
    <mergeCell ref="Z34:Z39"/>
    <mergeCell ref="S34:S39"/>
    <mergeCell ref="T34:T36"/>
    <mergeCell ref="U34:U39"/>
    <mergeCell ref="V34:V39"/>
    <mergeCell ref="L34:M34"/>
    <mergeCell ref="R34:R36"/>
    <mergeCell ref="I31:J31"/>
    <mergeCell ref="O31:P31"/>
    <mergeCell ref="W26:W31"/>
    <mergeCell ref="X26:X31"/>
    <mergeCell ref="Y26:Y31"/>
    <mergeCell ref="Z26:Z31"/>
    <mergeCell ref="S26:S31"/>
    <mergeCell ref="T26:T28"/>
    <mergeCell ref="B42:B47"/>
    <mergeCell ref="F42:G42"/>
    <mergeCell ref="L42:M42"/>
    <mergeCell ref="R42:R44"/>
    <mergeCell ref="B34:B39"/>
    <mergeCell ref="F34:G34"/>
    <mergeCell ref="AA18:AA23"/>
    <mergeCell ref="B26:B31"/>
    <mergeCell ref="F26:G26"/>
    <mergeCell ref="L26:M26"/>
    <mergeCell ref="R26:R28"/>
    <mergeCell ref="U26:U31"/>
    <mergeCell ref="V26:V31"/>
    <mergeCell ref="R21:R23"/>
    <mergeCell ref="I23:J23"/>
    <mergeCell ref="O23:P23"/>
    <mergeCell ref="W18:W23"/>
    <mergeCell ref="X18:X23"/>
    <mergeCell ref="Y18:Y23"/>
    <mergeCell ref="Z18:Z23"/>
    <mergeCell ref="S18:S23"/>
    <mergeCell ref="T18:T20"/>
    <mergeCell ref="U18:U23"/>
    <mergeCell ref="V18:V23"/>
    <mergeCell ref="B18:B23"/>
    <mergeCell ref="F18:G18"/>
    <mergeCell ref="L18:M18"/>
    <mergeCell ref="R18:R20"/>
    <mergeCell ref="AA26:AA31"/>
    <mergeCell ref="R29:R31"/>
    <mergeCell ref="B10:B15"/>
    <mergeCell ref="U10:U15"/>
    <mergeCell ref="I15:J15"/>
    <mergeCell ref="L10:M10"/>
    <mergeCell ref="B7:B8"/>
    <mergeCell ref="C7:Q8"/>
    <mergeCell ref="R7:T8"/>
    <mergeCell ref="U7:U8"/>
    <mergeCell ref="S10:S15"/>
    <mergeCell ref="T10:T12"/>
    <mergeCell ref="O15:P15"/>
    <mergeCell ref="R10:R12"/>
    <mergeCell ref="R13:R15"/>
    <mergeCell ref="F10:G10"/>
  </mergeCells>
  <phoneticPr fontId="2"/>
  <conditionalFormatting sqref="S10:S15 S18:S23 S26:S31 S34:S39 S42:S47 S50:S55 S58:S63 S66:S71 S74:S79 S82:S87 S90:S95 S98:S103 S106:S111">
    <cfRule type="cellIs" dxfId="0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17</vt:i4>
      </vt:variant>
    </vt:vector>
  </HeadingPairs>
  <TitlesOfParts>
    <vt:vector size="35" baseType="lpstr">
      <vt:lpstr>白紙(4m)</vt:lpstr>
      <vt:lpstr>白紙(5m)</vt:lpstr>
      <vt:lpstr>白紙(6m)</vt:lpstr>
      <vt:lpstr>GX　200</vt:lpstr>
      <vt:lpstr>GX　400</vt:lpstr>
      <vt:lpstr>GX　400 (2)</vt:lpstr>
      <vt:lpstr>GX　400 (3)</vt:lpstr>
      <vt:lpstr>GX　400 (4)</vt:lpstr>
      <vt:lpstr>不要→</vt:lpstr>
      <vt:lpstr>ＰＥ管（スピゴット）</vt:lpstr>
      <vt:lpstr>GX 75</vt:lpstr>
      <vt:lpstr>GX 100</vt:lpstr>
      <vt:lpstr>GX　150</vt:lpstr>
      <vt:lpstr>GX　300</vt:lpstr>
      <vt:lpstr>Ｔ150</vt:lpstr>
      <vt:lpstr>K300</vt:lpstr>
      <vt:lpstr>NSφ700</vt:lpstr>
      <vt:lpstr>KF-Sφ700</vt:lpstr>
      <vt:lpstr>'GX 100'!Print_Area</vt:lpstr>
      <vt:lpstr>'GX　150'!Print_Area</vt:lpstr>
      <vt:lpstr>'GX　200'!Print_Area</vt:lpstr>
      <vt:lpstr>'GX　300'!Print_Area</vt:lpstr>
      <vt:lpstr>'GX　400'!Print_Area</vt:lpstr>
      <vt:lpstr>'GX　400 (2)'!Print_Area</vt:lpstr>
      <vt:lpstr>'GX　400 (3)'!Print_Area</vt:lpstr>
      <vt:lpstr>'GX　400 (4)'!Print_Area</vt:lpstr>
      <vt:lpstr>'GX 75'!Print_Area</vt:lpstr>
      <vt:lpstr>'K300'!Print_Area</vt:lpstr>
      <vt:lpstr>'KF-Sφ700'!Print_Area</vt:lpstr>
      <vt:lpstr>NSφ700!Print_Area</vt:lpstr>
      <vt:lpstr>'ＰＥ管（スピゴット）'!Print_Area</vt:lpstr>
      <vt:lpstr>'Ｔ150'!Print_Area</vt:lpstr>
      <vt:lpstr>'白紙(4m)'!Print_Area</vt:lpstr>
      <vt:lpstr>'白紙(5m)'!Print_Area</vt:lpstr>
      <vt:lpstr>'白紙(6m)'!Print_Area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神戸市水道局</dc:creator>
  <cp:lastModifiedBy>Windows ユーザー</cp:lastModifiedBy>
  <cp:lastPrinted>2025-09-19T02:28:42Z</cp:lastPrinted>
  <dcterms:created xsi:type="dcterms:W3CDTF">2003-08-18T23:39:55Z</dcterms:created>
  <dcterms:modified xsi:type="dcterms:W3CDTF">2025-09-19T02:29:45Z</dcterms:modified>
</cp:coreProperties>
</file>